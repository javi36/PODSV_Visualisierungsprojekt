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backupFile="1" codeName="ThisWorkbook" defaultThemeVersion="124226"/>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19D0ADC5-A922-E44B-8719-0141CE17DDB6}" xr6:coauthVersionLast="47" xr6:coauthVersionMax="47" xr10:uidLastSave="{00000000-0000-0000-0000-000000000000}"/>
  <bookViews>
    <workbookView xWindow="0" yWindow="500" windowWidth="38400" windowHeight="21100" tabRatio="601" xr2:uid="{8818E035-913B-4649-B44B-3C37E4BB6806}"/>
  </bookViews>
  <sheets>
    <sheet name="Info" sheetId="150" r:id="rId1"/>
    <sheet name="Ad" sheetId="1430" r:id="rId2"/>
    <sheet name="Bd" sheetId="1428" r:id="rId3"/>
    <sheet name="B1d" sheetId="1429" r:id="rId4"/>
    <sheet name="F1d" sheetId="1427" r:id="rId5"/>
    <sheet name="F2d" sheetId="1426" r:id="rId6"/>
    <sheet name="F3d" sheetId="1425" r:id="rId7"/>
    <sheet name="Jd" sheetId="1384" r:id="rId8"/>
    <sheet name="T1d" sheetId="1270" r:id="rId9"/>
    <sheet name="101d" sheetId="1308" r:id="rId10"/>
    <sheet name="102d" sheetId="1292" r:id="rId11"/>
    <sheet name="103d" sheetId="1279" r:id="rId12"/>
    <sheet name="104d" sheetId="1278" r:id="rId13"/>
    <sheet name="105d" sheetId="1277" r:id="rId14"/>
    <sheet name="106d" sheetId="1276" r:id="rId15"/>
    <sheet name="107d" sheetId="1275" r:id="rId16"/>
    <sheet name="108d" sheetId="1271" r:id="rId17"/>
    <sheet name="109d" sheetId="1272" r:id="rId18"/>
    <sheet name="110d" sheetId="1273" r:id="rId19"/>
    <sheet name="111d" sheetId="1274" r:id="rId20"/>
    <sheet name="112d" sheetId="1360" r:id="rId21"/>
    <sheet name="113d" sheetId="1431" r:id="rId22"/>
    <sheet name="T2d" sheetId="1282" r:id="rId23"/>
    <sheet name="201d" sheetId="1368" r:id="rId24"/>
    <sheet name="202d" sheetId="1432" r:id="rId25"/>
    <sheet name="203d" sheetId="1287" r:id="rId26"/>
    <sheet name="204d" sheetId="1286" r:id="rId27"/>
    <sheet name="205d" sheetId="1369" r:id="rId28"/>
    <sheet name="206d" sheetId="1370" r:id="rId29"/>
    <sheet name="207d" sheetId="1285" r:id="rId30"/>
    <sheet name="208d" sheetId="1372" r:id="rId31"/>
    <sheet name="209d" sheetId="1373" r:id="rId32"/>
    <sheet name="210d" sheetId="1284" r:id="rId33"/>
    <sheet name="211d" sheetId="1374" r:id="rId34"/>
    <sheet name="212d" sheetId="1283" r:id="rId35"/>
    <sheet name="213d" sheetId="1371" r:id="rId36"/>
    <sheet name="214d" sheetId="1375" r:id="rId37"/>
    <sheet name="215d" sheetId="1433" r:id="rId38"/>
    <sheet name="216d" sheetId="1291" r:id="rId39"/>
    <sheet name="217d" sheetId="1290" r:id="rId40"/>
    <sheet name="218d" sheetId="1289" r:id="rId41"/>
    <sheet name="219d" sheetId="1288" r:id="rId42"/>
    <sheet name="220d" sheetId="1377" r:id="rId43"/>
    <sheet name="221d" sheetId="1434" r:id="rId44"/>
    <sheet name="222d" sheetId="1379" r:id="rId45"/>
    <sheet name="223d" sheetId="1380" r:id="rId46"/>
    <sheet name="224d" sheetId="1381" r:id="rId47"/>
    <sheet name="225d" sheetId="1382" r:id="rId48"/>
    <sheet name="226d" sheetId="1383" r:id="rId49"/>
    <sheet name="T3d" sheetId="1294" r:id="rId50"/>
    <sheet name="301d" sheetId="1295" r:id="rId51"/>
    <sheet name="302d" sheetId="1296" r:id="rId52"/>
    <sheet name="303d" sheetId="1297" r:id="rId53"/>
    <sheet name="304d" sheetId="1298" r:id="rId54"/>
    <sheet name="305d" sheetId="1299" r:id="rId55"/>
    <sheet name="306d" sheetId="1300" r:id="rId56"/>
    <sheet name="307d" sheetId="1301" r:id="rId57"/>
    <sheet name="308d" sheetId="1319" r:id="rId58"/>
    <sheet name="T4d" sheetId="1408" r:id="rId59"/>
    <sheet name="401d" sheetId="1407" r:id="rId60"/>
    <sheet name="402d" sheetId="1406" r:id="rId61"/>
    <sheet name="403d" sheetId="1405" r:id="rId62"/>
    <sheet name="404d" sheetId="1404" r:id="rId63"/>
    <sheet name="405d" sheetId="1403" r:id="rId64"/>
    <sheet name="406d" sheetId="1402" r:id="rId65"/>
    <sheet name="407d" sheetId="1401" r:id="rId66"/>
    <sheet name="408d" sheetId="1400" r:id="rId67"/>
    <sheet name="409d" sheetId="1399" r:id="rId68"/>
    <sheet name="410d" sheetId="1398" r:id="rId69"/>
    <sheet name="411d" sheetId="1397" r:id="rId70"/>
    <sheet name="T5d" sheetId="1358" r:id="rId71"/>
    <sheet name="501d" sheetId="1357" r:id="rId72"/>
    <sheet name="502d" sheetId="1435" r:id="rId73"/>
    <sheet name="503d" sheetId="1355" r:id="rId74"/>
    <sheet name="504d" sheetId="1354" r:id="rId75"/>
    <sheet name="505d" sheetId="1353" r:id="rId76"/>
    <sheet name="506d" sheetId="1359" r:id="rId77"/>
    <sheet name="T6d" sheetId="1312" r:id="rId78"/>
    <sheet name="601d" sheetId="1313" r:id="rId79"/>
    <sheet name="602d" sheetId="1314" r:id="rId80"/>
    <sheet name="603d" sheetId="1315" r:id="rId81"/>
    <sheet name="604d" sheetId="1316" r:id="rId82"/>
    <sheet name="605d" sheetId="1317" r:id="rId83"/>
    <sheet name="606d" sheetId="1318" r:id="rId84"/>
    <sheet name="T7d" sheetId="1311" r:id="rId85"/>
    <sheet name="701d" sheetId="1310" r:id="rId86"/>
    <sheet name="702d" sheetId="1309" r:id="rId87"/>
    <sheet name="T8d" sheetId="1334" r:id="rId88"/>
    <sheet name="801d" sheetId="1362" r:id="rId89"/>
    <sheet name="802d" sheetId="1363" r:id="rId90"/>
    <sheet name="803d" sheetId="1364" r:id="rId91"/>
    <sheet name="804d" sheetId="1335" r:id="rId92"/>
    <sheet name="805d" sheetId="1344" r:id="rId93"/>
    <sheet name="806d" sheetId="1337" r:id="rId94"/>
    <sheet name="807d" sheetId="1345" r:id="rId95"/>
    <sheet name="808d" sheetId="1346" r:id="rId96"/>
    <sheet name="809d" sheetId="1340" r:id="rId97"/>
    <sheet name="810d" sheetId="1341" r:id="rId98"/>
    <sheet name="811d" sheetId="1342" r:id="rId99"/>
    <sheet name="T9d" sheetId="1412" r:id="rId100"/>
    <sheet name="901d" sheetId="1424" r:id="rId101"/>
    <sheet name="902d" sheetId="1423" r:id="rId102"/>
    <sheet name="903d" sheetId="1421" r:id="rId103"/>
    <sheet name="904d" sheetId="1420" r:id="rId104"/>
    <sheet name="905d" sheetId="1419" r:id="rId105"/>
    <sheet name="906d" sheetId="1418" r:id="rId106"/>
    <sheet name="907d" sheetId="1417" r:id="rId107"/>
    <sheet name="908d" sheetId="1416" r:id="rId108"/>
    <sheet name="909d" sheetId="1415" r:id="rId109"/>
    <sheet name="910d" sheetId="1414" r:id="rId110"/>
    <sheet name="911d" sheetId="1413" r:id="rId111"/>
    <sheet name="912d" sheetId="1422" r:id="rId112"/>
    <sheet name="913d" sheetId="1411" r:id="rId113"/>
    <sheet name="914d" sheetId="1410" r:id="rId114"/>
    <sheet name="915d" sheetId="1409" r:id="rId115"/>
    <sheet name="T10d" sheetId="1385" r:id="rId116"/>
    <sheet name="1001d" sheetId="1386" r:id="rId117"/>
    <sheet name="1002d" sheetId="1387" r:id="rId118"/>
    <sheet name="1003d" sheetId="1388" r:id="rId119"/>
    <sheet name="1004d" sheetId="1389" r:id="rId120"/>
    <sheet name="1005d" sheetId="1390" r:id="rId121"/>
    <sheet name="T11d" sheetId="1302" r:id="rId122"/>
    <sheet name="1101d" sheetId="1326" r:id="rId123"/>
    <sheet name="1102d" sheetId="1327" r:id="rId124"/>
    <sheet name="1103d" sheetId="1328" r:id="rId125"/>
    <sheet name="1104d" sheetId="1393" r:id="rId126"/>
    <sheet name="1105d" sheetId="1307" r:id="rId127"/>
    <sheet name="1106d" sheetId="1306" r:id="rId128"/>
    <sheet name="1107d" sheetId="1329" r:id="rId129"/>
    <sheet name="1108d" sheetId="1330" r:id="rId130"/>
    <sheet name="1109d" sheetId="1331" r:id="rId131"/>
    <sheet name="1110d" sheetId="1392" r:id="rId132"/>
    <sheet name="1111d" sheetId="1366" r:id="rId133"/>
    <sheet name="1112d" sheetId="1391" r:id="rId134"/>
    <sheet name="1113d" sheetId="1332" r:id="rId135"/>
    <sheet name="1114d" sheetId="1305" r:id="rId136"/>
    <sheet name="1115d" sheetId="1304" r:id="rId137"/>
    <sheet name="1116d" sheetId="1303" r:id="rId138"/>
    <sheet name="1117d" sheetId="1365" r:id="rId139"/>
    <sheet name="1118d" sheetId="1333" r:id="rId140"/>
    <sheet name="T12d" sheetId="1347" r:id="rId141"/>
    <sheet name="1201d" sheetId="1351" r:id="rId142"/>
    <sheet name="1202d" sheetId="1350" r:id="rId143"/>
    <sheet name="1203d" sheetId="1349" r:id="rId144"/>
    <sheet name="1204d" sheetId="1348" r:id="rId145"/>
    <sheet name="1205d" sheetId="1396" r:id="rId146"/>
    <sheet name="1206d" sheetId="1395" r:id="rId147"/>
    <sheet name="1207d" sheetId="1394" r:id="rId148"/>
  </sheets>
  <definedNames>
    <definedName name="_xlnm.Print_Area" localSheetId="116">'1001d'!$A$1:$G$32</definedName>
    <definedName name="_xlnm.Print_Area" localSheetId="117">'1002d'!$A$1:$I$36</definedName>
    <definedName name="_xlnm.Print_Area" localSheetId="118">'1003d'!$A$1:$H$35</definedName>
    <definedName name="_xlnm.Print_Area" localSheetId="119">'1004d'!$A$1:$H$47</definedName>
    <definedName name="_xlnm.Print_Area" localSheetId="120">'1005d'!$A$1:$G$49</definedName>
    <definedName name="_xlnm.Print_Area" localSheetId="9">'101d'!$A$1:$W$57</definedName>
    <definedName name="_xlnm.Print_Area" localSheetId="10">'102d'!$A$1:$D$63</definedName>
    <definedName name="_xlnm.Print_Area" localSheetId="11">'103d'!$A$1:$D$57</definedName>
    <definedName name="_xlnm.Print_Area" localSheetId="12">'104d'!$A$1:$D$57</definedName>
    <definedName name="_xlnm.Print_Area" localSheetId="13">'105d'!$A$1:$D$57</definedName>
    <definedName name="_xlnm.Print_Area" localSheetId="14">'106d'!$A$1:$D$57</definedName>
    <definedName name="_xlnm.Print_Area" localSheetId="15">'107d'!$A$1:$D$62</definedName>
    <definedName name="_xlnm.Print_Area" localSheetId="16">'108d'!$A$1:$G$29</definedName>
    <definedName name="_xlnm.Print_Area" localSheetId="17">'109d'!$A$1:$G$29</definedName>
    <definedName name="_xlnm.Print_Area" localSheetId="122">'1101d'!$A$1:$G$32</definedName>
    <definedName name="_xlnm.Print_Area" localSheetId="123">'1102d'!$A$1:$H$33</definedName>
    <definedName name="_xlnm.Print_Area" localSheetId="124">'1103d'!$A$1:$F$46</definedName>
    <definedName name="_xlnm.Print_Area" localSheetId="125">'1104d'!$A$1:$G$35</definedName>
    <definedName name="_xlnm.Print_Area" localSheetId="126">'1105d'!$A$1:$G$31</definedName>
    <definedName name="_xlnm.Print_Area" localSheetId="127">'1106d'!$A$1:$G$22</definedName>
    <definedName name="_xlnm.Print_Area" localSheetId="128">'1107d'!$A$1:$G$31</definedName>
    <definedName name="_xlnm.Print_Area" localSheetId="129">'1108d'!$A$2:$P$45</definedName>
    <definedName name="_xlnm.Print_Area" localSheetId="130">'1109d'!$A$2:$P$45</definedName>
    <definedName name="_xlnm.Print_Area" localSheetId="18">'110d'!$A$1:$H$29</definedName>
    <definedName name="_xlnm.Print_Area" localSheetId="131">'1110d'!$A$1:$G$40</definedName>
    <definedName name="_xlnm.Print_Area" localSheetId="132">'1111d'!$A$1:$F$40</definedName>
    <definedName name="_xlnm.Print_Area" localSheetId="133">'1112d'!$A$1:$F$52</definedName>
    <definedName name="_xlnm.Print_Area" localSheetId="134">'1113d'!$A$1:$F$36</definedName>
    <definedName name="_xlnm.Print_Area" localSheetId="135">'1114d'!$A$1:$G$43</definedName>
    <definedName name="_xlnm.Print_Area" localSheetId="136">'1115d'!$A$1:$G$39</definedName>
    <definedName name="_xlnm.Print_Area" localSheetId="137">'1116d'!$A$1:$H$44</definedName>
    <definedName name="_xlnm.Print_Area" localSheetId="138">'1117d'!$A$1:$I$30</definedName>
    <definedName name="_xlnm.Print_Area" localSheetId="139">'1118d'!$A$1:$R$42</definedName>
    <definedName name="_xlnm.Print_Area" localSheetId="19">'111d'!$A$1:$H$29</definedName>
    <definedName name="_xlnm.Print_Area" localSheetId="20">'112d'!$A$1:$H$36</definedName>
    <definedName name="_xlnm.Print_Area" localSheetId="21">'113d'!$A$1:$G$34</definedName>
    <definedName name="_xlnm.Print_Area" localSheetId="141">'1201d'!$A$1:$H$45</definedName>
    <definedName name="_xlnm.Print_Area" localSheetId="142">'1202d'!$A$1:$H$45</definedName>
    <definedName name="_xlnm.Print_Area" localSheetId="143">'1203d'!$A$1:$H$45</definedName>
    <definedName name="_xlnm.Print_Area" localSheetId="144">'1204d'!$A$1:$H$45</definedName>
    <definedName name="_xlnm.Print_Area" localSheetId="145">'1205d'!$A$1:$G$46</definedName>
    <definedName name="_xlnm.Print_Area" localSheetId="146">'1206d'!$A$1:$G$46</definedName>
    <definedName name="_xlnm.Print_Area" localSheetId="147">'1207d'!$A$1:$G$46</definedName>
    <definedName name="_xlnm.Print_Area" localSheetId="23">'201d'!$A$1:$H$30</definedName>
    <definedName name="_xlnm.Print_Area" localSheetId="24">'202d'!$A$1:$H$62</definedName>
    <definedName name="_xlnm.Print_Area" localSheetId="25">'203d'!$A$1:$R$43</definedName>
    <definedName name="_xlnm.Print_Area" localSheetId="26">'204d'!$A$1:$E$44</definedName>
    <definedName name="_xlnm.Print_Area" localSheetId="27">'205d'!$A$1:$F$44</definedName>
    <definedName name="_xlnm.Print_Area" localSheetId="28">'206d'!$A$1:$H$41</definedName>
    <definedName name="_xlnm.Print_Area" localSheetId="29">'207d'!$A$1:$E$44</definedName>
    <definedName name="_xlnm.Print_Area" localSheetId="30">'208d'!$A$1:$G$45</definedName>
    <definedName name="_xlnm.Print_Area" localSheetId="31">'209d'!$A$1:$H$41</definedName>
    <definedName name="_xlnm.Print_Area" localSheetId="32">'210d'!$A$1:$F$44</definedName>
    <definedName name="_xlnm.Print_Area" localSheetId="33">'211d'!$A$1:$H$41</definedName>
    <definedName name="_xlnm.Print_Area" localSheetId="34">'212d'!$A$1:$G$44</definedName>
    <definedName name="_xlnm.Print_Area" localSheetId="35">'213d'!$A$1:$G$44</definedName>
    <definedName name="_xlnm.Print_Area" localSheetId="36">'214d'!$A$1:$G$32</definedName>
    <definedName name="_xlnm.Print_Area" localSheetId="37">'215d'!$A$1:$H$61</definedName>
    <definedName name="_xlnm.Print_Area" localSheetId="38">'216d'!$A$1:$N$62</definedName>
    <definedName name="_xlnm.Print_Area" localSheetId="39">'217d'!$A$1:$H$42</definedName>
    <definedName name="_xlnm.Print_Area" localSheetId="40">'218d'!$A$1:$N$62</definedName>
    <definedName name="_xlnm.Print_Area" localSheetId="41">'219d'!$A$1:$H$41</definedName>
    <definedName name="_xlnm.Print_Area" localSheetId="42">'220d'!$A$1:$G$33</definedName>
    <definedName name="_xlnm.Print_Area" localSheetId="43">'221d'!$A$1:$H$61</definedName>
    <definedName name="_xlnm.Print_Area" localSheetId="44">'222d'!$A$1:$G$19</definedName>
    <definedName name="_xlnm.Print_Area" localSheetId="45">'223d'!$A$1:$G$45</definedName>
    <definedName name="_xlnm.Print_Area" localSheetId="46">'224d'!$A$1:$G$45</definedName>
    <definedName name="_xlnm.Print_Area" localSheetId="47">'225d'!$A$1:$R$42</definedName>
    <definedName name="_xlnm.Print_Area" localSheetId="48">'226d'!$A$1:$R$41</definedName>
    <definedName name="_xlnm.Print_Area" localSheetId="50">'301d'!$A$1:$G$17</definedName>
    <definedName name="_xlnm.Print_Area" localSheetId="51">'302d'!$A$2:$G$31</definedName>
    <definedName name="_xlnm.Print_Area" localSheetId="52">'303d'!$A$1:$G$44</definedName>
    <definedName name="_xlnm.Print_Area" localSheetId="53">'304d'!$A$1:$F$44</definedName>
    <definedName name="_xlnm.Print_Area" localSheetId="54">'305d'!$A$1:$H$60</definedName>
    <definedName name="_xlnm.Print_Area" localSheetId="55">'306d'!$A$1:$E$44</definedName>
    <definedName name="_xlnm.Print_Area" localSheetId="56">'307d'!$A$1:$H$39</definedName>
    <definedName name="_xlnm.Print_Area" localSheetId="57">'308d'!$A$1:$R$43</definedName>
    <definedName name="_xlnm.Print_Area" localSheetId="59">'401d'!$A$1:$H$39</definedName>
    <definedName name="_xlnm.Print_Area" localSheetId="60">'402d'!$A$1:$H$46</definedName>
    <definedName name="_xlnm.Print_Area" localSheetId="61">'403d'!$A$1:$F$35</definedName>
    <definedName name="_xlnm.Print_Area" localSheetId="62">'404d'!$A$1:$L$49</definedName>
    <definedName name="_xlnm.Print_Area" localSheetId="63">'405d'!$A$1:$K$41</definedName>
    <definedName name="_xlnm.Print_Area" localSheetId="64">'406d'!$A$1:$I$44</definedName>
    <definedName name="_xlnm.Print_Area" localSheetId="65">'407d'!$A$1:$H$47</definedName>
    <definedName name="_xlnm.Print_Area" localSheetId="66">'408d'!$A$1:$H$45</definedName>
    <definedName name="_xlnm.Print_Area" localSheetId="67">'409d'!$A$2:$H$44</definedName>
    <definedName name="_xlnm.Print_Area" localSheetId="68">'410d'!$A$1:$G$46</definedName>
    <definedName name="_xlnm.Print_Area" localSheetId="69">'411d'!$A$1:$I$44</definedName>
    <definedName name="_xlnm.Print_Area" localSheetId="71">'501d'!$A$1:$AF$83</definedName>
    <definedName name="_xlnm.Print_Area" localSheetId="72">'502d'!$A$1:$K$96</definedName>
    <definedName name="_xlnm.Print_Area" localSheetId="73">'503d'!$A$1:$I$97</definedName>
    <definedName name="_xlnm.Print_Area" localSheetId="74">'504d'!$A$1:$I$43</definedName>
    <definedName name="_xlnm.Print_Area" localSheetId="75">'505d'!$A$1:$AE$85</definedName>
    <definedName name="_xlnm.Print_Area" localSheetId="76">'506d'!$A$1:$F$97</definedName>
    <definedName name="_xlnm.Print_Area" localSheetId="78">'601d'!$A$1:$G$32</definedName>
    <definedName name="_xlnm.Print_Area" localSheetId="79">'602d'!$A$1:$G$29</definedName>
    <definedName name="_xlnm.Print_Area" localSheetId="80">'603d'!$A$1:$E$39</definedName>
    <definedName name="_xlnm.Print_Area" localSheetId="81">'604d'!$A$1:$D$50</definedName>
    <definedName name="_xlnm.Print_Area" localSheetId="82">'605d'!$A$1:$D$52</definedName>
    <definedName name="_xlnm.Print_Area" localSheetId="83">'606d'!$A$1:$D$52</definedName>
    <definedName name="_xlnm.Print_Area" localSheetId="85">'701d'!$A$1:$G$37</definedName>
    <definedName name="_xlnm.Print_Area" localSheetId="86">'702d'!$A$1:$D$63</definedName>
    <definedName name="_xlnm.Print_Area" localSheetId="88">'801d'!$A$1:$H$34</definedName>
    <definedName name="_xlnm.Print_Area" localSheetId="89">'802d'!$A$1:$I$29</definedName>
    <definedName name="_xlnm.Print_Area" localSheetId="90">'803d'!$A$1:$N$34</definedName>
    <definedName name="_xlnm.Print_Area" localSheetId="91">'804d'!$A$1:$H$34</definedName>
    <definedName name="_xlnm.Print_Area" localSheetId="92">'805d'!$A$1:$D$73</definedName>
    <definedName name="_xlnm.Print_Area" localSheetId="93">'806d'!$A$1:$D$63</definedName>
    <definedName name="_xlnm.Print_Area" localSheetId="94">'807d'!$A$1:$G$33</definedName>
    <definedName name="_xlnm.Print_Area" localSheetId="95">'808d'!$A$1:$H$32</definedName>
    <definedName name="_xlnm.Print_Area" localSheetId="96">'809d'!$A$1:$E$55</definedName>
    <definedName name="_xlnm.Print_Area" localSheetId="97">'810d'!$A$1:$E$59</definedName>
    <definedName name="_xlnm.Print_Area" localSheetId="98">'811d'!$A$1:$E$70</definedName>
    <definedName name="_xlnm.Print_Area" localSheetId="100">'901d'!$A$1:$J$51</definedName>
    <definedName name="_xlnm.Print_Area" localSheetId="101">'902d'!$A$1:$I$33</definedName>
    <definedName name="_xlnm.Print_Area" localSheetId="102">'903d'!$A$1:$K$46</definedName>
    <definedName name="_xlnm.Print_Area" localSheetId="103">'904d'!$A$1:$I$62</definedName>
    <definedName name="_xlnm.Print_Area" localSheetId="104">'905d'!$A$1:$K$59</definedName>
    <definedName name="_xlnm.Print_Area" localSheetId="105">'906d'!$A$1:$O$35</definedName>
    <definedName name="_xlnm.Print_Area" localSheetId="106">'907d'!$A$1:$G$59</definedName>
    <definedName name="_xlnm.Print_Area" localSheetId="107">'908d'!$A$1:$G$32</definedName>
    <definedName name="_xlnm.Print_Area" localSheetId="108">'909d'!$A$1:$G$34</definedName>
    <definedName name="_xlnm.Print_Area" localSheetId="109">'910d'!$A$1:$K$42</definedName>
    <definedName name="_xlnm.Print_Area" localSheetId="110">'911d'!$A$1:$J$45</definedName>
    <definedName name="_xlnm.Print_Area" localSheetId="111">'912d'!$A$1:$R$60</definedName>
    <definedName name="_xlnm.Print_Area" localSheetId="112">'913d'!$A$1:$I$33</definedName>
    <definedName name="_xlnm.Print_Area" localSheetId="113">'914d'!$A$1:$I$33</definedName>
    <definedName name="_xlnm.Print_Area" localSheetId="114">'915d'!$A$1:$S$86</definedName>
    <definedName name="_xlnm.Print_Area" localSheetId="3">B1d!$A$1:$Q$215</definedName>
    <definedName name="_xlnm.Print_Area" localSheetId="4">F1d!$A$1:$E$84</definedName>
    <definedName name="_xlnm.Print_Area" localSheetId="5">F2d!$A$1:$E$82</definedName>
    <definedName name="_xlnm.Print_Area" localSheetId="6">F3d!$A$1:$I$54</definedName>
    <definedName name="_xlnm.Print_Area" localSheetId="0">Info!$A$1:$K$74</definedName>
    <definedName name="_xlnm.Print_Area" localSheetId="7">Jd!$A$1:$R$72</definedName>
    <definedName name="_xlnm.Print_Area" localSheetId="115">T10d!$A$1:$H$11</definedName>
    <definedName name="_xlnm.Print_Area" localSheetId="121">T11d!$A$1:$H$24</definedName>
    <definedName name="_xlnm.Print_Area" localSheetId="140">T12d!$A$1:$H$13</definedName>
    <definedName name="_xlnm.Print_Area" localSheetId="8">T1d!$A$1:$I$19</definedName>
    <definedName name="_xlnm.Print_Area" localSheetId="22">T2d!$A$1:$H$32</definedName>
    <definedName name="_xlnm.Print_Area" localSheetId="49">T3d!$A$1:$H$14</definedName>
    <definedName name="_xlnm.Print_Area" localSheetId="58">T4d!$A$1:$I$15</definedName>
    <definedName name="_xlnm.Print_Area" localSheetId="70">T5d!$A$1:$G$12</definedName>
    <definedName name="_xlnm.Print_Area" localSheetId="87">T8d!$A$1:$H$17</definedName>
    <definedName name="_xlnm.Print_Titles" localSheetId="71">'501d'!$A:$B,'501d'!$1:$10</definedName>
    <definedName name="_xlnm.Print_Titles" localSheetId="73">'503d'!$1:$11</definedName>
    <definedName name="_xlnm.Print_Titles" localSheetId="74">'504d'!$A:$A,'504d'!$1:$7</definedName>
    <definedName name="_xlnm.Print_Titles" localSheetId="75">'505d'!$A:$B,'505d'!$1:$8</definedName>
    <definedName name="_xlnm.Print_Titles" localSheetId="76">'506d'!$1:$9</definedName>
    <definedName name="_xlnm.Print_Titles" localSheetId="3">B1d!$5:$5</definedName>
    <definedName name="Z_E58FEA52_E3A2_4787_9824_12DA55A527FE_.wvu.Cols" localSheetId="66" hidden="1">'408d'!$I:$I</definedName>
    <definedName name="Z_E58FEA52_E3A2_4787_9824_12DA55A527FE_.wvu.PrintArea" localSheetId="66" hidden="1">'408d'!$A$1:$E$44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13" i="1429" l="1"/>
  <c r="P213" i="1429"/>
  <c r="O213" i="1429"/>
  <c r="N213" i="1429"/>
  <c r="M213" i="1429"/>
  <c r="L213" i="1429"/>
  <c r="K213" i="1429"/>
  <c r="J213" i="1429"/>
  <c r="H213" i="1429"/>
  <c r="G213" i="1429"/>
  <c r="F213" i="1429"/>
  <c r="E213" i="1429"/>
  <c r="D213" i="1429"/>
  <c r="C213" i="1429"/>
  <c r="B213" i="1429"/>
  <c r="A213" i="1429"/>
  <c r="E3" i="1428"/>
  <c r="G3" i="1428"/>
  <c r="K3" i="1428"/>
  <c r="D3" i="1428"/>
  <c r="I3" i="1428" s="1"/>
  <c r="M3" i="1428" s="1"/>
  <c r="C75" i="1427"/>
  <c r="C74" i="1427"/>
  <c r="C73" i="1427"/>
  <c r="C72" i="1427"/>
  <c r="C71" i="1427"/>
  <c r="A54" i="1417"/>
  <c r="B44" i="1384"/>
  <c r="B43" i="1384"/>
  <c r="B42" i="1384"/>
  <c r="B39" i="1384"/>
  <c r="B38" i="1384"/>
  <c r="B37" i="1384"/>
  <c r="B34" i="1384"/>
  <c r="B33" i="1384"/>
  <c r="B32" i="1384"/>
  <c r="B29" i="1384"/>
  <c r="B28" i="1384"/>
  <c r="B27" i="1384"/>
  <c r="B24" i="1384"/>
  <c r="B23" i="1384"/>
  <c r="B22" i="1384"/>
  <c r="B19" i="1384"/>
  <c r="B18" i="1384"/>
  <c r="B17" i="1384"/>
  <c r="B14" i="1384"/>
  <c r="B13" i="1384"/>
  <c r="B12" i="1384"/>
  <c r="D66" i="1344"/>
  <c r="D65" i="13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89D73C6C-4F38-0243-BBBC-980234950574}">
      <text>
        <r>
          <rPr>
            <b/>
            <sz val="8"/>
            <color indexed="81"/>
            <rFont val="Tahoma"/>
            <family val="2"/>
          </rPr>
          <t>Cap / 22.10.01</t>
        </r>
        <r>
          <rPr>
            <sz val="8"/>
            <color indexed="81"/>
            <rFont val="Tahoma"/>
            <family val="2"/>
          </rPr>
          <t xml:space="preserve">
gemäss Auswertung 1999 vom 22.10.01</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4">
    <s v="ISAK Cube Produktion"/>
    <s v="{[Geschäftsjahr].[Geschäftsjahr].&amp;[2012]}"/>
    <s v="{[Erhebung Finanzen].[Erhebung Name].&amp;[Jahresrechnung definitiv]}"/>
    <s v="[Measures].[Wert Kontenplan]"/>
    <s v="[Kontenplan].[Hierarchie].&amp;[820/SAIB1/OKPCH]"/>
    <s v="[Versicherer].[Versicherer Nr].[All]"/>
    <s v="[Kontenplan].[Hierarchie].&amp;[73a/SAIB4/OKPCH]"/>
    <s v="[Kontenplan].[Hierarchie].&amp;[700/SAIB4/OKPCH]"/>
    <s v="[Kontenplan].[Hierarchie].&amp;[517/SAIB1/OKPCH]"/>
    <s v="[Kontenplan].[Hierarchie].&amp;[519/SAIB1/OKPCH]"/>
    <s v="[Kontenplan].[Hierarchie].&amp;[510/SAIB1/OKPCH]"/>
    <s v="[Kontenplan].[Hierarchie].&amp;[516/SAIB1/OKPCH]"/>
    <s v="[Kontenplan].[Hierarchie].&amp;[500/SAIB1/OKPCH]"/>
    <s v="[Kontenplan].[Hierarchie].&amp;[501/SAIB1/OKPCH]"/>
    <s v="[Kontenplan].[Hierarchie].&amp;[480/SAIB3/OKPCH]"/>
    <s v="[Kontenplan].[Hierarchie].&amp;[440/SAIB1/OKPCH]"/>
    <s v="[Kontenplan].[Hierarchie].&amp;[450/SAIB1/OKPCH]"/>
    <s v="[Kontenplan].[Hierarchie].&amp;[431/SAIB3/OKPCH]"/>
    <s v="[Kontenplan].[Hierarchie].&amp;[432/SAIB1/OKPCH]"/>
    <s v="[Kontenplan].[Hierarchie].&amp;[430/SAIB3/OKPCH]"/>
    <s v="[Kontenplan].[Hierarchie].&amp;[421/SAIB3/OKPCH]"/>
    <s v="[Kontenplan].[Hierarchie].&amp;[4200/SAIB3/OKPCH]"/>
    <s v="[Kontenplan].[Hierarchie].&amp;[400/SAIB2/OKPCH]"/>
    <s v="[Kontenplan].[Hierarchie].&amp;[360/SAIB1/OKPCH]"/>
    <s v="[Kontenplan].[Hierarchie].&amp;[370/SAIB1/OKPCH]"/>
    <s v="[Kontenplan].[Hierarchie].&amp;[330/SAIB1/OKPCH]"/>
    <s v="[Kontenplan].[Hierarchie].&amp;[350/SAIB1/OKPCH]"/>
    <s v="[Kontenplan].[Hierarchie].&amp;[300/SAIB2/OKPCH]"/>
    <s v="[Kontenplan].[Hierarchie].&amp;[9]"/>
    <s v="[Kontenplan].[Hierarchie].&amp;[73/73b]"/>
    <s v="[Kontenplan].[Hierarchie].&amp;[71/711]"/>
    <s v="[Kontenplan].[Hierarchie].&amp;[519/SAIB1/VVG]"/>
    <s v="[Kontenplan].[Hierarchie].&amp;[517/SAIB1/VVG]"/>
    <s v="[Kontenplan].[Hierarchie].&amp;[516/SAIB1/VVG]"/>
    <s v="[Kontenplan].[Hierarchie].&amp;[510/SAIB1/VVG]"/>
    <s v="[Kontenplan].[Hierarchie].&amp;[501/SAIB1/VVG]"/>
    <s v="[Kontenplan].[Hierarchie].&amp;[500/SAIB1/VVG]"/>
    <s v="[Kontenplan].[Hierarchie].&amp;[480/SAIB3/VVG]"/>
    <s v="[Kontenplan].[Hierarchie].&amp;[49]"/>
    <s v="[Kontenplan].[Hierarchie].&amp;[46]"/>
    <s v="[Kontenplan].[Hierarchie].&amp;[440/SAIB1/VVG]"/>
    <s v="[Kontenplan].[Hierarchie].&amp;[432/SAIB1/VVG]"/>
    <s v="[Kontenplan].[Hierarchie].&amp;[450/SAIB1/VVG]"/>
    <s v="[Kontenplan].[Hierarchie].&amp;[430/SAIB3/VVG]"/>
    <s v="[Kontenplan].[Hierarchie].&amp;[431/SAIB3/VVG]"/>
    <s v="[Kontenplan].[Hierarchie].&amp;[4200/SAIB3/VVG]"/>
    <s v="[Kontenplan].[Hierarchie].&amp;[421/SAIB3/VVG]"/>
    <s v="[Kontenplan].[Hierarchie].&amp;[360/SAIB1/VVG]"/>
    <s v="[Kontenplan].[Hierarchie].&amp;[330/SAIB1/VVG]"/>
    <s v="[Kontenplan].[Hierarchie].&amp;[350/SAIB1/VVG]"/>
    <s v="[Kontenplan].[Hierarchie].&amp;[300/SAIB2/VVG]"/>
    <s v="[Kontenplan].[Hierarchie].&amp;[810/SAIB1/ET]"/>
    <s v="[Kontenplan].[Hierarchie].&amp;[820/SAIB1/ET]"/>
    <s v="[Kontenplan].[Hierarchie].&amp;[73a/SAIB4/ET]"/>
    <s v="[Kontenplan].[Hierarchie].&amp;[710/SAIB4/ET]"/>
    <s v="[Kontenplan].[Hierarchie].&amp;[700/SAIB4/ET]"/>
    <s v="[Kontenplan].[Hierarchie].&amp;[517/SAIB1/ET]"/>
    <s v="[Kontenplan].[Hierarchie].&amp;[519/SAIB1/ET]"/>
    <s v="[Kontenplan].[Hierarchie].&amp;[510/SAIB1/ET]"/>
    <s v="[Kontenplan].[Hierarchie].&amp;[516/SAIB1/ET]"/>
    <s v="[Kontenplan].[Hierarchie].&amp;[500/SAIB1/ET]"/>
    <s v="[Kontenplan].[Hierarchie].&amp;[501/SAIB1/ET]"/>
    <s v="[Kontenplan].[Hierarchie].&amp;[440/SAIB1/ET]"/>
    <s v="[Kontenplan].[Hierarchie].&amp;[450/SAIB1/ET]"/>
    <s v="[Kontenplan].[Hierarchie].&amp;[432/SAIB1/ET]"/>
    <s v="[Kontenplan].[Hierarchie].&amp;[400/SAIB2/ET]"/>
    <s v="[Kontenplan].[Hierarchie].&amp;[361/SAIB1/ET]"/>
    <s v="[Kontenplan].[Hierarchie].&amp;[370/SAIB1/ET]"/>
    <s v="[Kontenplan].[Hierarchie].&amp;[330/SAIB1/ET]"/>
    <s v="[Kontenplan].[Hierarchie].&amp;[350/SAIB1/ET]"/>
    <s v="[Kontenplan].[Hierarchie].&amp;[300/SAIB2/ET]"/>
    <s v="[Kontenplan].[Hierarchie].&amp;[820/SAIB1/KT]"/>
    <s v="[Kontenplan].[Hierarchie].&amp;[73a/SAIB4/KT]"/>
    <s v="[Kontenplan].[Hierarchie].&amp;[810/SAIB1/KT]"/>
    <s v="[Kontenplan].[Hierarchie].&amp;[700/SAIB4/KT]"/>
    <s v="[Kontenplan].[Hierarchie].&amp;[710/SAIB4/KT]"/>
    <s v="[Kontenplan].[Hierarchie].&amp;[519/SAIB1/KT]"/>
    <s v="[Kontenplan].[Hierarchie].&amp;[517/SAIB1/KT]"/>
    <s v="[Kontenplan].[Hierarchie].&amp;[516/SAIB1/KT]"/>
    <s v="[Kontenplan].[Hierarchie].&amp;[510/SAIB1/KT]"/>
    <s v="[Kontenplan].[Hierarchie].&amp;[501/SAIB1/KT]"/>
    <s v="[Kontenplan].[Hierarchie].&amp;[500/SAIB1/KT]"/>
    <s v="[Kontenplan].[Hierarchie].&amp;[450/SAIB1/KT]"/>
    <s v="[Kontenplan].[Hierarchie].&amp;[440/SAIB1/KT]"/>
    <s v="[Kontenplan].[Hierarchie].&amp;[400/SAIB2/KT]"/>
    <s v="[Kontenplan].[Hierarchie].&amp;[432/SAIB1/KT]"/>
    <s v="[Kontenplan].[Hierarchie].&amp;[350/SAIB1/KT]"/>
    <s v="[Kontenplan].[Hierarchie].&amp;[361/SAIB1/KT]"/>
    <s v="[Kontenplan].[Hierarchie].&amp;[300/SAIB2/KT]"/>
    <s v="[Kontenplan].[Hierarchie].&amp;[330/SAIB1/KT]"/>
    <s v="[Kontenplan].[Hierarchie].&amp;[36]"/>
    <s v="[Kontenplan].[Hierarchie].&amp;[48]"/>
    <s v="[Kontenplan].[Hierarchie].&amp;[4]"/>
    <s v="[Kontenplan].[Hierarchie].&amp;[50]"/>
    <s v="[Kontenplan].[Hierarchie].&amp;[51]"/>
    <s v="[Kontenplan].[Hierarchie].&amp;[51/516]"/>
    <s v="[Kontenplan].[Hierarchie].&amp;[51/519]"/>
    <s v="[Kontenplan].[Hierarchie].&amp;[70]"/>
    <s v="[Kontenplan].[Hierarchie].&amp;[70/SAT700/7001]"/>
    <s v="[Kontenplan].[Hierarchie].&amp;[70/SAT700/7003]"/>
    <s v="[Kontenplan].[Hierarchie].&amp;[70/701]"/>
    <s v="[Kontenplan].[Hierarchie].&amp;[71]"/>
    <s v="[Kontenplan].[Hierarchie].&amp;[71/SAT710/7100]"/>
    <s v="[Kontenplan].[Hierarchie].&amp;[71/SAT710/7101]"/>
    <s v="[Kontenplan].[Hierarchie].&amp;[71/SAT710/7102]"/>
    <s v="[Kontenplan].[Hierarchie].&amp;[71/SAT710/7103]"/>
    <s v="[Kontenplan].[Hierarchie].&amp;[71/SAT710/7104]"/>
    <s v="[Kontenplan].[Hierarchie].&amp;[73]"/>
    <s v="[Kontenplan].[Hierarchie].&amp;[73/SAT730/7300]"/>
    <s v="[Kontenplan].[Hierarchie].&amp;[73/SAT730/7305]"/>
    <s v="[Kontenplan].[Hierarchie].&amp;[73/SAT730/7306]"/>
    <s v="[Kontenplan].[Hierarchie].&amp;[73/SAT730/7309]"/>
    <s v="[Kontenplan].[Hierarchie].&amp;[73/SAT730/7320]"/>
    <s v="[Kontenplan].[Hierarchie].&amp;[73/SAT730/7321]"/>
    <s v="[Kontenplan].[Hierarchie].&amp;[73/SAT730/7322]"/>
    <s v="[Kontenplan].[Hierarchie].&amp;[73/SAT730/7340]"/>
    <s v="[Kontenplan].[Hierarchie].&amp;[73/SAT730/7341]"/>
    <s v="[Kontenplan].[Hierarchie].&amp;[7]"/>
    <s v="[Kontenplan].[Hierarchie].&amp;[81]"/>
    <s v="[Kontenplan].[Hierarchie].&amp;[8]"/>
    <s v="[Kontenplan].[Hierarchie].&amp;[15]"/>
    <s v="[Kontenplan].[Hierarchie].&amp;[10]"/>
    <s v="[Kontenplan].[Hierarchie].&amp;[21 - 27]"/>
    <s v="[Kontenplan].[Hierarchie].&amp;[20/200]"/>
    <s v="[Kontenplan].[Hierarchie].&amp;[1]"/>
    <s v="[Kontenplan].[Hierarchie].&amp;[20/SATRE1/20600]"/>
    <s v="[Kontenplan].[Hierarchie].&amp;[100]"/>
    <s v="[Kontenplan].[Hierarchie].&amp;[1000]"/>
    <s v="[Kontenplan].[Hierarchie].&amp;[101]"/>
    <s v="[Kontenplan].[Hierarchie].&amp;[102]"/>
    <s v="[Kontenplan].[Hierarchie].&amp;[103]"/>
    <s v="[Kontenplan].[Hierarchie].&amp;[104]"/>
    <s v="[Kontenplan].[Hierarchie].&amp;[11]"/>
    <s v="[Kontenplan].[Hierarchie].&amp;[11/1100]"/>
    <s v="[Kontenplan].[Hierarchie].&amp;[11/1110]"/>
    <s v="[Kontenplan].[Hierarchie].&amp;[11/1120]"/>
    <s v="[Kontenplan].[Hierarchie].&amp;[11/1130]"/>
    <s v="[Kontenplan].[Hierarchie].&amp;[11/1140]"/>
    <s v="[Kontenplan].[Hierarchie].&amp;[11/1150]"/>
    <s v="[Kontenplan].[Hierarchie].&amp;[13]"/>
    <s v="[Kontenplan].[Hierarchie].&amp;[13/1300]"/>
    <s v="[Kontenplan].[Hierarchie].&amp;[13/1310]"/>
    <s v="[Kontenplan].[Hierarchie].&amp;[13/1320]"/>
    <s v="[Kontenplan].[Hierarchie].&amp;[15/150]"/>
    <s v="[Kontenplan].[Hierarchie].&amp;[15/153]"/>
    <s v="[Kontenplan].[Hierarchie].&amp;[15/157]"/>
    <s v="[Kontenplan].[Hierarchie].&amp;[15/158]"/>
    <s v="[Kontenplan].[Hierarchie].&amp;[16]"/>
    <s v="[Kontenplan].[Hierarchie].&amp;[160]"/>
    <s v="[Kontenplan].[Hierarchie].&amp;[161]"/>
    <s v="[Kontenplan].[Hierarchie].&amp;[164]"/>
    <s v="[Kontenplan].[Hierarchie].&amp;[167]"/>
    <s v="[Kontenplan].[Hierarchie].&amp;[169]"/>
    <s v="[Kontenplan].[Hierarchie].&amp;[17]"/>
    <s v="[Kontenplan].[Hierarchie].&amp;[17/170]"/>
    <s v="[Kontenplan].[Hierarchie].&amp;[17/171]"/>
    <s v="[Kontenplan].[Hierarchie].&amp;[17/175]"/>
    <s v="[Kontenplan].[Hierarchie].&amp;[19]"/>
    <s v="[Kontenplan].[Hierarchie].&amp;[20/201]"/>
    <s v="[Kontenplan].[Hierarchie].&amp;[20/202]"/>
    <s v="[Kontenplan].[Hierarchie].&amp;[20/205]"/>
    <s v="[Kontenplan].[Hierarchie].&amp;[20/206]"/>
    <s v="[Kontenplan].[Hierarchie].&amp;[20/SATRE1/20601]"/>
    <s v="[Kontenplan].[Hierarchie].&amp;[20/SATRE1/20602]"/>
    <s v="[Kontenplan].[Hierarchie].&amp;[20/SATRE1/20603]"/>
    <s v="[Kontenplan].[Hierarchie].&amp;[20/SATRE1/2061]"/>
    <s v="[Kontenplan].[Hierarchie].&amp;[20/SATRE1/20620]"/>
    <s v="[Kontenplan].[Hierarchie].&amp;[20/207]"/>
    <s v="[Kontenplan].[Hierarchie].&amp;[20]"/>
    <s v="[Kontenplan].[Hierarchie].&amp;[210]"/>
    <s v="[Kontenplan].[Hierarchie].&amp;[210/21000]"/>
    <s v="[Kontenplan].[Hierarchie].&amp;[210/21010]"/>
    <s v="[Kontenplan].[Hierarchie].&amp;[210/21011]"/>
    <s v="[Kontenplan].[Hierarchie].&amp;[210/2102]"/>
    <s v="[Kontenplan].[Hierarchie].&amp;[210/2103]"/>
    <s v="[Kontenplan].[Hierarchie].&amp;[210/2104]"/>
    <s v="[Kontenplan].[Hierarchie].&amp;[211]"/>
    <s v="[Kontenplan].[Hierarchie].&amp;[220]"/>
    <s v="[Kontenplan].[Hierarchie].&amp;[230]"/>
    <s v="[Kontenplan].[Hierarchie].&amp;[240]"/>
    <s v="[Kontenplan].[Hierarchie].&amp;[250]"/>
    <s v="[Kontenplan].[Hierarchie].&amp;[260]"/>
    <s v="[Kontenplan].[Hierarchie].&amp;[261]"/>
    <s v="[Kontenplan].[Hierarchie].&amp;[262]"/>
    <s v="[Kontenplan].[Hierarchie].&amp;[263]"/>
    <s v="[Kontenplan].[Hierarchie].&amp;[264]"/>
    <s v="[Kontenplan].[Hierarchie].&amp;[265]"/>
    <s v="[Kontenplan].[Hierarchie].&amp;[266]"/>
    <s v="[Kontenplan].[Hierarchie].&amp;[268]"/>
    <s v="[Kontenplan].[Hierarchie].&amp;[269]"/>
    <s v="[Kontenplan].[Hierarchie].&amp;[270]"/>
    <s v="[Kontenplan].[Hierarchie].&amp;[2]"/>
    <s v="[Kontenplan].[Hierarchie].&amp;[1005/10050]"/>
    <s v="[Kontenplan].[Hierarchie].&amp;[1005/10051]"/>
    <s v="[Kontenplan].[Hierarchie].&amp;[1001/10010]"/>
    <s v="[Kontenplan].[Hierarchie].&amp;[1001/10011]"/>
    <s v="[Kontenplan].[Hierarchie].&amp;[1002/10020]"/>
    <s v="[Kontenplan].[Hierarchie].&amp;[1002/10021]"/>
    <s v="[Kontenplan].[Hierarchie].&amp;[1006]"/>
    <s v="[Kontenplan].[Hierarchie].&amp;[1003/10030]"/>
    <s v="[Kontenplan].[Hierarchie].&amp;[1003/10031]"/>
    <s v="[Kontenplan].[Hierarchie].&amp;[1003/10032]"/>
    <s v="[Kontenplan].[Hierarchie].&amp;[1003/10033]"/>
    <s v="[Kontenplan].[Hierarchie].&amp;[1003/10034]"/>
    <s v="[Kontenplan].[Hierarchie].&amp;[1003/10035]"/>
    <s v="[Kontenplan].[Hierarchie].&amp;[1003/10036]"/>
    <s v="[Kontenplan].[Hierarchie].&amp;[1003/10037]"/>
    <s v="[Kontenplan].[Hierarchie].&amp;[1004]"/>
    <s v="[Kontenplan].[Hierarchie].&amp;[44/4410]"/>
    <s v="[Kontenplan].[Hierarchie].&amp;[44/440]"/>
    <s v="[Kontenplan].[Hierarchie].&amp;[42/421]"/>
    <s v="[Kontenplan].[Hierarchie].&amp;[43]"/>
    <s v="[Kontenplan].[Hierarchie].&amp;[4200/SAIV/OA]"/>
    <s v="[Kontenplan].[Hierarchie].&amp;[4200/SAIV/HMO]"/>
    <s v="[Kontenplan].[Hierarchie].&amp;[4200/SAIV/HAM]"/>
    <s v="[Kontenplan].[Hierarchie].&amp;[4200/SAIV/WF]"/>
    <s v="[Kontenplan].[Hierarchie].&amp;[4200/SAIV/BO]"/>
    <s v="[Kontenplan].[Hierarchie].&amp;[4200/SAIV/OF]"/>
    <s v="[Kontenplan].[Hierarchie].&amp;[4200/SAIB3/OKPEU]"/>
    <s v="[Kontenplan].[Hierarchie].&amp;[42]"/>
    <s v="[Kontenplan].[Hierarchie].&amp;[42/4200]"/>
    <s v="[Kontenplan].[Hierarchie].&amp;[400/SAIV/OA]"/>
    <s v="[Kontenplan].[Hierarchie].&amp;[400/SAIB2/VVG]"/>
    <s v="[Kontenplan].[Hierarchie].&amp;[400/SAIV/HMO]"/>
    <s v="[Kontenplan].[Hierarchie].&amp;[400/SAIV/HAM]"/>
    <s v="[Kontenplan].[Hierarchie].&amp;[400/SAIV/WF]"/>
    <s v="[Kontenplan].[Hierarchie].&amp;[400/SAIV/BO]"/>
    <s v="[Kontenplan].[Hierarchie].&amp;[400/SAIV/OF]"/>
    <s v="[Kontenplan].[Hierarchie].&amp;[400/SAIB2/OKPEU]"/>
    <s v="[Kontenplan].[Hierarchie].&amp;[40]"/>
    <s v="[Kontenplan].[Hierarchie].&amp;[37]"/>
    <s v="[Kontenplan].[Hierarchie].&amp;[3]"/>
    <s v="[Kontenplan].[Hierarchie].&amp;[35]"/>
    <s v="[Kontenplan].[Hierarchie].&amp;[33]"/>
    <s v="[Kontenplan].[Hierarchie].&amp;[300/SAIV/HAM]"/>
    <s v="[Kontenplan].[Hierarchie].&amp;[300/SAIV/OA]"/>
    <s v="[Kontenplan].[Hierarchie].&amp;[300/SAIV/BO]"/>
    <s v="[Kontenplan].[Hierarchie].&amp;[300/SAIV/HMO]"/>
    <s v="[Kontenplan].[Hierarchie].&amp;[300/SAIB2/OKPEU]"/>
    <s v="[Kontenplan].[Hierarchie].&amp;[300/SAIV/WF]"/>
    <s v="[Kontenplan].[Hierarchie].&amp;[300/SAIV/OF]"/>
    <s v="[Kontenplan].[Hierarchie].&amp;[30]"/>
    <s v="[Kontenplan].[Hierarchie].&amp;[421/SAIV/OA]"/>
    <s v="[Kontenplan].[Hierarchie].&amp;[421/SAIV/HAM]"/>
    <s v="[Kontenplan].[Hierarchie].&amp;[421/SAIV/HMO]"/>
    <s v="[Kontenplan].[Hierarchie].&amp;[421/SAIV/BO]"/>
    <s v="[Kontenplan].[Hierarchie].&amp;[421/SAIV/WF]"/>
    <s v="[Kontenplan].[Hierarchie].&amp;[421/SAIB3/OKPEU]"/>
    <s v="[Kontenplan].[Hierarchie].&amp;[421/SAIV/OF]"/>
    <s v="[Kontenplan].[Hierarchie].&amp;[700/SAIV/HAM]"/>
    <s v="[Kontenplan].[Hierarchie].&amp;[710/SAIV/HAM]"/>
    <s v="[Kontenplan].[Hierarchie].&amp;[73a/SAIV/HAM]"/>
    <s v="[Kontenplan].[Hierarchie].&amp;[810/SAIV/HAM]"/>
    <s v="[Kontenplan].[Hierarchie].&amp;[820/SAIV/HAM]"/>
  </metadataStrings>
  <mdxMetadata count="249">
    <mdx n="0" f="v">
      <t c="5">
        <n x="1" s="1"/>
        <n x="2" s="1"/>
        <n x="3"/>
        <n x="4"/>
        <n x="5"/>
      </t>
    </mdx>
    <mdx n="0" f="v">
      <t c="5">
        <n x="1" s="1"/>
        <n x="2" s="1"/>
        <n x="3"/>
        <n x="6"/>
        <n x="5"/>
      </t>
    </mdx>
    <mdx n="0" f="v">
      <t c="5">
        <n x="1" s="1"/>
        <n x="2" s="1"/>
        <n x="3"/>
        <n x="7"/>
        <n x="5"/>
      </t>
    </mdx>
    <mdx n="0" f="v">
      <t c="5">
        <n x="1" s="1"/>
        <n x="2" s="1"/>
        <n x="3"/>
        <n x="8"/>
        <n x="5"/>
      </t>
    </mdx>
    <mdx n="0" f="v">
      <t c="5">
        <n x="1" s="1"/>
        <n x="2" s="1"/>
        <n x="3"/>
        <n x="9"/>
        <n x="5"/>
      </t>
    </mdx>
    <mdx n="0" f="v">
      <t c="5">
        <n x="1" s="1"/>
        <n x="2" s="1"/>
        <n x="3"/>
        <n x="10"/>
        <n x="5"/>
      </t>
    </mdx>
    <mdx n="0" f="v">
      <t c="5">
        <n x="1" s="1"/>
        <n x="2" s="1"/>
        <n x="3"/>
        <n x="11"/>
        <n x="5"/>
      </t>
    </mdx>
    <mdx n="0" f="v">
      <t c="5">
        <n x="1" s="1"/>
        <n x="2" s="1"/>
        <n x="3"/>
        <n x="12"/>
        <n x="5"/>
      </t>
    </mdx>
    <mdx n="0" f="v">
      <t c="5">
        <n x="1" s="1"/>
        <n x="2" s="1"/>
        <n x="3"/>
        <n x="13"/>
        <n x="5"/>
      </t>
    </mdx>
    <mdx n="0" f="v">
      <t c="5">
        <n x="1" s="1"/>
        <n x="2" s="1"/>
        <n x="3"/>
        <n x="14"/>
        <n x="5"/>
      </t>
    </mdx>
    <mdx n="0" f="v">
      <t c="5">
        <n x="1" s="1"/>
        <n x="2" s="1"/>
        <n x="3"/>
        <n x="15"/>
        <n x="5"/>
      </t>
    </mdx>
    <mdx n="0" f="v">
      <t c="5">
        <n x="1" s="1"/>
        <n x="2" s="1"/>
        <n x="3"/>
        <n x="16"/>
        <n x="5"/>
      </t>
    </mdx>
    <mdx n="0" f="v">
      <t c="5">
        <n x="1" s="1"/>
        <n x="2" s="1"/>
        <n x="3"/>
        <n x="17"/>
        <n x="5"/>
      </t>
    </mdx>
    <mdx n="0" f="v">
      <t c="5">
        <n x="1" s="1"/>
        <n x="2" s="1"/>
        <n x="3"/>
        <n x="18"/>
        <n x="5"/>
      </t>
    </mdx>
    <mdx n="0" f="v">
      <t c="5">
        <n x="1" s="1"/>
        <n x="2" s="1"/>
        <n x="3"/>
        <n x="19"/>
        <n x="5"/>
      </t>
    </mdx>
    <mdx n="0" f="v">
      <t c="5">
        <n x="1" s="1"/>
        <n x="2" s="1"/>
        <n x="3"/>
        <n x="20"/>
        <n x="5"/>
      </t>
    </mdx>
    <mdx n="0" f="v">
      <t c="5">
        <n x="1" s="1"/>
        <n x="2" s="1"/>
        <n x="3"/>
        <n x="21"/>
        <n x="5"/>
      </t>
    </mdx>
    <mdx n="0" f="v">
      <t c="5">
        <n x="1" s="1"/>
        <n x="2" s="1"/>
        <n x="3"/>
        <n x="22"/>
        <n x="5"/>
      </t>
    </mdx>
    <mdx n="0" f="v">
      <t c="5">
        <n x="1" s="1"/>
        <n x="2" s="1"/>
        <n x="3"/>
        <n x="23"/>
        <n x="5"/>
      </t>
    </mdx>
    <mdx n="0" f="v">
      <t c="5">
        <n x="1" s="1"/>
        <n x="2" s="1"/>
        <n x="3"/>
        <n x="24"/>
        <n x="5"/>
      </t>
    </mdx>
    <mdx n="0" f="v">
      <t c="5">
        <n x="1" s="1"/>
        <n x="2" s="1"/>
        <n x="3"/>
        <n x="25"/>
        <n x="5"/>
      </t>
    </mdx>
    <mdx n="0" f="v">
      <t c="5">
        <n x="1" s="1"/>
        <n x="2" s="1"/>
        <n x="3"/>
        <n x="26"/>
        <n x="5"/>
      </t>
    </mdx>
    <mdx n="0" f="v">
      <t c="5">
        <n x="1" s="1"/>
        <n x="2" s="1"/>
        <n x="3"/>
        <n x="27"/>
        <n x="5"/>
      </t>
    </mdx>
    <mdx n="0" f="v">
      <t c="5">
        <n x="1" s="1"/>
        <n x="2" s="1"/>
        <n x="3"/>
        <n x="28"/>
        <n x="5"/>
      </t>
    </mdx>
    <mdx n="0" f="v">
      <t c="5">
        <n x="1" s="1"/>
        <n x="2" s="1"/>
        <n x="3"/>
        <n x="29"/>
        <n x="5"/>
      </t>
    </mdx>
    <mdx n="0" f="v">
      <t c="5">
        <n x="1" s="1"/>
        <n x="2" s="1"/>
        <n x="3"/>
        <n x="30"/>
        <n x="5"/>
      </t>
    </mdx>
    <mdx n="0" f="v">
      <t c="5">
        <n x="1" s="1"/>
        <n x="2" s="1"/>
        <n x="3"/>
        <n x="31"/>
        <n x="5"/>
      </t>
    </mdx>
    <mdx n="0" f="v">
      <t c="5">
        <n x="1" s="1"/>
        <n x="2" s="1"/>
        <n x="3"/>
        <n x="32"/>
        <n x="5"/>
      </t>
    </mdx>
    <mdx n="0" f="v">
      <t c="5">
        <n x="1" s="1"/>
        <n x="2" s="1"/>
        <n x="3"/>
        <n x="33"/>
        <n x="5"/>
      </t>
    </mdx>
    <mdx n="0" f="v">
      <t c="5">
        <n x="1" s="1"/>
        <n x="2" s="1"/>
        <n x="3"/>
        <n x="34"/>
        <n x="5"/>
      </t>
    </mdx>
    <mdx n="0" f="v">
      <t c="5">
        <n x="1" s="1"/>
        <n x="2" s="1"/>
        <n x="3"/>
        <n x="35"/>
        <n x="5"/>
      </t>
    </mdx>
    <mdx n="0" f="v">
      <t c="5">
        <n x="1" s="1"/>
        <n x="2" s="1"/>
        <n x="3"/>
        <n x="36"/>
        <n x="5"/>
      </t>
    </mdx>
    <mdx n="0" f="v">
      <t c="5">
        <n x="1" s="1"/>
        <n x="2" s="1"/>
        <n x="3"/>
        <n x="37"/>
        <n x="5"/>
      </t>
    </mdx>
    <mdx n="0" f="v">
      <t c="5">
        <n x="1" s="1"/>
        <n x="2" s="1"/>
        <n x="3"/>
        <n x="38"/>
        <n x="5"/>
      </t>
    </mdx>
    <mdx n="0" f="v">
      <t c="5">
        <n x="1" s="1"/>
        <n x="2" s="1"/>
        <n x="3"/>
        <n x="39"/>
        <n x="5"/>
      </t>
    </mdx>
    <mdx n="0" f="v">
      <t c="5">
        <n x="1" s="1"/>
        <n x="2" s="1"/>
        <n x="3"/>
        <n x="40"/>
        <n x="5"/>
      </t>
    </mdx>
    <mdx n="0" f="v">
      <t c="5">
        <n x="1" s="1"/>
        <n x="2" s="1"/>
        <n x="3"/>
        <n x="41"/>
        <n x="5"/>
      </t>
    </mdx>
    <mdx n="0" f="v">
      <t c="5">
        <n x="1" s="1"/>
        <n x="2" s="1"/>
        <n x="3"/>
        <n x="42"/>
        <n x="5"/>
      </t>
    </mdx>
    <mdx n="0" f="v">
      <t c="5">
        <n x="1" s="1"/>
        <n x="2" s="1"/>
        <n x="3"/>
        <n x="43"/>
        <n x="5"/>
      </t>
    </mdx>
    <mdx n="0" f="v">
      <t c="5">
        <n x="1" s="1"/>
        <n x="2" s="1"/>
        <n x="3"/>
        <n x="44"/>
        <n x="5"/>
      </t>
    </mdx>
    <mdx n="0" f="v">
      <t c="5">
        <n x="1" s="1"/>
        <n x="2" s="1"/>
        <n x="3"/>
        <n x="45"/>
        <n x="5"/>
      </t>
    </mdx>
    <mdx n="0" f="v">
      <t c="5">
        <n x="1" s="1"/>
        <n x="2" s="1"/>
        <n x="3"/>
        <n x="46"/>
        <n x="5"/>
      </t>
    </mdx>
    <mdx n="0" f="v">
      <t c="5">
        <n x="1" s="1"/>
        <n x="2" s="1"/>
        <n x="3"/>
        <n x="47"/>
        <n x="5"/>
      </t>
    </mdx>
    <mdx n="0" f="v">
      <t c="5">
        <n x="1" s="1"/>
        <n x="2" s="1"/>
        <n x="3"/>
        <n x="48"/>
        <n x="5"/>
      </t>
    </mdx>
    <mdx n="0" f="v">
      <t c="5">
        <n x="1" s="1"/>
        <n x="2" s="1"/>
        <n x="3"/>
        <n x="49"/>
        <n x="5"/>
      </t>
    </mdx>
    <mdx n="0" f="v">
      <t c="5">
        <n x="1" s="1"/>
        <n x="2" s="1"/>
        <n x="3"/>
        <n x="50"/>
        <n x="5"/>
      </t>
    </mdx>
    <mdx n="0" f="v">
      <t c="5">
        <n x="1" s="1"/>
        <n x="2" s="1"/>
        <n x="3"/>
        <n x="52"/>
        <n x="5"/>
      </t>
    </mdx>
    <mdx n="0" f="v">
      <t c="5">
        <n x="1" s="1"/>
        <n x="2" s="1"/>
        <n x="3"/>
        <n x="54"/>
        <n x="5"/>
      </t>
    </mdx>
    <mdx n="0" f="v">
      <t c="5">
        <n x="1" s="1"/>
        <n x="2" s="1"/>
        <n x="3"/>
        <n x="55"/>
        <n x="5"/>
      </t>
    </mdx>
    <mdx n="0" f="v">
      <t c="5">
        <n x="1" s="1"/>
        <n x="2" s="1"/>
        <n x="3"/>
        <n x="56"/>
        <n x="5"/>
      </t>
    </mdx>
    <mdx n="0" f="v">
      <t c="5">
        <n x="1" s="1"/>
        <n x="2" s="1"/>
        <n x="3"/>
        <n x="57"/>
        <n x="5"/>
      </t>
    </mdx>
    <mdx n="0" f="v">
      <t c="5">
        <n x="1" s="1"/>
        <n x="2" s="1"/>
        <n x="3"/>
        <n x="58"/>
        <n x="5"/>
      </t>
    </mdx>
    <mdx n="0" f="v">
      <t c="5">
        <n x="1" s="1"/>
        <n x="2" s="1"/>
        <n x="3"/>
        <n x="59"/>
        <n x="5"/>
      </t>
    </mdx>
    <mdx n="0" f="v">
      <t c="5">
        <n x="1" s="1"/>
        <n x="2" s="1"/>
        <n x="3"/>
        <n x="60"/>
        <n x="5"/>
      </t>
    </mdx>
    <mdx n="0" f="v">
      <t c="5">
        <n x="1" s="1"/>
        <n x="2" s="1"/>
        <n x="3"/>
        <n x="61"/>
        <n x="5"/>
      </t>
    </mdx>
    <mdx n="0" f="v">
      <t c="5">
        <n x="1" s="1"/>
        <n x="2" s="1"/>
        <n x="3"/>
        <n x="62"/>
        <n x="5"/>
      </t>
    </mdx>
    <mdx n="0" f="v">
      <t c="5">
        <n x="1" s="1"/>
        <n x="2" s="1"/>
        <n x="3"/>
        <n x="63"/>
        <n x="5"/>
      </t>
    </mdx>
    <mdx n="0" f="v">
      <t c="5">
        <n x="1" s="1"/>
        <n x="2" s="1"/>
        <n x="3"/>
        <n x="64"/>
        <n x="5"/>
      </t>
    </mdx>
    <mdx n="0" f="v">
      <t c="5">
        <n x="1" s="1"/>
        <n x="2" s="1"/>
        <n x="3"/>
        <n x="65"/>
        <n x="5"/>
      </t>
    </mdx>
    <mdx n="0" f="v">
      <t c="5">
        <n x="1" s="1"/>
        <n x="2" s="1"/>
        <n x="3"/>
        <n x="66"/>
        <n x="5"/>
      </t>
    </mdx>
    <mdx n="0" f="v">
      <t c="5">
        <n x="1" s="1"/>
        <n x="2" s="1"/>
        <n x="3"/>
        <n x="67"/>
        <n x="5"/>
      </t>
    </mdx>
    <mdx n="0" f="v">
      <t c="5">
        <n x="1" s="1"/>
        <n x="2" s="1"/>
        <n x="3"/>
        <n x="68"/>
        <n x="5"/>
      </t>
    </mdx>
    <mdx n="0" f="v">
      <t c="5">
        <n x="1" s="1"/>
        <n x="2" s="1"/>
        <n x="3"/>
        <n x="69"/>
        <n x="5"/>
      </t>
    </mdx>
    <mdx n="0" f="v">
      <t c="5">
        <n x="1" s="1"/>
        <n x="2" s="1"/>
        <n x="3"/>
        <n x="70"/>
        <n x="5"/>
      </t>
    </mdx>
    <mdx n="0" f="v">
      <t c="5">
        <n x="1" s="1"/>
        <n x="2" s="1"/>
        <n x="3"/>
        <n x="51"/>
        <n x="5"/>
      </t>
    </mdx>
    <mdx n="0" f="v">
      <t c="5">
        <n x="1" s="1"/>
        <n x="2" s="1"/>
        <n x="3"/>
        <n x="53"/>
        <n x="5"/>
      </t>
    </mdx>
    <mdx n="0" f="v">
      <t c="5">
        <n x="1" s="1"/>
        <n x="2" s="1"/>
        <n x="3"/>
        <n x="71"/>
        <n x="5"/>
      </t>
    </mdx>
    <mdx n="0" f="v">
      <t c="5">
        <n x="1" s="1"/>
        <n x="2" s="1"/>
        <n x="3"/>
        <n x="72"/>
        <n x="5"/>
      </t>
    </mdx>
    <mdx n="0" f="v">
      <t c="5">
        <n x="1" s="1"/>
        <n x="2" s="1"/>
        <n x="3"/>
        <n x="73"/>
        <n x="5"/>
      </t>
    </mdx>
    <mdx n="0" f="v">
      <t c="5">
        <n x="1" s="1"/>
        <n x="2" s="1"/>
        <n x="3"/>
        <n x="74"/>
        <n x="5"/>
      </t>
    </mdx>
    <mdx n="0" f="v">
      <t c="5">
        <n x="1" s="1"/>
        <n x="2" s="1"/>
        <n x="3"/>
        <n x="75"/>
        <n x="5"/>
      </t>
    </mdx>
    <mdx n="0" f="v">
      <t c="5">
        <n x="1" s="1"/>
        <n x="2" s="1"/>
        <n x="3"/>
        <n x="76"/>
        <n x="5"/>
      </t>
    </mdx>
    <mdx n="0" f="v">
      <t c="5">
        <n x="1" s="1"/>
        <n x="2" s="1"/>
        <n x="3"/>
        <n x="77"/>
        <n x="5"/>
      </t>
    </mdx>
    <mdx n="0" f="v">
      <t c="5">
        <n x="1" s="1"/>
        <n x="2" s="1"/>
        <n x="3"/>
        <n x="78"/>
        <n x="5"/>
      </t>
    </mdx>
    <mdx n="0" f="v">
      <t c="5">
        <n x="1" s="1"/>
        <n x="2" s="1"/>
        <n x="3"/>
        <n x="79"/>
        <n x="5"/>
      </t>
    </mdx>
    <mdx n="0" f="v">
      <t c="5">
        <n x="1" s="1"/>
        <n x="2" s="1"/>
        <n x="3"/>
        <n x="80"/>
        <n x="5"/>
      </t>
    </mdx>
    <mdx n="0" f="v">
      <t c="5">
        <n x="1" s="1"/>
        <n x="2" s="1"/>
        <n x="3"/>
        <n x="81"/>
        <n x="5"/>
      </t>
    </mdx>
    <mdx n="0" f="v">
      <t c="5">
        <n x="1" s="1"/>
        <n x="2" s="1"/>
        <n x="3"/>
        <n x="82"/>
        <n x="5"/>
      </t>
    </mdx>
    <mdx n="0" f="v">
      <t c="5">
        <n x="1" s="1"/>
        <n x="2" s="1"/>
        <n x="3"/>
        <n x="83"/>
        <n x="5"/>
      </t>
    </mdx>
    <mdx n="0" f="v">
      <t c="5">
        <n x="1" s="1"/>
        <n x="2" s="1"/>
        <n x="3"/>
        <n x="84"/>
        <n x="5"/>
      </t>
    </mdx>
    <mdx n="0" f="v">
      <t c="5">
        <n x="1" s="1"/>
        <n x="2" s="1"/>
        <n x="3"/>
        <n x="85"/>
        <n x="5"/>
      </t>
    </mdx>
    <mdx n="0" f="v">
      <t c="5">
        <n x="1" s="1"/>
        <n x="2" s="1"/>
        <n x="3"/>
        <n x="86"/>
        <n x="5"/>
      </t>
    </mdx>
    <mdx n="0" f="v">
      <t c="5">
        <n x="1" s="1"/>
        <n x="2" s="1"/>
        <n x="3"/>
        <n x="87"/>
        <n x="5"/>
      </t>
    </mdx>
    <mdx n="0" f="v">
      <t c="5">
        <n x="1" s="1"/>
        <n x="2" s="1"/>
        <n x="3"/>
        <n x="88"/>
        <n x="5"/>
      </t>
    </mdx>
    <mdx n="0" f="v">
      <t c="5">
        <n x="1" s="1"/>
        <n x="2" s="1"/>
        <n x="3"/>
        <n x="89"/>
        <n x="5"/>
      </t>
    </mdx>
    <mdx n="0" f="v">
      <t c="5">
        <n x="1" s="1"/>
        <n x="2" s="1"/>
        <n x="3"/>
        <n x="90"/>
        <n x="5"/>
      </t>
    </mdx>
    <mdx n="0" f="v">
      <t c="5">
        <n x="1" s="1"/>
        <n x="2" s="1"/>
        <n x="3"/>
        <n x="91"/>
        <n x="5"/>
      </t>
    </mdx>
    <mdx n="0" f="v">
      <t c="5">
        <n x="1" s="1"/>
        <n x="2" s="1"/>
        <n x="3"/>
        <n x="92"/>
        <n x="5"/>
      </t>
    </mdx>
    <mdx n="0" f="v">
      <t c="5">
        <n x="1" s="1"/>
        <n x="2" s="1"/>
        <n x="3"/>
        <n x="93"/>
        <n x="5"/>
      </t>
    </mdx>
    <mdx n="0" f="v">
      <t c="5">
        <n x="1" s="1"/>
        <n x="2" s="1"/>
        <n x="3"/>
        <n x="94"/>
        <n x="5"/>
      </t>
    </mdx>
    <mdx n="0" f="v">
      <t c="5">
        <n x="1" s="1"/>
        <n x="2" s="1"/>
        <n x="3"/>
        <n x="95"/>
        <n x="5"/>
      </t>
    </mdx>
    <mdx n="0" f="v">
      <t c="5">
        <n x="1" s="1"/>
        <n x="2" s="1"/>
        <n x="3"/>
        <n x="96"/>
        <n x="5"/>
      </t>
    </mdx>
    <mdx n="0" f="v">
      <t c="5">
        <n x="1" s="1"/>
        <n x="2" s="1"/>
        <n x="3"/>
        <n x="97"/>
        <n x="5"/>
      </t>
    </mdx>
    <mdx n="0" f="v">
      <t c="5">
        <n x="1" s="1"/>
        <n x="2" s="1"/>
        <n x="3"/>
        <n x="98"/>
        <n x="5"/>
      </t>
    </mdx>
    <mdx n="0" f="v">
      <t c="5">
        <n x="1" s="1"/>
        <n x="2" s="1"/>
        <n x="3"/>
        <n x="99"/>
        <n x="5"/>
      </t>
    </mdx>
    <mdx n="0" f="v">
      <t c="5">
        <n x="1" s="1"/>
        <n x="2" s="1"/>
        <n x="3"/>
        <n x="100"/>
        <n x="5"/>
      </t>
    </mdx>
    <mdx n="0" f="v">
      <t c="5">
        <n x="1" s="1"/>
        <n x="2" s="1"/>
        <n x="3"/>
        <n x="101"/>
        <n x="5"/>
      </t>
    </mdx>
    <mdx n="0" f="v">
      <t c="5">
        <n x="1" s="1"/>
        <n x="2" s="1"/>
        <n x="3"/>
        <n x="102"/>
        <n x="5"/>
      </t>
    </mdx>
    <mdx n="0" f="v">
      <t c="5">
        <n x="1" s="1"/>
        <n x="2" s="1"/>
        <n x="3"/>
        <n x="103"/>
        <n x="5"/>
      </t>
    </mdx>
    <mdx n="0" f="v">
      <t c="5">
        <n x="1" s="1"/>
        <n x="2" s="1"/>
        <n x="3"/>
        <n x="104"/>
        <n x="5"/>
      </t>
    </mdx>
    <mdx n="0" f="v">
      <t c="5">
        <n x="1" s="1"/>
        <n x="2" s="1"/>
        <n x="3"/>
        <n x="105"/>
        <n x="5"/>
      </t>
    </mdx>
    <mdx n="0" f="v">
      <t c="5">
        <n x="1" s="1"/>
        <n x="2" s="1"/>
        <n x="3"/>
        <n x="106"/>
        <n x="5"/>
      </t>
    </mdx>
    <mdx n="0" f="v">
      <t c="5">
        <n x="1" s="1"/>
        <n x="2" s="1"/>
        <n x="3"/>
        <n x="107"/>
        <n x="5"/>
      </t>
    </mdx>
    <mdx n="0" f="v">
      <t c="5">
        <n x="1" s="1"/>
        <n x="2" s="1"/>
        <n x="3"/>
        <n x="108"/>
        <n x="5"/>
      </t>
    </mdx>
    <mdx n="0" f="v">
      <t c="5">
        <n x="1" s="1"/>
        <n x="2" s="1"/>
        <n x="3"/>
        <n x="109"/>
        <n x="5"/>
      </t>
    </mdx>
    <mdx n="0" f="v">
      <t c="5">
        <n x="1" s="1"/>
        <n x="2" s="1"/>
        <n x="3"/>
        <n x="110"/>
        <n x="5"/>
      </t>
    </mdx>
    <mdx n="0" f="v">
      <t c="5">
        <n x="1" s="1"/>
        <n x="2" s="1"/>
        <n x="3"/>
        <n x="111"/>
        <n x="5"/>
      </t>
    </mdx>
    <mdx n="0" f="v">
      <t c="5">
        <n x="1" s="1"/>
        <n x="2" s="1"/>
        <n x="3"/>
        <n x="112"/>
        <n x="5"/>
      </t>
    </mdx>
    <mdx n="0" f="v">
      <t c="5">
        <n x="1" s="1"/>
        <n x="2" s="1"/>
        <n x="3"/>
        <n x="113"/>
        <n x="5"/>
      </t>
    </mdx>
    <mdx n="0" f="v">
      <t c="5">
        <n x="1" s="1"/>
        <n x="2" s="1"/>
        <n x="3"/>
        <n x="114"/>
        <n x="5"/>
      </t>
    </mdx>
    <mdx n="0" f="v">
      <t c="5">
        <n x="1" s="1"/>
        <n x="2" s="1"/>
        <n x="3"/>
        <n x="115"/>
        <n x="5"/>
      </t>
    </mdx>
    <mdx n="0" f="v">
      <t c="5">
        <n x="1" s="1"/>
        <n x="2" s="1"/>
        <n x="3"/>
        <n x="116"/>
        <n x="5"/>
      </t>
    </mdx>
    <mdx n="0" f="v">
      <t c="5">
        <n x="1" s="1"/>
        <n x="2" s="1"/>
        <n x="3"/>
        <n x="117"/>
        <n x="5"/>
      </t>
    </mdx>
    <mdx n="0" f="v">
      <t c="5">
        <n x="1" s="1"/>
        <n x="2" s="1"/>
        <n x="3"/>
        <n x="118"/>
        <n x="5"/>
      </t>
    </mdx>
    <mdx n="0" f="v">
      <t c="5">
        <n x="1" s="1"/>
        <n x="2" s="1"/>
        <n x="3"/>
        <n x="119"/>
        <n x="5"/>
      </t>
    </mdx>
    <mdx n="0" f="v">
      <t c="5">
        <n x="1" s="1"/>
        <n x="2" s="1"/>
        <n x="3"/>
        <n x="120"/>
        <n x="5"/>
      </t>
    </mdx>
    <mdx n="0" f="v">
      <t c="5">
        <n x="1" s="1"/>
        <n x="2" s="1"/>
        <n x="3"/>
        <n x="121"/>
        <n x="5"/>
      </t>
    </mdx>
    <mdx n="0" f="v">
      <t c="5">
        <n x="1" s="1"/>
        <n x="2" s="1"/>
        <n x="3"/>
        <n x="122"/>
        <n x="5"/>
      </t>
    </mdx>
    <mdx n="0" f="v">
      <t c="5">
        <n x="1" s="1"/>
        <n x="2" s="1"/>
        <n x="3"/>
        <n x="123"/>
        <n x="5"/>
      </t>
    </mdx>
    <mdx n="0" f="v">
      <t c="5">
        <n x="1" s="1"/>
        <n x="2" s="1"/>
        <n x="3"/>
        <n x="124"/>
        <n x="5"/>
      </t>
    </mdx>
    <mdx n="0" f="v">
      <t c="5">
        <n x="1" s="1"/>
        <n x="2" s="1"/>
        <n x="3"/>
        <n x="125"/>
        <n x="5"/>
      </t>
    </mdx>
    <mdx n="0" f="v">
      <t c="5">
        <n x="1" s="1"/>
        <n x="2" s="1"/>
        <n x="3"/>
        <n x="126"/>
        <n x="5"/>
      </t>
    </mdx>
    <mdx n="0" f="v">
      <t c="5">
        <n x="1" s="1"/>
        <n x="2" s="1"/>
        <n x="3"/>
        <n x="127"/>
        <n x="5"/>
      </t>
    </mdx>
    <mdx n="0" f="v">
      <t c="5">
        <n x="1" s="1"/>
        <n x="2" s="1"/>
        <n x="3"/>
        <n x="128"/>
        <n x="5"/>
      </t>
    </mdx>
    <mdx n="0" f="v">
      <t c="5">
        <n x="1" s="1"/>
        <n x="2" s="1"/>
        <n x="3"/>
        <n x="129"/>
        <n x="5"/>
      </t>
    </mdx>
    <mdx n="0" f="v">
      <t c="5">
        <n x="1" s="1"/>
        <n x="2" s="1"/>
        <n x="3"/>
        <n x="130"/>
        <n x="5"/>
      </t>
    </mdx>
    <mdx n="0" f="v">
      <t c="5">
        <n x="1" s="1"/>
        <n x="2" s="1"/>
        <n x="3"/>
        <n x="131"/>
        <n x="5"/>
      </t>
    </mdx>
    <mdx n="0" f="v">
      <t c="5">
        <n x="1" s="1"/>
        <n x="2" s="1"/>
        <n x="3"/>
        <n x="132"/>
        <n x="5"/>
      </t>
    </mdx>
    <mdx n="0" f="v">
      <t c="5">
        <n x="1" s="1"/>
        <n x="2" s="1"/>
        <n x="3"/>
        <n x="133"/>
        <n x="5"/>
      </t>
    </mdx>
    <mdx n="0" f="v">
      <t c="5">
        <n x="1" s="1"/>
        <n x="2" s="1"/>
        <n x="3"/>
        <n x="134"/>
        <n x="5"/>
      </t>
    </mdx>
    <mdx n="0" f="v">
      <t c="5">
        <n x="1" s="1"/>
        <n x="2" s="1"/>
        <n x="3"/>
        <n x="135"/>
        <n x="5"/>
      </t>
    </mdx>
    <mdx n="0" f="v">
      <t c="5">
        <n x="1" s="1"/>
        <n x="2" s="1"/>
        <n x="3"/>
        <n x="136"/>
        <n x="5"/>
      </t>
    </mdx>
    <mdx n="0" f="v">
      <t c="5">
        <n x="1" s="1"/>
        <n x="2" s="1"/>
        <n x="3"/>
        <n x="137"/>
        <n x="5"/>
      </t>
    </mdx>
    <mdx n="0" f="v">
      <t c="5">
        <n x="1" s="1"/>
        <n x="2" s="1"/>
        <n x="3"/>
        <n x="138"/>
        <n x="5"/>
      </t>
    </mdx>
    <mdx n="0" f="v">
      <t c="5">
        <n x="1" s="1"/>
        <n x="2" s="1"/>
        <n x="3"/>
        <n x="139"/>
        <n x="5"/>
      </t>
    </mdx>
    <mdx n="0" f="v">
      <t c="5">
        <n x="1" s="1"/>
        <n x="2" s="1"/>
        <n x="3"/>
        <n x="140"/>
        <n x="5"/>
      </t>
    </mdx>
    <mdx n="0" f="v">
      <t c="5">
        <n x="1" s="1"/>
        <n x="2" s="1"/>
        <n x="3"/>
        <n x="141"/>
        <n x="5"/>
      </t>
    </mdx>
    <mdx n="0" f="v">
      <t c="5">
        <n x="1" s="1"/>
        <n x="2" s="1"/>
        <n x="3"/>
        <n x="142"/>
        <n x="5"/>
      </t>
    </mdx>
    <mdx n="0" f="v">
      <t c="5">
        <n x="1" s="1"/>
        <n x="2" s="1"/>
        <n x="3"/>
        <n x="143"/>
        <n x="5"/>
      </t>
    </mdx>
    <mdx n="0" f="v">
      <t c="5">
        <n x="1" s="1"/>
        <n x="2" s="1"/>
        <n x="3"/>
        <n x="144"/>
        <n x="5"/>
      </t>
    </mdx>
    <mdx n="0" f="v">
      <t c="5">
        <n x="1" s="1"/>
        <n x="2" s="1"/>
        <n x="3"/>
        <n x="145"/>
        <n x="5"/>
      </t>
    </mdx>
    <mdx n="0" f="v">
      <t c="5">
        <n x="1" s="1"/>
        <n x="2" s="1"/>
        <n x="3"/>
        <n x="146"/>
        <n x="5"/>
      </t>
    </mdx>
    <mdx n="0" f="v">
      <t c="5">
        <n x="1" s="1"/>
        <n x="2" s="1"/>
        <n x="3"/>
        <n x="147"/>
        <n x="5"/>
      </t>
    </mdx>
    <mdx n="0" f="v">
      <t c="5">
        <n x="1" s="1"/>
        <n x="2" s="1"/>
        <n x="3"/>
        <n x="148"/>
        <n x="5"/>
      </t>
    </mdx>
    <mdx n="0" f="v">
      <t c="5">
        <n x="1" s="1"/>
        <n x="2" s="1"/>
        <n x="3"/>
        <n x="149"/>
        <n x="5"/>
      </t>
    </mdx>
    <mdx n="0" f="v">
      <t c="5">
        <n x="1" s="1"/>
        <n x="2" s="1"/>
        <n x="3"/>
        <n x="150"/>
        <n x="5"/>
      </t>
    </mdx>
    <mdx n="0" f="v">
      <t c="5">
        <n x="1" s="1"/>
        <n x="2" s="1"/>
        <n x="3"/>
        <n x="151"/>
        <n x="5"/>
      </t>
    </mdx>
    <mdx n="0" f="v">
      <t c="5">
        <n x="1" s="1"/>
        <n x="2" s="1"/>
        <n x="3"/>
        <n x="152"/>
        <n x="5"/>
      </t>
    </mdx>
    <mdx n="0" f="v">
      <t c="5">
        <n x="1" s="1"/>
        <n x="2" s="1"/>
        <n x="3"/>
        <n x="153"/>
        <n x="5"/>
      </t>
    </mdx>
    <mdx n="0" f="v">
      <t c="5">
        <n x="1" s="1"/>
        <n x="2" s="1"/>
        <n x="3"/>
        <n x="154"/>
        <n x="5"/>
      </t>
    </mdx>
    <mdx n="0" f="v">
      <t c="5">
        <n x="1" s="1"/>
        <n x="2" s="1"/>
        <n x="3"/>
        <n x="155"/>
        <n x="5"/>
      </t>
    </mdx>
    <mdx n="0" f="v">
      <t c="5">
        <n x="1" s="1"/>
        <n x="2" s="1"/>
        <n x="3"/>
        <n x="156"/>
        <n x="5"/>
      </t>
    </mdx>
    <mdx n="0" f="v">
      <t c="5">
        <n x="1" s="1"/>
        <n x="2" s="1"/>
        <n x="3"/>
        <n x="157"/>
        <n x="5"/>
      </t>
    </mdx>
    <mdx n="0" f="v">
      <t c="5">
        <n x="1" s="1"/>
        <n x="2" s="1"/>
        <n x="3"/>
        <n x="158"/>
        <n x="5"/>
      </t>
    </mdx>
    <mdx n="0" f="v">
      <t c="5">
        <n x="1" s="1"/>
        <n x="2" s="1"/>
        <n x="3"/>
        <n x="159"/>
        <n x="5"/>
      </t>
    </mdx>
    <mdx n="0" f="v">
      <t c="5">
        <n x="1" s="1"/>
        <n x="2" s="1"/>
        <n x="3"/>
        <n x="160"/>
        <n x="5"/>
      </t>
    </mdx>
    <mdx n="0" f="v">
      <t c="5">
        <n x="1" s="1"/>
        <n x="2" s="1"/>
        <n x="3"/>
        <n x="161"/>
        <n x="5"/>
      </t>
    </mdx>
    <mdx n="0" f="v">
      <t c="5">
        <n x="1" s="1"/>
        <n x="2" s="1"/>
        <n x="3"/>
        <n x="162"/>
        <n x="5"/>
      </t>
    </mdx>
    <mdx n="0" f="v">
      <t c="5">
        <n x="1" s="1"/>
        <n x="2" s="1"/>
        <n x="3"/>
        <n x="163"/>
        <n x="5"/>
      </t>
    </mdx>
    <mdx n="0" f="v">
      <t c="5">
        <n x="1" s="1"/>
        <n x="2" s="1"/>
        <n x="3"/>
        <n x="164"/>
        <n x="5"/>
      </t>
    </mdx>
    <mdx n="0" f="v">
      <t c="5">
        <n x="1" s="1"/>
        <n x="2" s="1"/>
        <n x="3"/>
        <n x="165"/>
        <n x="5"/>
      </t>
    </mdx>
    <mdx n="0" f="v">
      <t c="5">
        <n x="1" s="1"/>
        <n x="2" s="1"/>
        <n x="3"/>
        <n x="166"/>
        <n x="5"/>
      </t>
    </mdx>
    <mdx n="0" f="v">
      <t c="5">
        <n x="1" s="1"/>
        <n x="2" s="1"/>
        <n x="3"/>
        <n x="167"/>
        <n x="5"/>
      </t>
    </mdx>
    <mdx n="0" f="v">
      <t c="5">
        <n x="1" s="1"/>
        <n x="2" s="1"/>
        <n x="3"/>
        <n x="168"/>
        <n x="5"/>
      </t>
    </mdx>
    <mdx n="0" f="v">
      <t c="5">
        <n x="1" s="1"/>
        <n x="2" s="1"/>
        <n x="3"/>
        <n x="169"/>
        <n x="5"/>
      </t>
    </mdx>
    <mdx n="0" f="v">
      <t c="5">
        <n x="1" s="1"/>
        <n x="2" s="1"/>
        <n x="3"/>
        <n x="170"/>
        <n x="5"/>
      </t>
    </mdx>
    <mdx n="0" f="v">
      <t c="5">
        <n x="1" s="1"/>
        <n x="2" s="1"/>
        <n x="3"/>
        <n x="171"/>
        <n x="5"/>
      </t>
    </mdx>
    <mdx n="0" f="v">
      <t c="5">
        <n x="1" s="1"/>
        <n x="2" s="1"/>
        <n x="3"/>
        <n x="172"/>
        <n x="5"/>
      </t>
    </mdx>
    <mdx n="0" f="v">
      <t c="5">
        <n x="1" s="1"/>
        <n x="2" s="1"/>
        <n x="3"/>
        <n x="173"/>
        <n x="5"/>
      </t>
    </mdx>
    <mdx n="0" f="v">
      <t c="5">
        <n x="1" s="1"/>
        <n x="2" s="1"/>
        <n x="3"/>
        <n x="174"/>
        <n x="5"/>
      </t>
    </mdx>
    <mdx n="0" f="v">
      <t c="5">
        <n x="1" s="1"/>
        <n x="2" s="1"/>
        <n x="3"/>
        <n x="175"/>
        <n x="5"/>
      </t>
    </mdx>
    <mdx n="0" f="v">
      <t c="5">
        <n x="1" s="1"/>
        <n x="2" s="1"/>
        <n x="3"/>
        <n x="176"/>
        <n x="5"/>
      </t>
    </mdx>
    <mdx n="0" f="v">
      <t c="5">
        <n x="1" s="1"/>
        <n x="2" s="1"/>
        <n x="3"/>
        <n x="177"/>
        <n x="5"/>
      </t>
    </mdx>
    <mdx n="0" f="v">
      <t c="5">
        <n x="1" s="1"/>
        <n x="2" s="1"/>
        <n x="3"/>
        <n x="178"/>
        <n x="5"/>
      </t>
    </mdx>
    <mdx n="0" f="v">
      <t c="5">
        <n x="1" s="1"/>
        <n x="2" s="1"/>
        <n x="3"/>
        <n x="179"/>
        <n x="5"/>
      </t>
    </mdx>
    <mdx n="0" f="v">
      <t c="5">
        <n x="1" s="1"/>
        <n x="2" s="1"/>
        <n x="3"/>
        <n x="180"/>
        <n x="5"/>
      </t>
    </mdx>
    <mdx n="0" f="v">
      <t c="5">
        <n x="1" s="1"/>
        <n x="2" s="1"/>
        <n x="3"/>
        <n x="181"/>
        <n x="5"/>
      </t>
    </mdx>
    <mdx n="0" f="v">
      <t c="5">
        <n x="1" s="1"/>
        <n x="2" s="1"/>
        <n x="3"/>
        <n x="182"/>
        <n x="5"/>
      </t>
    </mdx>
    <mdx n="0" f="v">
      <t c="5">
        <n x="1" s="1"/>
        <n x="2" s="1"/>
        <n x="3"/>
        <n x="183"/>
        <n x="5"/>
      </t>
    </mdx>
    <mdx n="0" f="v">
      <t c="5">
        <n x="1" s="1"/>
        <n x="2" s="1"/>
        <n x="3"/>
        <n x="184"/>
        <n x="5"/>
      </t>
    </mdx>
    <mdx n="0" f="v">
      <t c="5">
        <n x="1" s="1"/>
        <n x="2" s="1"/>
        <n x="3"/>
        <n x="185"/>
        <n x="5"/>
      </t>
    </mdx>
    <mdx n="0" f="v">
      <t c="5">
        <n x="1" s="1"/>
        <n x="2" s="1"/>
        <n x="3"/>
        <n x="186"/>
        <n x="5"/>
      </t>
    </mdx>
    <mdx n="0" f="v">
      <t c="5">
        <n x="1" s="1"/>
        <n x="2" s="1"/>
        <n x="3"/>
        <n x="187"/>
        <n x="5"/>
      </t>
    </mdx>
    <mdx n="0" f="v">
      <t c="5">
        <n x="1" s="1"/>
        <n x="2" s="1"/>
        <n x="3"/>
        <n x="188"/>
        <n x="5"/>
      </t>
    </mdx>
    <mdx n="0" f="v">
      <t c="5">
        <n x="1" s="1"/>
        <n x="2" s="1"/>
        <n x="3"/>
        <n x="189"/>
        <n x="5"/>
      </t>
    </mdx>
    <mdx n="0" f="v">
      <t c="5">
        <n x="1" s="1"/>
        <n x="2" s="1"/>
        <n x="3"/>
        <n x="190"/>
        <n x="5"/>
      </t>
    </mdx>
    <mdx n="0" f="v">
      <t c="5">
        <n x="1" s="1"/>
        <n x="2" s="1"/>
        <n x="3"/>
        <n x="191"/>
        <n x="5"/>
      </t>
    </mdx>
    <mdx n="0" f="v">
      <t c="5">
        <n x="1" s="1"/>
        <n x="2" s="1"/>
        <n x="3"/>
        <n x="192"/>
        <n x="5"/>
      </t>
    </mdx>
    <mdx n="0" f="v">
      <t c="5">
        <n x="1" s="1"/>
        <n x="2" s="1"/>
        <n x="3"/>
        <n x="193"/>
        <n x="5"/>
      </t>
    </mdx>
    <mdx n="0" f="v">
      <t c="5">
        <n x="1" s="1"/>
        <n x="2" s="1"/>
        <n x="3"/>
        <n x="194"/>
        <n x="5"/>
      </t>
    </mdx>
    <mdx n="0" f="v">
      <t c="5">
        <n x="1" s="1"/>
        <n x="2" s="1"/>
        <n x="3"/>
        <n x="195"/>
        <n x="5"/>
      </t>
    </mdx>
    <mdx n="0" f="v">
      <t c="5">
        <n x="1" s="1"/>
        <n x="2" s="1"/>
        <n x="3"/>
        <n x="196"/>
        <n x="5"/>
      </t>
    </mdx>
    <mdx n="0" f="v">
      <t c="5">
        <n x="1" s="1"/>
        <n x="2" s="1"/>
        <n x="3"/>
        <n x="197"/>
        <n x="5"/>
      </t>
    </mdx>
    <mdx n="0" f="v">
      <t c="5">
        <n x="1" s="1"/>
        <n x="2" s="1"/>
        <n x="3"/>
        <n x="198"/>
        <n x="5"/>
      </t>
    </mdx>
    <mdx n="0" f="v">
      <t c="5">
        <n x="1" s="1"/>
        <n x="2" s="1"/>
        <n x="3"/>
        <n x="199"/>
        <n x="5"/>
      </t>
    </mdx>
    <mdx n="0" f="v">
      <t c="5">
        <n x="1" s="1"/>
        <n x="2" s="1"/>
        <n x="3"/>
        <n x="200"/>
        <n x="5"/>
      </t>
    </mdx>
    <mdx n="0" f="v">
      <t c="5">
        <n x="1" s="1"/>
        <n x="2" s="1"/>
        <n x="3"/>
        <n x="201"/>
        <n x="5"/>
      </t>
    </mdx>
    <mdx n="0" f="v">
      <t c="5">
        <n x="1" s="1"/>
        <n x="2" s="1"/>
        <n x="3"/>
        <n x="202"/>
        <n x="5"/>
      </t>
    </mdx>
    <mdx n="0" f="v">
      <t c="5">
        <n x="1" s="1"/>
        <n x="2" s="1"/>
        <n x="3"/>
        <n x="203"/>
        <n x="5"/>
      </t>
    </mdx>
    <mdx n="0" f="v">
      <t c="5">
        <n x="1" s="1"/>
        <n x="2" s="1"/>
        <n x="3"/>
        <n x="204"/>
        <n x="5"/>
      </t>
    </mdx>
    <mdx n="0" f="v">
      <t c="5">
        <n x="1" s="1"/>
        <n x="2" s="1"/>
        <n x="3"/>
        <n x="205"/>
        <n x="5"/>
      </t>
    </mdx>
    <mdx n="0" f="v">
      <t c="5">
        <n x="1" s="1"/>
        <n x="2" s="1"/>
        <n x="3"/>
        <n x="206"/>
        <n x="5"/>
      </t>
    </mdx>
    <mdx n="0" f="v">
      <t c="5">
        <n x="1" s="1"/>
        <n x="2" s="1"/>
        <n x="3"/>
        <n x="207"/>
        <n x="5"/>
      </t>
    </mdx>
    <mdx n="0" f="v">
      <t c="5">
        <n x="1" s="1"/>
        <n x="2" s="1"/>
        <n x="3"/>
        <n x="208"/>
        <n x="5"/>
      </t>
    </mdx>
    <mdx n="0" f="v">
      <t c="5">
        <n x="1" s="1"/>
        <n x="2" s="1"/>
        <n x="3"/>
        <n x="209"/>
        <n x="5"/>
      </t>
    </mdx>
    <mdx n="0" f="v">
      <t c="5">
        <n x="1" s="1"/>
        <n x="2" s="1"/>
        <n x="3"/>
        <n x="210"/>
        <n x="5"/>
      </t>
    </mdx>
    <mdx n="0" f="v">
      <t c="5">
        <n x="1" s="1"/>
        <n x="2" s="1"/>
        <n x="3"/>
        <n x="211"/>
        <n x="5"/>
      </t>
    </mdx>
    <mdx n="0" f="v">
      <t c="5">
        <n x="1" s="1"/>
        <n x="2" s="1"/>
        <n x="3"/>
        <n x="212"/>
        <n x="5"/>
      </t>
    </mdx>
    <mdx n="0" f="v">
      <t c="5">
        <n x="1" s="1"/>
        <n x="2" s="1"/>
        <n x="3"/>
        <n x="213"/>
        <n x="5"/>
      </t>
    </mdx>
    <mdx n="0" f="v">
      <t c="5">
        <n x="1" s="1"/>
        <n x="2" s="1"/>
        <n x="3"/>
        <n x="214"/>
        <n x="5"/>
      </t>
    </mdx>
    <mdx n="0" f="v">
      <t c="5">
        <n x="1" s="1"/>
        <n x="2" s="1"/>
        <n x="3"/>
        <n x="215"/>
        <n x="5"/>
      </t>
    </mdx>
    <mdx n="0" f="v">
      <t c="5">
        <n x="1" s="1"/>
        <n x="2" s="1"/>
        <n x="3"/>
        <n x="216"/>
        <n x="5"/>
      </t>
    </mdx>
    <mdx n="0" f="v">
      <t c="5">
        <n x="1" s="1"/>
        <n x="2" s="1"/>
        <n x="3"/>
        <n x="217"/>
        <n x="5"/>
      </t>
    </mdx>
    <mdx n="0" f="v">
      <t c="5">
        <n x="1" s="1"/>
        <n x="2" s="1"/>
        <n x="3"/>
        <n x="218"/>
        <n x="5"/>
      </t>
    </mdx>
    <mdx n="0" f="v">
      <t c="5">
        <n x="1" s="1"/>
        <n x="2" s="1"/>
        <n x="3"/>
        <n x="219"/>
        <n x="5"/>
      </t>
    </mdx>
    <mdx n="0" f="v">
      <t c="5">
        <n x="1" s="1"/>
        <n x="2" s="1"/>
        <n x="3"/>
        <n x="220"/>
        <n x="5"/>
      </t>
    </mdx>
    <mdx n="0" f="v">
      <t c="5">
        <n x="1" s="1"/>
        <n x="2" s="1"/>
        <n x="3"/>
        <n x="221"/>
        <n x="5"/>
      </t>
    </mdx>
    <mdx n="0" f="v">
      <t c="5">
        <n x="1" s="1"/>
        <n x="2" s="1"/>
        <n x="3"/>
        <n x="222"/>
        <n x="5"/>
      </t>
    </mdx>
    <mdx n="0" f="v">
      <t c="5">
        <n x="1" s="1"/>
        <n x="2" s="1"/>
        <n x="3"/>
        <n x="223"/>
        <n x="5"/>
      </t>
    </mdx>
    <mdx n="0" f="v">
      <t c="5">
        <n x="1" s="1"/>
        <n x="2" s="1"/>
        <n x="3"/>
        <n x="224"/>
        <n x="5"/>
      </t>
    </mdx>
    <mdx n="0" f="v">
      <t c="5">
        <n x="1" s="1"/>
        <n x="2" s="1"/>
        <n x="3"/>
        <n x="225"/>
        <n x="5"/>
      </t>
    </mdx>
    <mdx n="0" f="v">
      <t c="5">
        <n x="1" s="1"/>
        <n x="2" s="1"/>
        <n x="3"/>
        <n x="226"/>
        <n x="5"/>
      </t>
    </mdx>
    <mdx n="0" f="v">
      <t c="5">
        <n x="1" s="1"/>
        <n x="2" s="1"/>
        <n x="3"/>
        <n x="227"/>
        <n x="5"/>
      </t>
    </mdx>
    <mdx n="0" f="v">
      <t c="5">
        <n x="1" s="1"/>
        <n x="2" s="1"/>
        <n x="3"/>
        <n x="228"/>
        <n x="5"/>
      </t>
    </mdx>
    <mdx n="0" f="v">
      <t c="5">
        <n x="1" s="1"/>
        <n x="2" s="1"/>
        <n x="3"/>
        <n x="229"/>
        <n x="5"/>
      </t>
    </mdx>
    <mdx n="0" f="v">
      <t c="5">
        <n x="1" s="1"/>
        <n x="2" s="1"/>
        <n x="3"/>
        <n x="230"/>
        <n x="5"/>
      </t>
    </mdx>
    <mdx n="0" f="v">
      <t c="5">
        <n x="1" s="1"/>
        <n x="2" s="1"/>
        <n x="3"/>
        <n x="231"/>
        <n x="5"/>
      </t>
    </mdx>
    <mdx n="0" f="v">
      <t c="5">
        <n x="1" s="1"/>
        <n x="2" s="1"/>
        <n x="3"/>
        <n x="232"/>
        <n x="5"/>
      </t>
    </mdx>
    <mdx n="0" f="v">
      <t c="5">
        <n x="1" s="1"/>
        <n x="2" s="1"/>
        <n x="3"/>
        <n x="233"/>
        <n x="5"/>
      </t>
    </mdx>
    <mdx n="0" f="v">
      <t c="5">
        <n x="1" s="1"/>
        <n x="2" s="1"/>
        <n x="3"/>
        <n x="234"/>
        <n x="5"/>
      </t>
    </mdx>
    <mdx n="0" f="v">
      <t c="5">
        <n x="1" s="1"/>
        <n x="2" s="1"/>
        <n x="3"/>
        <n x="235"/>
        <n x="5"/>
      </t>
    </mdx>
    <mdx n="0" f="v">
      <t c="5">
        <n x="1" s="1"/>
        <n x="2" s="1"/>
        <n x="3"/>
        <n x="236"/>
        <n x="5"/>
      </t>
    </mdx>
    <mdx n="0" f="v">
      <t c="5">
        <n x="1" s="1"/>
        <n x="2" s="1"/>
        <n x="3"/>
        <n x="237"/>
        <n x="5"/>
      </t>
    </mdx>
    <mdx n="0" f="v">
      <t c="5">
        <n x="1" s="1"/>
        <n x="2" s="1"/>
        <n x="3"/>
        <n x="238"/>
        <n x="5"/>
      </t>
    </mdx>
    <mdx n="0" f="v">
      <t c="5">
        <n x="1" s="1"/>
        <n x="2" s="1"/>
        <n x="3"/>
        <n x="239"/>
        <n x="5"/>
      </t>
    </mdx>
    <mdx n="0" f="v">
      <t c="5">
        <n x="1" s="1"/>
        <n x="2" s="1"/>
        <n x="3"/>
        <n x="240"/>
        <n x="5"/>
      </t>
    </mdx>
    <mdx n="0" f="v">
      <t c="5">
        <n x="1" s="1"/>
        <n x="2" s="1"/>
        <n x="3"/>
        <n x="241"/>
        <n x="5"/>
      </t>
    </mdx>
    <mdx n="0" f="v">
      <t c="5">
        <n x="1" s="1"/>
        <n x="2" s="1"/>
        <n x="3"/>
        <n x="242"/>
        <n x="5"/>
      </t>
    </mdx>
    <mdx n="0" f="v">
      <t c="5">
        <n x="1" s="1"/>
        <n x="2" s="1"/>
        <n x="3"/>
        <n x="243"/>
        <n x="5"/>
      </t>
    </mdx>
    <mdx n="0" f="v">
      <t c="5">
        <n x="1" s="1"/>
        <n x="2" s="1"/>
        <n x="3"/>
        <n x="244"/>
        <n x="5"/>
      </t>
    </mdx>
    <mdx n="0" f="v">
      <t c="5">
        <n x="1" s="1"/>
        <n x="2" s="1"/>
        <n x="3"/>
        <n x="245"/>
        <n x="5"/>
      </t>
    </mdx>
    <mdx n="0" f="v">
      <t c="5">
        <n x="1" s="1"/>
        <n x="2" s="1"/>
        <n x="3"/>
        <n x="246"/>
        <n x="5"/>
      </t>
    </mdx>
    <mdx n="0" f="v">
      <t c="5">
        <n x="1" s="1"/>
        <n x="2" s="1"/>
        <n x="3"/>
        <n x="247"/>
        <n x="5"/>
      </t>
    </mdx>
    <mdx n="0" f="v">
      <t c="5">
        <n x="1" s="1"/>
        <n x="2" s="1"/>
        <n x="3"/>
        <n x="248"/>
        <n x="5"/>
      </t>
    </mdx>
    <mdx n="0" f="v">
      <t c="5">
        <n x="1" s="1"/>
        <n x="2" s="1"/>
        <n x="3"/>
        <n x="249"/>
        <n x="5"/>
      </t>
    </mdx>
    <mdx n="0" f="v">
      <t c="5">
        <n x="1" s="1"/>
        <n x="2" s="1"/>
        <n x="3"/>
        <n x="250"/>
        <n x="5"/>
      </t>
    </mdx>
    <mdx n="0" f="v">
      <t c="5">
        <n x="1" s="1"/>
        <n x="2" s="1"/>
        <n x="3"/>
        <n x="251"/>
        <n x="5"/>
      </t>
    </mdx>
    <mdx n="0" f="v">
      <t c="5">
        <n x="1" s="1"/>
        <n x="2" s="1"/>
        <n x="3"/>
        <n x="252"/>
        <n x="5"/>
      </t>
    </mdx>
    <mdx n="0" f="v">
      <t c="5">
        <n x="1" s="1"/>
        <n x="2" s="1"/>
        <n x="3"/>
        <n x="253"/>
        <n x="5"/>
      </t>
    </mdx>
  </mdxMetadata>
  <valueMetadata count="2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valueMetadata>
</metadata>
</file>

<file path=xl/sharedStrings.xml><?xml version="1.0" encoding="utf-8"?>
<sst xmlns="http://schemas.openxmlformats.org/spreadsheetml/2006/main" count="10537" uniqueCount="2605">
  <si>
    <t>Publikation 2007</t>
  </si>
  <si>
    <t>Beilage B2</t>
  </si>
  <si>
    <t xml:space="preserve">Beilage B1: </t>
  </si>
  <si>
    <t>laufende Aufdatierung</t>
  </si>
  <si>
    <t>(0 - 100%)</t>
  </si>
  <si>
    <t>Gesamtgeschäft der vom BAG anerkannten Krankenversicherer</t>
  </si>
  <si>
    <t>Teil 10</t>
  </si>
  <si>
    <t>In der XLS Version sind die Daten</t>
  </si>
  <si>
    <t>meistens ab 1996 verfügbar</t>
  </si>
  <si>
    <t>Publikation 2008</t>
  </si>
  <si>
    <t>1.10</t>
  </si>
  <si>
    <t>9.16</t>
  </si>
  <si>
    <t>4.09</t>
  </si>
  <si>
    <t>Risikoausgleich in der OKP</t>
  </si>
  <si>
    <t>H 04 A</t>
  </si>
  <si>
    <t>G 04 B</t>
  </si>
  <si>
    <t>H 04 B</t>
  </si>
  <si>
    <t>G 05</t>
  </si>
  <si>
    <t>H 05</t>
  </si>
  <si>
    <t>G 07</t>
  </si>
  <si>
    <t>G 08</t>
  </si>
  <si>
    <t>H 08</t>
  </si>
  <si>
    <t>9.10</t>
  </si>
  <si>
    <t>G 09</t>
  </si>
  <si>
    <t>H 09</t>
  </si>
  <si>
    <t>G 01 A</t>
  </si>
  <si>
    <t>G 03 A</t>
  </si>
  <si>
    <r>
      <t xml:space="preserve">Teil  Tabellen </t>
    </r>
    <r>
      <rPr>
        <b/>
        <sz val="14"/>
        <rFont val="55 Helvetica Roman"/>
      </rPr>
      <t>(XLS)</t>
    </r>
  </si>
  <si>
    <t>G 06 + G 07</t>
  </si>
  <si>
    <t>-</t>
  </si>
  <si>
    <t>1.50</t>
  </si>
  <si>
    <t>10.01</t>
  </si>
  <si>
    <t>10.02</t>
  </si>
  <si>
    <t>10.03</t>
  </si>
  <si>
    <t>Beilage B1</t>
  </si>
  <si>
    <t>Teil 11</t>
  </si>
  <si>
    <t>Versicherte in der OKP</t>
  </si>
  <si>
    <t>Publikation 2005</t>
  </si>
  <si>
    <t>4.10</t>
  </si>
  <si>
    <t>2.20</t>
  </si>
  <si>
    <t>8.10</t>
  </si>
  <si>
    <t>8.11</t>
  </si>
  <si>
    <t>11.10</t>
  </si>
  <si>
    <t>9.22</t>
  </si>
  <si>
    <t>G 10</t>
  </si>
  <si>
    <t>G 11</t>
  </si>
  <si>
    <t>G 12</t>
  </si>
  <si>
    <t>2.10</t>
  </si>
  <si>
    <t xml:space="preserve">* : Teil Tabellen </t>
  </si>
  <si>
    <t xml:space="preserve">Publikation 2000 </t>
  </si>
  <si>
    <t>F 02 -&gt; F 05</t>
  </si>
  <si>
    <t>F 01 -&gt; F 03</t>
  </si>
  <si>
    <t>3.11</t>
  </si>
  <si>
    <t>3.12</t>
  </si>
  <si>
    <t>3.13</t>
  </si>
  <si>
    <t>5.01 -&gt; 5.03</t>
  </si>
  <si>
    <t>5.00</t>
  </si>
  <si>
    <t>H 06 + H 07</t>
  </si>
  <si>
    <t>C 02 A</t>
  </si>
  <si>
    <t>C 02 B</t>
  </si>
  <si>
    <t>C 03</t>
  </si>
  <si>
    <t>C 04</t>
  </si>
  <si>
    <t>C 05</t>
  </si>
  <si>
    <t>D 01 A</t>
  </si>
  <si>
    <t>D 01 B</t>
  </si>
  <si>
    <t>D 02</t>
  </si>
  <si>
    <t>D 03</t>
  </si>
  <si>
    <t>D 04</t>
  </si>
  <si>
    <t>E 01 A</t>
  </si>
  <si>
    <t>E 01 B</t>
  </si>
  <si>
    <t xml:space="preserve">E 01 </t>
  </si>
  <si>
    <t>E 02</t>
  </si>
  <si>
    <t>9.21</t>
  </si>
  <si>
    <t>Verfügbar am:</t>
  </si>
  <si>
    <t>Vom Bund anerkannte Versicherungsträger</t>
  </si>
  <si>
    <t xml:space="preserve">Tabellen </t>
  </si>
  <si>
    <t>Teil 1</t>
  </si>
  <si>
    <t>Teil 2</t>
  </si>
  <si>
    <t>Leistungen und Kostenbeteiligung in der OKP</t>
  </si>
  <si>
    <t>Teil 3</t>
  </si>
  <si>
    <t>Teil 4</t>
  </si>
  <si>
    <t>Prämienverbilligung in der OKP</t>
  </si>
  <si>
    <t>Teil 5</t>
  </si>
  <si>
    <t>Aufsichtsdaten OKP</t>
  </si>
  <si>
    <t>Teil 6</t>
  </si>
  <si>
    <t>601-606</t>
  </si>
  <si>
    <t>Freiwillige Taggeldversicherung KVG</t>
  </si>
  <si>
    <t>Teil 7</t>
  </si>
  <si>
    <t>Teil 8</t>
  </si>
  <si>
    <t>Teil 9</t>
  </si>
  <si>
    <t>Zusatzinformationen zum Gesundheitswesen</t>
  </si>
  <si>
    <t>Zusatzversicherungen VVG der vom BAG anerkannten Krankenversicherer</t>
  </si>
  <si>
    <t>Beilage B</t>
  </si>
  <si>
    <t>3.10</t>
  </si>
  <si>
    <t>Finanzen und obligatorische Krankenpflegeversicherung (OKP)</t>
  </si>
  <si>
    <t>E 03</t>
  </si>
  <si>
    <t>E 04</t>
  </si>
  <si>
    <t>E 05</t>
  </si>
  <si>
    <t>E 06</t>
  </si>
  <si>
    <t>E 07</t>
  </si>
  <si>
    <t>E 08</t>
  </si>
  <si>
    <t>E 09</t>
  </si>
  <si>
    <t>E 10</t>
  </si>
  <si>
    <t>E 11</t>
  </si>
  <si>
    <t>F 01</t>
  </si>
  <si>
    <t>F 02</t>
  </si>
  <si>
    <t>F 03</t>
  </si>
  <si>
    <t>F 04</t>
  </si>
  <si>
    <t>G 01</t>
  </si>
  <si>
    <t>H 01</t>
  </si>
  <si>
    <t>G 02 A</t>
  </si>
  <si>
    <t>H 02 A</t>
  </si>
  <si>
    <t>G 02 B</t>
  </si>
  <si>
    <t>H 02 B</t>
  </si>
  <si>
    <t>G 03</t>
  </si>
  <si>
    <t>H 03</t>
  </si>
  <si>
    <t>G 04 A</t>
  </si>
  <si>
    <r>
      <t xml:space="preserve">Korrigierte Tabellen :      </t>
    </r>
    <r>
      <rPr>
        <sz val="11"/>
        <color indexed="10"/>
        <rFont val="55 Helvetica Roman"/>
      </rPr>
      <t>(Korrekturen in roter Farbe)</t>
    </r>
    <r>
      <rPr>
        <sz val="11"/>
        <rFont val="55 Helvetica Roman"/>
      </rPr>
      <t xml:space="preserve">  </t>
    </r>
    <r>
      <rPr>
        <b/>
        <sz val="11"/>
        <rFont val="55 Helvetica Roman"/>
      </rPr>
      <t xml:space="preserve">   </t>
    </r>
    <r>
      <rPr>
        <b/>
        <sz val="11"/>
        <color indexed="9"/>
        <rFont val="55 Helvetica Roman"/>
      </rPr>
      <t xml:space="preserve">     (gegenüber PDF Version und der gedruckten Version) :</t>
    </r>
  </si>
  <si>
    <t>9.20</t>
  </si>
  <si>
    <t>Publikation 1996</t>
  </si>
  <si>
    <t>Publikation 1997</t>
  </si>
  <si>
    <t>Publikation 1998</t>
  </si>
  <si>
    <t>Publikation 1999</t>
  </si>
  <si>
    <t>Publikation 2001</t>
  </si>
  <si>
    <t>Publikation 2002</t>
  </si>
  <si>
    <t>Publikation 2003</t>
  </si>
  <si>
    <t>Publikation 2004</t>
  </si>
  <si>
    <t>A 01</t>
  </si>
  <si>
    <t>A 02 A</t>
  </si>
  <si>
    <t>A 02 B</t>
  </si>
  <si>
    <t>A 03 A</t>
  </si>
  <si>
    <t>A 03 B</t>
  </si>
  <si>
    <t>A 04 A</t>
  </si>
  <si>
    <t>A 04 B</t>
  </si>
  <si>
    <t>A 05 A</t>
  </si>
  <si>
    <t>A 05 B</t>
  </si>
  <si>
    <t>A 06</t>
  </si>
  <si>
    <t>A 07</t>
  </si>
  <si>
    <t>A 08 A</t>
  </si>
  <si>
    <t>A 08 B</t>
  </si>
  <si>
    <t>A 09 A</t>
  </si>
  <si>
    <t>A 09 B</t>
  </si>
  <si>
    <t>A 10</t>
  </si>
  <si>
    <t>A 11</t>
  </si>
  <si>
    <t>A 12 A</t>
  </si>
  <si>
    <t>A 12 B</t>
  </si>
  <si>
    <t>A 13 B</t>
  </si>
  <si>
    <t>A 13 A</t>
  </si>
  <si>
    <t>B 01</t>
  </si>
  <si>
    <t>B 02</t>
  </si>
  <si>
    <t>B 03 A</t>
  </si>
  <si>
    <t>B 03 B</t>
  </si>
  <si>
    <t>B 04 A</t>
  </si>
  <si>
    <t>B 04 B</t>
  </si>
  <si>
    <t>B 05 A</t>
  </si>
  <si>
    <t>B 05 B</t>
  </si>
  <si>
    <t>B 06 A</t>
  </si>
  <si>
    <t>B 06 B</t>
  </si>
  <si>
    <t>B 07 A</t>
  </si>
  <si>
    <t>B 07 B</t>
  </si>
  <si>
    <t>B 08 A</t>
  </si>
  <si>
    <t>B 08 B</t>
  </si>
  <si>
    <t>B 09 A</t>
  </si>
  <si>
    <t>B 09 B</t>
  </si>
  <si>
    <t>B 10 A</t>
  </si>
  <si>
    <t>B 10 B</t>
  </si>
  <si>
    <t>B 11 A</t>
  </si>
  <si>
    <t>B 11 B</t>
  </si>
  <si>
    <t>B 12 A</t>
  </si>
  <si>
    <t>B 12 B</t>
  </si>
  <si>
    <t>B 13 A</t>
  </si>
  <si>
    <t>B 13 B</t>
  </si>
  <si>
    <t>B 14</t>
  </si>
  <si>
    <t>B 15</t>
  </si>
  <si>
    <t>B 16</t>
  </si>
  <si>
    <t>B 17</t>
  </si>
  <si>
    <t>B 18</t>
  </si>
  <si>
    <t>C 01 A</t>
  </si>
  <si>
    <t>C 01 B</t>
  </si>
  <si>
    <t>Publikation 2006</t>
  </si>
  <si>
    <t>Sektion Statistik und Mathematik</t>
  </si>
  <si>
    <t>G 03 B</t>
  </si>
  <si>
    <t>G 04</t>
  </si>
  <si>
    <t>G 06</t>
  </si>
  <si>
    <t>Beilagen F1-&gt;F3</t>
  </si>
  <si>
    <t>Entwicklung der Franchisen, Prämienrabatte und Selbstbehalte und Zunahme der Gesamtausgaben ab 1996</t>
  </si>
  <si>
    <t>Auszugsweiser Abdruck unter Quellenangabe (Name der Publikation, Jahr, Nummer der Tabelle) gestattet.</t>
  </si>
  <si>
    <t>Publikation 2009</t>
  </si>
  <si>
    <t>101-113</t>
  </si>
  <si>
    <t>1001-1005</t>
  </si>
  <si>
    <t>Beilage A</t>
  </si>
  <si>
    <t xml:space="preserve">Überblick über die statistischen Tabellen in der KV-Statistik             </t>
  </si>
  <si>
    <t>Beilage J</t>
  </si>
  <si>
    <t>201-226</t>
  </si>
  <si>
    <t>Publikation 2010</t>
  </si>
  <si>
    <t>301-308</t>
  </si>
  <si>
    <t>Teil 12</t>
  </si>
  <si>
    <t>1201-1207</t>
  </si>
  <si>
    <t>Prämiensoll in der OKP</t>
  </si>
  <si>
    <t>Übergangsschlüssel Tabellen  2011 -&gt; 1996</t>
  </si>
  <si>
    <t>1101-1118</t>
  </si>
  <si>
    <t>1: Finanzen und obligatorische Krankenpflegeversicherung (OKP)</t>
  </si>
  <si>
    <t xml:space="preserve">Betriebsrechnung der obligatorischen Krankenpflegeversicherung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</si>
  <si>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</si>
  <si>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</si>
  <si>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</si>
  <si>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</si>
  <si>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Betriebsrechnung der obligatorischen Krankenpflegeversicherung Personen mit Wohnsitz in einem EG-Staat</t>
  </si>
  <si>
    <t>Prämientarif in der OKP</t>
  </si>
  <si>
    <t>Bundesamt für Gesundheit</t>
  </si>
  <si>
    <t>401-411</t>
  </si>
  <si>
    <t>901-915</t>
  </si>
  <si>
    <t>Publikation 2011</t>
  </si>
  <si>
    <t>(Zeilen 1996 -&gt; 2001 meistens versteckt)</t>
  </si>
  <si>
    <t xml:space="preserve">Übergangsschlüssel Tabellen 2011 -&gt; 2012 / 2012 -&gt; 2011           </t>
  </si>
  <si>
    <t>Übergangsschlüssel Tabellen  2012 -&gt; 1996</t>
  </si>
  <si>
    <t>Schätzungen aus dem Prämiengenehmigungsverfahren: Eckwerte 2004-2014</t>
  </si>
  <si>
    <t>Obligatorische Krankenpflegeversicherung ab 2002 : wichtigste Indikatoren</t>
  </si>
  <si>
    <t>Gesamtbetriebsergebnis nach Versicherungsform ab 2002</t>
  </si>
  <si>
    <t>Gesamtbetriebsergebnis je versicherte Person nach Versicherungsform ab 2002</t>
  </si>
  <si>
    <t>Verwaltungsaufwand / Abschreibungen nach Versicherungsform ab 2002</t>
  </si>
  <si>
    <t xml:space="preserve">Verwaltungsaufwand / Abschreibungen je versicherte Person nach Versicherungsform ab 2002 </t>
  </si>
  <si>
    <t>Stand der Reserven per 31.12. ab 2002</t>
  </si>
  <si>
    <t xml:space="preserve">Stand der Rückstellungen per 31.12. für unerledigte Versicherungsfälle ab 2002 </t>
  </si>
  <si>
    <t>T 1.08 Gesamtbetriebsergebnis in Mio. Franken nach Versicherungsform ab 2002</t>
  </si>
  <si>
    <t xml:space="preserve">Jahr </t>
  </si>
  <si>
    <t>Ordentliche</t>
  </si>
  <si>
    <t>Wählbare</t>
  </si>
  <si>
    <t>BONUS-</t>
  </si>
  <si>
    <t>Einge-</t>
  </si>
  <si>
    <t>Total</t>
  </si>
  <si>
    <t xml:space="preserve">  Jahres-</t>
  </si>
  <si>
    <t xml:space="preserve"> Jahres-</t>
  </si>
  <si>
    <t>Versicherung</t>
  </si>
  <si>
    <t>schränkte</t>
  </si>
  <si>
    <t>franchise</t>
  </si>
  <si>
    <t>franchisen</t>
  </si>
  <si>
    <t>Wahl</t>
  </si>
  <si>
    <t xml:space="preserve"> (z.B. HMO)</t>
  </si>
  <si>
    <r>
      <t xml:space="preserve">Quelle: 2012 -&gt; : EF5.2.999 -&gt; EF5.7.999  via ISAK (FIN)  </t>
    </r>
    <r>
      <rPr>
        <i/>
        <sz val="10"/>
        <rFont val="Arial"/>
        <family val="2"/>
      </rPr>
      <t>(-&gt; 2011 : T 1.03, 1.04, 1.05, 1.06)</t>
    </r>
  </si>
  <si>
    <t>T 1.09  Gesamtbetriebsergebnis in Franken je versicherte Person nach Versicherungsform ab 2002</t>
  </si>
  <si>
    <t>Jahr</t>
  </si>
  <si>
    <t>Alle</t>
  </si>
  <si>
    <t>Versicherungs-</t>
  </si>
  <si>
    <t xml:space="preserve"> Wahl</t>
  </si>
  <si>
    <t>formen</t>
  </si>
  <si>
    <t>Quelle: T 1.08 / T 11.05</t>
  </si>
  <si>
    <t>T 1.10 Verwaltungsaufwand / Abschreibungen in Mio. Franken nach Versicherungsform ab 2002</t>
  </si>
  <si>
    <t>In % des</t>
  </si>
  <si>
    <t>Versiche-</t>
  </si>
  <si>
    <t>und Betriebsauf-</t>
  </si>
  <si>
    <t>rung</t>
  </si>
  <si>
    <t>wand</t>
  </si>
  <si>
    <t>wands</t>
  </si>
  <si>
    <r>
      <t>Quelle: 2012 -&gt; : EF5.2 -&gt; 5.7 500+501+510+516+517+519 und 993 via ISAK (FIN)</t>
    </r>
    <r>
      <rPr>
        <i/>
        <sz val="10"/>
        <rFont val="Arial"/>
        <family val="2"/>
      </rPr>
      <t xml:space="preserve"> ( -&gt; 2011 : T 1.03, 1.04, 1.05, 1.06 [40-47+48] und 1.02 [3/4] )</t>
    </r>
  </si>
  <si>
    <t>T 1.11 Verwaltungsaufwand / Abschreibungen in Franken je versicherte Person nach Versicherungsform ab 2002</t>
  </si>
  <si>
    <t>Veränderung</t>
  </si>
  <si>
    <t>gegenüber</t>
  </si>
  <si>
    <t>Vorjahr</t>
  </si>
  <si>
    <t>Quelle: T 1.10 / T 11.05</t>
  </si>
  <si>
    <r>
      <t xml:space="preserve">T 1.07  Betriebsrechnung der obligatorischen Krankenpflegeversicherung von Personen mit Wohnsitz in einem EG-Staat, in Island oder in Norwegen, inklusive GrenzgängerInnen </t>
    </r>
    <r>
      <rPr>
        <b/>
        <vertAlign val="superscript"/>
        <sz val="12"/>
        <rFont val="Arial"/>
        <family val="2"/>
      </rPr>
      <t>1</t>
    </r>
  </si>
  <si>
    <t>Kontengruppe</t>
  </si>
  <si>
    <t>in Fr.</t>
  </si>
  <si>
    <t xml:space="preserve">Prämien </t>
  </si>
  <si>
    <t xml:space="preserve">Erlösminderungen für Prämien                       </t>
  </si>
  <si>
    <t>(-)</t>
  </si>
  <si>
    <t xml:space="preserve">Prämienanteile der Rückversicherer             </t>
  </si>
  <si>
    <t>Prämienverbilligung/sonstige Beiträge</t>
  </si>
  <si>
    <t>Angerechnete u. ausbez. Beitr. a.d.Vers.</t>
  </si>
  <si>
    <t>Verdiente Prämien f. eig. Rechnung</t>
  </si>
  <si>
    <t xml:space="preserve">Leistungen </t>
  </si>
  <si>
    <t>Kostenbeteiligung der Versicherten</t>
  </si>
  <si>
    <t>Weitere Leistungen</t>
  </si>
  <si>
    <t>Veränd.vers.tech. Rst. für eig. Rechnung</t>
  </si>
  <si>
    <t xml:space="preserve">Leistungsanteile der Rückversicherer             </t>
  </si>
  <si>
    <t>Risikoausgleich</t>
  </si>
  <si>
    <t>Schaden- u. Leistungsaufwand f. eig. Rechnung</t>
  </si>
  <si>
    <t>Bruttoergebnis</t>
  </si>
  <si>
    <t xml:space="preserve">Personalaufwand </t>
  </si>
  <si>
    <t>Provisionen ans eig. Personal</t>
  </si>
  <si>
    <t>Diverser Betriebsaufwand</t>
  </si>
  <si>
    <t>Werbeaufwand</t>
  </si>
  <si>
    <t xml:space="preserve">Provisionen  </t>
  </si>
  <si>
    <t xml:space="preserve">Abschreibungen </t>
  </si>
  <si>
    <t>Betriebsaufwand für eig. Rechnung</t>
  </si>
  <si>
    <t>Versicherungs- und Betriebsaufwand</t>
  </si>
  <si>
    <t>Versicherungstechnisches Ergebnis</t>
  </si>
  <si>
    <t>Übriger betrieblicher Ertrag</t>
  </si>
  <si>
    <t>Übriger betrieblicher Aufwand</t>
  </si>
  <si>
    <t>Erfolg aus Kapitalanlagen</t>
  </si>
  <si>
    <t>Betriebsfremder und ausserordentlicher Ertrag</t>
  </si>
  <si>
    <t>Betriebsfremder und ausserordentlicher Aufwand</t>
  </si>
  <si>
    <t>Steuern</t>
  </si>
  <si>
    <t>Nicht Versicherungstechnisches Ergebnis</t>
  </si>
  <si>
    <t>Ergebnis</t>
  </si>
  <si>
    <r>
      <t xml:space="preserve">Nur GrenzgängerInnen </t>
    </r>
    <r>
      <rPr>
        <b/>
        <vertAlign val="superscript"/>
        <sz val="12"/>
        <rFont val="Arial"/>
        <family val="2"/>
      </rPr>
      <t>2</t>
    </r>
  </si>
  <si>
    <t>1.12E (-)</t>
  </si>
  <si>
    <t xml:space="preserve">Bruttoleistungen </t>
  </si>
  <si>
    <t>Bezahlte Leistungen</t>
  </si>
  <si>
    <t>2) GrenzgängerInnen, sowie ihre nichterwerbstätigen Familienangehörigen (Versicherte gemäss Art. 3 KVV).</t>
  </si>
  <si>
    <r>
      <t xml:space="preserve">Quelle:  2012 -&gt; : EF5.10 via ISAK (FIN) und EF1.12E </t>
    </r>
    <r>
      <rPr>
        <i/>
        <sz val="10"/>
        <rFont val="Arial"/>
        <family val="2"/>
      </rPr>
      <t>( -&gt; 2011 EF2.12 und EF1.12E )</t>
    </r>
  </si>
  <si>
    <r>
      <t xml:space="preserve">T 1.06  Betriebsrechnung der Versicherungen </t>
    </r>
    <r>
      <rPr>
        <b/>
        <vertAlign val="superscript"/>
        <sz val="12"/>
        <rFont val="Arial"/>
        <family val="2"/>
      </rPr>
      <t>1</t>
    </r>
    <r>
      <rPr>
        <b/>
        <sz val="12"/>
        <rFont val="Arial"/>
        <family val="2"/>
      </rPr>
      <t xml:space="preserve">  mit eingeschränkter Wahl des Leistungserbringers </t>
    </r>
  </si>
  <si>
    <t>3014-15-16</t>
  </si>
  <si>
    <t>4014-15-16</t>
  </si>
  <si>
    <t>4204-05-06</t>
  </si>
  <si>
    <t>4214-15-16</t>
  </si>
  <si>
    <t>Betriebsaufwand</t>
  </si>
  <si>
    <t>1) Vgl. Fussnote 2) von Tabelle 11.02.</t>
  </si>
  <si>
    <r>
      <t xml:space="preserve">Quelle:  2012 -&gt; : Summe EF5.5 -&gt; EF5.7 via ISAK (FIN) </t>
    </r>
    <r>
      <rPr>
        <i/>
        <sz val="10"/>
        <rFont val="Arial"/>
        <family val="2"/>
      </rPr>
      <t>( -&gt; 2011 Summe EF2.5 -&gt; EF2.7 )</t>
    </r>
  </si>
  <si>
    <r>
      <t xml:space="preserve">T 1.05  Betriebsrechnung der BONUS-Versicherung </t>
    </r>
    <r>
      <rPr>
        <b/>
        <vertAlign val="superscript"/>
        <sz val="12"/>
        <rFont val="Arial"/>
        <family val="2"/>
      </rPr>
      <t>1</t>
    </r>
  </si>
  <si>
    <r>
      <t xml:space="preserve">Quelle:  2012 -&gt; : EF5.4 via ISAK (FIN) </t>
    </r>
    <r>
      <rPr>
        <i/>
        <sz val="10"/>
        <rFont val="Arial"/>
        <family val="2"/>
      </rPr>
      <t>( -&gt; 2011 EF2.4 )</t>
    </r>
  </si>
  <si>
    <r>
      <t xml:space="preserve">T 1.04  Betriebsrechnung der Versicherungen </t>
    </r>
    <r>
      <rPr>
        <b/>
        <vertAlign val="superscript"/>
        <sz val="12"/>
        <rFont val="Arial"/>
        <family val="2"/>
      </rPr>
      <t>1</t>
    </r>
    <r>
      <rPr>
        <b/>
        <sz val="12"/>
        <rFont val="Arial"/>
        <family val="2"/>
      </rPr>
      <t xml:space="preserve">  mit wählbarer Franchise </t>
    </r>
  </si>
  <si>
    <r>
      <t xml:space="preserve">Quelle:  2012 -&gt; : Summe EF5.3 via ISAK (FIN) </t>
    </r>
    <r>
      <rPr>
        <i/>
        <sz val="10"/>
        <rFont val="Arial"/>
        <family val="2"/>
      </rPr>
      <t>( -&gt; 2011 EF2.3 )</t>
    </r>
  </si>
  <si>
    <r>
      <t xml:space="preserve">T 1.03  Betriebsrechnung der Versicherung </t>
    </r>
    <r>
      <rPr>
        <b/>
        <vertAlign val="superscript"/>
        <sz val="12"/>
        <rFont val="Arial"/>
        <family val="2"/>
      </rPr>
      <t>1</t>
    </r>
    <r>
      <rPr>
        <b/>
        <sz val="12"/>
        <rFont val="Arial"/>
        <family val="2"/>
      </rPr>
      <t xml:space="preserve">  mit ordentlicher Franchise </t>
    </r>
  </si>
  <si>
    <r>
      <t xml:space="preserve">Quelle:  2012 -&gt; : EF5.2 via ISAK (FIN) </t>
    </r>
    <r>
      <rPr>
        <i/>
        <sz val="10"/>
        <rFont val="Arial"/>
        <family val="2"/>
      </rPr>
      <t>( -&gt; 2011 EF2.2 )</t>
    </r>
  </si>
  <si>
    <r>
      <t xml:space="preserve">T 1.02  Betriebsrechnung der obligatorischen Krankenpflegeversicherung insgesamt </t>
    </r>
    <r>
      <rPr>
        <b/>
        <vertAlign val="superscript"/>
        <sz val="12"/>
        <rFont val="Arial"/>
        <family val="2"/>
      </rPr>
      <t>1</t>
    </r>
  </si>
  <si>
    <t>3010-12-13-14-15-16</t>
  </si>
  <si>
    <t>4010-12-13-14-15-16</t>
  </si>
  <si>
    <t>4200-02-03-04-05-06</t>
  </si>
  <si>
    <t>4210-12-13-14-15-16</t>
  </si>
  <si>
    <r>
      <t xml:space="preserve">Quelle:  2012 -&gt; : Summe EF5.2 -&gt; EF5.7 via ISAK (FIN) </t>
    </r>
    <r>
      <rPr>
        <i/>
        <sz val="10"/>
        <rFont val="Arial"/>
        <family val="2"/>
      </rPr>
      <t>( -&gt; 2011 Summe EF2.2 -&gt; EF2.7 )</t>
    </r>
  </si>
  <si>
    <t>T 1.01 Obligatorische Krankenpflegeversicherung ab 2002: wichtigste Indikatoren</t>
  </si>
  <si>
    <t>Merkmale</t>
  </si>
  <si>
    <t>Veränderung 2011 - 2012 in %</t>
  </si>
  <si>
    <t>Jahresdurch-schnittliche Veränderung 2002 - 2012 in %</t>
  </si>
  <si>
    <t>– Anzahl Versicherer OKP</t>
  </si>
  <si>
    <t>– Durchschnittlicher Versichertenbestand in 1'000</t>
  </si>
  <si>
    <t>3A</t>
  </si>
  <si>
    <t>– Anzahl Erkrankte in 1'000</t>
  </si>
  <si>
    <t>3B</t>
  </si>
  <si>
    <t>– Anzahl Erkrankte je 100 Versicherte</t>
  </si>
  <si>
    <t>– Anzahl Spitaleinweisungen in 1'000</t>
  </si>
  <si>
    <t>– Anzahl Spitaltage in 1'000</t>
  </si>
  <si>
    <t>6B</t>
  </si>
  <si>
    <t>– Prämiensoll pro Versicherten in Fr.</t>
  </si>
  <si>
    <t>7B</t>
  </si>
  <si>
    <r>
      <t xml:space="preserve">– Bruttoleistungen </t>
    </r>
    <r>
      <rPr>
        <vertAlign val="superscript"/>
        <sz val="11"/>
        <rFont val="Arial"/>
        <family val="2"/>
      </rPr>
      <t>1</t>
    </r>
    <r>
      <rPr>
        <sz val="11"/>
        <rFont val="Arial"/>
        <family val="2"/>
      </rPr>
      <t xml:space="preserve"> pro Versicherten in Fr.</t>
    </r>
  </si>
  <si>
    <t>7C</t>
  </si>
  <si>
    <t>–– davon ambulante Leistungen in Fr.</t>
  </si>
  <si>
    <t>7D</t>
  </si>
  <si>
    <t>–– davon stationäre Leistungen in Fr.</t>
  </si>
  <si>
    <t>8B</t>
  </si>
  <si>
    <t>– Kostenbeteiligung pro Versicherten in Fr.</t>
  </si>
  <si>
    <t>9B</t>
  </si>
  <si>
    <r>
      <t xml:space="preserve">– Nettoleistungen </t>
    </r>
    <r>
      <rPr>
        <vertAlign val="superscript"/>
        <sz val="11"/>
        <rFont val="Arial"/>
        <family val="2"/>
      </rPr>
      <t>2</t>
    </r>
    <r>
      <rPr>
        <sz val="11"/>
        <rFont val="Arial"/>
        <family val="2"/>
      </rPr>
      <t xml:space="preserve"> pro Versicherten in  Fr.</t>
    </r>
  </si>
  <si>
    <t>10B</t>
  </si>
  <si>
    <t>– Verwaltungsaufwand / Abschreibungen pro Versicherten in Fr.</t>
  </si>
  <si>
    <t>12B</t>
  </si>
  <si>
    <t>13B</t>
  </si>
  <si>
    <t>6A</t>
  </si>
  <si>
    <t>– Prämiensoll in Mio. Fr.</t>
  </si>
  <si>
    <t>7A</t>
  </si>
  <si>
    <r>
      <t xml:space="preserve">– Bruttoleistungen </t>
    </r>
    <r>
      <rPr>
        <vertAlign val="superscript"/>
        <sz val="11"/>
        <rFont val="Arial"/>
        <family val="2"/>
      </rPr>
      <t>1</t>
    </r>
    <r>
      <rPr>
        <sz val="11"/>
        <rFont val="Arial"/>
        <family val="2"/>
      </rPr>
      <t xml:space="preserve"> in Mio. Fr.</t>
    </r>
  </si>
  <si>
    <t>8A</t>
  </si>
  <si>
    <t>– Kostenbeteiligung in Mio. Fr.</t>
  </si>
  <si>
    <t>9A</t>
  </si>
  <si>
    <r>
      <t xml:space="preserve">– Nettoleistungen </t>
    </r>
    <r>
      <rPr>
        <vertAlign val="superscript"/>
        <sz val="11"/>
        <rFont val="Arial"/>
        <family val="2"/>
      </rPr>
      <t xml:space="preserve">2  </t>
    </r>
    <r>
      <rPr>
        <sz val="11"/>
        <rFont val="Arial"/>
        <family val="2"/>
      </rPr>
      <t>in Mio. Fr.</t>
    </r>
  </si>
  <si>
    <t>10A</t>
  </si>
  <si>
    <t>– Verwaltungsaufwand / Abschreibungen in Mio. Fr.</t>
  </si>
  <si>
    <t>– Gesamtbetriebsergebnis in Mio. Fr.</t>
  </si>
  <si>
    <t>12A</t>
  </si>
  <si>
    <t>12C</t>
  </si>
  <si>
    <t>13A</t>
  </si>
  <si>
    <t>13C</t>
  </si>
  <si>
    <t>1) Bruttoleistungen = Leistungen inklusiv Kostenbeteiligung der Versicherten.</t>
  </si>
  <si>
    <t>2) Nettoleistungen = bezahlte Leistungen =  Leistungen der Versicherer abzüglich Kostenbeteiligung der Versicherten.</t>
  </si>
  <si>
    <t>3) Rückstellungen in Prozent der Nettoleistungen.</t>
  </si>
  <si>
    <t xml:space="preserve">Quelle: </t>
  </si>
  <si>
    <t>Formular EF1345 :</t>
  </si>
  <si>
    <t>Tabelle T :</t>
  </si>
  <si>
    <t>Anzahl Versicherer mit EF 1.12 A Total &gt; 0</t>
  </si>
  <si>
    <t>= [ 8A ] / [ 2 ]</t>
  </si>
  <si>
    <t xml:space="preserve">Durchschnittlicher Versichertenbestand EF 1.12 A Total  </t>
  </si>
  <si>
    <t>= [ 7A ] - [ 8A ]</t>
  </si>
  <si>
    <t>EF 3.7.1</t>
  </si>
  <si>
    <t>9.09</t>
  </si>
  <si>
    <t>= [ 7B ] - [ 8B ]</t>
  </si>
  <si>
    <t>= [ 3A ] / [ 2 ] * 100</t>
  </si>
  <si>
    <t>EF2 Konten 40-47 + 48 K+U Seiten 2.2 -&gt; 2.7</t>
  </si>
  <si>
    <t>EF 3.7.2</t>
  </si>
  <si>
    <t>= [ 10A ] / [ 2 ]</t>
  </si>
  <si>
    <t xml:space="preserve">EF2 Konto Gesamtbetriebsergebnis Krankheit + Unfall Seiten 2.2 -&gt; 2.7 </t>
  </si>
  <si>
    <t>EF 3.4</t>
  </si>
  <si>
    <t>12.01</t>
  </si>
  <si>
    <t>EF 1.4 Konto 270</t>
  </si>
  <si>
    <t>= [ 6A ] / [ 2 ]</t>
  </si>
  <si>
    <t>= [ 12A ] / [ 2 ]</t>
  </si>
  <si>
    <t>EF 3.6</t>
  </si>
  <si>
    <t>= [ 12A ] / [ 9A ] * 100 in %</t>
  </si>
  <si>
    <t>= [ 7A ] / [ 2 ]</t>
  </si>
  <si>
    <t>EF 1.5 Konten 290 + 290.9</t>
  </si>
  <si>
    <t>EF 3.6 / [ 2 ]</t>
  </si>
  <si>
    <t>= [ 13A ] / [ 2 ]</t>
  </si>
  <si>
    <t>= [ 13A ] / [ 6A ] * 100 in %</t>
  </si>
  <si>
    <t>EF2 Konto 32 K+U Seiten 2.2 -&gt; 2.7</t>
  </si>
  <si>
    <t>Statistik der obligatorischen Krankenversicherung 2012, Bundesamt für Gesundheit</t>
  </si>
  <si>
    <t>Datenstand: 5.7.13</t>
  </si>
  <si>
    <t/>
  </si>
  <si>
    <t>2: Leistungen und Kostenbeteiligung in der OKP</t>
  </si>
  <si>
    <t xml:space="preserve">Kostenbeteiligung der Versicherten nach Versicherungsform ab 2002 </t>
  </si>
  <si>
    <t xml:space="preserve">Kostenbeteiligung je versicherte Person nach Versicherungsform ab 2002 </t>
  </si>
  <si>
    <t>Nettoleistungen je versicherte Person nach Kanton ab 1996</t>
  </si>
  <si>
    <t>Bruttoleistungen nach Kanton</t>
  </si>
  <si>
    <t>Bruttoleistungen je versicherte Person nach Kanton</t>
  </si>
  <si>
    <t xml:space="preserve">Bruttoleistungen nach Altersklasse und Geschlecht </t>
  </si>
  <si>
    <t>Nettoleistungen nach Kanton</t>
  </si>
  <si>
    <t>Nettoleistungen je versicherte Person nach Versicherungsform</t>
  </si>
  <si>
    <t xml:space="preserve">Nettoleistungen nach Altersklasse und Geschlecht </t>
  </si>
  <si>
    <t>Kostenbeteiligung nach Kanton</t>
  </si>
  <si>
    <t>Kostenbeteiligung nach Altersgruppe und Geschlecht</t>
  </si>
  <si>
    <t>Nettoleistungen je versicherte Person nach Kanton</t>
  </si>
  <si>
    <t>Kostenbeteiligung je versicherte Person nach Kanton</t>
  </si>
  <si>
    <t>Bruttoleistungen nach Versicherungsform ab 2002</t>
  </si>
  <si>
    <t>Bruttoleistungen je versicherte Person nach Versicherungsform ab 2002</t>
  </si>
  <si>
    <t>Bruttoleistungen nach Kostengruppe ab 2002</t>
  </si>
  <si>
    <t xml:space="preserve">Bruttoleistungen nach Kostengruppe </t>
  </si>
  <si>
    <t xml:space="preserve">Bruttoleistungen je versicherte Person nach Kostengruppe ab 2002 </t>
  </si>
  <si>
    <t>Bruttoleistungen je versicherte Person nach Kostengruppe</t>
  </si>
  <si>
    <t>Nettoleistungen nach Versicherungsform ab 2002</t>
  </si>
  <si>
    <t>Nettoleistungen je versicherte Person nach Versicherungsform ab 2002</t>
  </si>
  <si>
    <t xml:space="preserve">Bruttoleistungen nach Versicherungsform </t>
  </si>
  <si>
    <t xml:space="preserve">Kostenbeteiligung je versicherte Person nach Versicherungsform </t>
  </si>
  <si>
    <t xml:space="preserve">Bruttoleistungen je versicherte Person nach Versicherungsform </t>
  </si>
  <si>
    <t>Bruttoleistungen je versicherte Person nach Kanton ab 1996</t>
  </si>
  <si>
    <t>Kostenbeteiligung je versicherte Person nach Kanton ab 1996</t>
  </si>
  <si>
    <r>
      <t xml:space="preserve">T 2.12 Nettoleistungen </t>
    </r>
    <r>
      <rPr>
        <b/>
        <vertAlign val="superscript"/>
        <sz val="12"/>
        <rFont val="Arial"/>
        <family val="2"/>
      </rPr>
      <t>1</t>
    </r>
    <r>
      <rPr>
        <b/>
        <sz val="12"/>
        <rFont val="Arial"/>
        <family val="2"/>
      </rPr>
      <t xml:space="preserve">  in Fr.  je versicherte Person nach Kanton </t>
    </r>
  </si>
  <si>
    <t>Kanton</t>
  </si>
  <si>
    <t>Kinder</t>
  </si>
  <si>
    <t>Junge Erwachsene</t>
  </si>
  <si>
    <t>Erwachsene</t>
  </si>
  <si>
    <t>Alle Versicherte</t>
  </si>
  <si>
    <t>(0-18 Jahre)</t>
  </si>
  <si>
    <t>(19-25 Jahre)</t>
  </si>
  <si>
    <t>(26 J. und älter)</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</si>
  <si>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</si>
  <si>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</si>
  <si>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</si>
  <si>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</si>
  <si>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</si>
  <si>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</si>
  <si>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</si>
  <si>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</si>
  <si>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</si>
  <si>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</si>
  <si>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</si>
  <si>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</si>
  <si>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</si>
  <si>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</si>
  <si>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</si>
  <si>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</si>
  <si>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</si>
  <si>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</si>
  <si>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</si>
  <si>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</si>
  <si>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</si>
  <si>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</si>
  <si>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</si>
  <si>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</si>
  <si>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</si>
  <si>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</si>
  <si>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r>
      <t xml:space="preserve">Ausland </t>
    </r>
    <r>
      <rPr>
        <vertAlign val="superscript"/>
        <sz val="11"/>
        <rFont val="Arial"/>
        <family val="2"/>
      </rPr>
      <t>2</t>
    </r>
  </si>
  <si>
    <t>Unbekannt</t>
  </si>
  <si>
    <t>CH</t>
  </si>
  <si>
    <t xml:space="preserve">Quelle: T 2.07 / T 11.14 </t>
  </si>
  <si>
    <r>
      <t xml:space="preserve">1) Nettoleistungen = bezahlte Leistungen der Versicherer in der OKP </t>
    </r>
    <r>
      <rPr>
        <b/>
        <sz val="10"/>
        <rFont val="Arial"/>
        <family val="2"/>
      </rPr>
      <t>ohne</t>
    </r>
    <r>
      <rPr>
        <sz val="10"/>
        <rFont val="Arial"/>
        <family val="2"/>
      </rPr>
      <t xml:space="preserve"> Kostenbeteiligung durch die Versicherten.</t>
    </r>
  </si>
  <si>
    <t>2) Personen mit Wohnsitz/Aufenthalt im Ausland gemäss Art. 4 und 5 KVV.</t>
  </si>
  <si>
    <r>
      <t xml:space="preserve">T 2.10  Kostenbeteiligung </t>
    </r>
    <r>
      <rPr>
        <b/>
        <vertAlign val="superscript"/>
        <sz val="12"/>
        <rFont val="Arial"/>
        <family val="2"/>
      </rPr>
      <t>1</t>
    </r>
    <r>
      <rPr>
        <b/>
        <sz val="12"/>
        <rFont val="Arial"/>
        <family val="2"/>
      </rPr>
      <t xml:space="preserve"> in Fr. nach Kanton</t>
    </r>
  </si>
  <si>
    <t>Quelle: Formular EF 3.18</t>
  </si>
  <si>
    <t>1) Berücksichtigt nur die bei dem Versicherer eingereichten Rechnungen.</t>
  </si>
  <si>
    <r>
      <t xml:space="preserve">T 2.07  Nettoleistungen </t>
    </r>
    <r>
      <rPr>
        <b/>
        <vertAlign val="superscript"/>
        <sz val="12"/>
        <rFont val="Arial"/>
        <family val="2"/>
      </rPr>
      <t xml:space="preserve">1 </t>
    </r>
    <r>
      <rPr>
        <b/>
        <sz val="12"/>
        <rFont val="Arial"/>
        <family val="2"/>
      </rPr>
      <t xml:space="preserve"> in Fr. nach Kanton </t>
    </r>
  </si>
  <si>
    <t>Quelle: T 2.04 - T 2.10</t>
  </si>
  <si>
    <r>
      <t xml:space="preserve">T 2.04  Bruttoleistungen </t>
    </r>
    <r>
      <rPr>
        <b/>
        <vertAlign val="superscript"/>
        <sz val="12"/>
        <rFont val="Arial"/>
        <family val="2"/>
      </rPr>
      <t>1</t>
    </r>
    <r>
      <rPr>
        <b/>
        <sz val="12"/>
        <rFont val="Arial"/>
        <family val="2"/>
      </rPr>
      <t xml:space="preserve">  in Fr. nach Kanton</t>
    </r>
  </si>
  <si>
    <t>Quelle: Formular EF 3.21</t>
  </si>
  <si>
    <r>
      <t xml:space="preserve">1) Bruttoleistungen = Leistungen der Versicherer in der OKP </t>
    </r>
    <r>
      <rPr>
        <b/>
        <sz val="10"/>
        <rFont val="Arial"/>
        <family val="2"/>
      </rPr>
      <t>mit</t>
    </r>
    <r>
      <rPr>
        <sz val="10"/>
        <rFont val="Arial"/>
        <family val="2"/>
      </rPr>
      <t xml:space="preserve"> Kostenbeteiligung durch die Versicherten.</t>
    </r>
  </si>
  <si>
    <r>
      <t xml:space="preserve">T 2.03 Nettoleistungen </t>
    </r>
    <r>
      <rPr>
        <b/>
        <vertAlign val="superscript"/>
        <sz val="12"/>
        <rFont val="Arial"/>
        <family val="2"/>
      </rPr>
      <t xml:space="preserve">1 2 </t>
    </r>
    <r>
      <rPr>
        <b/>
        <sz val="12"/>
        <rFont val="Arial"/>
        <family val="2"/>
      </rPr>
      <t xml:space="preserve"> je versicherte Person nach Kanton in Franken ab 1996</t>
    </r>
  </si>
  <si>
    <t>Quelle: CH T 1.01   /  Kantone 1996 -&gt; 1998: Prämiengenehmigungsverfahren BAG mit Versichertenbestand des Risikoausgleichs, Werte korrigiert auf der Basis des CH-Wertes in T 1.01   /</t>
  </si>
  <si>
    <t xml:space="preserve">1999 -&gt; 2008: Prämiengenehmigungsverfahren BAG, Werte korrigiert auf der Basis des CH-Bestandes in T 1.01 / 2009 -&gt; : T 2.12 </t>
  </si>
  <si>
    <t>1) Für alle Versicherten für alle Versicherungsformen.</t>
  </si>
  <si>
    <r>
      <t xml:space="preserve">    Nettoleistungen = bezahlte Leistungen der Versicherer in der OKP </t>
    </r>
    <r>
      <rPr>
        <b/>
        <sz val="10"/>
        <rFont val="Arial"/>
        <family val="2"/>
      </rPr>
      <t>ohne</t>
    </r>
    <r>
      <rPr>
        <sz val="10"/>
        <rFont val="Arial"/>
        <family val="2"/>
      </rPr>
      <t xml:space="preserve"> Kostenbeteiligungen der Versicherten.</t>
    </r>
  </si>
  <si>
    <t>2) Zusätzliche Angaben nach Altersgruppe pro Kanton: www.bag.admin.ch/pyramiden</t>
  </si>
  <si>
    <t>T 2.19  Bruttoleistungen in Franken je versicherte Person nach Kostengruppe</t>
  </si>
  <si>
    <t>Kostengruppe</t>
  </si>
  <si>
    <t>Männer</t>
  </si>
  <si>
    <t>Frauen</t>
  </si>
  <si>
    <t>Anteil am</t>
  </si>
  <si>
    <t>Gesamt-</t>
  </si>
  <si>
    <t>total in %</t>
  </si>
  <si>
    <t>in %</t>
  </si>
  <si>
    <t>Arzt ambulant</t>
  </si>
  <si>
    <r>
      <t xml:space="preserve">Spital stationär </t>
    </r>
    <r>
      <rPr>
        <vertAlign val="superscript"/>
        <sz val="11"/>
        <rFont val="Arial"/>
        <family val="2"/>
      </rPr>
      <t>2</t>
    </r>
  </si>
  <si>
    <t>Spital ambulant</t>
  </si>
  <si>
    <t>Medikamente Arzt</t>
  </si>
  <si>
    <t>Medikamente Apotheke</t>
  </si>
  <si>
    <r>
      <t xml:space="preserve">Pflegeheim </t>
    </r>
    <r>
      <rPr>
        <vertAlign val="superscript"/>
        <sz val="11"/>
        <rFont val="Arial"/>
        <family val="2"/>
      </rPr>
      <t>2</t>
    </r>
  </si>
  <si>
    <t>Spitex</t>
  </si>
  <si>
    <t>Physiotherapie</t>
  </si>
  <si>
    <t>Labor</t>
  </si>
  <si>
    <t>Chiropraktik</t>
  </si>
  <si>
    <t>Mittel und Gegenstände</t>
  </si>
  <si>
    <r>
      <t xml:space="preserve">Betriebsbeiträge an HMO's </t>
    </r>
    <r>
      <rPr>
        <vertAlign val="superscript"/>
        <sz val="11"/>
        <rFont val="Arial"/>
        <family val="2"/>
      </rPr>
      <t>1</t>
    </r>
  </si>
  <si>
    <t>Komplementärmedizin</t>
  </si>
  <si>
    <r>
      <t xml:space="preserve">Übrige Leistungen ambulant </t>
    </r>
    <r>
      <rPr>
        <vertAlign val="superscript"/>
        <sz val="11"/>
        <rFont val="Arial"/>
        <family val="2"/>
      </rPr>
      <t>5</t>
    </r>
  </si>
  <si>
    <r>
      <t xml:space="preserve">Übrige Leistungen stationär </t>
    </r>
    <r>
      <rPr>
        <vertAlign val="superscript"/>
        <sz val="11"/>
        <rFont val="Arial"/>
        <family val="2"/>
      </rPr>
      <t>2 4</t>
    </r>
  </si>
  <si>
    <t>Leistungen Total</t>
  </si>
  <si>
    <t>davon Leistungen Mutterschaft</t>
  </si>
  <si>
    <r>
      <t xml:space="preserve">davon Medikamente Spital ambulant </t>
    </r>
    <r>
      <rPr>
        <i/>
        <vertAlign val="superscript"/>
        <sz val="11"/>
        <rFont val="Arial"/>
        <family val="2"/>
      </rPr>
      <t>3</t>
    </r>
  </si>
  <si>
    <r>
      <t xml:space="preserve">davon KVG-Leistungen von Zahnärzten </t>
    </r>
    <r>
      <rPr>
        <i/>
        <vertAlign val="superscript"/>
        <sz val="11"/>
        <rFont val="Arial"/>
        <family val="2"/>
      </rPr>
      <t>5</t>
    </r>
  </si>
  <si>
    <r>
      <t xml:space="preserve">davon Transport- und Rettungskosten </t>
    </r>
    <r>
      <rPr>
        <i/>
        <vertAlign val="superscript"/>
        <sz val="11"/>
        <rFont val="Arial"/>
        <family val="2"/>
      </rPr>
      <t>5</t>
    </r>
  </si>
  <si>
    <t>1) Sofern keine Aufteilung nach den anderen aufgeführten Kostengruppen möglich ist. Vgl. Fussnote 3) von Tabelle 2.16.</t>
  </si>
  <si>
    <t>2) Intra-muros Behandlung; andere Gruppen = ambulante Behandlung.</t>
  </si>
  <si>
    <t>3) Kategorie "Medikamente Spital ambulant": gehört zur Kategorie "Spital ambulant".</t>
  </si>
  <si>
    <t>4) Zum Beispiel Heilbäder.</t>
  </si>
  <si>
    <t>5) Zum Beispiel Logopädie, Ergotherapie.</t>
  </si>
  <si>
    <t xml:space="preserve">     Kategorien "KVG-Leistungen von Zahnärzten" und "Transport- und Rettungskosten" gehören zur Kategorie "Übrige Leistungen ambulant".</t>
  </si>
  <si>
    <t>Quelle: T 2.17 / T 11.01</t>
  </si>
  <si>
    <r>
      <t xml:space="preserve">T 2.18  Bruttoleistungen </t>
    </r>
    <r>
      <rPr>
        <b/>
        <vertAlign val="superscript"/>
        <sz val="12"/>
        <rFont val="Arial"/>
        <family val="2"/>
      </rPr>
      <t>1</t>
    </r>
    <r>
      <rPr>
        <b/>
        <sz val="12"/>
        <rFont val="Arial"/>
        <family val="2"/>
      </rPr>
      <t xml:space="preserve"> in Franken je versicherte Person nach Kostengruppe ab 2002 </t>
    </r>
    <r>
      <rPr>
        <b/>
        <vertAlign val="superscript"/>
        <sz val="12"/>
        <rFont val="Arial"/>
        <family val="2"/>
      </rPr>
      <t>2 3</t>
    </r>
  </si>
  <si>
    <t>Ambulante</t>
  </si>
  <si>
    <t>Behandlung</t>
  </si>
  <si>
    <t>davon</t>
  </si>
  <si>
    <t>Arzt</t>
  </si>
  <si>
    <t>Spital</t>
  </si>
  <si>
    <t>Medikamente</t>
  </si>
  <si>
    <t>Mittel und</t>
  </si>
  <si>
    <t>Betriebsbeiträge</t>
  </si>
  <si>
    <t>Komplementär-</t>
  </si>
  <si>
    <t>(ambulant)</t>
  </si>
  <si>
    <t>(Arzt)</t>
  </si>
  <si>
    <t>(Apotheke)</t>
  </si>
  <si>
    <t>Gegenstände</t>
  </si>
  <si>
    <r>
      <t xml:space="preserve">an HMO's </t>
    </r>
    <r>
      <rPr>
        <i/>
        <vertAlign val="superscript"/>
        <sz val="10"/>
        <rFont val="Arial"/>
        <family val="2"/>
      </rPr>
      <t>4</t>
    </r>
  </si>
  <si>
    <t>medizin</t>
  </si>
  <si>
    <t>Jahresdurch-schnittliche Veränderung 2002-2012</t>
  </si>
  <si>
    <t>«Intra-muros»</t>
  </si>
  <si>
    <t>Leistungen</t>
  </si>
  <si>
    <t xml:space="preserve">Spital </t>
  </si>
  <si>
    <t>Pflegeheim</t>
  </si>
  <si>
    <t>(stationär)</t>
  </si>
  <si>
    <t>2) Vgl. Fussnoten 1) und 2) von Tabelle 2.16.</t>
  </si>
  <si>
    <t>3) Werte neu berechnet anhand der mittleren Versichertenbestände von 1996 bis 2005.</t>
  </si>
  <si>
    <t>4) Vgl. Fussnote 3) von Tabelle 2.16.</t>
  </si>
  <si>
    <t>Quelle: T 2.16 / 11.01</t>
  </si>
  <si>
    <t xml:space="preserve">T 2.17  Bruttoleistungen in Franken nach Kostengruppe </t>
  </si>
  <si>
    <t>in 1000 Fr.</t>
  </si>
  <si>
    <r>
      <t xml:space="preserve">Übrige Leistungen ambulant </t>
    </r>
    <r>
      <rPr>
        <vertAlign val="superscript"/>
        <sz val="11"/>
        <rFont val="Arial"/>
        <family val="2"/>
      </rPr>
      <t>5 6</t>
    </r>
  </si>
  <si>
    <r>
      <t xml:space="preserve">davon KVG-Leistungen von Zahnärzten </t>
    </r>
    <r>
      <rPr>
        <i/>
        <vertAlign val="superscript"/>
        <sz val="11"/>
        <rFont val="Arial"/>
        <family val="2"/>
      </rPr>
      <t>6</t>
    </r>
  </si>
  <si>
    <r>
      <t xml:space="preserve">davon Transport- und Rettungskosten </t>
    </r>
    <r>
      <rPr>
        <i/>
        <vertAlign val="superscript"/>
        <sz val="11"/>
        <rFont val="Arial"/>
        <family val="2"/>
      </rPr>
      <t>6</t>
    </r>
  </si>
  <si>
    <t>1) Sofern keine Aufteilung nach den anderen aufgeführten Kostengruppen möglich ist.</t>
  </si>
  <si>
    <t xml:space="preserve">   Mit der Einführung eines neuen Kontenplans 2012 erscheinen diese Leistungen von nun an in der Betriebsrechnung der OKP (T 1.02, Rubrik 4300).</t>
  </si>
  <si>
    <t>6) Kategorien "KVG-Leistungen von Zahnärzten" und "Transport- und Rettungskosten" gehören zur Kategorie "Übrige Leistungen ambulant".</t>
  </si>
  <si>
    <t>Quelle: Formular EF 3.6</t>
  </si>
  <si>
    <r>
      <t xml:space="preserve">T 2.16  Bruttoleistungen </t>
    </r>
    <r>
      <rPr>
        <b/>
        <vertAlign val="superscript"/>
        <sz val="12"/>
        <rFont val="Arial"/>
        <family val="2"/>
      </rPr>
      <t>1</t>
    </r>
    <r>
      <rPr>
        <b/>
        <sz val="12"/>
        <rFont val="Arial"/>
        <family val="2"/>
      </rPr>
      <t xml:space="preserve"> in Mio. Franken nach Kostengruppe ab 2002</t>
    </r>
  </si>
  <si>
    <r>
      <t xml:space="preserve">Behandlung </t>
    </r>
    <r>
      <rPr>
        <b/>
        <vertAlign val="superscript"/>
        <sz val="11"/>
        <rFont val="Arial"/>
        <family val="2"/>
      </rPr>
      <t>2</t>
    </r>
  </si>
  <si>
    <r>
      <t xml:space="preserve">an HMO's </t>
    </r>
    <r>
      <rPr>
        <i/>
        <vertAlign val="superscript"/>
        <sz val="10"/>
        <rFont val="Arial"/>
        <family val="2"/>
      </rPr>
      <t>3</t>
    </r>
  </si>
  <si>
    <t>2) Als «Intra-muros» Behandlung gelten die Kategorien "Spital stationär", "Pflegeheime" und "übrige Leistungen stationär";</t>
  </si>
  <si>
    <t xml:space="preserve"> als ambulante Kosten gelten alle übrigen Kategorien.</t>
  </si>
  <si>
    <t>3) Mit der Einführung eines neuen Kontenplans 2012 erscheinen diese Leistungen von nun an in der Betriebsrechnung der OKP (T 1.02, Rubrik 4300).</t>
  </si>
  <si>
    <t>Quelle: T 2.17</t>
  </si>
  <si>
    <t>4) Kostenbeteiligung = Kostenbeteiligung der Versicherten * + Abschr. auf Kobe *  (vgl. T 2.10).</t>
  </si>
  <si>
    <t>5) Nettoleistungen = Bruttoleistungen - Kostenbeteiligung (vgl. T 2.07).</t>
  </si>
  <si>
    <r>
      <t xml:space="preserve">Kostenbeteiligung der Versicherten </t>
    </r>
    <r>
      <rPr>
        <sz val="11"/>
        <color indexed="10"/>
        <rFont val="Arial"/>
        <family val="2"/>
      </rPr>
      <t xml:space="preserve">* </t>
    </r>
    <r>
      <rPr>
        <vertAlign val="superscript"/>
        <sz val="11"/>
        <color indexed="10"/>
        <rFont val="Arial"/>
        <family val="2"/>
      </rPr>
      <t>4</t>
    </r>
  </si>
  <si>
    <r>
      <t xml:space="preserve">Leistungen </t>
    </r>
    <r>
      <rPr>
        <vertAlign val="superscript"/>
        <sz val="11"/>
        <color indexed="10"/>
        <rFont val="Arial"/>
        <family val="2"/>
      </rPr>
      <t>3 5</t>
    </r>
  </si>
  <si>
    <r>
      <t xml:space="preserve">Prämien </t>
    </r>
    <r>
      <rPr>
        <vertAlign val="superscript"/>
        <sz val="11"/>
        <color indexed="10"/>
        <rFont val="Arial"/>
        <family val="2"/>
      </rPr>
      <t>2</t>
    </r>
  </si>
  <si>
    <t>1) Vgl. Fussnote 2) von Tabelle 11.02 und Fussnoten 2) -&gt; 5) von Tabelle 1.02.</t>
  </si>
  <si>
    <r>
      <t xml:space="preserve">1) Ohne Liechstenstein. Versichertenbestand : siehe T 11.13. </t>
    </r>
    <r>
      <rPr>
        <sz val="10"/>
        <color indexed="10"/>
        <rFont val="Arial"/>
        <family val="2"/>
      </rPr>
      <t>Vgl. Fussnoten 2) -&gt; 5) von Tabelle 1.02.</t>
    </r>
  </si>
  <si>
    <r>
      <t xml:space="preserve">T 3.08  Prämiensoll in Franken je versicherte Person </t>
    </r>
    <r>
      <rPr>
        <b/>
        <vertAlign val="superscript"/>
        <sz val="12"/>
        <rFont val="Arial"/>
        <family val="2"/>
      </rPr>
      <t xml:space="preserve">1 </t>
    </r>
    <r>
      <rPr>
        <b/>
        <sz val="12"/>
        <rFont val="Arial"/>
        <family val="2"/>
      </rPr>
      <t xml:space="preserve"> nach Kanton ab 1996</t>
    </r>
  </si>
  <si>
    <r>
      <t xml:space="preserve">1999 -&gt; 2008: Prämiengenehmigungsverfahren BAG, Werte korrigiert auf der Basis des CH-Bestandes in T 1.01 / 2009 -&gt; 2010: T 3.13 </t>
    </r>
    <r>
      <rPr>
        <sz val="10"/>
        <rFont val="Arial"/>
        <family val="2"/>
      </rPr>
      <t>/ 2011 -&gt; : T 3.04</t>
    </r>
  </si>
  <si>
    <t>3: Prämiensoll in der OKP</t>
  </si>
  <si>
    <t>3.01</t>
  </si>
  <si>
    <t xml:space="preserve">Prämiensoll nach Versicherungsform </t>
  </si>
  <si>
    <t>Prämiensoll nach Versicherungsform ab 2002</t>
  </si>
  <si>
    <t>Prämiensoll je versicherte Person nach Versicherungsform</t>
  </si>
  <si>
    <t>Prämiensoll je versicherte Person nach Kanton</t>
  </si>
  <si>
    <t>Prämiensoll je versicherte Person nach Versicherungsform ab 2002</t>
  </si>
  <si>
    <t>Prämiensoll nach Kanton</t>
  </si>
  <si>
    <t>Prämiensoll nach Altersklasse und Geschlecht</t>
  </si>
  <si>
    <t>Prämiensoll je versicherte Person nach Kanton ab 1996</t>
  </si>
  <si>
    <t xml:space="preserve">T 3.01  Prämiensoll in Franken nach Versicherungsform </t>
  </si>
  <si>
    <t>Versicherungsform</t>
  </si>
  <si>
    <t>absolut</t>
  </si>
  <si>
    <t>Anteil in %</t>
  </si>
  <si>
    <t>Ordentliche Jahresfranchise</t>
  </si>
  <si>
    <t>Wählbare Jahresfranchisen</t>
  </si>
  <si>
    <t>BONUS-Versicherung</t>
  </si>
  <si>
    <t>Eingeschränkte Wahl (z.B. HMO)</t>
  </si>
  <si>
    <t>Quelle: Formular EF 3.4</t>
  </si>
  <si>
    <t>T 3.02  Prämiensoll in Mio. Franken nach Versicherungsform ab 2002</t>
  </si>
  <si>
    <r>
      <t xml:space="preserve">Jahr </t>
    </r>
    <r>
      <rPr>
        <vertAlign val="superscript"/>
        <sz val="11"/>
        <rFont val="Arial"/>
        <family val="2"/>
      </rPr>
      <t>1</t>
    </r>
  </si>
  <si>
    <t>Quelle: T 3.01</t>
  </si>
  <si>
    <t>T 3.03  Prämiensoll in Fr. je versicherte Person nach Versicherungsform</t>
  </si>
  <si>
    <r>
      <t xml:space="preserve">Versicherungsform </t>
    </r>
    <r>
      <rPr>
        <b/>
        <vertAlign val="superscript"/>
        <sz val="11"/>
        <rFont val="Arial"/>
        <family val="2"/>
      </rPr>
      <t>1</t>
    </r>
  </si>
  <si>
    <t>Kinder 
(0-18 Jahre)</t>
  </si>
  <si>
    <t>Junge Erwachsene 
(19-25 Jahre)</t>
  </si>
  <si>
    <t>Erwachsene 
(ab 26 Jahre)</t>
  </si>
  <si>
    <t>Standardmodell mit ordentlicher Jahresfranchise</t>
  </si>
  <si>
    <r>
      <t xml:space="preserve">F O  </t>
    </r>
    <r>
      <rPr>
        <i/>
        <sz val="11"/>
        <rFont val="Arial"/>
        <family val="2"/>
      </rPr>
      <t xml:space="preserve">(0 / 300) </t>
    </r>
    <r>
      <rPr>
        <i/>
        <vertAlign val="superscript"/>
        <sz val="11"/>
        <rFont val="Arial"/>
        <family val="2"/>
      </rPr>
      <t>2</t>
    </r>
  </si>
  <si>
    <t>Standardmodell</t>
  </si>
  <si>
    <r>
      <t xml:space="preserve">F I  </t>
    </r>
    <r>
      <rPr>
        <i/>
        <sz val="11"/>
        <rFont val="Arial"/>
        <family val="2"/>
      </rPr>
      <t xml:space="preserve">(100 / 500) </t>
    </r>
    <r>
      <rPr>
        <i/>
        <vertAlign val="superscript"/>
        <sz val="11"/>
        <rFont val="Arial"/>
        <family val="2"/>
      </rPr>
      <t>2</t>
    </r>
  </si>
  <si>
    <t>mit wählbarer</t>
  </si>
  <si>
    <r>
      <t xml:space="preserve">F II  </t>
    </r>
    <r>
      <rPr>
        <i/>
        <sz val="11"/>
        <rFont val="Arial"/>
        <family val="2"/>
      </rPr>
      <t xml:space="preserve">(200 / 1000) </t>
    </r>
    <r>
      <rPr>
        <i/>
        <vertAlign val="superscript"/>
        <sz val="11"/>
        <rFont val="Arial"/>
        <family val="2"/>
      </rPr>
      <t>2</t>
    </r>
  </si>
  <si>
    <t>Jahresfranchise</t>
  </si>
  <si>
    <r>
      <t xml:space="preserve">F III  </t>
    </r>
    <r>
      <rPr>
        <i/>
        <sz val="11"/>
        <rFont val="Arial"/>
        <family val="2"/>
      </rPr>
      <t xml:space="preserve">(300 / 1500) </t>
    </r>
    <r>
      <rPr>
        <i/>
        <vertAlign val="superscript"/>
        <sz val="11"/>
        <rFont val="Arial"/>
        <family val="2"/>
      </rPr>
      <t>2</t>
    </r>
  </si>
  <si>
    <r>
      <t xml:space="preserve">F IV  </t>
    </r>
    <r>
      <rPr>
        <i/>
        <sz val="11"/>
        <rFont val="Arial"/>
        <family val="2"/>
      </rPr>
      <t xml:space="preserve">(400 / 2000) </t>
    </r>
    <r>
      <rPr>
        <i/>
        <vertAlign val="superscript"/>
        <sz val="11"/>
        <rFont val="Arial"/>
        <family val="2"/>
      </rPr>
      <t>2</t>
    </r>
  </si>
  <si>
    <r>
      <t xml:space="preserve">F V  </t>
    </r>
    <r>
      <rPr>
        <i/>
        <sz val="11"/>
        <rFont val="Arial"/>
        <family val="2"/>
      </rPr>
      <t xml:space="preserve">(500 / 2500) </t>
    </r>
    <r>
      <rPr>
        <i/>
        <vertAlign val="superscript"/>
        <sz val="11"/>
        <rFont val="Arial"/>
        <family val="2"/>
      </rPr>
      <t>2</t>
    </r>
  </si>
  <si>
    <r>
      <t xml:space="preserve">F VI  </t>
    </r>
    <r>
      <rPr>
        <i/>
        <sz val="11"/>
        <rFont val="Arial"/>
        <family val="2"/>
      </rPr>
      <t xml:space="preserve">(600 / -) </t>
    </r>
    <r>
      <rPr>
        <i/>
        <vertAlign val="superscript"/>
        <sz val="11"/>
        <rFont val="Arial"/>
        <family val="2"/>
      </rPr>
      <t>2</t>
    </r>
  </si>
  <si>
    <t>Andere Versicherungsformen (HMO, Hausarzt-modell,…)</t>
  </si>
  <si>
    <t>Total *</t>
  </si>
  <si>
    <t xml:space="preserve"> * davon Versicherte mit HMO-Modell</t>
  </si>
  <si>
    <t>* davon Versicherte mit Hausarztmodell</t>
  </si>
  <si>
    <t>* davon Versicherte mit wählbarer Franchise</t>
  </si>
  <si>
    <r>
      <t xml:space="preserve">Alle </t>
    </r>
    <r>
      <rPr>
        <b/>
        <vertAlign val="superscript"/>
        <sz val="11"/>
        <rFont val="Arial"/>
        <family val="2"/>
      </rPr>
      <t>3</t>
    </r>
  </si>
  <si>
    <t xml:space="preserve">Quelle: Formular EF 3.16 / EF 3.13 </t>
  </si>
  <si>
    <t>1) Die Zuteilung der Versicherten nach Versicherungsform erfolgt derart, dass die Versicherten der Kategorie „andere Versicherungsformen“</t>
  </si>
  <si>
    <t xml:space="preserve">     (HMO, Hausarztmodell…) zugewiesen werden, falls sie eine Kombination dieser Form mit ordentlicher/wählbarer Franchise aufweisen.</t>
  </si>
  <si>
    <t>2) Franchisenstufen (Kinder / Erwachsene)</t>
  </si>
  <si>
    <t xml:space="preserve">     Kinder: ordentliche Franchise F O: 0.- ; wählbare Franchisen F I -&gt; F VI: 100.- 200.- 300.- 400.- 500.- 600.-</t>
  </si>
  <si>
    <t xml:space="preserve">     Erwachsene ab 19 Jahre: ordentliche Franchise F O: 300.- ; wählbare Franchisen F I -&gt; F V: 500.- 1000.- 1500.- 2000.- 2500.-</t>
  </si>
  <si>
    <t xml:space="preserve">3) Inkl. Personen mit Wohnsitz oder Aufenthalt im Ausland gemäss Art. 4 und 5 KVV, aber ohne Versicherte, die dem </t>
  </si>
  <si>
    <t xml:space="preserve">    Versicherungsobligatorium  unterstehen und in einem EU- oder EFTA-Staat Wohnsitz haben (vgl. Fussnote 1 von Tabelle 11.03).</t>
  </si>
  <si>
    <r>
      <t xml:space="preserve">T 3.04  Prämiensoll in Franken je versicherte Person </t>
    </r>
    <r>
      <rPr>
        <b/>
        <vertAlign val="superscript"/>
        <sz val="12"/>
        <rFont val="Arial"/>
        <family val="2"/>
      </rPr>
      <t xml:space="preserve">1 </t>
    </r>
    <r>
      <rPr>
        <b/>
        <sz val="12"/>
        <rFont val="Arial"/>
        <family val="2"/>
      </rPr>
      <t xml:space="preserve"> nach Kanton</t>
    </r>
  </si>
  <si>
    <t>Junge</t>
  </si>
  <si>
    <t>Versicherte</t>
  </si>
  <si>
    <t xml:space="preserve">Quelle : T 3.06 / T 11.14 </t>
  </si>
  <si>
    <t>1) Für alle Versicherungsformen.</t>
  </si>
  <si>
    <t>T 3.05  Prämiensoll in Franken je versicherte Person nach Versicherungsform ab 2002</t>
  </si>
  <si>
    <t>schränk-</t>
  </si>
  <si>
    <t>te Wahl</t>
  </si>
  <si>
    <t xml:space="preserve"> </t>
  </si>
  <si>
    <r>
      <t xml:space="preserve">Quelle: 2011 -&gt; : T 3.03   </t>
    </r>
    <r>
      <rPr>
        <i/>
        <sz val="10"/>
        <rFont val="Arial"/>
        <family val="2"/>
      </rPr>
      <t>(2009 -&gt; 2010: T 3.11  ; -&gt; 2008: T 3.10 / T 11.01 und T 11.05)</t>
    </r>
  </si>
  <si>
    <r>
      <t xml:space="preserve">Zusätzliche Angaben: nach Altersgruppe </t>
    </r>
    <r>
      <rPr>
        <b/>
        <vertAlign val="superscript"/>
        <sz val="12"/>
        <rFont val="Arial"/>
        <family val="2"/>
      </rPr>
      <t>2</t>
    </r>
    <r>
      <rPr>
        <b/>
        <sz val="12"/>
        <rFont val="Arial"/>
        <family val="2"/>
      </rPr>
      <t xml:space="preserve"> </t>
    </r>
  </si>
  <si>
    <t xml:space="preserve">Erwachsene </t>
  </si>
  <si>
    <t>(26 Jahre und mehr)</t>
  </si>
  <si>
    <r>
      <t xml:space="preserve">Quelle: 2011 -&gt; : T 3.04  (vollständige Daten)  </t>
    </r>
    <r>
      <rPr>
        <i/>
        <sz val="10"/>
        <rFont val="Arial"/>
        <family val="2"/>
      </rPr>
      <t xml:space="preserve">/ 2009 -&gt; 2010 : T 3.13  (vollständige Daten)   / 1997 -&gt; 2008 : DATENPOOL santésuisse [Auswertung BAG] </t>
    </r>
  </si>
  <si>
    <t>1) 1996-&gt;2008: Schätzung des mittleren Versichertenbestandes (ausgenommen Spalte "Alle Versicherte") aufgrund der Aufteilung der Versicherten per 31.12 in T 11.05</t>
  </si>
  <si>
    <t>2) Zusätzliche Angaben nach Altersgruppe pro Kanton: T 3.04 und www.bag.admin.ch/pyramiden</t>
  </si>
  <si>
    <r>
      <t xml:space="preserve">T 3.06  Prämiensoll in Franken </t>
    </r>
    <r>
      <rPr>
        <b/>
        <vertAlign val="superscript"/>
        <sz val="12"/>
        <rFont val="Arial"/>
        <family val="2"/>
      </rPr>
      <t>1</t>
    </r>
    <r>
      <rPr>
        <b/>
        <sz val="12"/>
        <rFont val="Arial"/>
        <family val="2"/>
      </rPr>
      <t xml:space="preserve">  nach Kanton</t>
    </r>
  </si>
  <si>
    <t>Quelle: Formular EF 3.15</t>
  </si>
  <si>
    <t>T 3.07  Prämiensoll nach Altersklasse und Geschlecht</t>
  </si>
  <si>
    <t>Altersklasse</t>
  </si>
  <si>
    <t>Männlich</t>
  </si>
  <si>
    <t>Weiblich</t>
  </si>
  <si>
    <t>in Mio. Fr.</t>
  </si>
  <si>
    <t>in Fr. pro</t>
  </si>
  <si>
    <t>Versicherten</t>
  </si>
  <si>
    <t>0 – 5</t>
  </si>
  <si>
    <t>6 – 10</t>
  </si>
  <si>
    <t>11 – 15</t>
  </si>
  <si>
    <t>16 – 18</t>
  </si>
  <si>
    <t>Total  0 – 18</t>
  </si>
  <si>
    <t>19 – 20</t>
  </si>
  <si>
    <t>21 – 25</t>
  </si>
  <si>
    <t>Total  19 – 25</t>
  </si>
  <si>
    <t>26 – 30</t>
  </si>
  <si>
    <t>31 – 35</t>
  </si>
  <si>
    <t>36 – 40</t>
  </si>
  <si>
    <t>41 – 45</t>
  </si>
  <si>
    <t>46 – 50</t>
  </si>
  <si>
    <t>51 – 55</t>
  </si>
  <si>
    <t>56 – 60</t>
  </si>
  <si>
    <t>61 – 65</t>
  </si>
  <si>
    <t>66 – 70</t>
  </si>
  <si>
    <t>71 – 75</t>
  </si>
  <si>
    <t>76 – 80</t>
  </si>
  <si>
    <t>81 – 85</t>
  </si>
  <si>
    <t>86 – 90</t>
  </si>
  <si>
    <t>91 – 95</t>
  </si>
  <si>
    <t>96 – 100</t>
  </si>
  <si>
    <t>&gt; 100</t>
  </si>
  <si>
    <t>Total  &gt; 25</t>
  </si>
  <si>
    <t>Quelle: Formular EF 3.14 und 3.11</t>
  </si>
  <si>
    <t>11: Versicherte in der OKP</t>
  </si>
  <si>
    <t>Durchschnittlicher Versichertenbestand ab 2002</t>
  </si>
  <si>
    <t>Versichertenbestand per 31.12. ab 2002</t>
  </si>
  <si>
    <t>Versichertenbestand nach Wohnkanton per 31.12.</t>
  </si>
  <si>
    <t>Versichertenbestand und Wohnbevölkerung ab 1996</t>
  </si>
  <si>
    <t>Versichertenbestand per 31.12 nach Versicherungsform ab 2002</t>
  </si>
  <si>
    <t>Versichertenbestand nach Versicherungsform per 31.12.</t>
  </si>
  <si>
    <t>Aufteilung der Versicherten (Kinder und Erwachsene) nach Versicherungsform ab 2002</t>
  </si>
  <si>
    <t>Verteilung der Versicherungsformen in % nach Kanton - Versicherte ab 19 Jahren</t>
  </si>
  <si>
    <t>Verteilung der Versicherungsformen in % nach Kanton - Kinder 0 - 18 Jahre</t>
  </si>
  <si>
    <t xml:space="preserve">Versicherteneintritte und Versichertenaustritte KVG nach Alter und Geschlecht </t>
  </si>
  <si>
    <t>Zahlungsausstände für OKP-Prämien ab 2002</t>
  </si>
  <si>
    <t>Versichertenbestand KVG nach Geschlecht im 2011, 2012 und 2013</t>
  </si>
  <si>
    <t>Durchschnittlicher Versichertenbestand KVG und Durchschnittsalter der Versicherten</t>
  </si>
  <si>
    <t>Durchschnittlicher Versichertenbestand nach Kanton</t>
  </si>
  <si>
    <t>Durchschnittlicher Versichertenbestand nach Altersklasse und Geschlecht</t>
  </si>
  <si>
    <t xml:space="preserve">Durchschnittlicher Versichertenbestand nach Versicherungsform </t>
  </si>
  <si>
    <t>Anzahl Versicherte OKP, in %, nach Grösse der Versicherer ab 2002</t>
  </si>
  <si>
    <t>Durchschnittlicher Versichertenbestand nach Kanton ab 1996</t>
  </si>
  <si>
    <t>T 11.16  Durchschnittlicher Versichertenbestand nach Versicherungsform</t>
  </si>
  <si>
    <t>Kinder 
(0-18 Jahre)</t>
  </si>
  <si>
    <t>Erwachsene 
(ab 26 Jahre)</t>
  </si>
  <si>
    <t>* davon Versicherte mit Unfalldeckung KVG</t>
  </si>
  <si>
    <t>* davon junge Erwachsene und Erwachsene</t>
  </si>
  <si>
    <t>Andere Versicherungsformen (HMO, Hausarztmodell,…)</t>
  </si>
  <si>
    <t xml:space="preserve">Quelle: Formular EF 3.13 </t>
  </si>
  <si>
    <t xml:space="preserve">1) Die Zuteilung der Versicherten nach Versicherungsform erfolgt derart, dass die Versicherten der Kategorie „andere Versicherungsformen“ </t>
  </si>
  <si>
    <t xml:space="preserve">    (HMO, Hausarztmodell…) zugewiesen werden, falls sie eine Kombination dieser Form mit ordentlicher/wählbarer Franchise aufweisen.</t>
  </si>
  <si>
    <t>T 11.15 Durchschnittlicher Versichertenbestand nach Altersklasse und Geschlecht</t>
  </si>
  <si>
    <t>Quelle: Formular EF 3.11</t>
  </si>
  <si>
    <r>
      <t xml:space="preserve">T 11.14  Durchschnittlicher Versichertenbestand </t>
    </r>
    <r>
      <rPr>
        <b/>
        <sz val="12"/>
        <rFont val="Arial"/>
        <family val="2"/>
      </rPr>
      <t>nach Kanton</t>
    </r>
  </si>
  <si>
    <r>
      <t xml:space="preserve">Ausland </t>
    </r>
    <r>
      <rPr>
        <vertAlign val="superscript"/>
        <sz val="11"/>
        <rFont val="Arial"/>
        <family val="2"/>
      </rPr>
      <t>1</t>
    </r>
  </si>
  <si>
    <t>1) Personen mit Wohnsitz/Aufenthalt im Ausland gemäss Art. 4 und 5 KVV.</t>
  </si>
  <si>
    <t>Quelle: Formular EF 3.12</t>
  </si>
  <si>
    <r>
      <t xml:space="preserve">T 11.06  Versichertenbestand nach Versicherungsform </t>
    </r>
    <r>
      <rPr>
        <b/>
        <vertAlign val="superscript"/>
        <sz val="12"/>
        <rFont val="Arial"/>
        <family val="2"/>
      </rPr>
      <t>1</t>
    </r>
    <r>
      <rPr>
        <b/>
        <sz val="12"/>
        <rFont val="Arial"/>
        <family val="2"/>
      </rPr>
      <t xml:space="preserve"> per 31.12.</t>
    </r>
  </si>
  <si>
    <t>Eingeschränkte Wahl (z.B. HMO) *</t>
  </si>
  <si>
    <t xml:space="preserve"> * davon Versicherte, die gleichzeitig eine wählbare Franchise haben</t>
  </si>
  <si>
    <t>1) Für die Zuteilung der Versicherten zu den Versicherungsformen ist die Versicherungsform (Hausarztmodell, HMO…)</t>
  </si>
  <si>
    <t xml:space="preserve">bei der Kategorie „Eingeschränkte Wahl des Leistungserbringers“ massgebend, auch wenn </t>
  </si>
  <si>
    <t>die Versicherung in Kombination mit einer ordentlichen/wählbaren Franchise abgeschlossen wurde.</t>
  </si>
  <si>
    <t>Quelle: Formular EF 3.3</t>
  </si>
  <si>
    <r>
      <t xml:space="preserve">T 11.05 Versichertenbestand per 31.12. nach Versicherungsform </t>
    </r>
    <r>
      <rPr>
        <b/>
        <vertAlign val="superscript"/>
        <sz val="12"/>
        <rFont val="Arial"/>
        <family val="2"/>
      </rPr>
      <t>1</t>
    </r>
    <r>
      <rPr>
        <b/>
        <sz val="12"/>
        <rFont val="Arial"/>
        <family val="2"/>
      </rPr>
      <t xml:space="preserve"> ab 2002</t>
    </r>
  </si>
  <si>
    <t>1) Ab 2006, vgl. Fussnote 1) von Tabelle 11.06.</t>
  </si>
  <si>
    <t>Quelle: T 11.06</t>
  </si>
  <si>
    <t>701-702</t>
  </si>
  <si>
    <r>
      <t xml:space="preserve">– Reserven: Stand per 31.12. in Mio. Fr. </t>
    </r>
    <r>
      <rPr>
        <vertAlign val="superscript"/>
        <sz val="11"/>
        <color indexed="10"/>
        <rFont val="Arial"/>
        <family val="2"/>
      </rPr>
      <t>4</t>
    </r>
  </si>
  <si>
    <r>
      <t xml:space="preserve">– Reserven per 31.12. pro Versicherten in Fr. </t>
    </r>
    <r>
      <rPr>
        <vertAlign val="superscript"/>
        <sz val="11"/>
        <color indexed="10"/>
        <rFont val="Arial"/>
        <family val="2"/>
      </rPr>
      <t>4</t>
    </r>
  </si>
  <si>
    <t xml:space="preserve">5) Reserven in Prozent des Prämiensolls (-&gt; 2011). </t>
  </si>
  <si>
    <t>801-811</t>
  </si>
  <si>
    <t>Risikoausgleich (Liechtenstein)</t>
  </si>
  <si>
    <t>Überschussbeteiligung der Versicherten</t>
  </si>
  <si>
    <t>davon Taggeldversicherung VVG</t>
  </si>
  <si>
    <t>1.12C</t>
  </si>
  <si>
    <t>Bruttoprämien</t>
  </si>
  <si>
    <t>1.12C (-)</t>
  </si>
  <si>
    <r>
      <t xml:space="preserve">Quelle:  2012 -&gt; EF5.8 via ISAK (FIN) und EF1.12C </t>
    </r>
    <r>
      <rPr>
        <i/>
        <sz val="10"/>
        <rFont val="Arial"/>
        <family val="2"/>
      </rPr>
      <t>( -&gt; 2011 Summe EF2.8 -&gt; EF2.10 und EF1.12C)</t>
    </r>
  </si>
  <si>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2002</t>
    </r>
  </si>
  <si>
    <r>
      <t xml:space="preserve">Jahr </t>
    </r>
    <r>
      <rPr>
        <vertAlign val="superscript"/>
        <sz val="11"/>
        <rFont val="Arial"/>
        <family val="2"/>
      </rPr>
      <t>2, 3</t>
    </r>
  </si>
  <si>
    <t>Total des</t>
  </si>
  <si>
    <t>Total Ver-</t>
  </si>
  <si>
    <t>sicherungs-</t>
  </si>
  <si>
    <t>betriebs-</t>
  </si>
  <si>
    <t>ertrags</t>
  </si>
  <si>
    <t>und Betriebs-</t>
  </si>
  <si>
    <t>ergebnis</t>
  </si>
  <si>
    <t>aufwand</t>
  </si>
  <si>
    <t>2) Vorjahresvergleiche sind nur mit Vorbehalt möglich, da jene Zusatzversicherungen VVG, welche auch unternehmensrechtlich</t>
  </si>
  <si>
    <t>vom KVG-Bereich eines Versicherers abgetrennt werden, sich der Sicht der BAG-Krankenversicherungsstatistik entziehen.</t>
  </si>
  <si>
    <t>3) Revidierte Zahlen für 2002 und 2003 (ohne T 7.06).</t>
  </si>
  <si>
    <r>
      <t xml:space="preserve">Quelle: 2012 -&gt; EF5.8 3 + 995, EF5.8 4 + 5, EF5.8 999 via ISAK (FIN) </t>
    </r>
    <r>
      <rPr>
        <i/>
        <sz val="10"/>
        <rFont val="Arial"/>
        <family val="2"/>
      </rPr>
      <t>( -&gt; 2011 T 7.02 )</t>
    </r>
  </si>
  <si>
    <t>7: Andere Versicherungen der vom BAG anerkannten Krankenversicherer</t>
  </si>
  <si>
    <t>Ertrag, Aufwand und Ergebnis der anderen Versicherungen insgesamt ab 2002</t>
  </si>
  <si>
    <t>Betriebsrechnung der Zusatzversicherungen VVG</t>
  </si>
  <si>
    <t>(STAT 12 -&gt;)</t>
  </si>
  <si>
    <t>(inkl. Liechstenstein und Versicherte wohnhaft im Ausland)</t>
  </si>
  <si>
    <t>6: Freiwillige Taggeldversicherung KVG</t>
  </si>
  <si>
    <t>Prämien, Leistungen, Versichertenbestand und Versichererbestand ab 2002</t>
  </si>
  <si>
    <t>Ertrag, Aufwand und Ergebnis ab 2002</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</si>
  <si>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</si>
  <si>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</si>
  <si>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</si>
  <si>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</si>
  <si>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T 6.01 Prämien, Leistungen, Versichertenbestand und Versichererbestand ab 2002</t>
  </si>
  <si>
    <t>Prämiensoll</t>
  </si>
  <si>
    <t>Versi-</t>
  </si>
  <si>
    <t xml:space="preserve"> pro</t>
  </si>
  <si>
    <t>cherten-</t>
  </si>
  <si>
    <t>cherer-</t>
  </si>
  <si>
    <t>Versicherte(n)</t>
  </si>
  <si>
    <r>
      <t xml:space="preserve">bestand </t>
    </r>
    <r>
      <rPr>
        <vertAlign val="superscript"/>
        <sz val="11"/>
        <rFont val="Arial"/>
        <family val="2"/>
      </rPr>
      <t>1</t>
    </r>
  </si>
  <si>
    <t>bestand</t>
  </si>
  <si>
    <r>
      <t xml:space="preserve">in Fr. </t>
    </r>
    <r>
      <rPr>
        <vertAlign val="superscript"/>
        <sz val="11"/>
        <rFont val="Arial"/>
        <family val="2"/>
      </rPr>
      <t>1</t>
    </r>
  </si>
  <si>
    <t>Quelle: T 6.03</t>
  </si>
  <si>
    <t xml:space="preserve">1) Versichertenbestand am 31.12. </t>
  </si>
  <si>
    <r>
      <t xml:space="preserve">    </t>
    </r>
    <r>
      <rPr>
        <u/>
        <sz val="10"/>
        <rFont val="Arial"/>
        <family val="2"/>
      </rPr>
      <t>Nur Einzelversicherung.</t>
    </r>
  </si>
  <si>
    <t>T 6.02 Ertrag, Aufwand und Ergebnis in Franken ab 2002</t>
  </si>
  <si>
    <t xml:space="preserve">aufwand </t>
  </si>
  <si>
    <r>
      <t xml:space="preserve">Quelle: 2012 -&gt; T 6.04 EF5.0 + 5.1 3, 995, 4, 5, 999 via ISAK (FIN) </t>
    </r>
    <r>
      <rPr>
        <i/>
        <sz val="10"/>
        <rFont val="Arial"/>
        <family val="2"/>
      </rPr>
      <t>( -&gt; 2011 T 6.04 )</t>
    </r>
    <r>
      <rPr>
        <sz val="10"/>
        <rFont val="Arial"/>
        <family val="2"/>
      </rPr>
      <t xml:space="preserve"> </t>
    </r>
  </si>
  <si>
    <r>
      <t xml:space="preserve">T 6.03 Versicherer, Versicherte, Prämien und Leistungen nach Einzel- und Kollektivverträgen </t>
    </r>
    <r>
      <rPr>
        <b/>
        <vertAlign val="superscript"/>
        <sz val="12"/>
        <rFont val="Arial"/>
        <family val="2"/>
      </rPr>
      <t>1</t>
    </r>
  </si>
  <si>
    <t>Anzahl / Betrag</t>
  </si>
  <si>
    <t>Einzel-</t>
  </si>
  <si>
    <t>Kollektiv-</t>
  </si>
  <si>
    <t>versicherung</t>
  </si>
  <si>
    <r>
      <t xml:space="preserve">versicherung </t>
    </r>
    <r>
      <rPr>
        <vertAlign val="superscript"/>
        <sz val="11"/>
        <rFont val="Arial"/>
        <family val="2"/>
      </rPr>
      <t>3</t>
    </r>
  </si>
  <si>
    <t>1999 alt</t>
  </si>
  <si>
    <t>1999 neu</t>
  </si>
  <si>
    <t>Anzahl Versicherer</t>
  </si>
  <si>
    <r>
      <t xml:space="preserve">Versichertenbestand </t>
    </r>
    <r>
      <rPr>
        <b/>
        <vertAlign val="superscript"/>
        <sz val="11"/>
        <rFont val="Arial"/>
        <family val="2"/>
      </rPr>
      <t>2</t>
    </r>
  </si>
  <si>
    <t>Prämiensoll in Franken</t>
  </si>
  <si>
    <t>Prämiensoll in Franken pro Versicherte(n)</t>
  </si>
  <si>
    <t xml:space="preserve">Leistungen in Franken </t>
  </si>
  <si>
    <t>davon Mutterschaft</t>
  </si>
  <si>
    <t>Leistungen in Franken pro Versicherte(n)</t>
  </si>
  <si>
    <t>Quelle: Formular EF 3.9</t>
  </si>
  <si>
    <t>1) Getrennte Rechnungsführung für die Einzel- und die Kollektivversicherung wird nur bei unterschiedlichen Prämientarifen</t>
  </si>
  <si>
    <t>verlangt (vgl. Art. 75 Abs. 2 KVG).</t>
  </si>
  <si>
    <t>2) Versichertenbestand am 31.12.</t>
  </si>
  <si>
    <t>3) In der Kollektivversicherung gibt es auch Lohnsummenverträge, bei denen die Zahl der Versicherten nicht bekannt ist.</t>
  </si>
  <si>
    <t xml:space="preserve">T 6.04  Betriebsrechnung der Einzel- und Kollektivversicherung insgesamt </t>
  </si>
  <si>
    <t>3000-05</t>
  </si>
  <si>
    <t>4000-05</t>
  </si>
  <si>
    <r>
      <t xml:space="preserve">Quelle:  2012 -&gt; Summe EF5.0 -&gt; EF5.1 via ISAK (FIN) </t>
    </r>
    <r>
      <rPr>
        <i/>
        <sz val="10"/>
        <rFont val="Arial"/>
        <family val="2"/>
      </rPr>
      <t>( -&gt; 2011 Summe EF2.0 -&gt; EF2.1 )</t>
    </r>
  </si>
  <si>
    <r>
      <t xml:space="preserve">T 6.05  Betriebsrechnung der Einzelversicherung </t>
    </r>
    <r>
      <rPr>
        <b/>
        <vertAlign val="superscript"/>
        <sz val="12"/>
        <rFont val="Arial"/>
        <family val="2"/>
      </rPr>
      <t>1</t>
    </r>
  </si>
  <si>
    <r>
      <t xml:space="preserve">Quelle:  2012 -&gt; EF5.0 via ISAK (FIN)  </t>
    </r>
    <r>
      <rPr>
        <i/>
        <sz val="10"/>
        <rFont val="Arial"/>
        <family val="2"/>
      </rPr>
      <t>( -&gt; 2011 EF2.0 )</t>
    </r>
  </si>
  <si>
    <r>
      <t xml:space="preserve">T 6.06  Betriebsrechnung der Kollektivversicherung </t>
    </r>
    <r>
      <rPr>
        <b/>
        <vertAlign val="superscript"/>
        <sz val="12"/>
        <rFont val="Arial"/>
        <family val="2"/>
      </rPr>
      <t>1</t>
    </r>
  </si>
  <si>
    <r>
      <t xml:space="preserve">Quelle:  2012 -&gt; EF5.1 via ISAK (FIN)  </t>
    </r>
    <r>
      <rPr>
        <i/>
        <sz val="10"/>
        <rFont val="Arial"/>
        <family val="2"/>
      </rPr>
      <t>( -&gt; 2011 EF2.1 )</t>
    </r>
  </si>
  <si>
    <r>
      <t xml:space="preserve">BS </t>
    </r>
    <r>
      <rPr>
        <vertAlign val="superscript"/>
        <sz val="11"/>
        <color indexed="10"/>
        <rFont val="Arial"/>
        <family val="2"/>
      </rPr>
      <t>2</t>
    </r>
  </si>
  <si>
    <t>2) Von 1996 bis 2012 bezahlte der Kanton BS Subventionen an den Versicherer ÖKK Sympany für die BS-Prämien (Quelle: Staatsrechnung BS). Mit diesen Subventionen kann das effektive Prämiensoll berechnet werden.</t>
  </si>
  <si>
    <t>Subv. in Mio. Fr.</t>
  </si>
  <si>
    <t>Prämien BS mit Subv.</t>
  </si>
  <si>
    <t>8: Gesamtgeschäft der vom BAG anerkannten Krankenversicherer</t>
  </si>
  <si>
    <t>Anzahl Versicherer ab 1996</t>
  </si>
  <si>
    <t>Anzahl Versicherer OKP nach Versichertenbestand ab 2002</t>
  </si>
  <si>
    <t>Stellen, Personal und Löhne in der OKP ab 2002</t>
  </si>
  <si>
    <t>Ertrag, Aufwand und Ergebnis der Versicherer ab 2002</t>
  </si>
  <si>
    <t>Erfolgsrechnung: verdiente Prämien und Leistungsaufwand</t>
  </si>
  <si>
    <t>Betriebsaufwand und betrieblicher Erfolg</t>
  </si>
  <si>
    <t>Aktiven und Passiven der Versicherer ab 2002</t>
  </si>
  <si>
    <t>Eigenkapital, Kapitalanlagen, Grundstücke und Gebäude der Versicherer ab 2002</t>
  </si>
  <si>
    <t>Bilanz: Aktiven der Versicherer per 31.12.</t>
  </si>
  <si>
    <t>Bilanz: Passiven der Versicherer per 31.12.</t>
  </si>
  <si>
    <t xml:space="preserve">Übersicht über die Kapitalanlagen nach Art. 80ff KVV (ohne Werte VVG und UVG) </t>
  </si>
  <si>
    <t>T 8.04  Ertrag, Aufwand und Ergebnis der Versicherer in Mio. Franken ab 2002</t>
  </si>
  <si>
    <r>
      <t xml:space="preserve">ergebnis </t>
    </r>
    <r>
      <rPr>
        <vertAlign val="superscript"/>
        <sz val="11"/>
        <rFont val="Arial"/>
        <family val="2"/>
      </rPr>
      <t>2</t>
    </r>
  </si>
  <si>
    <t>1) Vorjahresvergleiche sind nur mit Vorbehalt möglich, da jene Zusatzversicherungen VAG, welche auch unternehmensrechtlich</t>
  </si>
  <si>
    <r>
      <t xml:space="preserve">2) Jahresergebnis ( = Vorschlag Gesamtbetriebsrechnung minus Rückschlag Gesamtbetriebsrechnung) vor der </t>
    </r>
    <r>
      <rPr>
        <u/>
        <sz val="10"/>
        <rFont val="Arial"/>
        <family val="2"/>
      </rPr>
      <t>Zuweisung</t>
    </r>
    <r>
      <rPr>
        <sz val="10"/>
        <rFont val="Arial"/>
        <family val="2"/>
      </rPr>
      <t xml:space="preserve"> an</t>
    </r>
  </si>
  <si>
    <r>
      <t xml:space="preserve">die - resp. der </t>
    </r>
    <r>
      <rPr>
        <u/>
        <sz val="10"/>
        <rFont val="Arial"/>
        <family val="2"/>
      </rPr>
      <t>Entnahme</t>
    </r>
    <r>
      <rPr>
        <sz val="10"/>
        <rFont val="Arial"/>
        <family val="2"/>
      </rPr>
      <t xml:space="preserve"> von den - Fonds und Reserven.</t>
    </r>
  </si>
  <si>
    <r>
      <t xml:space="preserve">Quelle:  2012 -&gt; EF 4.3 3 + 4.5 7 + 89, EF 4.4 4 + 4.5 5 via ISAK (FIN) </t>
    </r>
    <r>
      <rPr>
        <i/>
        <sz val="9"/>
        <rFont val="Arial"/>
        <family val="2"/>
      </rPr>
      <t>( -&gt; 2011 T 8.05 [6/7]; T 8.06 [3/4]; T 8.06 [800-801] - T 8.05 [800-801] )</t>
    </r>
  </si>
  <si>
    <t>T 8.05 Erfolgsrechnung: verdiente Prämien und Leistungsaufwand</t>
  </si>
  <si>
    <t>Verdiente Prämien für eigene Rechnung</t>
  </si>
  <si>
    <r>
      <t xml:space="preserve">Prämien </t>
    </r>
    <r>
      <rPr>
        <vertAlign val="superscript"/>
        <sz val="11"/>
        <rFont val="Arial"/>
        <family val="2"/>
      </rPr>
      <t>2</t>
    </r>
  </si>
  <si>
    <r>
      <t xml:space="preserve">T 11.01 Durchschnittlicher Versichertenbestand </t>
    </r>
    <r>
      <rPr>
        <b/>
        <vertAlign val="superscript"/>
        <sz val="12"/>
        <rFont val="Arial"/>
        <family val="2"/>
      </rPr>
      <t xml:space="preserve">1  </t>
    </r>
    <r>
      <rPr>
        <b/>
        <sz val="12"/>
        <rFont val="Arial"/>
        <family val="2"/>
      </rPr>
      <t>ab 2002</t>
    </r>
  </si>
  <si>
    <r>
      <t xml:space="preserve">Jahr </t>
    </r>
    <r>
      <rPr>
        <vertAlign val="superscript"/>
        <sz val="11"/>
        <rFont val="Arial"/>
        <family val="2"/>
      </rPr>
      <t>2</t>
    </r>
  </si>
  <si>
    <t>1) Durchschnittlicher Versichertenbestand: Stand aller Monate zusammengezählt und geteilt durch 12.</t>
  </si>
  <si>
    <t>2) Vgl. Fussnote 2) von Tabelle 11.02.</t>
  </si>
  <si>
    <t>Quelle: Formular EF 1.12 A</t>
  </si>
  <si>
    <t>T 11.02  Versichertenbestand per 31.12 ab 2002</t>
  </si>
  <si>
    <r>
      <t xml:space="preserve">Kinder </t>
    </r>
    <r>
      <rPr>
        <vertAlign val="superscript"/>
        <sz val="11"/>
        <rFont val="Arial"/>
        <family val="2"/>
      </rPr>
      <t>1</t>
    </r>
  </si>
  <si>
    <t>1) Personen, die das 18. Altersjahr noch nicht vollendet haben.</t>
  </si>
  <si>
    <t>2) Bis 2001: einschliesslich Versicherte mit Wohnsitz oder Aufenthalt im Ausland gemäss Art. 3, 4 und 5 KVV;</t>
  </si>
  <si>
    <t xml:space="preserve">    ab 2002: einschliesslich Personen mit Wohnsitz oder Aufenthalt im Ausland gemäss Art. 4 und 5 KVV (vgl. Fussnote 1 von Tabelle 11.03).</t>
  </si>
  <si>
    <t>Quelle: T 11.03</t>
  </si>
  <si>
    <t>T 11.03  Versichertenbestand nach Wohnkanton per 31.12.</t>
  </si>
  <si>
    <t xml:space="preserve">Veränderung </t>
  </si>
  <si>
    <t xml:space="preserve">gegenüber </t>
  </si>
  <si>
    <t>Schweiz</t>
  </si>
  <si>
    <t>unbekannt</t>
  </si>
  <si>
    <t xml:space="preserve">Total </t>
  </si>
  <si>
    <t xml:space="preserve">1) Personen mit Wohnort im Ausland gemäss Artikel 4 KVV (Entsandte Arbeitnehmer und Arbeitnehmerinnen) und 5 KVV </t>
  </si>
  <si>
    <t xml:space="preserve">   (Personen im öffentlichen Dienst mit Aufenthalt im Ausland) mit Ausnahme derjenigen Personen, die in einem EU </t>
  </si>
  <si>
    <t xml:space="preserve">   oder EFTA Staat wohnen und gestützt auf das Freizügigkeitsabkommen oder das EFTA-Abkommen der schweizerischen </t>
  </si>
  <si>
    <t xml:space="preserve">  Versicherung unterstellt sind (Art. 1 Abs. 2 Bst. d und e KVV).</t>
  </si>
  <si>
    <t>Quelle: Formular EF 3.2</t>
  </si>
  <si>
    <t>Quelle: T 11.05</t>
  </si>
  <si>
    <t>T 11.08 Verteilung der Versicherungsformen in % nach Kanton: Erwachsene ab 19 Jahren</t>
  </si>
  <si>
    <r>
      <t>Standardmodell</t>
    </r>
    <r>
      <rPr>
        <b/>
        <vertAlign val="superscript"/>
        <sz val="11"/>
        <rFont val="Arial"/>
        <family val="2"/>
      </rPr>
      <t xml:space="preserve"> 1</t>
    </r>
  </si>
  <si>
    <t>Bonus Versicherung</t>
  </si>
  <si>
    <t>Ordentliche Franchise 
(300 Fr.)</t>
  </si>
  <si>
    <t>Wählbare Franchise I 
(500 Fr.)</t>
  </si>
  <si>
    <t>Wählbare Franchise II (1000 Fr.)</t>
  </si>
  <si>
    <t>Wählbare Franchise III (1500 Fr.)</t>
  </si>
  <si>
    <t>Wählbare Franchise IV (2000 Fr.)</t>
  </si>
  <si>
    <t>Wählbare Franchise V (2500 Fr.)</t>
  </si>
  <si>
    <t>Wählbare 
Franchise VI (-)</t>
  </si>
  <si>
    <r>
      <t>Wählbare Franchisen</t>
    </r>
    <r>
      <rPr>
        <b/>
        <sz val="11"/>
        <rFont val="Arial"/>
        <family val="2"/>
      </rPr>
      <t xml:space="preserve"> </t>
    </r>
    <r>
      <rPr>
        <b/>
        <sz val="10"/>
        <rFont val="Arial"/>
        <family val="2"/>
      </rPr>
      <t xml:space="preserve">I -&gt; VI </t>
    </r>
  </si>
  <si>
    <t>Versicherte mit ordentlicher Franchise</t>
  </si>
  <si>
    <t>Versicherte mit wählbarer Franchise</t>
  </si>
  <si>
    <t>* davon Versicherte mit HMO-Modell</t>
  </si>
  <si>
    <t>* davon Versicherte mit Hausarzt-modell</t>
  </si>
  <si>
    <t xml:space="preserve">Quelle: Formular EF 3.24 </t>
  </si>
  <si>
    <t>1) Die Zuteilung der Versicherten nach Versicherungsform erfolgt derart, dass die Versicherten der Kategorie „andere Versicherungsformen“ (HMO, Hausarztmodell…)</t>
  </si>
  <si>
    <t xml:space="preserve">    zugewiesen werden, falls sie eine Kombination dieser Form mit ordentlicher/wählbarer Franchise aufweisen.</t>
  </si>
  <si>
    <t xml:space="preserve">2) Personen mit Wohnsitz oder Aufenthalt im Ausland gemäss Art. 4 und 5 KVV, aber ohne Versicherte, die dem </t>
  </si>
  <si>
    <t>T 11.09 Verteilung der Versicherungsformen in % nach Kanton: Kinder 0 - 18 Jahre</t>
  </si>
  <si>
    <t>Ordentliche Franchise 
(0 Fr.)</t>
  </si>
  <si>
    <t>Wählbare Franchise I 
(100 Fr.)</t>
  </si>
  <si>
    <t>Wählbare Franchise II (200 Fr.)</t>
  </si>
  <si>
    <t>Wählbare Franchise III (300 Fr.)</t>
  </si>
  <si>
    <t>Wählbare Franchise IV (400 Fr.)</t>
  </si>
  <si>
    <t>Wählbare Franchise V (500 Fr.)</t>
  </si>
  <si>
    <t>Wählbare Franchise VI (600 Fr.)</t>
  </si>
  <si>
    <t>Quelle: Formular EF 3.23</t>
  </si>
  <si>
    <r>
      <t xml:space="preserve">T 11.13 Durchschnittlicher Versichertenbestand </t>
    </r>
    <r>
      <rPr>
        <b/>
        <vertAlign val="superscript"/>
        <sz val="12"/>
        <rFont val="Arial"/>
        <family val="2"/>
      </rPr>
      <t>1</t>
    </r>
    <r>
      <rPr>
        <b/>
        <sz val="12"/>
        <rFont val="Arial"/>
        <family val="2"/>
      </rPr>
      <t xml:space="preserve"> und Durchschnittsalter der Versicherten der obligatorischen Krankenpflegeversicherung gemäss Art. 29 KVV</t>
    </r>
  </si>
  <si>
    <r>
      <t xml:space="preserve">a. KVG-Versicherte mit Wohnsitz in der Schweiz und mit schweizerischer Prämie 
(inkl. Versicherte gemäss Art. 4 und 5 KVV) </t>
    </r>
    <r>
      <rPr>
        <b/>
        <vertAlign val="superscript"/>
        <sz val="12"/>
        <rFont val="55 Helvetica Roman"/>
      </rPr>
      <t>2</t>
    </r>
  </si>
  <si>
    <t>Alter</t>
  </si>
  <si>
    <t>männlich</t>
  </si>
  <si>
    <t>weiblich</t>
  </si>
  <si>
    <t>am Total</t>
  </si>
  <si>
    <t>Durchschnittsalter</t>
  </si>
  <si>
    <r>
      <t xml:space="preserve">b. KVG-Versicherte mit Wohnsitz in einem EG-Staat, in Island oder in Norwegen, inklusive Grenzgänger </t>
    </r>
    <r>
      <rPr>
        <b/>
        <vertAlign val="superscript"/>
        <sz val="12"/>
        <rFont val="Arial"/>
        <family val="2"/>
      </rPr>
      <t>3</t>
    </r>
  </si>
  <si>
    <r>
      <t xml:space="preserve">c. KVG-Versicherte mit Wohnsitz in einem EG-Staat, in Island oder in Norwegen, nur Grenzgänger </t>
    </r>
    <r>
      <rPr>
        <b/>
        <vertAlign val="superscript"/>
        <sz val="12"/>
        <rFont val="Arial"/>
        <family val="2"/>
      </rPr>
      <t>4</t>
    </r>
  </si>
  <si>
    <t>1) Durchschnittsbestand = Stand aller Monate zusammengezählt und geteilt durch 12.</t>
  </si>
  <si>
    <t>2) Versichertenbestand per 31.12: siehe T 11.02.</t>
  </si>
  <si>
    <t>3) Betriebsrechnung: siehe T 1.07.</t>
  </si>
  <si>
    <t>4) Grenzgänger, sowie ihre nichterwerbstätigen Familienangehörigen (Versicherte gemäss Art. 3 KVV).</t>
  </si>
  <si>
    <t>Quelle: A: Formular EF 3.1 und 3.8.1 / B: Formular EF 1.12 D / C: Formular EF 1.12 E</t>
  </si>
  <si>
    <r>
      <t xml:space="preserve">T 11.18 Durchschnittlicher Versichertenbestand  </t>
    </r>
    <r>
      <rPr>
        <b/>
        <vertAlign val="superscript"/>
        <sz val="12"/>
        <rFont val="Arial"/>
        <family val="2"/>
      </rPr>
      <t xml:space="preserve">1 2 </t>
    </r>
    <r>
      <rPr>
        <b/>
        <sz val="12"/>
        <rFont val="Arial"/>
        <family val="2"/>
      </rPr>
      <t xml:space="preserve"> nach Kanton in tausend ab 1996</t>
    </r>
  </si>
  <si>
    <t xml:space="preserve">Quelle: CH T 1.01   /  Kantone 1996 -&gt; 2008: Versichertenbestand der Statistik des Risikoausgleichs, Gemeinsame Einrichtung KVG   /   2009 -&gt; EF 3.12 </t>
  </si>
  <si>
    <r>
      <t xml:space="preserve">Siehe Fussnote 2) in T 11.04. Von den Angaben des EF 3.12 werden seit 2009 die Kategorien </t>
    </r>
    <r>
      <rPr>
        <i/>
        <sz val="10"/>
        <rFont val="Arial"/>
        <family val="2"/>
      </rPr>
      <t>Ausland</t>
    </r>
    <r>
      <rPr>
        <sz val="10"/>
        <rFont val="Arial"/>
        <family val="2"/>
      </rPr>
      <t xml:space="preserve"> und </t>
    </r>
    <r>
      <rPr>
        <i/>
        <sz val="10"/>
        <rFont val="Arial"/>
        <family val="2"/>
      </rPr>
      <t>Unbekannt</t>
    </r>
    <r>
      <rPr>
        <sz val="10"/>
        <rFont val="Arial"/>
        <family val="2"/>
      </rPr>
      <t xml:space="preserve"> hier nicht aufgeführt: siehe T 11.14.</t>
    </r>
  </si>
  <si>
    <t>T 8.06 Betriebsaufwand und betrieblicher Erfolg</t>
  </si>
  <si>
    <t>Diverser Personalaufwand</t>
  </si>
  <si>
    <t xml:space="preserve">Sonstiger Betriebsaufwand </t>
  </si>
  <si>
    <t>Provisionen</t>
  </si>
  <si>
    <t xml:space="preserve">Abschreibungen  </t>
  </si>
  <si>
    <t>5</t>
  </si>
  <si>
    <t>Übriger betrieblicher Erfolg und Kapitalerfolg</t>
  </si>
  <si>
    <t>Übriger betrieblicher Ertrag KVG + VVG</t>
  </si>
  <si>
    <t>Übriger betrieblicher Ertrag KVG</t>
  </si>
  <si>
    <t>Liquide Mittel KVG</t>
  </si>
  <si>
    <t>Forderungen KVG</t>
  </si>
  <si>
    <t>Gewinn aus Veräusserung von Anlagevermögen KVG</t>
  </si>
  <si>
    <t>Weiterer übriger betrieblicher Ertrag KVG</t>
  </si>
  <si>
    <t>Übriger betrieblicher Ertrag VVG</t>
  </si>
  <si>
    <t>Übriger betrieblicher Aufwand KVG + VVG</t>
  </si>
  <si>
    <t>Übriger betrieblicher Aufwand KVG</t>
  </si>
  <si>
    <t xml:space="preserve">Kurzfristige Verbindlichkeiten KVG                                            </t>
  </si>
  <si>
    <t xml:space="preserve">Langfristige Verbindlichkeiten KVG                                        </t>
  </si>
  <si>
    <t xml:space="preserve">Verlust aus Veräusserung von Anlagevermögen KVG             </t>
  </si>
  <si>
    <t>Weiterer übriger betrieblicher Aufwand KVG</t>
  </si>
  <si>
    <t>Übriger betrieblicher Aufwand VVG</t>
  </si>
  <si>
    <t>Erfolg aus Kapitalanlagen KVG + VVG</t>
  </si>
  <si>
    <t>Erfolg aus Kapitalanlagen KVG</t>
  </si>
  <si>
    <t>Liegenschaftsertrag KVG</t>
  </si>
  <si>
    <t>Liegenschaftsaufwand KVG</t>
  </si>
  <si>
    <t>Hypothekarzinsaufwand KVG</t>
  </si>
  <si>
    <t>Ertrag aus Wertschriften und übrige Anlagen</t>
  </si>
  <si>
    <t>Realisierte Kursgewinne KVG</t>
  </si>
  <si>
    <t>Nicht realisierte Kursgewinne KVG</t>
  </si>
  <si>
    <t>Realisierte Kursverluste KVG</t>
  </si>
  <si>
    <t>Nicht realisierte Kursverluste KVG</t>
  </si>
  <si>
    <t>Erfolg aus Kapitalanlagen VVG</t>
  </si>
  <si>
    <t>Betriebsfremder und ausserordentlicher Erfolg</t>
  </si>
  <si>
    <t>Ertragssteuern</t>
  </si>
  <si>
    <t>Total Kontenklasse 8 und 9</t>
  </si>
  <si>
    <r>
      <t xml:space="preserve">Quelle:  2012 -&gt; EF4.5 via ISAK (FIN) </t>
    </r>
    <r>
      <rPr>
        <i/>
        <sz val="10"/>
        <rFont val="Arial"/>
        <family val="2"/>
      </rPr>
      <t>( -&gt;  2011 EF1.6 -&gt; EF1.7 )</t>
    </r>
  </si>
  <si>
    <t>T 8.07 Aktiven und Passiven der Versicherer in Mio. Franken ab 2002</t>
  </si>
  <si>
    <t>Aktiven</t>
  </si>
  <si>
    <t>Passiven</t>
  </si>
  <si>
    <t>Bilanz-</t>
  </si>
  <si>
    <t>Umlauf-</t>
  </si>
  <si>
    <t>Anlage-</t>
  </si>
  <si>
    <t>Fremd-</t>
  </si>
  <si>
    <t>Fonds und</t>
  </si>
  <si>
    <t>summe</t>
  </si>
  <si>
    <t>vermögen</t>
  </si>
  <si>
    <t>kapital</t>
  </si>
  <si>
    <t>Reserven</t>
  </si>
  <si>
    <t>1) Bestände per Jahresende; Vorjahresvergleiche sind nur mit Vorbehalt möglich, da jene Zusatzversicherungen VVG, welche</t>
  </si>
  <si>
    <t>auch unternehmensrechtlich vom KVG-Bereich eines Versicherers abgetrennt werden, sich der Sicht der BAG-Krankenversi-</t>
  </si>
  <si>
    <t>cherungsstatistik entziehen.</t>
  </si>
  <si>
    <t>T 8.08  Eigenkapital, Kapitalanlagen, Grundstücke und Gebäude der Versicherer ab 2002</t>
  </si>
  <si>
    <t>Eigenkapital</t>
  </si>
  <si>
    <t>Eigenkapital-</t>
  </si>
  <si>
    <t>Kapital-</t>
  </si>
  <si>
    <t>Grundstücke</t>
  </si>
  <si>
    <r>
      <t xml:space="preserve">quote </t>
    </r>
    <r>
      <rPr>
        <vertAlign val="superscript"/>
        <sz val="11"/>
        <rFont val="Arial"/>
        <family val="2"/>
      </rPr>
      <t>1</t>
    </r>
  </si>
  <si>
    <t>anlagen</t>
  </si>
  <si>
    <t>und Gebäude</t>
  </si>
  <si>
    <t xml:space="preserve">1) Eigenkapital in % des Prämiensolls. </t>
  </si>
  <si>
    <t>T 8.09  Bilanz: Aktiven der Versicherer per 31.12.</t>
  </si>
  <si>
    <t>Anteil</t>
  </si>
  <si>
    <t>Anlagevermögen</t>
  </si>
  <si>
    <t>Kapitalanlagen</t>
  </si>
  <si>
    <t>Kapitalanlagen KVG</t>
  </si>
  <si>
    <t>Kapitalanlagen VVG</t>
  </si>
  <si>
    <t>Kapitalanlagen UVG</t>
  </si>
  <si>
    <t>Latente Steuern</t>
  </si>
  <si>
    <t>Aktiven aus Vorsorgeplänen</t>
  </si>
  <si>
    <t>Immatrielle Anlagen</t>
  </si>
  <si>
    <t>Lizenzen</t>
  </si>
  <si>
    <t>Patente</t>
  </si>
  <si>
    <t>EDV (Software)</t>
  </si>
  <si>
    <t>Entwicklungskosten</t>
  </si>
  <si>
    <t>Aktivierte Abschlusskosten</t>
  </si>
  <si>
    <t>Sachanlagen</t>
  </si>
  <si>
    <t>Betriebseinrichtungen und Mobiliar</t>
  </si>
  <si>
    <t>EDV (Hardware)</t>
  </si>
  <si>
    <t>Fahrzeuge</t>
  </si>
  <si>
    <t>Total Anlagevermögen</t>
  </si>
  <si>
    <t>Umlaufvermögen</t>
  </si>
  <si>
    <t>Rechnungsabgrenzungen</t>
  </si>
  <si>
    <t>Marchzinsen</t>
  </si>
  <si>
    <t>Übrige Transitorische Aktiven</t>
  </si>
  <si>
    <t>Dirkekte Steuern</t>
  </si>
  <si>
    <t>Forderungen</t>
  </si>
  <si>
    <t>Forderungen Versicherungsnehmer</t>
  </si>
  <si>
    <t>Forderungen Risikoausgleich</t>
  </si>
  <si>
    <t>Versicherungsorganisationen</t>
  </si>
  <si>
    <t>Agenten und Vermittler</t>
  </si>
  <si>
    <t>Gegenüber staatlichen Stellen</t>
  </si>
  <si>
    <t>Übrige Forderungen</t>
  </si>
  <si>
    <t>Forderungen bei nahestehenden Organisationen und Personen</t>
  </si>
  <si>
    <t>Konzerngesellschaften</t>
  </si>
  <si>
    <t>Partner</t>
  </si>
  <si>
    <t>Andere Beteiligungsgesellschaften</t>
  </si>
  <si>
    <t>Flüssige Mittel</t>
  </si>
  <si>
    <t>Total Umlaufvermögen</t>
  </si>
  <si>
    <t>Total Aktiven</t>
  </si>
  <si>
    <r>
      <t xml:space="preserve">Quelle: 2012 -&gt; EF4.1 via ISAK (FIN)  </t>
    </r>
    <r>
      <rPr>
        <i/>
        <sz val="10"/>
        <rFont val="Arial"/>
        <family val="2"/>
      </rPr>
      <t>( -&gt; 2011  EF1.3 )</t>
    </r>
  </si>
  <si>
    <t>T 8.10  Bilanz: Passiven der Versicherer per 31.12.</t>
  </si>
  <si>
    <t>Kapital der Organisation</t>
  </si>
  <si>
    <t>Kapitalreserven</t>
  </si>
  <si>
    <t>Eigene Anteile am Kapital der Organisation</t>
  </si>
  <si>
    <t>Gewinnreserven bzw. kumulierte Verluste</t>
  </si>
  <si>
    <t>Reserven KVG</t>
  </si>
  <si>
    <t>Reserven OKP CH</t>
  </si>
  <si>
    <t>Reserven OKP EU/EFTA</t>
  </si>
  <si>
    <t>Reserven freiwilliges Taggeld KVG</t>
  </si>
  <si>
    <t>Reserven aktive Rückversicherung KVG</t>
  </si>
  <si>
    <t>Reserven VVG inkl. FL</t>
  </si>
  <si>
    <t>Reserven UVG</t>
  </si>
  <si>
    <t>Einkaufssummen fusionierter Versicherer</t>
  </si>
  <si>
    <t>Total Eigenkapital</t>
  </si>
  <si>
    <t>Fremdkapital</t>
  </si>
  <si>
    <t>Versicherungstechnische Rückstellungen für eigene Rechnung</t>
  </si>
  <si>
    <t>Versicherungstechnische Rückstellungen für freiwilliges Taggeld KVG</t>
  </si>
  <si>
    <t>Versicherungstechnische Rückstellungen für OKP inkl. EU/EFTA</t>
  </si>
  <si>
    <t>Versicherungstechnische Rückstellungen für OKP CH</t>
  </si>
  <si>
    <t>Versicherungstechnische Rückstellungen für OKP EU/EFTA</t>
  </si>
  <si>
    <t>Versicherungstechnische Rückstellungen für Aktive Rückversicherung gem. KVG</t>
  </si>
  <si>
    <t>Versicherungstechnische Rückstellungen für eigene Rechnung VVG inkl. FL</t>
  </si>
  <si>
    <t>Versicherungstechnische Rückstellungen UVG</t>
  </si>
  <si>
    <t>Versicherungstechnische Schwankungs- und Sicherheitsrückstellungen VVG</t>
  </si>
  <si>
    <t>Nichtversicherungstechnische Rückstellungen</t>
  </si>
  <si>
    <t>Rückstellungen für Risiken in den Kapitalanlagen VVG / UVG</t>
  </si>
  <si>
    <t>Langfristige Verbindlichkeiten</t>
  </si>
  <si>
    <t>Verbindlichkeiten Dritte</t>
  </si>
  <si>
    <t>Verbindlichkeiten Leistungserbringer</t>
  </si>
  <si>
    <t>Vorausbezahlte Prämien der Versicherten</t>
  </si>
  <si>
    <t>Passive Durchgangskonti</t>
  </si>
  <si>
    <t>Gemeinsame Einrichtung KVG</t>
  </si>
  <si>
    <t>Verbindlichkeiten Lieferanten und Übrige</t>
  </si>
  <si>
    <t>Verbindlichkeiten gegenüber nahestehenden Organisationen und Personen</t>
  </si>
  <si>
    <t>Rechnungsabgrenzung</t>
  </si>
  <si>
    <t>Total Fremdkapital</t>
  </si>
  <si>
    <t>Total Passiven</t>
  </si>
  <si>
    <r>
      <t xml:space="preserve">Quelle:  2012 -&gt; EF4.2 via ISAK (FIN)  </t>
    </r>
    <r>
      <rPr>
        <i/>
        <sz val="10"/>
        <rFont val="Arial"/>
        <family val="2"/>
      </rPr>
      <t>( -&gt;  2011 EF1.4, EF1.5 )</t>
    </r>
  </si>
  <si>
    <t xml:space="preserve">T 8.11 Übersicht über die Kapitalanlagen nach Art. 80ff KVV (ohne Werte VVG und UVG) </t>
  </si>
  <si>
    <t>Liquidität (Art. 80d Abs. 1 Bst. a KVV)</t>
  </si>
  <si>
    <t>010</t>
  </si>
  <si>
    <t>effektiv abgesicherte Anlagen 1, 2</t>
  </si>
  <si>
    <t>020</t>
  </si>
  <si>
    <t>nicht effektiv abgesicherte Anlagen 3</t>
  </si>
  <si>
    <t>030</t>
  </si>
  <si>
    <t>Obligationen (Art. 80d Abs. 1 Bst. b KVV)</t>
  </si>
  <si>
    <t>040</t>
  </si>
  <si>
    <t>050</t>
  </si>
  <si>
    <t>060</t>
  </si>
  <si>
    <t>Eigenkapitalbeteiligungen (Art. 80d Abs. 1 Bst. c KVV)</t>
  </si>
  <si>
    <t>070</t>
  </si>
  <si>
    <t>080</t>
  </si>
  <si>
    <t>090</t>
  </si>
  <si>
    <t>Immobilien (Grundstücke und Gebäude) (Art. 80d Abs. 1 Bst. d KVV)</t>
  </si>
  <si>
    <t>Anlagen in Institutionen, die der Durchführung der sozialen Krankenversicherung dienen (Art. 80d Abs. 1 Bst. e KVV)</t>
  </si>
  <si>
    <t>Kollektive Kapitalanlagen (Art. 80g KVV) 4</t>
  </si>
  <si>
    <t>In kollektiven Anlagen enthaltene Liquidität (Art. 80d Abs. 1 Bst. a KVV)</t>
  </si>
  <si>
    <t>In kollektiven Anlagen enthaltene "Obligationen" (Art. 80d Abs. 1 Bst. b KVV)</t>
  </si>
  <si>
    <t>In kollektiven Anlagen enthaltene Eigenkapitalbeteiligungen (Art. 80d Abs. 1 Bst. c KVV)</t>
  </si>
  <si>
    <t>In kollektiven Anlagen enthaltene Immobilien (Art. 80d Abs. 1 Bst. d KVV)</t>
  </si>
  <si>
    <t>Total kollektive Anlagen</t>
  </si>
  <si>
    <t>Derivative Finanzinstrumente (Art. 80h KVV)</t>
  </si>
  <si>
    <t>Anlagen, die der Absicherung dienen</t>
  </si>
  <si>
    <t xml:space="preserve">Total Kapitalanlagen gemäss Art. 80ff KVV </t>
  </si>
  <si>
    <t>effektiv abgesicherte Anlagen</t>
  </si>
  <si>
    <t>- effektiv abgesicherte Anlagen sind Anlagen, deren Kurs und Währung vollständig abgesichert sind.</t>
  </si>
  <si>
    <t xml:space="preserve">- Werden Fremdwährungen pauschal abgesichert (z.B. 80% des gesamten Fremdwährungsbestandes), </t>
  </si>
  <si>
    <t>müssen die Absicherungen zum Ausfüllen dieser Tabelle vom Versicherer einzelnen Anlagen zugeordnet werden.</t>
  </si>
  <si>
    <t>nicht effektiv abgesicherte Anlagen</t>
  </si>
  <si>
    <t xml:space="preserve">nicht effektiv abgesicherte Anlagen sind Anlagen  </t>
  </si>
  <si>
    <t xml:space="preserve">  - die nicht abgesichert</t>
  </si>
  <si>
    <t xml:space="preserve">  - die nur unvollständig gegen Kurs- und Währungsschwankungen abgesichert sind.</t>
  </si>
  <si>
    <t>kollektive Anlagen</t>
  </si>
  <si>
    <t>Die Versicherer haben gemäss Art. 80g Abs. 3 KVV 2 Möglichkeiten die kollektiven Anlagen den Anlagekategorien zuzuordnen:</t>
  </si>
  <si>
    <t xml:space="preserve">1. Anteilsmässige Aufteilung auf die Anlagekategorien und Währungen. </t>
  </si>
  <si>
    <t>2. Zuordnung zu der Anlagekategorie oder Währung mit der stärksten Begrenzung.</t>
  </si>
  <si>
    <r>
      <t xml:space="preserve">Quelle: 2012 -&gt; EF4.6 via ISAK (FIN)   </t>
    </r>
    <r>
      <rPr>
        <i/>
        <sz val="10"/>
        <rFont val="Arial"/>
        <family val="2"/>
      </rPr>
      <t>( -&gt; 2011 EF1.11 )</t>
    </r>
  </si>
  <si>
    <t>Prämien TG KVG</t>
  </si>
  <si>
    <r>
      <t xml:space="preserve">Prämien OKP </t>
    </r>
    <r>
      <rPr>
        <i/>
        <sz val="11"/>
        <rFont val="Arial"/>
        <family val="2"/>
      </rPr>
      <t>(CH und EU/EFTA)</t>
    </r>
  </si>
  <si>
    <t>Ordentliche Franchise CH</t>
  </si>
  <si>
    <t>Ordentliche Franchise EU/EFTA</t>
  </si>
  <si>
    <t>Wählbare Franchise</t>
  </si>
  <si>
    <t>Bonus-OKP</t>
  </si>
  <si>
    <t>HMO</t>
  </si>
  <si>
    <t>Hausarztmodell</t>
  </si>
  <si>
    <t>Andere Versicherungsformen</t>
  </si>
  <si>
    <t>Prämien VVG (inkl. FL)</t>
  </si>
  <si>
    <t>Erlösminderungen auf Prämien</t>
  </si>
  <si>
    <t>Prämienanteile der Rückversicherer</t>
  </si>
  <si>
    <t>Prämienverbilligung und sonstige Beiträge/Subventionen</t>
  </si>
  <si>
    <t>Angerechnete und ausbezahlte Beiträge an die Versicherten</t>
  </si>
  <si>
    <t>Total verdiente Prämien</t>
  </si>
  <si>
    <r>
      <t xml:space="preserve">Leistungen </t>
    </r>
    <r>
      <rPr>
        <i/>
        <sz val="11"/>
        <rFont val="Arial"/>
        <family val="2"/>
      </rPr>
      <t>(mit TG KVG und VVG)</t>
    </r>
    <r>
      <rPr>
        <sz val="11"/>
        <rFont val="Arial"/>
        <family val="2"/>
      </rPr>
      <t xml:space="preserve"> </t>
    </r>
    <r>
      <rPr>
        <vertAlign val="superscript"/>
        <sz val="11"/>
        <rFont val="Arial"/>
        <family val="2"/>
      </rPr>
      <t>3 5</t>
    </r>
  </si>
  <si>
    <r>
      <t xml:space="preserve">Bruttoleistungen OKP KVG </t>
    </r>
    <r>
      <rPr>
        <i/>
        <sz val="11"/>
        <rFont val="Arial"/>
        <family val="2"/>
      </rPr>
      <t xml:space="preserve">(CH und EU/EFTA) </t>
    </r>
    <r>
      <rPr>
        <vertAlign val="superscript"/>
        <sz val="11"/>
        <rFont val="Arial"/>
        <family val="2"/>
      </rPr>
      <t>3</t>
    </r>
  </si>
  <si>
    <t>Bruttoleistungen VVG inkl. FL</t>
  </si>
  <si>
    <r>
      <t xml:space="preserve">Kostenbeteiligungen der Versicherten </t>
    </r>
    <r>
      <rPr>
        <i/>
        <sz val="11"/>
        <rFont val="Arial"/>
        <family val="2"/>
      </rPr>
      <t>(CH und EU/EFTA)</t>
    </r>
    <r>
      <rPr>
        <sz val="11"/>
        <rFont val="Arial"/>
        <family val="2"/>
      </rPr>
      <t xml:space="preserve"> </t>
    </r>
    <r>
      <rPr>
        <vertAlign val="superscript"/>
        <sz val="11"/>
        <rFont val="Arial"/>
        <family val="2"/>
      </rPr>
      <t>4</t>
    </r>
  </si>
  <si>
    <t>Zusatzversicherungen VVG (inkl. FL)</t>
  </si>
  <si>
    <r>
      <t xml:space="preserve">Abschreibungen auf Kostenbeteiligungen </t>
    </r>
    <r>
      <rPr>
        <i/>
        <sz val="11"/>
        <rFont val="Arial"/>
        <family val="2"/>
      </rPr>
      <t>(CH und EU/EFTA)</t>
    </r>
    <r>
      <rPr>
        <sz val="11"/>
        <rFont val="Arial"/>
        <family val="2"/>
      </rPr>
      <t xml:space="preserve"> </t>
    </r>
    <r>
      <rPr>
        <vertAlign val="superscript"/>
        <sz val="11"/>
        <rFont val="Arial"/>
        <family val="2"/>
      </rPr>
      <t>4</t>
    </r>
  </si>
  <si>
    <t>Sonstige Leistungen</t>
  </si>
  <si>
    <t>Rückversicherungsleistungen</t>
  </si>
  <si>
    <t>Leistungsanteile passive Rückversicherung</t>
  </si>
  <si>
    <t>Leistungsanteile aktive Rückversicherung</t>
  </si>
  <si>
    <t>Veränderung versicherungstechnische Rückstellungen für eigene Rechnung</t>
  </si>
  <si>
    <t>Veränd. der versicherungstechnischen Schwankungs- und Sicherheitsrückstellungen VVG</t>
  </si>
  <si>
    <t>Risikoausgleich zwischen Versicherer</t>
  </si>
  <si>
    <t>Überschussbeteiligungen der Versicherten VVG</t>
  </si>
  <si>
    <t>Total Leistungsaufwand</t>
  </si>
  <si>
    <r>
      <t xml:space="preserve">2) Prämiensoll OKP CH </t>
    </r>
    <r>
      <rPr>
        <i/>
        <sz val="10"/>
        <rFont val="Arial"/>
        <family val="2"/>
      </rPr>
      <t>= 301 - 3011</t>
    </r>
    <r>
      <rPr>
        <sz val="10"/>
        <rFont val="Arial"/>
        <family val="2"/>
      </rPr>
      <t xml:space="preserve"> (vgl. T 3.06 et 1.02)</t>
    </r>
  </si>
  <si>
    <r>
      <t xml:space="preserve">3) Bruttoleistungen (-) OKP CH </t>
    </r>
    <r>
      <rPr>
        <i/>
        <sz val="10"/>
        <rFont val="Arial"/>
        <family val="2"/>
      </rPr>
      <t>= 401 - 4011</t>
    </r>
    <r>
      <rPr>
        <sz val="10"/>
        <rFont val="Arial"/>
        <family val="2"/>
      </rPr>
      <t xml:space="preserve"> (vgl. T 2.04 et 1.02) </t>
    </r>
  </si>
  <si>
    <r>
      <t xml:space="preserve">Source:  2012 -&gt; EF4.3, EF4.4 via ISAK (FIN)  </t>
    </r>
    <r>
      <rPr>
        <i/>
        <sz val="10"/>
        <rFont val="Arial"/>
        <family val="2"/>
      </rPr>
      <t>( -&gt; 2011 EF1.8 -&gt; EF1.9 )</t>
    </r>
  </si>
  <si>
    <r>
      <t xml:space="preserve">T 11.07 Verteilung der Versicherten (Kinder und Erwachsene) nach Versicherungsform </t>
    </r>
    <r>
      <rPr>
        <b/>
        <vertAlign val="superscript"/>
        <sz val="12"/>
        <color indexed="10"/>
        <rFont val="Arial"/>
        <family val="2"/>
      </rPr>
      <t>1</t>
    </r>
    <r>
      <rPr>
        <b/>
        <sz val="12"/>
        <rFont val="Arial"/>
        <family val="2"/>
      </rPr>
      <t xml:space="preserve"> ab 2002</t>
    </r>
  </si>
  <si>
    <t>5) Nettoleistungen OKP CH = Bruttoleistungen OKP CH - Kostenbeteiligung OKP CH   (vgl. T 2.07 und 1.02)</t>
  </si>
  <si>
    <t xml:space="preserve"> ( -&gt; 2011  T 8.10 [29] ; T 8.05 [60-63] ; T 8.11 [17, 18] )</t>
  </si>
  <si>
    <r>
      <t xml:space="preserve">Quelle: 2012 -&gt; </t>
    </r>
    <r>
      <rPr>
        <sz val="10"/>
        <color indexed="10"/>
        <rFont val="Arial"/>
        <family val="2"/>
      </rPr>
      <t>T 8.10 [20], T 8.05 [300, 301, 302], T 8.09 [990], T 8.11 [100]</t>
    </r>
    <r>
      <rPr>
        <sz val="10"/>
        <rFont val="Arial"/>
        <family val="2"/>
      </rPr>
      <t xml:space="preserve">  via ISAK (FIN)  </t>
    </r>
  </si>
  <si>
    <r>
      <t xml:space="preserve">Quelle: 2012 -&gt; </t>
    </r>
    <r>
      <rPr>
        <sz val="10"/>
        <color indexed="10"/>
        <rFont val="Arial"/>
        <family val="2"/>
      </rPr>
      <t>T 8.09 [991], 8.09 [990], 8.10 [21], 8.10 [20] , 8.09 [1], 8.10 [2]</t>
    </r>
    <r>
      <rPr>
        <sz val="10"/>
        <rFont val="Arial"/>
        <family val="2"/>
      </rPr>
      <t xml:space="preserve"> via ISAK (FIN)  </t>
    </r>
    <r>
      <rPr>
        <i/>
        <sz val="10"/>
        <rFont val="Arial"/>
        <family val="2"/>
      </rPr>
      <t xml:space="preserve"> ( -&gt; 2011 T 8.09; T 8.10 )</t>
    </r>
  </si>
  <si>
    <r>
      <t>4) Kostenbeteiligung OKP</t>
    </r>
    <r>
      <rPr>
        <sz val="9"/>
        <rFont val="Arial"/>
        <family val="2"/>
      </rPr>
      <t xml:space="preserve"> </t>
    </r>
    <r>
      <rPr>
        <sz val="10"/>
        <rFont val="Arial"/>
        <family val="2"/>
      </rPr>
      <t xml:space="preserve">CH = </t>
    </r>
    <r>
      <rPr>
        <i/>
        <sz val="10"/>
        <color indexed="10"/>
        <rFont val="Arial"/>
        <family val="2"/>
      </rPr>
      <t>(420 - 4201 - 4207) + (421 - 4211 - 4217)</t>
    </r>
    <r>
      <rPr>
        <sz val="10"/>
        <rFont val="Arial"/>
        <family val="2"/>
      </rPr>
      <t xml:space="preserve">     (vgl. T 2.10 et 1.02)</t>
    </r>
  </si>
  <si>
    <t>Datenstand: 25.9.13</t>
  </si>
  <si>
    <t>501-506</t>
  </si>
  <si>
    <t>12: Prämientarif in der OKP</t>
  </si>
  <si>
    <t>Standardprämien ab 1996: CH</t>
  </si>
  <si>
    <t>Standardprämien pro Kanton für Erwachsene pro Prämienregion 2014</t>
  </si>
  <si>
    <t>Standardprämien pro Kanton für junge Erwachsene pro Prämienregion 2014</t>
  </si>
  <si>
    <t>Standardprämien pro Kanton für Kinder pro Prämienregion 2014</t>
  </si>
  <si>
    <t>Verteilung der Standardprämien pro Kanton für Erwachsene 2014</t>
  </si>
  <si>
    <t>Verteilung der Standardprämien pro Kanton für junge Erwachsene 2014</t>
  </si>
  <si>
    <t>Verteilung der Standardprämien pro Kanton für Kinder 2014</t>
  </si>
  <si>
    <r>
      <t xml:space="preserve">T 12.04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</si>
  <si>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R1</t>
  </si>
  <si>
    <t>R2</t>
  </si>
  <si>
    <t>R3</t>
  </si>
  <si>
    <t>RU</t>
  </si>
  <si>
    <t>Jahresdurch-</t>
  </si>
  <si>
    <r>
      <t xml:space="preserve">Kinder </t>
    </r>
    <r>
      <rPr>
        <b/>
        <vertAlign val="superscript"/>
        <sz val="11"/>
        <rFont val="Arial"/>
        <family val="2"/>
      </rPr>
      <t>3</t>
    </r>
  </si>
  <si>
    <t>schnittliche</t>
  </si>
  <si>
    <t>Quelle: Genehmigungsverfahren für Krankenversicherungsprämien, BAG.</t>
  </si>
  <si>
    <t>1) Vgl. Fussnote 1) von Tabelle 12.01.</t>
  </si>
  <si>
    <t>2) Die Krankenkassen dürfen innerhalb eines Kantons bis zu drei unterschiedliche Regionaltarife anwenden (R1, R2, R3).</t>
  </si>
  <si>
    <t>Einige Kantone haben nur eine Region: die Krankenkassen wenden eine Einheitsprämie an (RU).</t>
  </si>
  <si>
    <t>3) Prämien publiziert im OKP Prämienwegweiser 2014 vom BAG.</t>
  </si>
  <si>
    <r>
      <t xml:space="preserve">T 12.03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</si>
  <si>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t xml:space="preserve">Alle </t>
  </si>
  <si>
    <t>junge</t>
  </si>
  <si>
    <r>
      <t xml:space="preserve">Erwachsene </t>
    </r>
    <r>
      <rPr>
        <b/>
        <vertAlign val="superscript"/>
        <sz val="11"/>
        <rFont val="Arial"/>
        <family val="2"/>
      </rPr>
      <t>3</t>
    </r>
  </si>
  <si>
    <r>
      <t xml:space="preserve">T 12.02  Prämientarif: Standardprämien </t>
    </r>
    <r>
      <rPr>
        <b/>
        <vertAlign val="superscript"/>
        <sz val="12"/>
        <rFont val="Arial"/>
        <family val="2"/>
      </rPr>
      <t>1</t>
    </r>
    <r>
      <rPr>
        <b/>
        <sz val="12"/>
        <rFont val="Arial"/>
        <family val="2"/>
      </rPr>
      <t xml:space="preserve">  pro Prämienregion </t>
    </r>
    <r>
      <rPr>
        <b/>
        <vertAlign val="superscript"/>
        <sz val="12"/>
        <rFont val="Arial"/>
        <family val="2"/>
      </rPr>
      <t xml:space="preserve">2 </t>
    </r>
    <r>
      <rPr>
        <b/>
        <sz val="12"/>
        <rFont val="Arial"/>
        <family val="2"/>
      </rPr>
      <t>pro Kanton</t>
    </r>
  </si>
  <si>
    <r>
      <t xml:space="preserve">T 12.01 Prämientarif: Standardprämien </t>
    </r>
    <r>
      <rPr>
        <b/>
        <vertAlign val="superscript"/>
        <sz val="12"/>
        <rFont val="Arial"/>
        <family val="2"/>
      </rPr>
      <t>1</t>
    </r>
    <r>
      <rPr>
        <b/>
        <sz val="12"/>
        <rFont val="Arial"/>
        <family val="2"/>
      </rPr>
      <t xml:space="preserve">  OKP in Franken ab 1996: CH</t>
    </r>
  </si>
  <si>
    <r>
      <t xml:space="preserve">(26 J. und älter) </t>
    </r>
    <r>
      <rPr>
        <vertAlign val="superscript"/>
        <sz val="11"/>
        <rFont val="Arial"/>
        <family val="2"/>
      </rPr>
      <t>2</t>
    </r>
  </si>
  <si>
    <r>
      <t xml:space="preserve">(0-18 Jahre) </t>
    </r>
    <r>
      <rPr>
        <vertAlign val="superscript"/>
        <sz val="11"/>
        <rFont val="Arial"/>
        <family val="2"/>
      </rPr>
      <t>4</t>
    </r>
  </si>
  <si>
    <r>
      <t xml:space="preserve">(19-25 Jahre) </t>
    </r>
    <r>
      <rPr>
        <vertAlign val="superscript"/>
        <sz val="11"/>
        <rFont val="Arial"/>
        <family val="2"/>
      </rPr>
      <t>3</t>
    </r>
  </si>
  <si>
    <t>Quelle: T 12.02, 12.03, 12.04</t>
  </si>
  <si>
    <r>
      <t>1) Prämien publiziert in den OKP Prämienwegweisern 1996-&gt;2014 vom BAG (</t>
    </r>
    <r>
      <rPr>
        <i/>
        <sz val="10"/>
        <rFont val="Arial"/>
        <family val="2"/>
      </rPr>
      <t>Prämienübersicht</t>
    </r>
    <r>
      <rPr>
        <sz val="10"/>
        <rFont val="Arial"/>
        <family val="2"/>
      </rPr>
      <t>).</t>
    </r>
  </si>
  <si>
    <r>
      <t xml:space="preserve">Ausgewiesen wird die </t>
    </r>
    <r>
      <rPr>
        <b/>
        <sz val="10"/>
        <rFont val="Arial"/>
        <family val="2"/>
      </rPr>
      <t>geschätzte</t>
    </r>
    <r>
      <rPr>
        <sz val="10"/>
        <rFont val="Arial"/>
        <family val="2"/>
      </rPr>
      <t xml:space="preserve"> monatliche Durchschnittsprämie </t>
    </r>
    <r>
      <rPr>
        <b/>
        <sz val="10"/>
        <rFont val="Arial"/>
        <family val="2"/>
      </rPr>
      <t>OKP</t>
    </r>
    <r>
      <rPr>
        <sz val="10"/>
        <rFont val="Arial"/>
        <family val="2"/>
      </rPr>
      <t xml:space="preserve"> in Franken; die Berechnungen beruhen auf den Prämientarifen</t>
    </r>
  </si>
  <si>
    <r>
      <rPr>
        <b/>
        <sz val="10"/>
        <rFont val="Arial"/>
        <family val="2"/>
      </rPr>
      <t>inklusive Unfalldeckung der ordentlichen Franchise</t>
    </r>
    <r>
      <rPr>
        <sz val="10"/>
        <rFont val="Arial"/>
        <family val="2"/>
      </rPr>
      <t xml:space="preserve"> und auf den Versichertenbeständen nach Kantonen, nach Versicherer </t>
    </r>
  </si>
  <si>
    <t xml:space="preserve">und nach Prämienregionen, gegebenenfalls mit provisorisch genehmigten Prämien, ohne Berücksichtigung einer allfälligen </t>
  </si>
  <si>
    <t xml:space="preserve">unterjährigen Prämienerhöhung eines Versicherers. Die Tarife der Versicherungsmodelle mit wählbarer Franchise, </t>
  </si>
  <si>
    <t xml:space="preserve">Bonus oder eingeschränkter Wahl des Leistungserbringers wurden hier nicht berücksichtigt. </t>
  </si>
  <si>
    <t>2) Die Werte für 1996 wurden revidiert. Diese Werte beziehen sich auf das KVG-Einführungsjahr und sind infolge teilweise</t>
  </si>
  <si>
    <t>unvollständiger Daten mit Zurückhaltung zu interpretieren.</t>
  </si>
  <si>
    <t>3) Die Werte für 1996 wurden revidiert. Sie wurden mittels der Veränderungen 1996/97 der Durchschnittsprämien der Erwachsenen geschätzt.</t>
  </si>
  <si>
    <t>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</si>
  <si>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</si>
  <si>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</si>
  <si>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4) Die Werte für 1996 wurden revidiert. Sie wurden mittels der Veränderungen 1996/97 der Durchschnittsprämien der Erwachsenen geschätzt.</t>
  </si>
  <si>
    <t>für Kinder (0 - 18 Jahre) in Franken für 2014</t>
  </si>
  <si>
    <t>für junge Erwachsene (19 - 25 Jahre) in Franken für 2014</t>
  </si>
  <si>
    <t>für Erwachsene (26 Jahre und mehr) in Franken für 2014</t>
  </si>
  <si>
    <t>–</t>
  </si>
  <si>
    <t>1996 - 2014</t>
  </si>
  <si>
    <r>
      <t xml:space="preserve">T 5.06 KVG-Solvenztest </t>
    </r>
    <r>
      <rPr>
        <b/>
        <vertAlign val="superscript"/>
        <sz val="12"/>
        <rFont val="Arial"/>
        <family val="2"/>
      </rPr>
      <t>1</t>
    </r>
    <r>
      <rPr>
        <b/>
        <sz val="12"/>
        <rFont val="Arial"/>
        <family val="2"/>
      </rPr>
      <t xml:space="preserve"> 2013</t>
    </r>
  </si>
  <si>
    <t>BAG-</t>
  </si>
  <si>
    <r>
      <t xml:space="preserve">Name des KVG-Versicherers </t>
    </r>
    <r>
      <rPr>
        <vertAlign val="superscript"/>
        <sz val="10"/>
        <rFont val="Arial"/>
        <family val="2"/>
      </rPr>
      <t>2</t>
    </r>
  </si>
  <si>
    <t xml:space="preserve">Vorhandene  </t>
  </si>
  <si>
    <t xml:space="preserve">Mindesthöhe </t>
  </si>
  <si>
    <t>Nr.</t>
  </si>
  <si>
    <r>
      <t xml:space="preserve">Reserven </t>
    </r>
    <r>
      <rPr>
        <vertAlign val="superscript"/>
        <sz val="10"/>
        <rFont val="Arial"/>
        <family val="2"/>
      </rPr>
      <t>3</t>
    </r>
  </si>
  <si>
    <t>der Reserven</t>
  </si>
  <si>
    <t>per 1.1.2013</t>
  </si>
  <si>
    <t>1) Die Mindesthöhe der Reserven wird ab 2012 in einem Modell bestimmt, das die Risiken der Versicherer individuell berücksichtigt (KVG-Solvenztest, vgl. Art. 78ff. KVV).</t>
  </si>
  <si>
    <t xml:space="preserve">2) Name des Versicherers eventuell gekürzt. </t>
  </si>
  <si>
    <t xml:space="preserve"> Die Krankenkasse INNOVA (1563) fusionierte per 1.1.2013 mit der Krankenkasse Vivacare (1570) -&gt; kein Solvenztest für das Jahr 2013.</t>
  </si>
  <si>
    <t xml:space="preserve"> *) Die Stopp-Loss-Rückversicherungsverträge der Sanitas Gruppe wurden im Solvenztest 2013 noch nicht berücksichtigt. Die Stopp-Loss-Rückversicherung reduziert</t>
  </si>
  <si>
    <t xml:space="preserve"> im KVG-Solvenztest das Parameterrisiko (Unsicherheit in der Einschätzung von versicherungstechnischen Parametern) und als Konsequenz davon die erforderliche </t>
  </si>
  <si>
    <t xml:space="preserve"> Mindesthöhe der Reserven. Deshalb  ist die hier aufgeführte Mindesthöhe der Reserven zu hoch und folglich die Solvenzquote zu tief. Die Solvenzquote ist bei den </t>
  </si>
  <si>
    <t xml:space="preserve"> betroffenen Kassen bereits jetzt erfüllt. Mit der Berücksichtigung der Stopp-Loss-Rückversicherungen  wird sich die Solvenzquote noch weiter erhöhen.</t>
  </si>
  <si>
    <t>3) Inkl. Reserven für die freiwillige Taggeldversicherung.</t>
  </si>
  <si>
    <t>Quelle: Solvenztest BAG 2013</t>
  </si>
  <si>
    <r>
      <t xml:space="preserve">T 5.05 OKP: Durchschnittlicher Versichertenbestand nach Versicherer und Kanton </t>
    </r>
    <r>
      <rPr>
        <b/>
        <vertAlign val="superscript"/>
        <sz val="12"/>
        <rFont val="Arial"/>
        <family val="2"/>
      </rPr>
      <t>1</t>
    </r>
  </si>
  <si>
    <r>
      <t xml:space="preserve">Name des OKP Versicherers </t>
    </r>
    <r>
      <rPr>
        <vertAlign val="superscript"/>
        <sz val="10"/>
        <rFont val="Arial"/>
        <family val="2"/>
      </rPr>
      <t>2</t>
    </r>
  </si>
  <si>
    <r>
      <t xml:space="preserve">Ausland </t>
    </r>
    <r>
      <rPr>
        <vertAlign val="superscript"/>
        <sz val="10"/>
        <rFont val="Arial"/>
        <family val="2"/>
      </rPr>
      <t>3</t>
    </r>
  </si>
  <si>
    <t>1</t>
  </si>
  <si>
    <t>2</t>
  </si>
  <si>
    <t>3</t>
  </si>
  <si>
    <t>4</t>
  </si>
  <si>
    <t>6</t>
  </si>
  <si>
    <t>7</t>
  </si>
  <si>
    <t>8</t>
  </si>
  <si>
    <t>9</t>
  </si>
  <si>
    <t>10</t>
  </si>
  <si>
    <t>11</t>
  </si>
  <si>
    <t>12</t>
  </si>
  <si>
    <t>13</t>
  </si>
  <si>
    <t>14</t>
  </si>
  <si>
    <t>15</t>
  </si>
  <si>
    <t>16</t>
  </si>
  <si>
    <t>17</t>
  </si>
  <si>
    <t>18</t>
  </si>
  <si>
    <t>19</t>
  </si>
  <si>
    <t>20</t>
  </si>
  <si>
    <t>21</t>
  </si>
  <si>
    <t>22</t>
  </si>
  <si>
    <t>23</t>
  </si>
  <si>
    <t>24</t>
  </si>
  <si>
    <t>25</t>
  </si>
  <si>
    <t>26</t>
  </si>
  <si>
    <t>27</t>
  </si>
  <si>
    <t>1) Bei den durchschnittlichen Versichertenbeständen der OKP (pro Kanton und Versicherer), die auf der OKP-Prämienseite des BAG publiziert werden, wird den Fusionen von Versicherern bis zum Moment der Gültigkeit der publizierten Prämien Rechnung getragen; aus diesem Grund kann es Unterschiede zwischen den Tabellen geben.</t>
  </si>
  <si>
    <t>2) Name des Versicherers eventuell gekürzt. Name gültig 2011.</t>
  </si>
  <si>
    <t>3) Personen mit Wohnort im Ausland gemäss Artikel 4 KVV (Entsandte Arbeitnehmer und Arbeitnehmerinnen) und 5 KVV (Personen im öffentlichen Dienst mit Aufenthalt im Ausland) mit Ausnahme derjenigen Personen, die in einem EU oder EFTA Staat wohnen und gestützt auf das Freizügigkeitsakbommen oder das EFTA-Abkommen der schweizerischen Versicherung unterstellt sind (Art. 1 Abs. 2 Bst. d und e KVV).</t>
  </si>
  <si>
    <t>Quelle: EF 3.12</t>
  </si>
  <si>
    <t>T 5.04  Mutationen bei den Krankenversicherern</t>
  </si>
  <si>
    <t>Name des Versicherers</t>
  </si>
  <si>
    <t>Datum</t>
  </si>
  <si>
    <t>nicht mehr</t>
  </si>
  <si>
    <t>Neuer</t>
  </si>
  <si>
    <t>Neues</t>
  </si>
  <si>
    <t>Zusammenschluss oder Transfer mit</t>
  </si>
  <si>
    <t>in der</t>
  </si>
  <si>
    <t>Versicherer</t>
  </si>
  <si>
    <t>Name</t>
  </si>
  <si>
    <t>Tätigkeits-</t>
  </si>
  <si>
    <t>BAG-Nr. / Versicherer</t>
  </si>
  <si>
    <r>
      <t xml:space="preserve">BAG-Liste </t>
    </r>
    <r>
      <rPr>
        <vertAlign val="superscript"/>
        <sz val="10"/>
        <rFont val="Arial"/>
        <family val="2"/>
      </rPr>
      <t>1</t>
    </r>
  </si>
  <si>
    <t>gebiet</t>
  </si>
  <si>
    <t>innova Wallis AG</t>
  </si>
  <si>
    <t>01.01.12</t>
  </si>
  <si>
    <t>x</t>
  </si>
  <si>
    <t>innova Krankenversicherung AG</t>
  </si>
  <si>
    <t>Auxilia Kranken-Versicherung AG</t>
  </si>
  <si>
    <t>Intras Kranken-Versicherung AG</t>
  </si>
  <si>
    <t>Stiftung Visana</t>
  </si>
  <si>
    <t>Visana AG</t>
  </si>
  <si>
    <t>Stiftung Agrisano</t>
  </si>
  <si>
    <t>Agrisano Krankenkasse AG</t>
  </si>
  <si>
    <t>1) Nach dem Entzug der Anerkennung als Krankenversicherer wurden die Leistungen falls notwendig durch den Insolvenzfonds (Gemeinsame Einrichtung) erbracht.</t>
  </si>
  <si>
    <t>Quelle: Verzeichnisse der zugelassenen Krankenversicherer (Mitteilungen) BAG 01/12  10/12  (www.bag.admin.ch, Rubrik Versicherer und Aufsicht)</t>
  </si>
  <si>
    <t>T 5.03 KVG-Versicherer: Daten zur freiwilligen Taggeldversicherung</t>
  </si>
  <si>
    <r>
      <t xml:space="preserve">Name des KVG-Versicherers </t>
    </r>
    <r>
      <rPr>
        <vertAlign val="superscript"/>
        <sz val="10"/>
        <rFont val="Arial"/>
        <family val="2"/>
      </rPr>
      <t>1</t>
    </r>
  </si>
  <si>
    <t>KVG-Versi-</t>
  </si>
  <si>
    <t>Prämien</t>
  </si>
  <si>
    <t>Verwaltungs-</t>
  </si>
  <si>
    <t>Stand der</t>
  </si>
  <si>
    <t>cherer nur mit</t>
  </si>
  <si>
    <t xml:space="preserve">aufwand + </t>
  </si>
  <si>
    <t xml:space="preserve"> Rückstel-</t>
  </si>
  <si>
    <t xml:space="preserve">freiwilliger </t>
  </si>
  <si>
    <t>Abschrei-</t>
  </si>
  <si>
    <t>lungen</t>
  </si>
  <si>
    <t>Taggeldversi-</t>
  </si>
  <si>
    <t>in Tausend</t>
  </si>
  <si>
    <t>bungen in</t>
  </si>
  <si>
    <t>cherung : *</t>
  </si>
  <si>
    <t>Fr.</t>
  </si>
  <si>
    <t>Tausend Fr.</t>
  </si>
  <si>
    <t>1) Es gibt OKP-Versicherer, die in der freiwilligen KVG-Krankentaggeld keine Versicherten haben. Name des Versicherers eventuell gekürzt. Name gültig 2012.</t>
  </si>
  <si>
    <t>Quelle: Formular EF123</t>
  </si>
  <si>
    <t>BAG-Nr. nur wenn [2] oder [3] &lt; &gt; 0</t>
  </si>
  <si>
    <t>* wenn EF 1.12A Total = 0 (keine Versicherten in der OKP)</t>
  </si>
  <si>
    <t>Total EF 3.9.2</t>
  </si>
  <si>
    <t>Total EF 3.9.3</t>
  </si>
  <si>
    <t xml:space="preserve">EF2 Konten 40-47 + 48 Krankheit + Unfall Seiten 2.0 -&gt; 2.1 </t>
  </si>
  <si>
    <t>EF2 Konten Gesamtbetriebergebnis {ohne Position} Krankheit + Unfall Seiten 2.0 -&gt; 2.1</t>
  </si>
  <si>
    <t>EF 1.4 Konto 271</t>
  </si>
  <si>
    <t>EF 1.5 Konto 291</t>
  </si>
  <si>
    <t>T 5.02 Erklärungen und Quellen für die Aufsichtsdaten OKP (T 5.01)</t>
  </si>
  <si>
    <t>0) Nur OKP Versicherer</t>
  </si>
  <si>
    <t>Name des Versicherers eventuell gekürzt, Name gültig 2012.</t>
  </si>
  <si>
    <t>1) Durchschnittlicher Versichertenbestand (nur OKP Versicherer)</t>
  </si>
  <si>
    <t xml:space="preserve">Durchschnittsbestand = Mittelwert aller Monate </t>
  </si>
  <si>
    <t>2) Einnahmen Total (in Mio. Fr.)</t>
  </si>
  <si>
    <t>Prämiensoll, Subventionen und Prämienverbilligungen, Erlösminderungen (Rabatte und Skonti) sowie die übrigen Erträge (Kapital- und Liegenschaftserträge).</t>
  </si>
  <si>
    <t>3A + 3B) Prämien (in Mio. Fr., je versicherte Person in Fr.)</t>
  </si>
  <si>
    <t>Prämiensoll = Prämiensumme gemäss den genehmigten Prämientarifen.</t>
  </si>
  <si>
    <t>4A + 4B + 4C) Risikoausgleich (in Mio. Fr., je versicherte Person in Fr., und in % der Einnahmen)</t>
  </si>
  <si>
    <t xml:space="preserve">Über den Risikoausgleich erhalten Versicherer mit überdurchschnittlich kostenverursachenden Versicherten (Frauen, ältere Personen) Beiträge, </t>
  </si>
  <si>
    <t>welche von den Versicherern mit unterdurchschnittlich kostenverursachenden Versicherten (Männer, jüngere Personen) finanziert werden.</t>
  </si>
  <si>
    <t xml:space="preserve">Eine positive Prozentzahl bedeutet, dass der Versicherer in den Risikoausgleich einzahlen muss, ein negativer Wert steht bei Versicherern, </t>
  </si>
  <si>
    <t>welche aus dem Risikoausgleich Mittel beziehen können.</t>
  </si>
  <si>
    <t>5A + 5B) Nettoleistungen der Versicherer (in Mio. Fr. und je versicherte Person in Fr.)</t>
  </si>
  <si>
    <t>Nettoleistungen = Bezahlte Leistungen der Versicherer an die Leistungserbringer (Ärzte, Spitäler, Apotheken, usw.)</t>
  </si>
  <si>
    <t>nach Abzug der Kostenbeteiligung der Versicherten (Franchise / Selbstbehalt / Tagespauschale im Spital).</t>
  </si>
  <si>
    <t>6A + 6B + 6C) Verwaltungsaufwand und Abschreibungen (in % der Ausgaben, in % der Prämien - Risikoausgleich und je versicherte Person in Fr.)</t>
  </si>
  <si>
    <t xml:space="preserve">Personalaufwand inkl. Sozialleistungen, Verwaltungsräumlichkeiten und Betriebseinrichtungen, EDV-Kosten, Versicherungsprämien </t>
  </si>
  <si>
    <t>(Mobiliar, Haftpflicht usw.), Werbung sowie Abschreibungen. Ausgaben = Total des Versicherungs- und Betriebsaufwands.</t>
  </si>
  <si>
    <t xml:space="preserve">7) Gesamtergebnis (je versicherte Person in Fr.)  </t>
  </si>
  <si>
    <t>Das Gesamtbetriebsergebnis entspricht dem Saldo der Einnahmen (Total des Gesamtertrags) und der Ausgaben (Total des Versicherungs- und Betriebsaufwands).</t>
  </si>
  <si>
    <t xml:space="preserve">8A + 8B) Rückstellungen (in Mio. Fr. und je versicherte Person in Fr.)  </t>
  </si>
  <si>
    <t xml:space="preserve">Rückstellungen für unerledigte Versicherungsfälle, welche am Ende des Jahres für diejenigen Leistungen gebildet werden müssen, </t>
  </si>
  <si>
    <t>welche von den Versicherten bereits in Anspruch genommen worden sind, für die sie aber noch keine Rechnungen erhalten haben.</t>
  </si>
  <si>
    <t xml:space="preserve">Es handelt sich hierbei um geschuldete Leistungen, welche die Versicherer im folgenden Jahr noch zu erbringen haben; sie stellen somit keine Reserven dar. </t>
  </si>
  <si>
    <t xml:space="preserve">9A + 9B) Reserven (in Mio. Fr., je versicherte Person in Fr.)  </t>
  </si>
  <si>
    <t>Sicherheits- und Schwankungsreserven = Mittel, die dem Versicherer zur Sicherstellung der langfristigen eigenen Zahlungsfähigkeit dienen.</t>
  </si>
  <si>
    <t>Je nach Grösse des Versicherers müssen folgende Mindestsätze (Reserven in % des jährlichen Prämiensolls) erreicht werden (Art. 78 KVV -&gt; 2011):</t>
  </si>
  <si>
    <t>≤ 100</t>
  </si>
  <si>
    <t>≤ 500</t>
  </si>
  <si>
    <t>≤ 1'000</t>
  </si>
  <si>
    <t>≤ 2'500</t>
  </si>
  <si>
    <t>≤ 5'000</t>
  </si>
  <si>
    <t>≤ 10'000</t>
  </si>
  <si>
    <t>≤ 50'000</t>
  </si>
  <si>
    <r>
      <t>≤ 250'</t>
    </r>
    <r>
      <rPr>
        <sz val="10"/>
        <color indexed="8"/>
        <rFont val="Arial"/>
        <family val="2"/>
      </rPr>
      <t>000</t>
    </r>
  </si>
  <si>
    <r>
      <t>&gt; 250'</t>
    </r>
    <r>
      <rPr>
        <sz val="10"/>
        <color indexed="8"/>
        <rFont val="Arial"/>
        <family val="2"/>
      </rPr>
      <t>000</t>
    </r>
  </si>
  <si>
    <t>1996 -&gt; 2003 **</t>
  </si>
  <si>
    <t>≤  50'000</t>
  </si>
  <si>
    <t>≤  150'000</t>
  </si>
  <si>
    <t>≤  250'000</t>
  </si>
  <si>
    <t>&gt; 250'000</t>
  </si>
  <si>
    <t>2004 -&gt; 2006</t>
  </si>
  <si>
    <t>20% *</t>
  </si>
  <si>
    <t>2009 -&gt; 2011</t>
  </si>
  <si>
    <t>*) Versicherer mit weniger als 50 000 Versicherten sind verpflichtet, eine Rückversicherung abzuschliessen.</t>
  </si>
  <si>
    <t>**) Dabei dürfen Versicherer mit einer entsprechenden Rückversicherung oder Defizitgarantie den Mindestsatz der Reserven unterschreiten.</t>
  </si>
  <si>
    <t xml:space="preserve">2012 -&gt; </t>
  </si>
  <si>
    <t>Neue Berechnungsmethode mit Quantifizierung der versicherungstechnischen Risiken, der marktrisiken und der Kreditrisken gemäss Art. 78 a,b,c KVV</t>
  </si>
  <si>
    <t>(vgl. T 5.06). Die Werte von 2012 sind mit denjenigen aus dem Vorjahr aufgrund der Auflösung von stillen Reserven nicht vergleichbar.</t>
  </si>
  <si>
    <t>11) Verwaltungsaufwand (je versicherte Person in Fr.)</t>
  </si>
  <si>
    <t>12A + 12B) Bruttoleistungen der Versicherer (in Mio. Fr. und je versicherte Person in Fr.)</t>
  </si>
  <si>
    <t>Bruttoleistungen = Leistungen der Versicherer an die Leistungserbringer (Ärzte, Spitäler, Apotheken, usw.)</t>
  </si>
  <si>
    <r>
      <t>mit</t>
    </r>
    <r>
      <rPr>
        <sz val="10"/>
        <color indexed="8"/>
        <rFont val="Arial"/>
        <family val="2"/>
      </rPr>
      <t xml:space="preserve"> Kostenbeteiligung der Versicherten (Franchise / Selbstbehalt / Tagespauschale im Spital).</t>
    </r>
  </si>
  <si>
    <t>13A + 13B) Kostenbeteiligung der Versicherten (in Mio. Fr. und je versicherte Person in Fr.)</t>
  </si>
  <si>
    <t>Kostenbeteiligung der Versicherten: Franchise / Selbstbehalt / Tagespauschale im Spital.</t>
  </si>
  <si>
    <t>Berücksichtigt nur die bei dem Versicherer eingereichten Rechnungen.</t>
  </si>
  <si>
    <t>14) Ausgaben Total (in Mio. Fr.)</t>
  </si>
  <si>
    <t>Ausgaben = Total Versicherungs- und Betriebsaufwand.</t>
  </si>
  <si>
    <t>15) Verhältnis Nettoleistungen / Prämien in %</t>
  </si>
  <si>
    <t xml:space="preserve">Quelle: Formulare EF 1345 </t>
  </si>
  <si>
    <t xml:space="preserve">BAG-Nr. nur wenn EF1.12A Total  &gt; 0 </t>
  </si>
  <si>
    <t xml:space="preserve">EF1.12A Total nur wenn &gt; 0 </t>
  </si>
  <si>
    <t>EF1 Seite 4 Konto 270</t>
  </si>
  <si>
    <t>EF2 Konten 6 + 7 Krankheit + Unfall Seiten 2.2 -&gt; 2.7</t>
  </si>
  <si>
    <t>=( [ 8A ] / [ 1 ] ) in %</t>
  </si>
  <si>
    <t>EF2 Konto 61 Krankheit + Unfall Seiten 2.2 -&gt; 2.7</t>
  </si>
  <si>
    <t>EF1 Seite 5 Konten 290 + 290.9</t>
  </si>
  <si>
    <t>= ( [ 3A ] / [ 1 ] )</t>
  </si>
  <si>
    <t>= ( [ 9A ] / [ 1 ] ) in %</t>
  </si>
  <si>
    <t>4A</t>
  </si>
  <si>
    <t>EF2 Konto 37 Krankheit + Unfall Seiten 2.2 -&gt; 2.7</t>
  </si>
  <si>
    <t>4B</t>
  </si>
  <si>
    <t>(EF2 Konto 37 Krankheit + Unfall Seiten 2.2 -&gt; 2.7) / [ 1 ]</t>
  </si>
  <si>
    <t xml:space="preserve">(EF2 Konten 40-47 Krankheit + Unfall Seiten 2.2 -&gt; 2.7) / [ 1 ] </t>
  </si>
  <si>
    <t>4C</t>
  </si>
  <si>
    <t>(EF2 Konto 37 Krankheit + Unfall Seiten 2.2 -&gt; 2.7) / [ 2 ]</t>
  </si>
  <si>
    <t>=  [ 5A ] + [ 13A ]</t>
  </si>
  <si>
    <t>5A</t>
  </si>
  <si>
    <t>EF2 Konto 30-33 Krankheit + Unfall Seiten 2.2 -&gt; 2.7</t>
  </si>
  <si>
    <t>= ( [ 12A ] / [ 1 ] )</t>
  </si>
  <si>
    <t>5B</t>
  </si>
  <si>
    <t>= ( [ 5A ] / [ 1 ] )</t>
  </si>
  <si>
    <t>= - (EF2 Konto 32 Krankheit + Unfall Seiten 2.2 -&gt; 2.7)</t>
  </si>
  <si>
    <t>(EF2 Konten 40-47 + 48 Krankheit + Unfall Seiten 2.2 -&gt; 2.7) /  [14] in %</t>
  </si>
  <si>
    <t>= ( [ 13A ] / [ 1 ] )</t>
  </si>
  <si>
    <t xml:space="preserve">(EF2 Konten 40-47 + 48 Krankheit + Unfall Seiten 2.2 -&gt; 2.7) / [ 1 ] </t>
  </si>
  <si>
    <t>(EF2 Konto 3/4 Krankheit + Unfall Seiten 2.2 -&gt; 2.7)</t>
  </si>
  <si>
    <t>6C</t>
  </si>
  <si>
    <t>(EF2 Konten 40-47 + 48 Krankheit + Unfall Seiten 2.2 -&gt; 2.7) /  ( [3A] - [4A] ) in %</t>
  </si>
  <si>
    <t>= ( [ 5B ] / [ 3B ] ) in %</t>
  </si>
  <si>
    <t xml:space="preserve">EF2 Konten Gesamtbetriebsergebnis {ohne Position} </t>
  </si>
  <si>
    <t>Krankheit + Unfall Seiten 2.2 -&gt; 2.7 / ( [ 1 ] )</t>
  </si>
  <si>
    <t>Aufsichtsdaten OKP gemäss Art. 31 KVV (Stand 1.1.08) / gemäss Art. 28b KVV (Stand 1.1.09)</t>
  </si>
  <si>
    <t>Datenstand: 19.9.13</t>
  </si>
  <si>
    <t>Datenstand: 3.5.13</t>
  </si>
  <si>
    <t>CSS Kranken-Vers. AG</t>
  </si>
  <si>
    <t>Aquilana Versicherungen</t>
  </si>
  <si>
    <t>Moove Sympany AG</t>
  </si>
  <si>
    <t>Kranken- und Unfallkasse Einsiedeln</t>
  </si>
  <si>
    <t>PROVITA Gesundheitsversicherung AG</t>
  </si>
  <si>
    <t>Sumiswalder Krankenkasse</t>
  </si>
  <si>
    <t>Krankenkasse Steffisburg</t>
  </si>
  <si>
    <t>CONCORDIA Schweiz. Kranken- und Unfallversicherung AG</t>
  </si>
  <si>
    <t>AGILIA Krankenkasse AG</t>
  </si>
  <si>
    <t>Atupri</t>
  </si>
  <si>
    <t>Avenir Assurance Maladie SA</t>
  </si>
  <si>
    <t>Krankenkasse Luzerner Hinterland</t>
  </si>
  <si>
    <t>KPT Krankenkasse AG</t>
  </si>
  <si>
    <t>ÖKK</t>
  </si>
  <si>
    <t>Vivao Sympany AG</t>
  </si>
  <si>
    <t>Krankenversicherung Flaachtal AG</t>
  </si>
  <si>
    <t>Kolping Krankenkasse AG</t>
  </si>
  <si>
    <t>Easy Sana Assurance Maladie SA</t>
  </si>
  <si>
    <t>Glarner Krankenversicherung</t>
  </si>
  <si>
    <t>Cassa da malsauns Lumneziana</t>
  </si>
  <si>
    <t>KLuG Krankenversicherung</t>
  </si>
  <si>
    <t>EGK Grundversicherungen</t>
  </si>
  <si>
    <t>sanavals Gesundheitskasse</t>
  </si>
  <si>
    <t>KRANKENKASSE SLKK</t>
  </si>
  <si>
    <t>sodalis gesundheitsgruppe</t>
  </si>
  <si>
    <t>vita surselva</t>
  </si>
  <si>
    <t>Progrès Versicherungen AG</t>
  </si>
  <si>
    <t>Krankenkasse Visperterminen</t>
  </si>
  <si>
    <t>Wincare Versicherungen AG</t>
  </si>
  <si>
    <t>CM Vallée d'Entremont</t>
  </si>
  <si>
    <t>Krankenkasse Turbenthal</t>
  </si>
  <si>
    <t>Caisse Maladie du Personnel Communal de la Ville de Neuchâtel</t>
  </si>
  <si>
    <t>*</t>
  </si>
  <si>
    <t>KK Wädenswil</t>
  </si>
  <si>
    <t>Krankenkasse Birchmeier</t>
  </si>
  <si>
    <t>kmu-Krankenversicherung</t>
  </si>
  <si>
    <t>Krankenkasse Stoffel Mels KKS</t>
  </si>
  <si>
    <t>Krankenkasse Simplon</t>
  </si>
  <si>
    <t>SWICA Krankenversicherung AG</t>
  </si>
  <si>
    <t>GALENOS Kranken- und Unfallversicherung</t>
  </si>
  <si>
    <t>rhenusana</t>
  </si>
  <si>
    <t>Taggeldkasse bildende KünstlerInnen</t>
  </si>
  <si>
    <t>Publisana</t>
  </si>
  <si>
    <t>Mutuel Assurance Maladie SA</t>
  </si>
  <si>
    <t>Gewerbliche Krankenkasse Bern</t>
  </si>
  <si>
    <t>AMB</t>
  </si>
  <si>
    <t>Sanitas Grundversicherungen AG</t>
  </si>
  <si>
    <t>HOTELA Caisse maladie</t>
  </si>
  <si>
    <t>KSM Krankenkasse Schweiz. Metallbaufirmen</t>
  </si>
  <si>
    <t>Philos Assurance Maladie SA</t>
  </si>
  <si>
    <t xml:space="preserve">Krankengeldversicherung der fenaco-Mitgliedgenossenschaften </t>
  </si>
  <si>
    <t>Helsana Versicherungen AG</t>
  </si>
  <si>
    <t>Avanex Versicherungen AG</t>
  </si>
  <si>
    <t>Sansan Versicherungen AG</t>
  </si>
  <si>
    <t>Arcosana AG</t>
  </si>
  <si>
    <t>maxi.ch Versicherungen AG</t>
  </si>
  <si>
    <t>Compact Grundversicherungen AG</t>
  </si>
  <si>
    <t>SUPRA</t>
  </si>
  <si>
    <t>CONCORDIA Kranken- und Unfallversicherung AG</t>
  </si>
  <si>
    <t>Krankenkasse Zeneggen</t>
  </si>
  <si>
    <t>Krankenkasse Institut Ingenbohl</t>
  </si>
  <si>
    <t>ASSURA</t>
  </si>
  <si>
    <t>sana24 AG</t>
  </si>
  <si>
    <t>vivacare AG</t>
  </si>
  <si>
    <t>Sanagate AG</t>
  </si>
  <si>
    <t xml:space="preserve">Total : </t>
  </si>
  <si>
    <t>CSS Kranken-Versicherung AG</t>
  </si>
  <si>
    <t>Supra</t>
  </si>
  <si>
    <t>Concordia Schweizerische Kranken- und Unfallversicherung AG</t>
  </si>
  <si>
    <t>Atupri Krankenkasse</t>
  </si>
  <si>
    <t>ÖKK Kranken- und Unfallversicherungen AG</t>
  </si>
  <si>
    <t>KRANKENVERSICHERUNG FLAACHTAL AG</t>
  </si>
  <si>
    <t>Kolping Krankenkasse AG*</t>
  </si>
  <si>
    <t>Genossenschaft Glarner Krankenversicherung</t>
  </si>
  <si>
    <t>Sanavals Gesundheitskasse</t>
  </si>
  <si>
    <t>Wincare Versicherungen AG*</t>
  </si>
  <si>
    <t>Caisse maladie Vallée d'Entremont</t>
  </si>
  <si>
    <t>Caisse-maladie du personnel communal de la Ville de Neuchâtel</t>
  </si>
  <si>
    <t>Krankenkasse Wädenswil</t>
  </si>
  <si>
    <t>Krankenkasse Stoffel</t>
  </si>
  <si>
    <t>Publisana Krankenversicherung AG</t>
  </si>
  <si>
    <t>Mutuel Assurance maladie SA</t>
  </si>
  <si>
    <t>AMB Assurance maladie et accidents</t>
  </si>
  <si>
    <t>Sanitas Grundversicherungen AG*</t>
  </si>
  <si>
    <t>INTRAS Kranken-Versicherung AG</t>
  </si>
  <si>
    <t>Krankengeldversicherung der fenaco-Mitgliedgenossenschaften</t>
  </si>
  <si>
    <t>Assura</t>
  </si>
  <si>
    <t>Sana24 AG</t>
  </si>
  <si>
    <t>Vivacare AG</t>
  </si>
  <si>
    <t>Compact Grundversicherungen AG*</t>
  </si>
  <si>
    <t>T 5.01 Aufsichtsdaten OKP</t>
  </si>
  <si>
    <t>Name des OKP Versicherers</t>
  </si>
  <si>
    <t>Durch-</t>
  </si>
  <si>
    <t>Netto-</t>
  </si>
  <si>
    <t>Kosten-</t>
  </si>
  <si>
    <t>Brutto-</t>
  </si>
  <si>
    <t>Risikoaus–</t>
  </si>
  <si>
    <t>Gesamter-</t>
  </si>
  <si>
    <t>Verhältnis</t>
  </si>
  <si>
    <t>Einnahmen</t>
  </si>
  <si>
    <t>Ausgaben</t>
  </si>
  <si>
    <t>Risiko–</t>
  </si>
  <si>
    <t>VVG</t>
  </si>
  <si>
    <t>schnittlicher</t>
  </si>
  <si>
    <t xml:space="preserve">je versicherte </t>
  </si>
  <si>
    <t>leistungen</t>
  </si>
  <si>
    <t>beteiligung</t>
  </si>
  <si>
    <t>gleich je</t>
  </si>
  <si>
    <t>gebnis je</t>
  </si>
  <si>
    <t>Reserven je</t>
  </si>
  <si>
    <t>gleich in %</t>
  </si>
  <si>
    <t>in % der</t>
  </si>
  <si>
    <t>ausgleich</t>
  </si>
  <si>
    <t>Zusatzver-</t>
  </si>
  <si>
    <t>(Verwaltungsauf.</t>
  </si>
  <si>
    <t>Versicher-</t>
  </si>
  <si>
    <t xml:space="preserve">Person </t>
  </si>
  <si>
    <t>je versicherte</t>
  </si>
  <si>
    <t xml:space="preserve"> versicherte</t>
  </si>
  <si>
    <t>versicherte</t>
  </si>
  <si>
    <t>lungen je</t>
  </si>
  <si>
    <t xml:space="preserve">versicherte </t>
  </si>
  <si>
    <t>leistungen /</t>
  </si>
  <si>
    <t>der Ein-</t>
  </si>
  <si>
    <t xml:space="preserve"> in Mio. Fr.</t>
  </si>
  <si>
    <t>sicherungen:</t>
  </si>
  <si>
    <t xml:space="preserve"> je</t>
  </si>
  <si>
    <t>+ Abschreib.) /</t>
  </si>
  <si>
    <t>tenbestand</t>
  </si>
  <si>
    <t>bungen je</t>
  </si>
  <si>
    <t xml:space="preserve"> Person</t>
  </si>
  <si>
    <t>nahmen</t>
  </si>
  <si>
    <t>bungen</t>
  </si>
  <si>
    <t>(Prämien -</t>
  </si>
  <si>
    <t>Person</t>
  </si>
  <si>
    <t xml:space="preserve"> in % der </t>
  </si>
  <si>
    <t>Person in Fr.</t>
  </si>
  <si>
    <t>Risikoausgleich)</t>
  </si>
  <si>
    <t>Quelle und Erklärungen: T 5.02</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</si>
  <si>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</si>
  <si>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</si>
  <si>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</si>
  <si>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</si>
  <si>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</si>
  <si>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OKP: Durchschnittlicher Versichertenbestand nach Versicherer und Kanton</t>
  </si>
  <si>
    <t>KVG-Solvenztest 2013</t>
  </si>
  <si>
    <t>CONCORDIA  AG</t>
  </si>
  <si>
    <t>© Bundesamt für Gesundheit (BAG), EDI</t>
  </si>
  <si>
    <r>
      <t xml:space="preserve">Weitere Informationen für Presse und Medien: </t>
    </r>
    <r>
      <rPr>
        <sz val="10"/>
        <rFont val="Arial"/>
        <family val="2"/>
      </rPr>
      <t>BAG, Informations- und Pressedienst KV</t>
    </r>
  </si>
  <si>
    <r>
      <t xml:space="preserve">STAT KV: Berichte: PDF 1996-2011, Tabellen: XLS 1996-2011, Grafiken: XLS/PDF 2004-2011 auf Internet: </t>
    </r>
    <r>
      <rPr>
        <b/>
        <sz val="11"/>
        <rFont val="55 Helvetica Roman"/>
      </rPr>
      <t xml:space="preserve">www.bag.admin.ch/pyramiden      </t>
    </r>
  </si>
  <si>
    <t>Teil</t>
  </si>
  <si>
    <t>Statistik der obligatorischen Krankenversicherung 2012 (STAT KV 12)</t>
  </si>
  <si>
    <t>30.9.13: T 5.06</t>
  </si>
  <si>
    <t>23.9.13: T 8.05, 8.07, 8.08</t>
  </si>
  <si>
    <t>13.9.13: T 3.08, 11.07</t>
  </si>
  <si>
    <t>11.9.13: T 1.01</t>
  </si>
  <si>
    <t>4.9.13: T 1.01-&gt;1.07</t>
  </si>
  <si>
    <t>4.9.13: T3, 3.01-&gt;3.08, T11,11.05,11.06,11.14-&gt;11.16</t>
  </si>
  <si>
    <t>11.9.13: T6, 6.01-&gt;6.06, T7, 7.01,7.02</t>
  </si>
  <si>
    <t>25.9.13: T5, 5.01-&gt;5.06, T12, 12.01-&gt;12.04</t>
  </si>
  <si>
    <t>3.9.13: T1,1.01-&gt;1.11,T2,2.03,2.04,2.07,2.10,2.12,2.16-&gt;2.19</t>
  </si>
  <si>
    <t>13.9.13: T8,8.04-&gt;8.11,11.01-&gt;11.03,11.07-&gt;11.09,11.13,11.18</t>
  </si>
  <si>
    <t>4) Verhältnis Vorhandene Reserven / Mindesthöhe der Reserven in %.</t>
  </si>
  <si>
    <r>
      <t xml:space="preserve">Solvenzquote </t>
    </r>
    <r>
      <rPr>
        <b/>
        <vertAlign val="superscript"/>
        <sz val="10"/>
        <color indexed="10"/>
        <rFont val="Arial"/>
        <family val="2"/>
      </rPr>
      <t>4</t>
    </r>
  </si>
  <si>
    <r>
      <t xml:space="preserve"> nicht erreichen </t>
    </r>
    <r>
      <rPr>
        <sz val="10"/>
        <color indexed="10"/>
        <rFont val="Arial"/>
        <family val="2"/>
      </rPr>
      <t>(Solvenzquote &lt; 100%)</t>
    </r>
    <r>
      <rPr>
        <sz val="10"/>
        <rFont val="Arial"/>
        <family val="2"/>
      </rPr>
      <t>, gelten bis 2016 die früheren Reservebestimmungen (vgl. T 5.02).</t>
    </r>
  </si>
  <si>
    <t xml:space="preserve"> Diese neue Berechnungsmethode ersetzt die bis 2011 geltenden Bestimmungen. Für Versicherer, deren Reserven die Mindesthöhe</t>
  </si>
  <si>
    <t>T 1.12 Stand der Reserven per 31.12. ab 2002</t>
  </si>
  <si>
    <t>Stand</t>
  </si>
  <si>
    <r>
      <t xml:space="preserve">Reserven </t>
    </r>
    <r>
      <rPr>
        <vertAlign val="superscript"/>
        <sz val="11"/>
        <rFont val="Arial"/>
        <family val="2"/>
      </rPr>
      <t>2</t>
    </r>
  </si>
  <si>
    <t>Reserven-</t>
  </si>
  <si>
    <r>
      <t xml:space="preserve">Solvenzquote </t>
    </r>
    <r>
      <rPr>
        <vertAlign val="superscript"/>
        <sz val="11"/>
        <rFont val="Arial"/>
        <family val="2"/>
      </rPr>
      <t>5</t>
    </r>
  </si>
  <si>
    <t>pro versicherte</t>
  </si>
  <si>
    <t>quote</t>
  </si>
  <si>
    <r>
      <t xml:space="preserve">in Mio. Fr. </t>
    </r>
    <r>
      <rPr>
        <vertAlign val="superscript"/>
        <sz val="11"/>
        <rFont val="Arial"/>
        <family val="2"/>
      </rPr>
      <t>1</t>
    </r>
  </si>
  <si>
    <t xml:space="preserve"> Person in Fr.</t>
  </si>
  <si>
    <r>
      <t xml:space="preserve">effektiv </t>
    </r>
    <r>
      <rPr>
        <vertAlign val="superscript"/>
        <sz val="11"/>
        <rFont val="Arial"/>
        <family val="2"/>
      </rPr>
      <t>3</t>
    </r>
  </si>
  <si>
    <r>
      <t>gesetzlich</t>
    </r>
    <r>
      <rPr>
        <vertAlign val="superscript"/>
        <sz val="11"/>
        <rFont val="Arial"/>
        <family val="2"/>
      </rPr>
      <t xml:space="preserve"> 4</t>
    </r>
  </si>
  <si>
    <t>2) Reserven / durchschnittlischer Versichertenbestand (vgl. T 11.13A).</t>
  </si>
  <si>
    <t>3) Reserven in % des Prämiensolls (vgl. T 3.01) -&gt; 2011 (vgl. T 5.02).</t>
  </si>
  <si>
    <t>4) Gemäss den gesetzlichen Bestimmungen berechneter Mindestreservesatz -&gt; 2011 (vgl. T 5.01 und 5.02).</t>
  </si>
  <si>
    <t>5) 2012 -&gt; : Neue Berechnungsmethode mit Quantifizierung der versicherungstechnischen Risiken, der Marktrisiken und der Kreditrisken (vgl. T 5.02).</t>
  </si>
  <si>
    <t xml:space="preserve"> Solvenzquote = Verhältnis Vorhandene Reserven / Mindesthöhe der Reserven in % (mit freiwilliger Taggeldversicherung, vgl. T 5.06).</t>
  </si>
  <si>
    <r>
      <t xml:space="preserve">Quelle: 2012 -&gt; : T 5.01, 5.06   </t>
    </r>
    <r>
      <rPr>
        <i/>
        <sz val="10"/>
        <rFont val="Arial"/>
        <family val="2"/>
      </rPr>
      <t xml:space="preserve">( -&gt; 2011 : T 8.10 [290 + 290.9] ; T 11.13A; T 3.01; T 5.01 und Aufsichtsdaten 1998-2003 ) </t>
    </r>
  </si>
  <si>
    <t>Stand Rück-</t>
  </si>
  <si>
    <t>Rückstellungen</t>
  </si>
  <si>
    <t>Rück-</t>
  </si>
  <si>
    <t>stellungen pro</t>
  </si>
  <si>
    <t>stellungen</t>
  </si>
  <si>
    <r>
      <t xml:space="preserve">Quelle: 2012 -&gt; : EF4.2 21010 via ISAK (FIN)  </t>
    </r>
    <r>
      <rPr>
        <i/>
        <sz val="10"/>
        <rFont val="Arial"/>
        <family val="2"/>
      </rPr>
      <t>( -&gt; 2011 :T 8.10 [270] )</t>
    </r>
    <r>
      <rPr>
        <sz val="10"/>
        <rFont val="Arial"/>
        <family val="2"/>
      </rPr>
      <t xml:space="preserve">, T 11.13A, T 2.20 </t>
    </r>
  </si>
  <si>
    <t>T 8.01 Anzahl KVG Versicherer ab 1996</t>
  </si>
  <si>
    <t>A</t>
  </si>
  <si>
    <t>B</t>
  </si>
  <si>
    <t>C</t>
  </si>
  <si>
    <t>D</t>
  </si>
  <si>
    <r>
      <t xml:space="preserve">    Anzahl KVG-Versicherer </t>
    </r>
    <r>
      <rPr>
        <vertAlign val="superscript"/>
        <sz val="11"/>
        <rFont val="Arial"/>
        <family val="2"/>
      </rPr>
      <t>1 2</t>
    </r>
  </si>
  <si>
    <t xml:space="preserve">Anzahl </t>
  </si>
  <si>
    <t>Zuwachs</t>
  </si>
  <si>
    <t>Abgang</t>
  </si>
  <si>
    <t>Obligatorische</t>
  </si>
  <si>
    <t>Freiwillige</t>
  </si>
  <si>
    <r>
      <t xml:space="preserve">OKP </t>
    </r>
    <r>
      <rPr>
        <b/>
        <i/>
        <sz val="11"/>
        <rFont val="Arial"/>
        <family val="2"/>
      </rPr>
      <t>und</t>
    </r>
  </si>
  <si>
    <t>Krankenpflege-</t>
  </si>
  <si>
    <t>Taggeld-</t>
  </si>
  <si>
    <t>KVG</t>
  </si>
  <si>
    <t>1) A - C : Versicherer, die keine Versicherte in der freiwilligen Taggeldversicherung nach KVG haben.</t>
  </si>
  <si>
    <t>2) A - B : Versicherer, die keine obligatorische Krankenpflegeversicherung anbieten (reine Taggeldversicherer).</t>
  </si>
  <si>
    <t>Quelle: T 5.01; T 5.03; T 5.04</t>
  </si>
  <si>
    <t>T 8.02  Anzahl Versicherer OKP nach Versichertenbestand ab 2002</t>
  </si>
  <si>
    <t>1 – 5'000</t>
  </si>
  <si>
    <t>5'001 –</t>
  </si>
  <si>
    <t>10'001 –</t>
  </si>
  <si>
    <t xml:space="preserve">50'001 – </t>
  </si>
  <si>
    <t xml:space="preserve">100'001 – </t>
  </si>
  <si>
    <t>mehr als</t>
  </si>
  <si>
    <t>Quelle: T 5.01</t>
  </si>
  <si>
    <t>T 8.03  Stellen, Personal und Löhne in der OKP ab 2002</t>
  </si>
  <si>
    <r>
      <t>Jahr</t>
    </r>
    <r>
      <rPr>
        <vertAlign val="superscript"/>
        <sz val="11"/>
        <rFont val="Arial"/>
        <family val="2"/>
      </rPr>
      <t xml:space="preserve"> 1</t>
    </r>
  </si>
  <si>
    <t xml:space="preserve"> Verwaltung / Hauptsitz</t>
  </si>
  <si>
    <t xml:space="preserve"> Sektionen / Agenturen </t>
  </si>
  <si>
    <t xml:space="preserve">         Total             </t>
  </si>
  <si>
    <r>
      <t xml:space="preserve">  Bruttogehälter in Mio. Fr. </t>
    </r>
    <r>
      <rPr>
        <vertAlign val="superscript"/>
        <sz val="9"/>
        <rFont val="Arial"/>
        <family val="2"/>
      </rPr>
      <t xml:space="preserve">3 </t>
    </r>
  </si>
  <si>
    <r>
      <t xml:space="preserve"> Mittleres Bruttogehalt in Fr. </t>
    </r>
    <r>
      <rPr>
        <vertAlign val="superscript"/>
        <sz val="10"/>
        <rFont val="55 Helvetica Roman"/>
      </rPr>
      <t>4</t>
    </r>
  </si>
  <si>
    <t>Stellen</t>
  </si>
  <si>
    <t>Personen</t>
  </si>
  <si>
    <t>pro Stelle</t>
  </si>
  <si>
    <r>
      <t xml:space="preserve">davon Kader </t>
    </r>
    <r>
      <rPr>
        <i/>
        <vertAlign val="superscript"/>
        <sz val="9"/>
        <rFont val="Arial"/>
        <family val="2"/>
      </rPr>
      <t>2</t>
    </r>
  </si>
  <si>
    <t xml:space="preserve">(Hauptsitz und </t>
  </si>
  <si>
    <t>(Total)</t>
  </si>
  <si>
    <r>
      <t xml:space="preserve">(Kader </t>
    </r>
    <r>
      <rPr>
        <vertAlign val="superscript"/>
        <sz val="9"/>
        <rFont val="Arial"/>
        <family val="2"/>
      </rPr>
      <t>2</t>
    </r>
    <r>
      <rPr>
        <sz val="9"/>
        <rFont val="Arial"/>
        <family val="2"/>
      </rPr>
      <t>)</t>
    </r>
  </si>
  <si>
    <t>Agenturen)</t>
  </si>
  <si>
    <t>copie coller valeurs</t>
  </si>
  <si>
    <t>1) Ab 2001 nur obligatorische Grundversicherung OKP.</t>
  </si>
  <si>
    <t>2) Mitglieder der Direktion und der Räte (Verwaltungsrat, Stiftungsrat…)</t>
  </si>
  <si>
    <t>3) Angaben unvollständig.</t>
  </si>
  <si>
    <t>4) Schätzungen aufgrund der Versicherer, die vollständige Angaben geliefert haben  (2007 -&gt; :  Total: ~ 50 Versicherer / Kader: ~35 Versicherer).</t>
  </si>
  <si>
    <t>Quelle: Formular EF 3.10.3</t>
  </si>
  <si>
    <t>T 11.17  Anzahl Versicherte OKP, in %,  nach Grösse der Versicherer ab 2002</t>
  </si>
  <si>
    <t>Grösse der Versicherer</t>
  </si>
  <si>
    <t>(in %)</t>
  </si>
  <si>
    <t>(Durchschnittlicher</t>
  </si>
  <si>
    <t>Versichertenbestand)</t>
  </si>
  <si>
    <r>
      <t>T 11.11  Zahlungsausstände für OKP-Prämien</t>
    </r>
    <r>
      <rPr>
        <b/>
        <vertAlign val="superscript"/>
        <sz val="12"/>
        <rFont val="Arial"/>
        <family val="2"/>
      </rPr>
      <t xml:space="preserve"> </t>
    </r>
    <r>
      <rPr>
        <b/>
        <sz val="12"/>
        <rFont val="Arial"/>
        <family val="2"/>
      </rPr>
      <t>ab 2002</t>
    </r>
  </si>
  <si>
    <t xml:space="preserve">Versicherte </t>
  </si>
  <si>
    <t>Prämienvolumen</t>
  </si>
  <si>
    <t>Versicherte mit</t>
  </si>
  <si>
    <r>
      <t xml:space="preserve">mit Betreibung </t>
    </r>
    <r>
      <rPr>
        <vertAlign val="superscript"/>
        <sz val="11"/>
        <rFont val="Arial"/>
        <family val="2"/>
      </rPr>
      <t>1</t>
    </r>
  </si>
  <si>
    <t>pro Betreibung</t>
  </si>
  <si>
    <t>sistierten</t>
  </si>
  <si>
    <t>pro Versicherten</t>
  </si>
  <si>
    <r>
      <t xml:space="preserve"> in Franken </t>
    </r>
    <r>
      <rPr>
        <i/>
        <vertAlign val="superscript"/>
        <sz val="11"/>
        <rFont val="Arial"/>
        <family val="2"/>
      </rPr>
      <t>2</t>
    </r>
  </si>
  <si>
    <r>
      <t xml:space="preserve"> Leistungen </t>
    </r>
    <r>
      <rPr>
        <vertAlign val="superscript"/>
        <sz val="11"/>
        <rFont val="Arial"/>
        <family val="2"/>
      </rPr>
      <t>3</t>
    </r>
  </si>
  <si>
    <t xml:space="preserve"> mit sistierten Leis-</t>
  </si>
  <si>
    <r>
      <t xml:space="preserve"> tungen in Franken </t>
    </r>
    <r>
      <rPr>
        <i/>
        <vertAlign val="superscript"/>
        <sz val="11"/>
        <rFont val="Arial"/>
        <family val="2"/>
      </rPr>
      <t>4</t>
    </r>
  </si>
  <si>
    <t>Quelle: Formular EF 3.10.4</t>
  </si>
  <si>
    <t xml:space="preserve">1) Anzahl Versicherte, die im betrachteten Jahr betrieben wurden sowie das den Betreibungen unterliegende Prämienvolumen, </t>
  </si>
  <si>
    <t xml:space="preserve">    unabhängig davon, ob die Prämien schlussendlich durch das Betreibungsverfahren eingebracht werden konnten. </t>
  </si>
  <si>
    <t xml:space="preserve">    Daten teilweise unvollständig (siehe Punkt 2).</t>
  </si>
  <si>
    <t>2) Schätzungen aufgrund der Versicherer, die vollständige Angaben geliefert haben (&lt;&gt; 0; 2005 -&gt; 2012: 70-75-82-79-75-79-59-57 Versicherer).</t>
  </si>
  <si>
    <t>3) „Versicherte mit sistierten Leistungen“ sind Versicherte für die ein Leistungsstopp verhängt wurde, weil sie ihre Prämien nicht bezahlt haben.</t>
  </si>
  <si>
    <t xml:space="preserve">    Inkrafttreten des neuen Artikels 64a KVG am 1.1.2012. Die Kantone können die Sistierung der Leistungen gemäss Artikel 64a, Abs. 7 KVG</t>
  </si>
  <si>
    <t xml:space="preserve">    weiterführen. Daten teilweise unvollständig (siehe Punkt 4).</t>
  </si>
  <si>
    <t xml:space="preserve">    Personen, die Militärdienst leisten und deshalb sistiert wurden, sind in dieser Tabelle nicht aufgeführt.</t>
  </si>
  <si>
    <t>4) Schätzungen aufgrund der Versicherer, die vollständige Angaben geliefert haben (&lt;&gt; 0;  2005 -&gt; 2012: 22-50-56-53-57-60-44-37 Versicherer).</t>
  </si>
  <si>
    <r>
      <t xml:space="preserve">T 2.02  Kostenbeteiligung </t>
    </r>
    <r>
      <rPr>
        <b/>
        <vertAlign val="superscript"/>
        <sz val="12"/>
        <rFont val="Arial"/>
        <family val="2"/>
      </rPr>
      <t>1</t>
    </r>
    <r>
      <rPr>
        <b/>
        <sz val="12"/>
        <rFont val="Arial"/>
        <family val="2"/>
      </rPr>
      <t xml:space="preserve"> je versicherte Person in Franken nach Versicherungsform ab 2002</t>
    </r>
  </si>
  <si>
    <r>
      <rPr>
        <sz val="11"/>
        <rFont val="Arial"/>
        <family val="2"/>
      </rPr>
      <t xml:space="preserve">Jahr </t>
    </r>
    <r>
      <rPr>
        <vertAlign val="superscript"/>
        <sz val="11"/>
        <rFont val="Arial"/>
        <family val="2"/>
      </rPr>
      <t>2</t>
    </r>
  </si>
  <si>
    <r>
      <t xml:space="preserve">Quelle: 2009 -&gt; : T 2.23   </t>
    </r>
    <r>
      <rPr>
        <i/>
        <sz val="10"/>
        <rFont val="Arial"/>
        <family val="2"/>
      </rPr>
      <t>( -&gt; 2008 : T 2.01 / T 11.01 und T 11.05 )</t>
    </r>
  </si>
  <si>
    <r>
      <t xml:space="preserve">Zusätzliche Angaben: nach Altersgruppe </t>
    </r>
    <r>
      <rPr>
        <b/>
        <vertAlign val="superscript"/>
        <sz val="12"/>
        <rFont val="Arial"/>
        <family val="2"/>
      </rPr>
      <t>3</t>
    </r>
  </si>
  <si>
    <t>1) Berücksichtigt nur die beim Versicherer eingereichten Rechnungen.</t>
  </si>
  <si>
    <t>2) 1996-&gt;2008: Schätzung des mittleren Versichertenbestandes (ausgenommen Spalte "Alle Versicherte") aufgrund der Aufteilung der Versicherten per 31.12 in T 11.05</t>
  </si>
  <si>
    <t>3) Zusätzliche Angaben nach Altersgruppe pro Kanton: T 2.13 und www.bag.admin.ch/pyramiden</t>
  </si>
  <si>
    <t>T 2.01  Kostenbeteiligung der Versicherten in Mio. Franken nach Versicherungsform ab 2002</t>
  </si>
  <si>
    <t>Quelle: 2012 -&gt; EF 5.2 4200 - 4210, EF5.3 4202 - 4212, EF5.4 4203 - 4213,  (EF5.5 4204 - 4214) + (EF5.6 4205 - 4215) + (EF5.7 4206 - 4216) via ISAK (FIN)</t>
  </si>
  <si>
    <t>( -&gt; 2011: T 1.03; 1.04; 1.05; 1.06 [32] )</t>
  </si>
  <si>
    <r>
      <t xml:space="preserve">T 2.05  Bruttoleistungen </t>
    </r>
    <r>
      <rPr>
        <b/>
        <vertAlign val="superscript"/>
        <sz val="12"/>
        <rFont val="Arial"/>
        <family val="2"/>
      </rPr>
      <t xml:space="preserve">1 </t>
    </r>
    <r>
      <rPr>
        <b/>
        <sz val="12"/>
        <rFont val="Arial"/>
        <family val="2"/>
      </rPr>
      <t xml:space="preserve"> in Fr. je versicherte Person nach Kanton</t>
    </r>
  </si>
  <si>
    <t xml:space="preserve">Quelle: T 2.04 / T 11.14 </t>
  </si>
  <si>
    <r>
      <t xml:space="preserve">T 2.06 Bruttoleistungen </t>
    </r>
    <r>
      <rPr>
        <b/>
        <vertAlign val="superscript"/>
        <sz val="12"/>
        <rFont val="Arial"/>
        <family val="2"/>
      </rPr>
      <t xml:space="preserve">1 </t>
    </r>
    <r>
      <rPr>
        <b/>
        <sz val="12"/>
        <rFont val="Arial"/>
        <family val="2"/>
      </rPr>
      <t>nach Altersklasse und Geschlecht</t>
    </r>
  </si>
  <si>
    <r>
      <t xml:space="preserve">Quelle: Formular EF 3.20 und 3.11  </t>
    </r>
    <r>
      <rPr>
        <i/>
        <sz val="10"/>
        <rFont val="Arial"/>
        <family val="2"/>
      </rPr>
      <t>(-&gt;2008: Statistik des Risikoausgleiches - Gemeinsame Einrichtung KVG)</t>
    </r>
  </si>
  <si>
    <r>
      <t xml:space="preserve">T 2.13 Kostenbeteiligung  </t>
    </r>
    <r>
      <rPr>
        <b/>
        <vertAlign val="superscript"/>
        <sz val="12"/>
        <rFont val="Arial"/>
        <family val="2"/>
      </rPr>
      <t>1</t>
    </r>
    <r>
      <rPr>
        <b/>
        <sz val="12"/>
        <rFont val="Arial"/>
        <family val="2"/>
      </rPr>
      <t xml:space="preserve">  in Fr. je versicherte Person nach Kanton</t>
    </r>
  </si>
  <si>
    <t xml:space="preserve">Quelle: T 2.10 / T 11.14 </t>
  </si>
  <si>
    <t>1) Berücksichtigt nur die bei dem Versicherer eingereichten Rechnungen</t>
  </si>
  <si>
    <r>
      <t xml:space="preserve">T 2.08  Nettoleistungen </t>
    </r>
    <r>
      <rPr>
        <b/>
        <vertAlign val="superscript"/>
        <sz val="12"/>
        <rFont val="Arial"/>
        <family val="2"/>
      </rPr>
      <t xml:space="preserve">4  </t>
    </r>
    <r>
      <rPr>
        <b/>
        <sz val="12"/>
        <rFont val="Arial"/>
        <family val="2"/>
      </rPr>
      <t>in Fr. je versicherte Person nach Versicherungsform</t>
    </r>
  </si>
  <si>
    <t>Junge Erwachsene 
(19-25 Jahre)</t>
  </si>
  <si>
    <t>Quelle: T 2.24 - T 2.23</t>
  </si>
  <si>
    <t>2) Franchisenstufen ( Kinder / Erwachsene)</t>
  </si>
  <si>
    <r>
      <t xml:space="preserve">4) Nettoleistungen = bezahlte Leistungen der Versicherer in der OKP </t>
    </r>
    <r>
      <rPr>
        <b/>
        <sz val="10"/>
        <rFont val="Arial"/>
        <family val="2"/>
      </rPr>
      <t>ohne</t>
    </r>
    <r>
      <rPr>
        <sz val="10"/>
        <rFont val="Arial"/>
        <family val="2"/>
      </rPr>
      <t xml:space="preserve"> Kostenbeteiligung durch die Versicherten.</t>
    </r>
  </si>
  <si>
    <r>
      <t xml:space="preserve">T 2.09 Nettoleistungen </t>
    </r>
    <r>
      <rPr>
        <b/>
        <vertAlign val="superscript"/>
        <sz val="12"/>
        <rFont val="Arial"/>
        <family val="2"/>
      </rPr>
      <t xml:space="preserve">1 </t>
    </r>
    <r>
      <rPr>
        <b/>
        <sz val="12"/>
        <rFont val="Arial"/>
        <family val="2"/>
      </rPr>
      <t>nach Altersklasse und Geschlecht</t>
    </r>
  </si>
  <si>
    <r>
      <t xml:space="preserve">Quelle: T 2.06 - T 2.11  </t>
    </r>
    <r>
      <rPr>
        <i/>
        <sz val="10"/>
        <rFont val="Arial"/>
        <family val="2"/>
      </rPr>
      <t>(-&gt;2008: Statistik des Risikoausgleiches - Gemeinsame Einrichtung KVG)</t>
    </r>
  </si>
  <si>
    <r>
      <t xml:space="preserve">T 2.11 Kostenbeteiligung </t>
    </r>
    <r>
      <rPr>
        <b/>
        <vertAlign val="superscript"/>
        <sz val="12"/>
        <rFont val="Arial"/>
        <family val="2"/>
      </rPr>
      <t xml:space="preserve">1 </t>
    </r>
    <r>
      <rPr>
        <b/>
        <sz val="12"/>
        <rFont val="Arial"/>
        <family val="2"/>
      </rPr>
      <t>nach Altersklasse und Geschlecht</t>
    </r>
  </si>
  <si>
    <r>
      <t xml:space="preserve">Quelle: Formular EF 3.17 und 3.11  </t>
    </r>
    <r>
      <rPr>
        <i/>
        <sz val="10"/>
        <rFont val="Arial"/>
        <family val="2"/>
      </rPr>
      <t>( -&gt;2008: Statistik des Risikoausgleiches - Gemeinsame Einrichtung KVG )</t>
    </r>
  </si>
  <si>
    <r>
      <t xml:space="preserve">T 2.14  Bruttoleistungen </t>
    </r>
    <r>
      <rPr>
        <b/>
        <vertAlign val="superscript"/>
        <sz val="12"/>
        <rFont val="Arial"/>
        <family val="2"/>
      </rPr>
      <t>1</t>
    </r>
    <r>
      <rPr>
        <b/>
        <sz val="12"/>
        <rFont val="Arial"/>
        <family val="2"/>
      </rPr>
      <t xml:space="preserve"> in Mio. Franken nach Versicherungsform ab 2002</t>
    </r>
  </si>
  <si>
    <t>Quelle: T 2.22</t>
  </si>
  <si>
    <r>
      <t xml:space="preserve">T 2.15  Bruttoleistungen </t>
    </r>
    <r>
      <rPr>
        <b/>
        <vertAlign val="superscript"/>
        <sz val="12"/>
        <rFont val="Arial"/>
        <family val="2"/>
      </rPr>
      <t>1</t>
    </r>
    <r>
      <rPr>
        <b/>
        <sz val="12"/>
        <rFont val="Arial"/>
        <family val="2"/>
      </rPr>
      <t xml:space="preserve"> in Franken je versicherte Person nach Versicherungsform ab 2002</t>
    </r>
  </si>
  <si>
    <r>
      <t xml:space="preserve">Quelle: 2009 -&gt; : T 2.24  </t>
    </r>
    <r>
      <rPr>
        <i/>
        <sz val="10"/>
        <rFont val="Arial"/>
        <family val="2"/>
      </rPr>
      <t>( -&gt; 2008 : T 2.23 )</t>
    </r>
  </si>
  <si>
    <t>3) Zusätzliche Angaben nach Altersgruppe pro Kanton: T 2.05 und www.bag.admin.ch/pyramiden</t>
  </si>
  <si>
    <r>
      <t xml:space="preserve">T 2.20  Nettoleistungen </t>
    </r>
    <r>
      <rPr>
        <b/>
        <vertAlign val="superscript"/>
        <sz val="12"/>
        <rFont val="Arial"/>
        <family val="2"/>
      </rPr>
      <t xml:space="preserve">1 </t>
    </r>
    <r>
      <rPr>
        <b/>
        <sz val="12"/>
        <rFont val="Arial"/>
        <family val="2"/>
      </rPr>
      <t xml:space="preserve"> in Mio. Franken nach Versicherungsform ab 2002</t>
    </r>
  </si>
  <si>
    <t>1) Nettoleistungen = bezahlte Leistungen der Versicherer = Bruttoleistungen der Versicherer minus Kostenbeteiligungen der Versicherten.</t>
  </si>
  <si>
    <t xml:space="preserve">Quelle: 2012 -&gt; :  { - EF5.2 4010 - ( EF 5.2 4200 - 4210) }, { - EF5.3 4012 - (EF5.3 4202 
- 4212) }, { - EF 5.4 4013 - (EF5.4 4203 - 4213) }, </t>
  </si>
  <si>
    <t>[ { - EF 5.5 4014 - (EF5.5 4204 - 4214) } +
{ - EF 5.6 4015 - (EF5.6 4205 - 4215) } 
+ { - EF 5.7 4016 - (EF5.7 4206 - 4216) } ] via ISAK (FIN)</t>
  </si>
  <si>
    <r>
      <t xml:space="preserve">T 2.21 Nettoleistungen </t>
    </r>
    <r>
      <rPr>
        <b/>
        <vertAlign val="superscript"/>
        <sz val="12"/>
        <rFont val="Arial"/>
        <family val="2"/>
      </rPr>
      <t>1</t>
    </r>
    <r>
      <rPr>
        <b/>
        <sz val="12"/>
        <rFont val="Arial"/>
        <family val="2"/>
      </rPr>
      <t xml:space="preserve">  in Franken je versicherte Person nach Versicherungsform ab 2002</t>
    </r>
  </si>
  <si>
    <r>
      <t xml:space="preserve">Quelle: 2009 -&gt; : T 2.08   </t>
    </r>
    <r>
      <rPr>
        <i/>
        <sz val="10"/>
        <rFont val="Arial"/>
        <family val="2"/>
      </rPr>
      <t>( 1996 -&gt; 2008: T 2.20 / T 11.01 und T 11.05 )</t>
    </r>
  </si>
  <si>
    <t>2) 1996 -&gt; 2008: Schätzung des mittleren Versichertenbestandes (ausgenommen Spalte "Alle Versicherte") aufgrund der Aufteilung der Versicherten per 31.12 in T 11.05</t>
  </si>
  <si>
    <t>3) Zusätzliche Angaben nach Altersgruppe pro Kanton: T 2.12 und www.bag.admin.ch/pyramiden</t>
  </si>
  <si>
    <r>
      <t xml:space="preserve">T 2.22  Bruttoleistungen </t>
    </r>
    <r>
      <rPr>
        <b/>
        <vertAlign val="superscript"/>
        <sz val="12"/>
        <rFont val="Arial"/>
        <family val="2"/>
      </rPr>
      <t>1</t>
    </r>
    <r>
      <rPr>
        <b/>
        <sz val="12"/>
        <rFont val="Arial"/>
        <family val="2"/>
      </rPr>
      <t xml:space="preserve">  in Franken nach Versicherungsform </t>
    </r>
  </si>
  <si>
    <t>Quelle: Formular EF 3.5</t>
  </si>
  <si>
    <r>
      <t xml:space="preserve">T 2.23 Kostenbeteiligung </t>
    </r>
    <r>
      <rPr>
        <b/>
        <vertAlign val="superscript"/>
        <sz val="12"/>
        <rFont val="Arial"/>
        <family val="2"/>
      </rPr>
      <t xml:space="preserve">4  </t>
    </r>
    <r>
      <rPr>
        <b/>
        <sz val="12"/>
        <rFont val="Arial"/>
        <family val="2"/>
      </rPr>
      <t>in Fr. je versicherte Person nach Versicherungsform</t>
    </r>
  </si>
  <si>
    <t xml:space="preserve">Quelle: Formular EF 3.19 / EF 3.13 </t>
  </si>
  <si>
    <t>2) Franchisenstufen (Kinder /  Erwachsene)</t>
  </si>
  <si>
    <t xml:space="preserve">    Versicherungsobligatorium unterstehen und in einem EU- oder EFTA-Staat Wohnsitz haben (vgl. Fussnote 1 von Tabelle 11.03).</t>
  </si>
  <si>
    <t>4) Berücksichtigt nur die bei dem Versicherer eingereichten Rechnungen</t>
  </si>
  <si>
    <r>
      <t xml:space="preserve">T 2.24  Bruttoleistungen </t>
    </r>
    <r>
      <rPr>
        <b/>
        <vertAlign val="superscript"/>
        <sz val="12"/>
        <rFont val="Arial"/>
        <family val="2"/>
      </rPr>
      <t xml:space="preserve">4  </t>
    </r>
    <r>
      <rPr>
        <b/>
        <sz val="12"/>
        <rFont val="Arial"/>
        <family val="2"/>
      </rPr>
      <t>in Fr. je versicherte Person nach Versicherungsform</t>
    </r>
  </si>
  <si>
    <t xml:space="preserve">Quelle: Formular EF 3.22 / EF 3.13 </t>
  </si>
  <si>
    <r>
      <t xml:space="preserve">4) Bruttoleistungen = Leistungen der Versicherer in der OKP </t>
    </r>
    <r>
      <rPr>
        <b/>
        <sz val="10"/>
        <rFont val="Arial"/>
        <family val="2"/>
      </rPr>
      <t>mit</t>
    </r>
    <r>
      <rPr>
        <sz val="10"/>
        <rFont val="Arial"/>
        <family val="2"/>
      </rPr>
      <t xml:space="preserve"> Kostenbeteiligung durch die Versicherten.</t>
    </r>
  </si>
  <si>
    <r>
      <t xml:space="preserve">T 2.25 Bruttoleistungen </t>
    </r>
    <r>
      <rPr>
        <b/>
        <vertAlign val="superscript"/>
        <sz val="12"/>
        <rFont val="Arial"/>
        <family val="2"/>
      </rPr>
      <t xml:space="preserve">1 2 </t>
    </r>
    <r>
      <rPr>
        <b/>
        <sz val="12"/>
        <rFont val="Arial"/>
        <family val="2"/>
      </rPr>
      <t xml:space="preserve"> je versicherte Person nach Kanton in Franken ab 1996</t>
    </r>
  </si>
  <si>
    <t>Quelle: 2009 -&gt;: T 2.05  /  CH 1996 -&gt; 2008 : T 1.01  /  Kantone 1996 -&gt; 1998: Prämiengenehmigungsverfahren BAG mit Versichertenbestand des Risikoausgleichs, Werte korrigiert auf der Basis des CH-Wertes in T 1.01  /</t>
  </si>
  <si>
    <r>
      <t xml:space="preserve">1999 -&gt; 2008: Prämiengenehmigungsverfahren BAG, Werte korrigiert auf der Basis des CH-Bestandes in T 1.01 /   </t>
    </r>
    <r>
      <rPr>
        <i/>
        <sz val="10"/>
        <rFont val="Arial"/>
        <family val="2"/>
      </rPr>
      <t>(Werte 1996 -&gt; 2008 revidiert)</t>
    </r>
  </si>
  <si>
    <r>
      <t xml:space="preserve">1) Für alle Versicherten für alle Versicherungsformen. Bruttoleistungen = Leistungen der Versicherer in der OKP </t>
    </r>
    <r>
      <rPr>
        <b/>
        <sz val="10"/>
        <rFont val="Arial"/>
        <family val="2"/>
      </rPr>
      <t>mit</t>
    </r>
    <r>
      <rPr>
        <sz val="10"/>
        <rFont val="Arial"/>
        <family val="2"/>
      </rPr>
      <t xml:space="preserve"> Kostenbeteiligung durch die Versicherten.</t>
    </r>
  </si>
  <si>
    <r>
      <t xml:space="preserve">T 2.26 Kostenbeteiligung </t>
    </r>
    <r>
      <rPr>
        <b/>
        <vertAlign val="superscript"/>
        <sz val="12"/>
        <rFont val="Arial"/>
        <family val="2"/>
      </rPr>
      <t xml:space="preserve">1 2 </t>
    </r>
    <r>
      <rPr>
        <b/>
        <sz val="12"/>
        <rFont val="Arial"/>
        <family val="2"/>
      </rPr>
      <t xml:space="preserve"> je versicherte Person nach Kanton in Franken ab 1996</t>
    </r>
  </si>
  <si>
    <r>
      <t xml:space="preserve">Quelle: 2009 -&gt; : T 2.13  /  CH 1996 -&gt; 2008 :T 1.01  /  Kantone: 1996 -&gt; 2008:  T 2.25 - T 2.03   /   </t>
    </r>
    <r>
      <rPr>
        <i/>
        <sz val="10"/>
        <rFont val="Arial"/>
        <family val="2"/>
      </rPr>
      <t>(Werte 1996 -&gt; 2008 revidiert)</t>
    </r>
  </si>
  <si>
    <t>Schätzungen aus dem Prämiengenehmigungsverfahren: Hauptwerte [in Mio. Fr. ausser Versicherte in Tausend]</t>
  </si>
  <si>
    <t>Verän-
derung
2011-12 
in %</t>
  </si>
  <si>
    <t>Schätzung</t>
  </si>
  <si>
    <t>Abweichung S</t>
  </si>
  <si>
    <t>Prognose</t>
  </si>
  <si>
    <t>Nettoleistungen</t>
  </si>
  <si>
    <t>Kostenbeteiligung</t>
  </si>
  <si>
    <t>Verwaltungskosten</t>
  </si>
  <si>
    <t>Bruttoleistungen</t>
  </si>
  <si>
    <t>Bemerkungen:</t>
  </si>
  <si>
    <t>- 1 -&gt; 4, 6 -&gt; 8 : in der STAT KV publizierte Werte [T 1.01] aus den Formularen EF123/EF1345.</t>
  </si>
  <si>
    <t>- 5 : in der STAT KV publizierte Werte [T 1.02] aus den Formularen EF123/EF1345 (Konten 40-47 / 500-&gt;517, ohne Abschreibungen).</t>
  </si>
  <si>
    <t>- 6: Seit 2012 wird die Höhe der Reserven nicht mehr wie bis 2011 nach dem Prämienvolumen und der Versichertenzahl bestimmt, sondern in Abhängigkeit von den Risiken des Versicherers.</t>
  </si>
  <si>
    <t xml:space="preserve">   Seit 2012 müssen die Versicherer die Bilanz nach dem Marktwert erstellen. Durch die Auflösung der stillen Reserven fallen die ausgewiesenen Reserven höher aus </t>
  </si>
  <si>
    <t xml:space="preserve">   und sind mit denjenigen der Vorjahre nicht vergleichbar (vgl. T 1.01, 1.12, 5.01, 5.02, 5.06).</t>
  </si>
  <si>
    <t>- Schätzung: geschätzte Werte aus dem Prämiengenehmigungsverfahren des BAG *, Schätzung für das laufende Jahr</t>
  </si>
  <si>
    <t xml:space="preserve">  Beispiel: Schätzung von 2011 für 2011 / Schätzung von 2012 für 2012</t>
  </si>
  <si>
    <t xml:space="preserve">- Prognose: geschätzte Werte aus dem Prämiengenehmigungsverfahren des BAG *, Prognose für das Folgejahr </t>
  </si>
  <si>
    <t xml:space="preserve">  Beispiel: Prognose von 2011 für 2012 / Prognose von 2012 für 2013</t>
  </si>
  <si>
    <t xml:space="preserve">Im Allgemeinen ist die Schätzung genauer als die (eher grobe) Prognose. </t>
  </si>
  <si>
    <t>Es ist lediglich die Abweichung zwischen der Schätzung und dem in der STAT KV publizierten Wert (Abweichung S in %) aufgeführt.</t>
  </si>
  <si>
    <r>
      <t xml:space="preserve">- Zur Genauigkeit der geschätzten Werte </t>
    </r>
    <r>
      <rPr>
        <b/>
        <sz val="8"/>
        <rFont val="Arial"/>
        <family val="2"/>
      </rPr>
      <t>je versicherte Person</t>
    </r>
    <r>
      <rPr>
        <sz val="8"/>
        <rFont val="Arial"/>
        <family val="2"/>
      </rPr>
      <t>: Sie berechnen sich, indem der absolute Wert der Abweichung zwischen</t>
    </r>
  </si>
  <si>
    <t xml:space="preserve">   der Bevölkerung und der geschätzten Bevölkerung in % zum bzw. vom ebenfalls absoluten, für jede Kategorie aufgeführten Wert nach </t>
  </si>
  <si>
    <t xml:space="preserve">   folgendem Schema addiert oder subtrahiert wird:</t>
  </si>
  <si>
    <t xml:space="preserve">   Das Zeichen der Genauigkeit pro versicherte Person richtet sich nach folgendem Schema:</t>
  </si>
  <si>
    <t>Abweichung geschätzte Bevölkerung - Bevölkerung in %</t>
  </si>
  <si>
    <t>+</t>
  </si>
  <si>
    <t xml:space="preserve">Abweichung geschätzter Wert [2-8] - Wert [2-8] in %   </t>
  </si>
  <si>
    <t>Zeichen der Genauigkeit pro versicherte Person: + oder - %</t>
  </si>
  <si>
    <t xml:space="preserve">   Beispiel: Reserven pro versicherte Person im Jahr 2004 mit der Schätzung: -0.2% + 0.52% = Abweichung pro versicherte Person von + 0.72%</t>
  </si>
  <si>
    <t>– Durchschnittsprämien pro Versicherten in Fr. : 2012 [T 1.01] 3075 Fr. / 2013 [Schätzung J1] 3107 Fr. (+ 1.03%)</t>
  </si>
  <si>
    <t>* Datenstand: 2013 (Schätzung) und 2014 (Prognose): 8.10.13</t>
  </si>
  <si>
    <t>15.10.13: 1.12,1.13,2.01,2.02,8.01-&gt;8.03,11.11,11.17, J</t>
  </si>
  <si>
    <t>16.10.13: 2.05,2.06,2.08,2.09,2.11,2.13-&gt;2.15, 2.20-&gt;2.26</t>
  </si>
  <si>
    <t>13.11.13: T10, 10.01 -&gt; 10.05</t>
  </si>
  <si>
    <t>10: Risikoausgleich in der OKP</t>
  </si>
  <si>
    <t>Risikoausgleich: Nettozahler und Nettoempfänger ab 1996</t>
  </si>
  <si>
    <t>Risikoausgleich: Bruttoumverteilung und Nettoumverteilung ab 1996</t>
  </si>
  <si>
    <t>Risikoausgleich je versicherte Person und Versicherungsmonat nach Altersklasse und Geschlecht</t>
  </si>
  <si>
    <t>10.04</t>
  </si>
  <si>
    <t>Durchschnittlicher Versichertenbestand nach Kanton (gemäss Definition des Risikoausgleichs)</t>
  </si>
  <si>
    <t>10.05</t>
  </si>
  <si>
    <t>Effektive Kosten nach Kanton (gemäss Definition des Risikoausgleichs)</t>
  </si>
  <si>
    <t>T 10.01  Risikoausgleich: Nettozahler und Nettoempfänger ab 1996</t>
  </si>
  <si>
    <t>Ausgleichs-</t>
  </si>
  <si>
    <t>jahr</t>
  </si>
  <si>
    <r>
      <t xml:space="preserve">zahler </t>
    </r>
    <r>
      <rPr>
        <vertAlign val="superscript"/>
        <sz val="11"/>
        <rFont val="Arial"/>
        <family val="2"/>
      </rPr>
      <t>1</t>
    </r>
  </si>
  <si>
    <r>
      <t xml:space="preserve">empfänger </t>
    </r>
    <r>
      <rPr>
        <vertAlign val="superscript"/>
        <sz val="11"/>
        <rFont val="Arial"/>
        <family val="2"/>
      </rPr>
      <t>1</t>
    </r>
  </si>
  <si>
    <t>Quelle: Statistik des Risikoausgleichs - Gemeinsame Einrichtung KVG</t>
  </si>
  <si>
    <t>1) Anzahl OKP Versicherer, die für das Ausgleichsjahr eine Abgabe an den Risikoausgleich leisten mussten (Nettozahler),</t>
  </si>
  <si>
    <t xml:space="preserve">    resp. einen Beitrag aus dem Risikoausgleich erhielten (Nettoempfänger).</t>
  </si>
  <si>
    <t>T 10.02  Risikoausgleich: Bruttoumverteilung und Nettoumverteilung in Mio. Fr. ab 1996</t>
  </si>
  <si>
    <r>
      <t xml:space="preserve">Bruttoumverteilung </t>
    </r>
    <r>
      <rPr>
        <vertAlign val="superscript"/>
        <sz val="11"/>
        <rFont val="Arial"/>
        <family val="2"/>
      </rPr>
      <t>1</t>
    </r>
  </si>
  <si>
    <r>
      <t xml:space="preserve">Nettoumverteilung </t>
    </r>
    <r>
      <rPr>
        <vertAlign val="superscript"/>
        <sz val="11"/>
        <rFont val="Arial"/>
        <family val="2"/>
      </rPr>
      <t>2</t>
    </r>
  </si>
  <si>
    <t>nach</t>
  </si>
  <si>
    <t>zwischen</t>
  </si>
  <si>
    <r>
      <t xml:space="preserve">Geschlecht </t>
    </r>
    <r>
      <rPr>
        <vertAlign val="superscript"/>
        <sz val="11"/>
        <rFont val="Arial"/>
        <family val="2"/>
      </rPr>
      <t>3</t>
    </r>
  </si>
  <si>
    <r>
      <t xml:space="preserve">Alter </t>
    </r>
    <r>
      <rPr>
        <vertAlign val="superscript"/>
        <sz val="11"/>
        <rFont val="Arial"/>
        <family val="2"/>
      </rPr>
      <t>4</t>
    </r>
  </si>
  <si>
    <r>
      <t xml:space="preserve">Aufenthalt </t>
    </r>
    <r>
      <rPr>
        <vertAlign val="superscript"/>
        <sz val="11"/>
        <rFont val="Arial"/>
        <family val="2"/>
      </rPr>
      <t>5</t>
    </r>
  </si>
  <si>
    <t>Versicherern</t>
  </si>
  <si>
    <t xml:space="preserve">Vorjahr </t>
  </si>
  <si>
    <t>1) Gesamtschweizerische theoretisch-statistische Grösse.</t>
  </si>
  <si>
    <t>2) Effektiv erfolgte Umverteilung zwischen den Versicherern (von Nettozahlern zu Nettoempfängern; vgl. Tabelle 10.01).</t>
  </si>
  <si>
    <t>3) Umverteilung von Männern zu Frauen.</t>
  </si>
  <si>
    <t>4) Umverteilung von jüngeren Versicherten (19 – 55-jährige Personen) zu älteren Versicherten (56-jährige und ältere Personen).</t>
  </si>
  <si>
    <t>5) Umverteilung von Versicherten ohne Aufenthalt in einem Spital oder Pflegeheim (Dauer mindestens drei aufeinanderfolgende Nächte)</t>
  </si>
  <si>
    <t>im Vorjahr zu Versicherten mit einem Aufenthalt (neuer Ausgleichsfaktor im 2012 eingeführt).</t>
  </si>
  <si>
    <r>
      <t xml:space="preserve">T 10.03  Risikoausgleich </t>
    </r>
    <r>
      <rPr>
        <b/>
        <vertAlign val="superscript"/>
        <sz val="12"/>
        <rFont val="Arial"/>
        <family val="2"/>
      </rPr>
      <t>1</t>
    </r>
    <r>
      <rPr>
        <b/>
        <sz val="12"/>
        <rFont val="Arial"/>
        <family val="2"/>
      </rPr>
      <t xml:space="preserve">  in Fr. je versicherte Person 
und Versicherungsmonat nach Altersklasse und Geschlecht</t>
    </r>
  </si>
  <si>
    <t>Veränderung in</t>
  </si>
  <si>
    <t>Fr. gegenüber</t>
  </si>
  <si>
    <t>0 - 18</t>
  </si>
  <si>
    <t>19 - 25</t>
  </si>
  <si>
    <t>26 - 30</t>
  </si>
  <si>
    <t>31 - 35</t>
  </si>
  <si>
    <t>36 - 40</t>
  </si>
  <si>
    <t>41 - 45</t>
  </si>
  <si>
    <t>46 - 50</t>
  </si>
  <si>
    <t>51 - 55</t>
  </si>
  <si>
    <t>56 - 60</t>
  </si>
  <si>
    <t>61 - 65</t>
  </si>
  <si>
    <t>66 - 70</t>
  </si>
  <si>
    <t>71 - 75</t>
  </si>
  <si>
    <t>76 - 80</t>
  </si>
  <si>
    <t>81 - 85</t>
  </si>
  <si>
    <t>86 - 90</t>
  </si>
  <si>
    <t>&gt; 90</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</si>
  <si>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</si>
  <si>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</si>
  <si>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</si>
  <si>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</si>
  <si>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</si>
  <si>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t>Die Berechnung des Risikoausgleiches erfolgt nach Kantonen; hier sind die schweizerischen Durchschnittswerte wiedergegeben.</t>
  </si>
  <si>
    <r>
      <t xml:space="preserve">T 10.04  Durchschnittlicher Versichertenbestand </t>
    </r>
    <r>
      <rPr>
        <b/>
        <vertAlign val="superscript"/>
        <sz val="12"/>
        <rFont val="Arial"/>
        <family val="2"/>
      </rPr>
      <t>1</t>
    </r>
    <r>
      <rPr>
        <b/>
        <sz val="12"/>
        <rFont val="Arial"/>
        <family val="2"/>
      </rPr>
      <t xml:space="preserve">  nach Kanton 
(gemäss Definition des Risikoausgleichs </t>
    </r>
    <r>
      <rPr>
        <b/>
        <vertAlign val="superscript"/>
        <sz val="12"/>
        <rFont val="Arial"/>
        <family val="2"/>
      </rPr>
      <t>2</t>
    </r>
    <r>
      <rPr>
        <b/>
        <sz val="12"/>
        <rFont val="Arial"/>
        <family val="2"/>
      </rPr>
      <t xml:space="preserve">) </t>
    </r>
  </si>
  <si>
    <t>Kinder und</t>
  </si>
  <si>
    <t>1) Durchschnittlicher Versichertenbestand = Anzahl Versicherungsmonate dividiert durch 12.</t>
  </si>
  <si>
    <t xml:space="preserve">2) Für die Zahl der Versicherten, die im Risikoausgleich berücksichtigt werden, gilt eine andere Definition als für </t>
  </si>
  <si>
    <t xml:space="preserve">die Versichertenbestände in den Formularen EF1345 (Anzahl OKP-Versicherte). </t>
  </si>
  <si>
    <t>Folglich ergeben sich Differenzen zu den Beständen von EF1345 bei den Versicherern (vgl. insbesondere Kapitel 11).</t>
  </si>
  <si>
    <t xml:space="preserve">Die genaue Definition der Versicherten, die dem Risikoausgleich unterstehen, findet man unter </t>
  </si>
  <si>
    <t>http://www.kvg.org/ra/default.htm</t>
  </si>
  <si>
    <t>Rubrik Risikoausgleich</t>
  </si>
  <si>
    <t>insbesondere was die Grenzgänger, die Empfänger einer schweizerischen Rente und die Asylsuchenden betrifft.</t>
  </si>
  <si>
    <r>
      <t xml:space="preserve">T 10.05  Effektive Kosten </t>
    </r>
    <r>
      <rPr>
        <b/>
        <vertAlign val="superscript"/>
        <sz val="12"/>
        <rFont val="Arial"/>
        <family val="2"/>
      </rPr>
      <t xml:space="preserve">1 </t>
    </r>
    <r>
      <rPr>
        <b/>
        <sz val="12"/>
        <rFont val="Arial"/>
        <family val="2"/>
      </rPr>
      <t xml:space="preserve"> in Fr. nach Kanton 
(gemäss Definition des Risikoausgleichs </t>
    </r>
    <r>
      <rPr>
        <b/>
        <vertAlign val="superscript"/>
        <sz val="12"/>
        <rFont val="Arial"/>
        <family val="2"/>
      </rPr>
      <t xml:space="preserve">2 </t>
    </r>
    <r>
      <rPr>
        <b/>
        <sz val="12"/>
        <rFont val="Arial"/>
        <family val="2"/>
      </rPr>
      <t xml:space="preserve">)  </t>
    </r>
  </si>
  <si>
    <t>Erwach-</t>
  </si>
  <si>
    <t>sene</t>
  </si>
  <si>
    <r>
      <t xml:space="preserve">1) Effektive Kosten = (bezahlte) Leistungen der Versicherer in der OKP </t>
    </r>
    <r>
      <rPr>
        <b/>
        <sz val="10"/>
        <rFont val="Arial"/>
        <family val="2"/>
      </rPr>
      <t>ohne</t>
    </r>
    <r>
      <rPr>
        <sz val="10"/>
        <rFont val="Arial"/>
        <family val="2"/>
      </rPr>
      <t xml:space="preserve"> Kostenbeteiligung durch die Versicherten.</t>
    </r>
  </si>
  <si>
    <t>2) Für die Bestimmung der massgebenden Kosten wird neu auf das Behandlungsdatum für die Ausgleichsjahre 2012 und später abgestellt</t>
  </si>
  <si>
    <t xml:space="preserve">(bis 2011 war dagegen das Abrechnungsdatum massgebend). </t>
  </si>
  <si>
    <t xml:space="preserve">Dieser Wechsel schlägt sich tendenziell in einer Verminderung der ausgewiesenen Kosten nieder. </t>
  </si>
  <si>
    <t>Es handelt sich dabei jedoch lediglich um einen statistischen Effekt.</t>
  </si>
  <si>
    <t xml:space="preserve">Für die Zahl der Versicherten, die im Risikoausgleich berücksichtigt werden, gilt eine andere Definition als für die </t>
  </si>
  <si>
    <t>Versichertenbestände in den Formularen EF1345 (Anzahl OKP-Versicherte). Vgl. Fussnote 2) von Tabelle 10.04.</t>
  </si>
  <si>
    <t xml:space="preserve">Auf diesem Grund kommt es zu Differenzen bei den Kosten gegenüber den Angaben im Formular EF1345 der Versicherer </t>
  </si>
  <si>
    <t xml:space="preserve">(Abrechnungsdatum massgebend, siehe insbesondere Kapitel 2). </t>
  </si>
  <si>
    <t>Datenstand: 2.7.13</t>
  </si>
  <si>
    <t>26.11.13: T4, 4.01 -&gt; 4.11, 11.04, 11.10, 11.12, 12.05 -&gt; 12.07</t>
  </si>
  <si>
    <t>26.11.13: T 1.06</t>
  </si>
  <si>
    <t>T 11.12 Versichertenbestand KVG nach Geschlecht 2011, 2012 und 2013</t>
  </si>
  <si>
    <t>a. Versichertenbestand am 1.1.13</t>
  </si>
  <si>
    <r>
      <t xml:space="preserve">Total </t>
    </r>
    <r>
      <rPr>
        <b/>
        <vertAlign val="superscript"/>
        <sz val="11"/>
        <rFont val="Arial"/>
        <family val="2"/>
      </rPr>
      <t>1</t>
    </r>
  </si>
  <si>
    <t>L</t>
  </si>
  <si>
    <r>
      <t xml:space="preserve">* davon Eintritte </t>
    </r>
    <r>
      <rPr>
        <i/>
        <vertAlign val="superscript"/>
        <sz val="11"/>
        <rFont val="Arial"/>
        <family val="2"/>
      </rPr>
      <t>2</t>
    </r>
    <r>
      <rPr>
        <i/>
        <sz val="11"/>
        <rFont val="Arial"/>
        <family val="2"/>
      </rPr>
      <t xml:space="preserve"> am 1.1.13</t>
    </r>
  </si>
  <si>
    <t>K</t>
  </si>
  <si>
    <t>b. Versichertenbestand am 31.12.11</t>
  </si>
  <si>
    <t>* davon Austritte am 31.12.11</t>
  </si>
  <si>
    <t>c. Versichertenbestand am 31.12.12</t>
  </si>
  <si>
    <t>I</t>
  </si>
  <si>
    <t>d. Versichertenbestand am 1.1.12</t>
  </si>
  <si>
    <t xml:space="preserve">Siehe Grafik G 11d    ↑   </t>
  </si>
  <si>
    <t>Quelle: EF 3.8.2 (a), T 11.12 c STAT 2011 oder EF 3.1 2011 (A), 3.8.5 (B), EF 3.8.6 (I), T 11.12 a STAT 2011 (D)</t>
  </si>
  <si>
    <t xml:space="preserve">1) Versichertenbestand KVG, Personen mit Wohnsitz in der Schweiz und schweizerischer Prämie </t>
  </si>
  <si>
    <t>(inkl. Versicherte gemäss Art. 4 und 5 KVV).</t>
  </si>
  <si>
    <r>
      <t>2) K:</t>
    </r>
    <r>
      <rPr>
        <i/>
        <sz val="10"/>
        <rFont val="Arial"/>
        <family val="2"/>
      </rPr>
      <t xml:space="preserve"> Schätzungen BAG.</t>
    </r>
  </si>
  <si>
    <t xml:space="preserve">T 11.10  Versicherteneintritte und Versichertenaustritte KVG nach Alter und Geschlecht </t>
  </si>
  <si>
    <t xml:space="preserve">a. Versicherteneintritte </t>
  </si>
  <si>
    <t xml:space="preserve">In % des durch- </t>
  </si>
  <si>
    <t>schnittlichen Ver-</t>
  </si>
  <si>
    <t>sichertenbestandes</t>
  </si>
  <si>
    <t>E</t>
  </si>
  <si>
    <t>* davon Neugeborene</t>
  </si>
  <si>
    <t>F</t>
  </si>
  <si>
    <r>
      <t xml:space="preserve">* davon Eintritte </t>
    </r>
    <r>
      <rPr>
        <i/>
        <vertAlign val="superscript"/>
        <sz val="11"/>
        <rFont val="Arial"/>
        <family val="2"/>
      </rPr>
      <t>1</t>
    </r>
    <r>
      <rPr>
        <i/>
        <sz val="11"/>
        <rFont val="Arial"/>
        <family val="2"/>
      </rPr>
      <t xml:space="preserve"> am 1.1.12</t>
    </r>
  </si>
  <si>
    <t xml:space="preserve">b. Versichertenaustritte </t>
  </si>
  <si>
    <t>G</t>
  </si>
  <si>
    <t>* davon gestorben</t>
  </si>
  <si>
    <t>H</t>
  </si>
  <si>
    <r>
      <t xml:space="preserve">* davon Austritte </t>
    </r>
    <r>
      <rPr>
        <i/>
        <vertAlign val="superscript"/>
        <sz val="11"/>
        <rFont val="Arial"/>
        <family val="2"/>
      </rPr>
      <t>1</t>
    </r>
    <r>
      <rPr>
        <i/>
        <sz val="11"/>
        <rFont val="Arial"/>
        <family val="2"/>
      </rPr>
      <t xml:space="preserve"> am 31.12.12</t>
    </r>
  </si>
  <si>
    <t>J</t>
  </si>
  <si>
    <t xml:space="preserve">Siehe Grafik G 11d     ↑   </t>
  </si>
  <si>
    <t>Quelle: Formular EF 3.8.3 (a), 3.8.4 (b) und T 11.13</t>
  </si>
  <si>
    <r>
      <rPr>
        <sz val="10"/>
        <rFont val="Arial"/>
        <family val="2"/>
      </rPr>
      <t>1) C und J:</t>
    </r>
    <r>
      <rPr>
        <i/>
        <sz val="10"/>
        <rFont val="Arial"/>
        <family val="2"/>
      </rPr>
      <t xml:space="preserve"> Schätzungen BAG.</t>
    </r>
  </si>
  <si>
    <r>
      <t>T 11.04 Versichertenbestand und Wohnbevölkerung</t>
    </r>
    <r>
      <rPr>
        <b/>
        <vertAlign val="superscript"/>
        <sz val="12"/>
        <rFont val="Arial"/>
        <family val="2"/>
      </rPr>
      <t xml:space="preserve"> </t>
    </r>
    <r>
      <rPr>
        <b/>
        <sz val="12"/>
        <rFont val="Arial"/>
        <family val="2"/>
      </rPr>
      <t>ab 1996</t>
    </r>
  </si>
  <si>
    <t>Durchschnittlicher</t>
  </si>
  <si>
    <t>Versichertenbestand</t>
  </si>
  <si>
    <t>Mittlere</t>
  </si>
  <si>
    <t xml:space="preserve"> per 1.1</t>
  </si>
  <si>
    <t xml:space="preserve"> per 31.12</t>
  </si>
  <si>
    <t>Wohnbevölke-</t>
  </si>
  <si>
    <r>
      <t xml:space="preserve">EF </t>
    </r>
    <r>
      <rPr>
        <vertAlign val="superscript"/>
        <sz val="11"/>
        <rFont val="Arial"/>
        <family val="2"/>
      </rPr>
      <t>1</t>
    </r>
  </si>
  <si>
    <r>
      <t xml:space="preserve">RA </t>
    </r>
    <r>
      <rPr>
        <vertAlign val="superscript"/>
        <sz val="11"/>
        <rFont val="Arial"/>
        <family val="2"/>
      </rPr>
      <t>2</t>
    </r>
  </si>
  <si>
    <r>
      <t xml:space="preserve">EF </t>
    </r>
    <r>
      <rPr>
        <vertAlign val="superscript"/>
        <sz val="11"/>
        <rFont val="Arial"/>
        <family val="2"/>
      </rPr>
      <t>3</t>
    </r>
  </si>
  <si>
    <r>
      <t xml:space="preserve">rung BFS </t>
    </r>
    <r>
      <rPr>
        <vertAlign val="superscript"/>
        <sz val="11"/>
        <rFont val="Arial"/>
        <family val="2"/>
      </rPr>
      <t>4</t>
    </r>
  </si>
  <si>
    <t>1) Durchschnittlicher Versichertenbestand im Formular EF1345: Stand aller Monate zusammengezählt und geteilt durch 12.</t>
  </si>
  <si>
    <r>
      <t xml:space="preserve">3) Versichertenbestand per 1.1 und per 31.12. im Formular EF1345. </t>
    </r>
    <r>
      <rPr>
        <i/>
        <sz val="10"/>
        <rFont val="Arial"/>
        <family val="2"/>
      </rPr>
      <t>Werte 2011 revidiert.</t>
    </r>
  </si>
  <si>
    <t>4) Durchschnittliche Wohnbevölkerung in einem bestimmten Gebiet nach wirtschaftlichem Wohnsitz (BFS).</t>
  </si>
  <si>
    <t>Quelle:  T 11.01, T 10.04, T 11.12, T 11.06, T 9.01</t>
  </si>
  <si>
    <r>
      <t>T 12.07  Verteilung der Standardprämien pro Kanton</t>
    </r>
    <r>
      <rPr>
        <b/>
        <vertAlign val="superscript"/>
        <sz val="12"/>
        <rFont val="Arial"/>
        <family val="2"/>
      </rPr>
      <t xml:space="preserve"> 1</t>
    </r>
  </si>
  <si>
    <t>der Versicherten sind unterhalb dieser Prämie</t>
  </si>
  <si>
    <t>der Versicherten sind unterhalb und oberhalb dieser Prämie (Median)</t>
  </si>
  <si>
    <t>der Versicherten sind oberhalb dieser Prämie</t>
  </si>
  <si>
    <r>
      <t xml:space="preserve">T 12.06  Verteilung der Standardprämien pro Kanton </t>
    </r>
    <r>
      <rPr>
        <b/>
        <vertAlign val="superscript"/>
        <sz val="12"/>
        <rFont val="Arial"/>
        <family val="2"/>
      </rPr>
      <t>1</t>
    </r>
  </si>
  <si>
    <r>
      <t xml:space="preserve">T 12.05  Verteilung der Standardprämien pro Kanton </t>
    </r>
    <r>
      <rPr>
        <b/>
        <vertAlign val="superscript"/>
        <sz val="12"/>
        <rFont val="Arial"/>
        <family val="2"/>
      </rPr>
      <t>1</t>
    </r>
  </si>
  <si>
    <t xml:space="preserve">Die Tabelle stellt eine hypothetische Verteilung der für das Jahr 2014 genehmigten Prämien für das Grundmodell </t>
  </si>
  <si>
    <t>(ordentliche Franchise inkl. Unfalldeckung) dar, basierend auf den Beständen des Jahres 2012.</t>
  </si>
  <si>
    <t>Es handelt sich folglich um Schätzungen auf der Basis der aktuellsten verfügbaren Versichertenbestände.</t>
  </si>
  <si>
    <t xml:space="preserve">In den Kantonen mit mehreren Prämienregionen ist die Streuung der Prämien breiter </t>
  </si>
  <si>
    <t>als in den Kantonen mit nur einer Prämienregion.</t>
  </si>
  <si>
    <t xml:space="preserve">2) Für die Zahl der Versicherten, die im Risikoausgleich berücksichtigt werden, gilt eine andere Definition als für die </t>
  </si>
  <si>
    <t>T 4.11 Zahlungen der Kantone für ausstehende Forderungen aus der OKP seit 2006</t>
  </si>
  <si>
    <r>
      <t xml:space="preserve">             Kostenvolumen in Mio. Franken </t>
    </r>
    <r>
      <rPr>
        <vertAlign val="superscript"/>
        <sz val="11"/>
        <rFont val="Arial"/>
        <family val="2"/>
      </rPr>
      <t>1</t>
    </r>
  </si>
  <si>
    <r>
      <t xml:space="preserve">CH </t>
    </r>
    <r>
      <rPr>
        <b/>
        <vertAlign val="superscript"/>
        <sz val="11"/>
        <rFont val="Arial"/>
        <family val="2"/>
      </rPr>
      <t>2</t>
    </r>
  </si>
  <si>
    <t>Datenstand: 11.10.13</t>
  </si>
  <si>
    <t>Quelle: Erhebung der Prämienverbilligung in der Krankenversicherung, BAG: Formular PV 2.1.</t>
  </si>
  <si>
    <t>1) Prämien und Kostenbeteiligungen sowie Verzugszinse und Betreibungskosten, gemäss Art. 64a KVG bzw Art. 105k KVV.</t>
  </si>
  <si>
    <t xml:space="preserve">    In T 11.11 sind die Anzahl der Versicherten, die im betrachteten Jahr von den Versicherern betrieben wurden und </t>
  </si>
  <si>
    <t xml:space="preserve">    das den Betreibungen unterliegende Prämienvolumen ausgewiesen. Die Zahlen sind daher nicht miteinander vergleichbar.</t>
  </si>
  <si>
    <r>
      <t xml:space="preserve">2) Angaben unvollständig in einigen Kantonen und damit auch für CH. </t>
    </r>
    <r>
      <rPr>
        <i/>
        <sz val="10"/>
        <rFont val="Arial"/>
        <family val="2"/>
      </rPr>
      <t>(kursiv)</t>
    </r>
  </si>
  <si>
    <r>
      <t>T 4.10 Versicherte mit ausstehenden Forderungen aus der OKP</t>
    </r>
    <r>
      <rPr>
        <b/>
        <vertAlign val="superscript"/>
        <sz val="12"/>
        <rFont val="Arial"/>
        <family val="2"/>
      </rPr>
      <t xml:space="preserve"> </t>
    </r>
    <r>
      <rPr>
        <b/>
        <sz val="12"/>
        <rFont val="Arial"/>
        <family val="2"/>
      </rPr>
      <t>nach Kanton</t>
    </r>
  </si>
  <si>
    <r>
      <t xml:space="preserve">Versicherte mit Zahlungsausständen </t>
    </r>
    <r>
      <rPr>
        <vertAlign val="superscript"/>
        <sz val="11"/>
        <rFont val="Arial"/>
        <family val="2"/>
      </rPr>
      <t>1</t>
    </r>
  </si>
  <si>
    <r>
      <t xml:space="preserve">Betrag </t>
    </r>
    <r>
      <rPr>
        <b/>
        <vertAlign val="superscript"/>
        <sz val="11"/>
        <rFont val="Arial"/>
        <family val="2"/>
      </rPr>
      <t>2</t>
    </r>
  </si>
  <si>
    <r>
      <t>CH</t>
    </r>
    <r>
      <rPr>
        <b/>
        <vertAlign val="superscript"/>
        <sz val="11"/>
        <rFont val="Arial"/>
        <family val="2"/>
      </rPr>
      <t xml:space="preserve"> 3</t>
    </r>
  </si>
  <si>
    <t>Datenstand: 10.10.13</t>
  </si>
  <si>
    <t>1) Versicherte mit Zahlungsausständen, für die der Kanton 2012 die Kosten bezahlt hat.</t>
  </si>
  <si>
    <t>2) Prämien und Kostenbeteiligungen sowie Verzugszinse und Betreibungskosten, gemäss Art. 64a KVG bzw. Art. 105k KVV.</t>
  </si>
  <si>
    <t xml:space="preserve">    In T 11.11 sind die Anzahl der Versicherten, die im betrachteten Jahr von den Versicherern betrieben wurden und das</t>
  </si>
  <si>
    <t xml:space="preserve">    den Betreibungen unterliegende Prämienvolumen ausgewiesen. Die Zahlen sind daher nicht miteinander vergleichbar.</t>
  </si>
  <si>
    <t xml:space="preserve">3) Das Total der Personen mit Zahlungsausständen entspricht nicht der Summe Männer + Frauen, da die Verteilung nach </t>
  </si>
  <si>
    <t xml:space="preserve">    Geschlecht nicht bei allen Kantonen verfügbar ist.</t>
  </si>
  <si>
    <r>
      <t xml:space="preserve">    Angaben unvollständig in einigen Kantonen und damit auch für CH. </t>
    </r>
    <r>
      <rPr>
        <i/>
        <sz val="10"/>
        <rFont val="Arial"/>
        <family val="2"/>
      </rPr>
      <t>(kursiv)</t>
    </r>
  </si>
  <si>
    <t>T 4.09 KVG-Verteilmodell: Bundesbeiträge 2012 - 2014</t>
  </si>
  <si>
    <r>
      <t xml:space="preserve">Bundesbeiträge in Franken </t>
    </r>
    <r>
      <rPr>
        <b/>
        <vertAlign val="superscript"/>
        <sz val="11"/>
        <rFont val="Arial"/>
        <family val="2"/>
      </rPr>
      <t>1</t>
    </r>
  </si>
  <si>
    <t>Berechnungsbasis 2014</t>
  </si>
  <si>
    <t>Grenz-</t>
  </si>
  <si>
    <t>Mittlere Wohn-</t>
  </si>
  <si>
    <t>Wohnbe-</t>
  </si>
  <si>
    <r>
      <t xml:space="preserve">gänger </t>
    </r>
    <r>
      <rPr>
        <vertAlign val="superscript"/>
        <sz val="10"/>
        <rFont val="Arial"/>
        <family val="2"/>
      </rPr>
      <t>2</t>
    </r>
  </si>
  <si>
    <t>bevölkerung und</t>
  </si>
  <si>
    <r>
      <t xml:space="preserve">völkerung </t>
    </r>
    <r>
      <rPr>
        <vertAlign val="superscript"/>
        <sz val="11"/>
        <rFont val="Arial"/>
        <family val="2"/>
      </rPr>
      <t>2</t>
    </r>
  </si>
  <si>
    <t>Grenzgänger</t>
  </si>
  <si>
    <t>Datenstand: 25.10.2013</t>
  </si>
  <si>
    <t>Quelle: KVG-Verteilmodelle für Bundesbeiträge für 2012/2013/2014.</t>
  </si>
  <si>
    <t>1) Ab 1.1.2008 wird die Prämienverbilligung nach der Neugestaltung des Finanzausgleichs und der Aufgabenteilung</t>
  </si>
  <si>
    <t xml:space="preserve">    zwischen Bund und Kantonen (NFA) berechnet. Vgl. Erläuterungen im Anhang H.</t>
  </si>
  <si>
    <t>2) Mittlere Wohnbevölkerung 2012: Durchschnittliche Wohnbevölkerung in einem bestimmten Gebiet nach wirtschaftlichem Wohnsitz.</t>
  </si>
  <si>
    <t xml:space="preserve">    Quelle: BFS Sektion Bevölkerungsentwicklung und versicherte Grenzgänger 2012 und deren Familienangehörige; Quelle: EF S 3, 2012.</t>
  </si>
  <si>
    <r>
      <t xml:space="preserve">T 4.08 Prämienverbilligung OKP: effektiv ausgerichtete Beiträge nach Kanton </t>
    </r>
    <r>
      <rPr>
        <b/>
        <vertAlign val="superscript"/>
        <sz val="12"/>
        <rFont val="Arial"/>
        <family val="2"/>
      </rPr>
      <t>1</t>
    </r>
  </si>
  <si>
    <t>Beiträge</t>
  </si>
  <si>
    <t>Durchschnitt</t>
  </si>
  <si>
    <t>nach KVG</t>
  </si>
  <si>
    <t>* in %</t>
  </si>
  <si>
    <t>für 2012</t>
  </si>
  <si>
    <t>für 2011 und früher</t>
  </si>
  <si>
    <r>
      <t xml:space="preserve">nach KVG </t>
    </r>
    <r>
      <rPr>
        <b/>
        <vertAlign val="superscript"/>
        <sz val="10"/>
        <rFont val="Arial"/>
        <family val="2"/>
      </rPr>
      <t>2</t>
    </r>
  </si>
  <si>
    <t>pro Haushalt</t>
  </si>
  <si>
    <t>pro Bezüger</t>
  </si>
  <si>
    <t>der Durch-</t>
  </si>
  <si>
    <t>in Franken</t>
  </si>
  <si>
    <t>in Franken *</t>
  </si>
  <si>
    <t>schnittsprämie</t>
  </si>
  <si>
    <r>
      <t xml:space="preserve">BE </t>
    </r>
    <r>
      <rPr>
        <vertAlign val="superscript"/>
        <sz val="11"/>
        <rFont val="Arial"/>
        <family val="2"/>
      </rPr>
      <t>3</t>
    </r>
  </si>
  <si>
    <r>
      <t xml:space="preserve">CH </t>
    </r>
    <r>
      <rPr>
        <b/>
        <vertAlign val="superscript"/>
        <sz val="11"/>
        <rFont val="Arial"/>
        <family val="2"/>
      </rPr>
      <t>3</t>
    </r>
  </si>
  <si>
    <t>Quelle: Erhebung der Prämienverbilligung in der Krankenversicherung, BAG: Formular PV1, 2 und T 3.08</t>
  </si>
  <si>
    <t>1) Ohne Zahlungen der Kantone für ausstehende Forderungen aus der OKP. Zu den Zahlungsausständen vgl. T 4.10 und T 4.11.</t>
  </si>
  <si>
    <t>2) Effektiv im Berichtsjahr an die Haushalte/Bezüger ausbezahlte Prämienverbilligungen nach KVG. Bund und Kantone.</t>
  </si>
  <si>
    <t xml:space="preserve">    Ab 1.1.2008 wird die Prämienverbilligung nach der Neugestaltung des Finanzausgleichs und der Aufgabenteilung</t>
  </si>
  <si>
    <t>3) Siehe die Hinweise zum Kanton Bern in T 4.01.</t>
  </si>
  <si>
    <t xml:space="preserve">T 4.07 KVG-Verteilmodell: Berechnungsbasis sowie Bundes- und Kantonsbeiträge </t>
  </si>
  <si>
    <r>
      <t xml:space="preserve">      KVG-Verteilmodell 2012 </t>
    </r>
    <r>
      <rPr>
        <vertAlign val="superscript"/>
        <sz val="11"/>
        <rFont val="Arial"/>
        <family val="2"/>
      </rPr>
      <t>2</t>
    </r>
  </si>
  <si>
    <r>
      <t>gänger</t>
    </r>
    <r>
      <rPr>
        <sz val="10"/>
        <rFont val="Arial"/>
        <family val="2"/>
      </rPr>
      <t xml:space="preserve"> </t>
    </r>
    <r>
      <rPr>
        <vertAlign val="superscript"/>
        <sz val="10"/>
        <rFont val="Arial"/>
        <family val="2"/>
      </rPr>
      <t>1</t>
    </r>
  </si>
  <si>
    <t>bevölkerung</t>
  </si>
  <si>
    <t>Bundesbeiträge</t>
  </si>
  <si>
    <t>Kantonsbeiträge</t>
  </si>
  <si>
    <t>* davon Anteil</t>
  </si>
  <si>
    <r>
      <t xml:space="preserve">völkerung </t>
    </r>
    <r>
      <rPr>
        <vertAlign val="superscript"/>
        <sz val="10"/>
        <rFont val="Arial"/>
        <family val="2"/>
      </rPr>
      <t>1</t>
    </r>
  </si>
  <si>
    <t>und Grenz-</t>
  </si>
  <si>
    <t>Beiträge *</t>
  </si>
  <si>
    <t>der Kantone</t>
  </si>
  <si>
    <t>gänger</t>
  </si>
  <si>
    <r>
      <t>in Franken</t>
    </r>
    <r>
      <rPr>
        <b/>
        <sz val="10"/>
        <rFont val="Arial"/>
        <family val="2"/>
      </rPr>
      <t xml:space="preserve"> </t>
    </r>
    <r>
      <rPr>
        <b/>
        <vertAlign val="superscript"/>
        <sz val="10"/>
        <rFont val="Arial"/>
        <family val="2"/>
      </rPr>
      <t>3</t>
    </r>
  </si>
  <si>
    <r>
      <t xml:space="preserve">BE </t>
    </r>
    <r>
      <rPr>
        <vertAlign val="superscript"/>
        <sz val="11"/>
        <rFont val="Arial"/>
        <family val="2"/>
      </rPr>
      <t>4</t>
    </r>
  </si>
  <si>
    <r>
      <t xml:space="preserve">CH </t>
    </r>
    <r>
      <rPr>
        <b/>
        <vertAlign val="superscript"/>
        <sz val="11"/>
        <rFont val="Arial"/>
        <family val="2"/>
      </rPr>
      <t>4</t>
    </r>
  </si>
  <si>
    <t>Quelle: Bundesbeiträge: KVG-Verteilmodell für das Jahr 2012</t>
  </si>
  <si>
    <r>
      <t xml:space="preserve">       </t>
    </r>
    <r>
      <rPr>
        <sz val="12"/>
        <rFont val="Arial"/>
        <family val="2"/>
      </rPr>
      <t xml:space="preserve">    </t>
    </r>
    <r>
      <rPr>
        <sz val="10"/>
        <rFont val="Arial"/>
        <family val="2"/>
      </rPr>
      <t>Kantonsbeiträge: Erhebung der Prämienverbilligung in der Krankenversicherung, BAG: Formular PV 1</t>
    </r>
  </si>
  <si>
    <t xml:space="preserve">1) Mittlere Wohnbevölkerung 2009: Durchschnittliche Wohnbevölkerung in einem bestimmten Gebiet nach wirtschaftlichem Wohnsitz; </t>
  </si>
  <si>
    <t xml:space="preserve">    Quelle: BFS Sektion Bevölkerungsentwicklung und versicherte Grenzgänger 2010 und deren Familienangehörige; Quelle: EF S 3, 2010.</t>
  </si>
  <si>
    <t>2) Ohne Zahlungen der Kantone für ausstehende Forderungen aus der OKP. Zu den Zahlungsausständen vgl. T 4.10 und T 4.11.</t>
  </si>
  <si>
    <t>3) Ab 1.1.2008 wird die Prämienverbilligung nach der Neugestaltung des Finanzausgleichs und der Aufgabenteilung</t>
  </si>
  <si>
    <r>
      <t xml:space="preserve">   </t>
    </r>
    <r>
      <rPr>
        <sz val="8"/>
        <rFont val="Arial"/>
        <family val="2"/>
      </rPr>
      <t xml:space="preserve">  </t>
    </r>
    <r>
      <rPr>
        <sz val="10"/>
        <rFont val="Arial"/>
        <family val="2"/>
      </rPr>
      <t>zwischen Bund und Kantonen (NFA) berechnet. Vgl. Erläuterungen im Anhang H.</t>
    </r>
  </si>
  <si>
    <t>4) Siehe die Hinweise zum Kanton Bern in T 4.01.</t>
  </si>
  <si>
    <r>
      <t xml:space="preserve">T 4.06 Ausbezahlter Betrag nach Kanton in Mio. Franken </t>
    </r>
    <r>
      <rPr>
        <b/>
        <vertAlign val="superscript"/>
        <sz val="12"/>
        <rFont val="Arial"/>
        <family val="2"/>
      </rPr>
      <t>1</t>
    </r>
  </si>
  <si>
    <t>Bezüger</t>
  </si>
  <si>
    <t xml:space="preserve">davon </t>
  </si>
  <si>
    <t>(26 Jahre</t>
  </si>
  <si>
    <t xml:space="preserve">Alter </t>
  </si>
  <si>
    <t>Bezüger von</t>
  </si>
  <si>
    <t>Sozialhilfe-</t>
  </si>
  <si>
    <t>Bezüger, deren</t>
  </si>
  <si>
    <t>und älter)</t>
  </si>
  <si>
    <t>Ergänzungs-</t>
  </si>
  <si>
    <t>bezüger</t>
  </si>
  <si>
    <t>OKP-Prämien</t>
  </si>
  <si>
    <t>vollumfänglich</t>
  </si>
  <si>
    <t>verbilligt werden</t>
  </si>
  <si>
    <r>
      <t xml:space="preserve">BE </t>
    </r>
    <r>
      <rPr>
        <vertAlign val="superscript"/>
        <sz val="11"/>
        <rFont val="Arial"/>
        <family val="2"/>
      </rPr>
      <t>2</t>
    </r>
  </si>
  <si>
    <r>
      <t xml:space="preserve">CH </t>
    </r>
    <r>
      <rPr>
        <b/>
        <vertAlign val="superscript"/>
        <sz val="11"/>
        <rFont val="Arial"/>
        <family val="2"/>
      </rPr>
      <t>2,</t>
    </r>
    <r>
      <rPr>
        <b/>
        <sz val="11"/>
        <rFont val="Arial"/>
        <family val="2"/>
      </rPr>
      <t xml:space="preserve"> </t>
    </r>
    <r>
      <rPr>
        <b/>
        <vertAlign val="superscript"/>
        <sz val="11"/>
        <rFont val="Arial"/>
        <family val="2"/>
      </rPr>
      <t>3</t>
    </r>
  </si>
  <si>
    <t>Quelle: Erhebung der Prämienverbilligung in der Krankenversicherung, BAG: Formular PV 2.1</t>
  </si>
  <si>
    <t>2) Siehe die Hinweise zum Kanton Bern in T 4.01.</t>
  </si>
  <si>
    <r>
      <t xml:space="preserve">3) Angaben 2012 unvollständig in einigen Kantonen und damit auch für CH. </t>
    </r>
    <r>
      <rPr>
        <i/>
        <sz val="10"/>
        <rFont val="Arial"/>
        <family val="2"/>
      </rPr>
      <t>(kursiv)</t>
    </r>
  </si>
  <si>
    <r>
      <t xml:space="preserve">T 4.05 Anzahl subventionierte Haushalte </t>
    </r>
    <r>
      <rPr>
        <b/>
        <vertAlign val="superscript"/>
        <sz val="12"/>
        <rFont val="Arial"/>
        <family val="2"/>
      </rPr>
      <t>1</t>
    </r>
    <r>
      <rPr>
        <b/>
        <sz val="12"/>
        <rFont val="Arial"/>
        <family val="2"/>
      </rPr>
      <t xml:space="preserve">  nach ausbezahltem Jahresbetrag und Kanton</t>
    </r>
  </si>
  <si>
    <t xml:space="preserve">Kanton </t>
  </si>
  <si>
    <r>
      <t xml:space="preserve">        Haushalte mit ausbezahltem Jahresbetrag in Franken </t>
    </r>
    <r>
      <rPr>
        <vertAlign val="superscript"/>
        <sz val="11"/>
        <rFont val="Arial"/>
        <family val="2"/>
      </rPr>
      <t>2</t>
    </r>
  </si>
  <si>
    <t>1 - 600</t>
  </si>
  <si>
    <t>601 -</t>
  </si>
  <si>
    <t>1'201 -</t>
  </si>
  <si>
    <t>2'401 -</t>
  </si>
  <si>
    <t>3'601 -</t>
  </si>
  <si>
    <t>4'801 -</t>
  </si>
  <si>
    <t>6'001 -</t>
  </si>
  <si>
    <t>Jahresbetrag</t>
  </si>
  <si>
    <t>Haushalte</t>
  </si>
  <si>
    <t>Quelle: Erhebung der Prämienverbilligung in der Krankenversicherung, BAG: Formular PV 2.2</t>
  </si>
  <si>
    <t>1) Anzahl subventionierte Haushalte im Sinne der kantonalen Regelungen zur Prämienverbilligung.</t>
  </si>
  <si>
    <r>
      <t xml:space="preserve">T 4.04 Anzahl subventionierte Haushalte </t>
    </r>
    <r>
      <rPr>
        <b/>
        <vertAlign val="superscript"/>
        <sz val="12"/>
        <rFont val="Arial"/>
        <family val="2"/>
      </rPr>
      <t>1</t>
    </r>
    <r>
      <rPr>
        <b/>
        <sz val="12"/>
        <rFont val="Arial"/>
        <family val="2"/>
      </rPr>
      <t xml:space="preserve"> nach Haushaltstyp und Kanton</t>
    </r>
  </si>
  <si>
    <r>
      <t xml:space="preserve">  Anzahl subventionierte Haushalte</t>
    </r>
    <r>
      <rPr>
        <sz val="11"/>
        <rFont val="Arial"/>
        <family val="2"/>
      </rPr>
      <t xml:space="preserve"> mit Personen:</t>
    </r>
  </si>
  <si>
    <t xml:space="preserve"> Total</t>
  </si>
  <si>
    <t xml:space="preserve"> Haushalte</t>
  </si>
  <si>
    <t>1 Erwach-</t>
  </si>
  <si>
    <t>2 Erwach-</t>
  </si>
  <si>
    <t xml:space="preserve">sener </t>
  </si>
  <si>
    <t>sener und</t>
  </si>
  <si>
    <t xml:space="preserve">sener und </t>
  </si>
  <si>
    <t xml:space="preserve">sene ohne </t>
  </si>
  <si>
    <t>sene und</t>
  </si>
  <si>
    <t xml:space="preserve">sene und </t>
  </si>
  <si>
    <t>mit Anzahl</t>
  </si>
  <si>
    <t>alleine</t>
  </si>
  <si>
    <t>1 Kind</t>
  </si>
  <si>
    <t>2 Kinder</t>
  </si>
  <si>
    <t>3 od. mehr</t>
  </si>
  <si>
    <r>
      <t>BE</t>
    </r>
    <r>
      <rPr>
        <vertAlign val="superscript"/>
        <sz val="11"/>
        <rFont val="Arial"/>
        <family val="2"/>
      </rPr>
      <t xml:space="preserve"> 2</t>
    </r>
  </si>
  <si>
    <r>
      <t xml:space="preserve">CH </t>
    </r>
    <r>
      <rPr>
        <b/>
        <vertAlign val="superscript"/>
        <sz val="11"/>
        <rFont val="Arial"/>
        <family val="2"/>
      </rPr>
      <t>2, 3</t>
    </r>
  </si>
  <si>
    <r>
      <t>Im Jahr ausbezahlter  Betrag in Mio. Franken</t>
    </r>
    <r>
      <rPr>
        <vertAlign val="superscript"/>
        <sz val="11"/>
        <rFont val="Arial"/>
        <family val="2"/>
      </rPr>
      <t xml:space="preserve"> 3 </t>
    </r>
    <r>
      <rPr>
        <sz val="11"/>
        <rFont val="Arial"/>
        <family val="2"/>
      </rPr>
      <t xml:space="preserve"> (CH)</t>
    </r>
  </si>
  <si>
    <r>
      <t>3) Angaben 2012 unvollständig in einigen Kantonen und damit auch für CH.</t>
    </r>
    <r>
      <rPr>
        <i/>
        <sz val="10"/>
        <rFont val="Arial"/>
        <family val="2"/>
      </rPr>
      <t xml:space="preserve"> (kursiv) </t>
    </r>
    <r>
      <rPr>
        <sz val="10"/>
        <rFont val="Arial"/>
        <family val="2"/>
      </rPr>
      <t>Ohne Zahlungen der Kantone für ausstehende Forderungen aus der OKP.</t>
    </r>
  </si>
  <si>
    <t xml:space="preserve">    Zu den Zahlungsausständen vgl. T 4.10 und T 4.11.</t>
  </si>
  <si>
    <t>T 4.03 Anzahl Bezüger nach Geschlecht und Altersklasse</t>
  </si>
  <si>
    <r>
      <t xml:space="preserve">Bezüger </t>
    </r>
    <r>
      <rPr>
        <vertAlign val="superscript"/>
        <sz val="11"/>
        <rFont val="Arial"/>
        <family val="2"/>
      </rPr>
      <t>1</t>
    </r>
  </si>
  <si>
    <r>
      <t xml:space="preserve">Bezügerquote </t>
    </r>
    <r>
      <rPr>
        <vertAlign val="superscript"/>
        <sz val="11"/>
        <rFont val="Arial"/>
        <family val="2"/>
      </rPr>
      <t>2</t>
    </r>
  </si>
  <si>
    <t>Im Jahr aus-</t>
  </si>
  <si>
    <t>pro Altersklasse</t>
  </si>
  <si>
    <t>bezahlter Betrag</t>
  </si>
  <si>
    <r>
      <t>in Mio. Franken</t>
    </r>
    <r>
      <rPr>
        <vertAlign val="superscript"/>
        <sz val="11"/>
        <rFont val="Arial"/>
        <family val="2"/>
      </rPr>
      <t xml:space="preserve"> 3</t>
    </r>
  </si>
  <si>
    <t xml:space="preserve">  0 – 18</t>
  </si>
  <si>
    <t>19 – 25</t>
  </si>
  <si>
    <t>91 und mehr</t>
  </si>
  <si>
    <t>Alter unbekannt</t>
  </si>
  <si>
    <r>
      <t xml:space="preserve">Total </t>
    </r>
    <r>
      <rPr>
        <b/>
        <vertAlign val="superscript"/>
        <sz val="11"/>
        <rFont val="Arial"/>
        <family val="2"/>
      </rPr>
      <t>4</t>
    </r>
  </si>
  <si>
    <t>Quelle: Erhebung der Prämienverbilligung in der Krankenversicherung, BAG: Formular PV 2.1 und T 11.15</t>
  </si>
  <si>
    <t>1) Ohne Versicherte mit ausstehenden Forderungen aus der OKP. Zu den Zahlungsausständen vgl. T 4.10 und T 4.11.</t>
  </si>
  <si>
    <t>2) Bezügerquoten (Anzahl Bezüger in Prozent des durchschnittlichen Versichertenbestandes)  0-18 -&gt; 91 und mehr unterschätzt</t>
  </si>
  <si>
    <r>
      <t xml:space="preserve">    wegen der Kategorie "Alter unbekannt".</t>
    </r>
    <r>
      <rPr>
        <i/>
        <sz val="10"/>
        <rFont val="Arial"/>
        <family val="2"/>
      </rPr>
      <t xml:space="preserve"> (kursiv)</t>
    </r>
  </si>
  <si>
    <r>
      <t>3) Angaben 2012 unvollständig in einigen Kantonen.</t>
    </r>
    <r>
      <rPr>
        <i/>
        <sz val="10"/>
        <rFont val="Arial"/>
        <family val="2"/>
      </rPr>
      <t xml:space="preserve"> (kursiv)</t>
    </r>
  </si>
  <si>
    <t>4) Siehe auch die Hinweise zum Kanton Bern in T 4.01.</t>
  </si>
  <si>
    <t>T 4.02 Anzahl Bezüger nach Kanton</t>
  </si>
  <si>
    <t>Bezüger-</t>
  </si>
  <si>
    <r>
      <t>quote</t>
    </r>
    <r>
      <rPr>
        <vertAlign val="superscript"/>
        <sz val="10"/>
        <rFont val="Arial"/>
        <family val="2"/>
      </rPr>
      <t xml:space="preserve"> </t>
    </r>
    <r>
      <rPr>
        <vertAlign val="superscript"/>
        <sz val="11"/>
        <rFont val="Arial"/>
        <family val="2"/>
      </rPr>
      <t>2</t>
    </r>
  </si>
  <si>
    <t>Quelle: Erhebung der Prämienverbilligung in der Krankenversicherung, BAG: Formular PV 2.1 und T 11.14</t>
  </si>
  <si>
    <t>1) Anzahl Personen, an welche im Berichtsjahr Subventionen nach KVG ausgerichtet wurden. Ohne Versicherte mit</t>
  </si>
  <si>
    <t xml:space="preserve">    ausstehenden Forderungen aus der OKP. Zu den Zahlungsausständen vgl. T 4.10 und T 4.11.</t>
  </si>
  <si>
    <t>2) Total der Bezüger in Prozent des durchschnittlichen Versichertenbestandes.</t>
  </si>
  <si>
    <t>T 4.01 Anzahl Bezüger, Bezügerquoten, subventionierte Haushalte sowie ausgerichtete Beiträge nach KVG ab 1996</t>
  </si>
  <si>
    <t>Ausbezahlte</t>
  </si>
  <si>
    <t>Anzahl</t>
  </si>
  <si>
    <t>Durchschnitt-</t>
  </si>
  <si>
    <t>Anzahl sub-</t>
  </si>
  <si>
    <t>davon Anteil</t>
  </si>
  <si>
    <r>
      <t xml:space="preserve">quote </t>
    </r>
    <r>
      <rPr>
        <vertAlign val="superscript"/>
        <sz val="11"/>
        <rFont val="Arial"/>
        <family val="2"/>
      </rPr>
      <t>2</t>
    </r>
  </si>
  <si>
    <t>licher Beitrag</t>
  </si>
  <si>
    <t>ventionierte</t>
  </si>
  <si>
    <r>
      <t xml:space="preserve">nach KVG </t>
    </r>
    <r>
      <rPr>
        <vertAlign val="superscript"/>
        <sz val="11"/>
        <rFont val="Arial"/>
        <family val="2"/>
      </rPr>
      <t>1</t>
    </r>
  </si>
  <si>
    <t>in Mio. Franken</t>
  </si>
  <si>
    <r>
      <t xml:space="preserve">2012 </t>
    </r>
    <r>
      <rPr>
        <b/>
        <vertAlign val="superscript"/>
        <sz val="11"/>
        <rFont val="Arial"/>
        <family val="2"/>
      </rPr>
      <t>3</t>
    </r>
  </si>
  <si>
    <t>Quelle:  Erhebung der Prämienverbilligung in der Krankenversicherung, BAG: Formular PV 2.1, PV 2.2 und T 11.14</t>
  </si>
  <si>
    <t>1) Effektiv im Berichtsjahr an die Haushalte/Bezüger ausbezahlte Prämienverbilligungen nach KVG. Ab 2011 ohne Zahlungen</t>
  </si>
  <si>
    <t xml:space="preserve">    der Kantone für ausstehende Forderungen aus der OKP. Zu den Zahlungsausständen vgl. T 4.10 und T 4.11.</t>
  </si>
  <si>
    <t xml:space="preserve">    Die Werte für 2004 wurden revidiert.</t>
  </si>
  <si>
    <t xml:space="preserve">2) Anzahl Bezüger in Prozent des durchschnittlichen Versichertenbestandes (2001-&gt;2008: revidierte Zahlen). </t>
  </si>
  <si>
    <t>3) Im Kanton Bern wird seit 2012 nicht mehr der vollständige Beitrag zur Krankenkassenprämie von EL-Bezügern und</t>
  </si>
  <si>
    <t xml:space="preserve">   Sozialhilfeempfängern als Prämienverbilligung betrachtet. Der Betrag erscheint damit auch nicht mehr vollständig in der Statistik der </t>
  </si>
  <si>
    <t xml:space="preserve">   Prämienverbilligung. Die Zahlen der PV des Kantons Bern sind dadurch deutlich zurückgegangen und mit den Angaben der Vorjahre </t>
  </si>
  <si>
    <t xml:space="preserve">   wie auch mit den Zahlen der anderen Kantone nicht mehr vergleichbar. Dadurch sind auch die gesamtschweizerischen Zahlen ab 2012 </t>
  </si>
  <si>
    <t xml:space="preserve">   nur noch eingeschränkt mit den Zahlen der vorangegangenen Jahre vergleichbar.</t>
  </si>
  <si>
    <t>4: Prämienverbilligung in der OKP</t>
  </si>
  <si>
    <t>Anzahl Bezüger, subventionierte Haushalte sowie ausgerichtete Beiträge ab 1996</t>
  </si>
  <si>
    <t>Anzahl Bezüger nach Kanton</t>
  </si>
  <si>
    <t>Anzahl Bezüger nach Geschlecht und Altersklasse</t>
  </si>
  <si>
    <t xml:space="preserve">Anzahl subventionierte Haushalte nach Haushaltstyp und Kanton </t>
  </si>
  <si>
    <t>Anzahl subventionierte Haushalte nach ausbezahltem Jahresbetrag und Kanton</t>
  </si>
  <si>
    <t>Ausbezahlter Betrag nach Kanton in Mio. Franken</t>
  </si>
  <si>
    <t xml:space="preserve">KVG-Verteilmodell: Berechnungsbasis sowie Bundes- und Kantonsbeiträge </t>
  </si>
  <si>
    <t xml:space="preserve">Prämienverbilligung OKP: effektiv ausgerichtete Beiträge nach Kanton </t>
  </si>
  <si>
    <t>KVG-Verteilmodell: Bundesbeiträge 2012 - 2014</t>
  </si>
  <si>
    <t>Versicherte mit ausstehenden Forderungen aus der OKP nach Kanton</t>
  </si>
  <si>
    <t>Zahlungen der Kantone für ausstehende Forderungen aus der OKP seit 2006</t>
  </si>
  <si>
    <t>23.12.13: T9, 9.03-&gt;9.11, 9.13-&gt;9.15</t>
  </si>
  <si>
    <r>
      <t xml:space="preserve">T 9.15 Kosten des Gesundheitswesens in der Schweiz </t>
    </r>
    <r>
      <rPr>
        <b/>
        <vertAlign val="superscript"/>
        <sz val="12"/>
        <rFont val="Arial"/>
        <family val="2"/>
      </rPr>
      <t>1</t>
    </r>
    <r>
      <rPr>
        <b/>
        <sz val="12"/>
        <rFont val="Arial"/>
        <family val="2"/>
      </rPr>
      <t xml:space="preserve"> und obligatorische Krankenversicherung ab 1996</t>
    </r>
  </si>
  <si>
    <r>
      <t xml:space="preserve">2012 </t>
    </r>
    <r>
      <rPr>
        <b/>
        <vertAlign val="superscript"/>
        <sz val="10"/>
        <rFont val="Arial"/>
        <family val="2"/>
      </rPr>
      <t>2</t>
    </r>
  </si>
  <si>
    <r>
      <t xml:space="preserve">nach Finanzierungsregimes (BFS) </t>
    </r>
    <r>
      <rPr>
        <b/>
        <i/>
        <vertAlign val="superscript"/>
        <sz val="10"/>
        <rFont val="Arial"/>
        <family val="2"/>
      </rPr>
      <t>3</t>
    </r>
    <r>
      <rPr>
        <b/>
        <i/>
        <sz val="10"/>
        <rFont val="Arial"/>
        <family val="2"/>
      </rPr>
      <t>, in Mio. Fr.</t>
    </r>
  </si>
  <si>
    <r>
      <t xml:space="preserve">Total Kosten des Gesundheitswesens </t>
    </r>
    <r>
      <rPr>
        <b/>
        <vertAlign val="superscript"/>
        <sz val="10"/>
        <rFont val="Arial"/>
        <family val="2"/>
      </rPr>
      <t>4</t>
    </r>
  </si>
  <si>
    <r>
      <t xml:space="preserve">Staat </t>
    </r>
    <r>
      <rPr>
        <b/>
        <vertAlign val="superscript"/>
        <sz val="10"/>
        <rFont val="Arial"/>
        <family val="2"/>
      </rPr>
      <t>5</t>
    </r>
  </si>
  <si>
    <t xml:space="preserve">  Bund</t>
  </si>
  <si>
    <t xml:space="preserve">  Kantone</t>
  </si>
  <si>
    <t xml:space="preserve">  Gemeinden</t>
  </si>
  <si>
    <t xml:space="preserve">Sozialversicherungen </t>
  </si>
  <si>
    <r>
      <t xml:space="preserve">  Krankenversicherung KVG (Grundvers.) </t>
    </r>
    <r>
      <rPr>
        <vertAlign val="superscript"/>
        <sz val="9"/>
        <rFont val="Arial"/>
        <family val="2"/>
      </rPr>
      <t>6</t>
    </r>
  </si>
  <si>
    <t>Privatversicherungen</t>
  </si>
  <si>
    <r>
      <t xml:space="preserve">  KVG-Versicherer (VVG) </t>
    </r>
    <r>
      <rPr>
        <vertAlign val="superscript"/>
        <sz val="9"/>
        <rFont val="Arial"/>
        <family val="2"/>
      </rPr>
      <t>6</t>
    </r>
  </si>
  <si>
    <r>
      <t xml:space="preserve">  Private Versicherungseinrichtungen </t>
    </r>
    <r>
      <rPr>
        <vertAlign val="superscript"/>
        <sz val="9"/>
        <rFont val="Arial"/>
        <family val="2"/>
      </rPr>
      <t>6</t>
    </r>
  </si>
  <si>
    <t>Private Haushalte</t>
  </si>
  <si>
    <r>
      <t xml:space="preserve">  Kostenbeteiligung, Sozialversicherung </t>
    </r>
    <r>
      <rPr>
        <vertAlign val="superscript"/>
        <sz val="9"/>
        <rFont val="Arial"/>
        <family val="2"/>
      </rPr>
      <t>7</t>
    </r>
  </si>
  <si>
    <r>
      <t xml:space="preserve">  Kostenbeteiligung, Privatversicherung </t>
    </r>
    <r>
      <rPr>
        <vertAlign val="superscript"/>
        <sz val="9"/>
        <rFont val="Arial"/>
        <family val="2"/>
      </rPr>
      <t>7</t>
    </r>
  </si>
  <si>
    <r>
      <t xml:space="preserve">Übrige private Finanzierung </t>
    </r>
    <r>
      <rPr>
        <b/>
        <vertAlign val="superscript"/>
        <sz val="10"/>
        <rFont val="Arial"/>
        <family val="2"/>
      </rPr>
      <t>8</t>
    </r>
  </si>
  <si>
    <r>
      <t xml:space="preserve">Andere </t>
    </r>
    <r>
      <rPr>
        <b/>
        <i/>
        <vertAlign val="superscript"/>
        <sz val="10"/>
        <rFont val="Arial"/>
        <family val="2"/>
      </rPr>
      <t>9</t>
    </r>
  </si>
  <si>
    <t>aus der Sicht der Krankenversicherung (BAG), in Mio. Fr.</t>
  </si>
  <si>
    <r>
      <t xml:space="preserve">  Prämien Krankenversicherung </t>
    </r>
    <r>
      <rPr>
        <b/>
        <vertAlign val="superscript"/>
        <sz val="9"/>
        <rFont val="Arial"/>
        <family val="2"/>
      </rPr>
      <t>10</t>
    </r>
  </si>
  <si>
    <t>Obligatorische Krankenpflegeversicherung KVG</t>
  </si>
  <si>
    <t xml:space="preserve">Zusatzversicherungen VVG der KVG-Versicherer </t>
  </si>
  <si>
    <t>Zusatzversicherungen VVG der Privatversicherer</t>
  </si>
  <si>
    <r>
      <t xml:space="preserve">  Nettoleistungen Krankenversicherung </t>
    </r>
    <r>
      <rPr>
        <b/>
        <vertAlign val="superscript"/>
        <sz val="9"/>
        <rFont val="Arial"/>
        <family val="2"/>
      </rPr>
      <t>10</t>
    </r>
  </si>
  <si>
    <t xml:space="preserve">  Kostenbeteiligung</t>
  </si>
  <si>
    <r>
      <t xml:space="preserve">Obligatorische Krankenpflegeversicherung KVG </t>
    </r>
    <r>
      <rPr>
        <vertAlign val="superscript"/>
        <sz val="8"/>
        <rFont val="Arial"/>
        <family val="2"/>
      </rPr>
      <t>11</t>
    </r>
  </si>
  <si>
    <r>
      <t xml:space="preserve">Zusatzversicherungen VVG der KVG-Versicherer </t>
    </r>
    <r>
      <rPr>
        <vertAlign val="superscript"/>
        <sz val="8"/>
        <rFont val="Arial"/>
        <family val="2"/>
      </rPr>
      <t>12</t>
    </r>
  </si>
  <si>
    <r>
      <t xml:space="preserve">  Bruttoleistungen Krankenversicherung </t>
    </r>
    <r>
      <rPr>
        <b/>
        <vertAlign val="superscript"/>
        <sz val="9"/>
        <rFont val="Arial"/>
        <family val="2"/>
      </rPr>
      <t>13</t>
    </r>
  </si>
  <si>
    <r>
      <t xml:space="preserve">  Prämienverbilligung KVG </t>
    </r>
    <r>
      <rPr>
        <b/>
        <vertAlign val="superscript"/>
        <sz val="9"/>
        <rFont val="Arial"/>
        <family val="2"/>
      </rPr>
      <t>14</t>
    </r>
  </si>
  <si>
    <r>
      <t xml:space="preserve">Kosten des Gesundheitswesens in Franken pro Einwohner </t>
    </r>
    <r>
      <rPr>
        <vertAlign val="superscript"/>
        <sz val="9"/>
        <rFont val="Arial"/>
        <family val="2"/>
      </rPr>
      <t>15</t>
    </r>
  </si>
  <si>
    <r>
      <t xml:space="preserve">Durchschnittliche Prämien in der OKP in Franken pro Versicherte </t>
    </r>
    <r>
      <rPr>
        <vertAlign val="superscript"/>
        <sz val="9"/>
        <rFont val="Arial"/>
        <family val="2"/>
      </rPr>
      <t>16</t>
    </r>
  </si>
  <si>
    <t>1) Als Folge der Revision der Kosten des Gesundheitssystems durch das BFS stehen die in den Tabellen T 9.01, 9.02, 9.05, 9.06, 9.07 und 9.08 der KV-Statistik 2010 vorhandenen weiteren Rubriken nicht mehr als Zeitreihe seit 1996 zur Verfügung.</t>
  </si>
  <si>
    <t>   Insbesondere publiziert das BFS seit 2010 die Angaben nicht mehr, die es erlauben, die Prämien und die Prämienverbilligungen und die Leistungen der OKP innerhalb des Gesundheitswesens auszuweisen.</t>
  </si>
  <si>
    <t xml:space="preserve">2) Seit 2012 publiziert die Konjunkturforschungsstelle KOF der ETHZ keine Prognose mehr zur Kostenentwicklung. </t>
  </si>
  <si>
    <t xml:space="preserve">    Das BFS publiziert die definitiven Kosten mit einer Verzögerung von zwei Jahren und publiziert keine Schätzungen für die zukünftige Entwicklung.</t>
  </si>
  <si>
    <t>3) Ersetzt die Finanzierung des Gesundheitswesens nach Direktzahler ab 2010.</t>
  </si>
  <si>
    <r>
      <t>4) Neue BFS-Berechnungsmethode im 2008 -&gt; vom BFS revidierte Werte für 1996-&gt;2006.</t>
    </r>
    <r>
      <rPr>
        <i/>
        <sz val="10"/>
        <rFont val="Arial"/>
        <family val="2"/>
      </rPr>
      <t xml:space="preserve"> Vom BFS revidierte Werte für 2009 (10/12).</t>
    </r>
  </si>
  <si>
    <t xml:space="preserve">5) Subventionen oder direkte Leistungen an das Gesundheitswesen (an die Leistungserbringer (Spitäler), an die   </t>
  </si>
  <si>
    <t xml:space="preserve">   sozialmedizinischen Institutionen, an die Spitex- und Rettungsdienste) und die Öffentliche Gesundheit, Verwaltung und Prävention.   </t>
  </si>
  <si>
    <t>6) Nettoleistungen + übriger Aufwand + Prävention + Verwaltungskosten (Leistungen III in T 9.08 STAT KV 10).</t>
  </si>
  <si>
    <t>7) Kostenbeteiligung, Obligatorische Krankenpflegeversicherung KVG und Zusatzversicherungen VVG der KVG-Versicherer, Quelle: BAG.</t>
  </si>
  <si>
    <t xml:space="preserve">8) Spenden und Legate an Organisationen ohne Erwerbszweck wie Pflegeheime für Betagte, Institutionen für Behinderte, Spitexorganisationen, Gesundheitsligen.   </t>
  </si>
  <si>
    <t>9) Andere Rubriken als die im Folgenden erwähnten: UV, IV, AHV, andere Regimes, soziale Leistungen, out of pocket (als Differenz berechnet).</t>
  </si>
  <si>
    <t>10) Quelle T 9.11.</t>
  </si>
  <si>
    <t>11) T 1.01 (-&gt; 2011 T 1.02 [32]) ; erscheint auch als Privathaushalte in der Tabelle des BFS nach Finanzierungsregimes.</t>
  </si>
  <si>
    <t>12) T 7.02 [4207+4217]  (-&gt;2011 T 7.03 [32]) ; erscheint auch als Privathaushalte in der Tabelle des BFS nach Finanzierungsregimes. 2012-&gt; inkl. Liechstenstein und Versicherte wohnhaft im Ausland.</t>
  </si>
  <si>
    <t>13) Bruttoleistungen = Nettoleistungen + Kostenbeteiligung.</t>
  </si>
  <si>
    <t>14) 2008 -&gt; : Ausbezahlte Subventionen gemäss KVG (T 4.01) / -&gt; 2007: Budget nach  Reduktion (T 4.07).</t>
  </si>
  <si>
    <t>15) Kosten des Gesundheitswesens (BFS) / Anzahl Einwohner (T 9.01) in Franken.</t>
  </si>
  <si>
    <t>16) Prämiensoll pro Versicherten in Fr. für alle Versicherungsformen (T 1.01).</t>
  </si>
  <si>
    <t>Quelle: BAG : T 1.01, 4.01, 7.02, 9.01, 9.11  (2011: T 1.01, 1.02, 4.01, 7.03, 9.01, 9.11 ; 1996-&gt;2010 T 9.01-&gt;9.08 STAT KV 10)  / OFS : 2010 : Statistisches Lexikon BFS, Kosten des Gesundheitswesens</t>
  </si>
  <si>
    <r>
      <t xml:space="preserve">T 9.14  Kosten des Gesundheitswesens in der Schweiz nach Leistungen </t>
    </r>
    <r>
      <rPr>
        <b/>
        <vertAlign val="superscript"/>
        <sz val="12"/>
        <rFont val="Arial"/>
        <family val="2"/>
      </rPr>
      <t>1</t>
    </r>
    <r>
      <rPr>
        <b/>
        <sz val="12"/>
        <rFont val="Arial"/>
        <family val="2"/>
      </rPr>
      <t xml:space="preserve"> in Mio. Fr. ab 1996</t>
    </r>
  </si>
  <si>
    <t>Stationäre</t>
  </si>
  <si>
    <t>Andere</t>
  </si>
  <si>
    <t>Verkauf</t>
  </si>
  <si>
    <t>Prävention</t>
  </si>
  <si>
    <t>Verwaltung</t>
  </si>
  <si>
    <t>Gesund-</t>
  </si>
  <si>
    <t>heitsgüter</t>
  </si>
  <si>
    <r>
      <t xml:space="preserve">1) Neue BFS-Berechnungsmethode im 2008 -&gt; vom BFS revidierte Werte für 1996-&gt;2006. </t>
    </r>
    <r>
      <rPr>
        <i/>
        <sz val="10"/>
        <rFont val="Arial"/>
        <family val="2"/>
      </rPr>
      <t>Vom BFS revidierte Werte für 2009 (10/12).</t>
    </r>
  </si>
  <si>
    <t xml:space="preserve">Quelle: 1996-2011: Statistisches Lexikon BFS, Kosten des Gesundheitswesens </t>
  </si>
  <si>
    <r>
      <t>T 9.13  Kosten des Gesundheitswesens in der Schweiz nach Leistungserbringer</t>
    </r>
    <r>
      <rPr>
        <b/>
        <vertAlign val="superscript"/>
        <sz val="12"/>
        <rFont val="Arial"/>
        <family val="2"/>
      </rPr>
      <t xml:space="preserve"> 1</t>
    </r>
    <r>
      <rPr>
        <b/>
        <sz val="12"/>
        <rFont val="Arial"/>
        <family val="2"/>
      </rPr>
      <t xml:space="preserve"> in Mio. Fr. ab 1996</t>
    </r>
  </si>
  <si>
    <t>Kranken-</t>
  </si>
  <si>
    <t>Sozialme-</t>
  </si>
  <si>
    <t>Detail-</t>
  </si>
  <si>
    <t xml:space="preserve">Staat </t>
  </si>
  <si>
    <t>Organisa-</t>
  </si>
  <si>
    <t>Total </t>
  </si>
  <si>
    <t xml:space="preserve">häuser </t>
  </si>
  <si>
    <t>dizinische</t>
  </si>
  <si>
    <t>Versorgung</t>
  </si>
  <si>
    <t xml:space="preserve">handel </t>
  </si>
  <si>
    <t>tionen ohne</t>
  </si>
  <si>
    <t>Institutionen</t>
  </si>
  <si>
    <t>Erwerbs-</t>
  </si>
  <si>
    <t>charakter</t>
  </si>
  <si>
    <t>Quelle: 1996-2011: Statistisches Lexikon BFS, Kosten des Gesundheitswesens</t>
  </si>
  <si>
    <t>9: Zusatzinformationen zum Gesundheitswesen</t>
  </si>
  <si>
    <t>Wohnbevölkerung, Ärzte mit Praxistätigkeit und Apotheken nach Kanton</t>
  </si>
  <si>
    <t>Entwicklung der Wohnbevölkerung, der Ärzte mit Praxistätigkeit und der Apotheken ab 2002</t>
  </si>
  <si>
    <t>Aufteilung der Versicherten nach Art der Spitalzusatzversicherungen ab 2002</t>
  </si>
  <si>
    <t>Entwicklung der Preisindizes für Gesundheitspflege ab 2002</t>
  </si>
  <si>
    <t>Index der Krankenversicherungsprämien nach Versicherungsart ab 2002</t>
  </si>
  <si>
    <t>Index der Krankenpflegekosten, der Krankenversicherungsausgaben der Versicherten sowie der Löhne ab 1996</t>
  </si>
  <si>
    <t>Gesamtbeitrag je versicherte Person nach Versicherungsform in der OKP ab 2002</t>
  </si>
  <si>
    <t>Erkrankte, Spitaleinweisungen und Spitaltage in der OKP ab 2002</t>
  </si>
  <si>
    <t>Erkrankte, Spitaleinweisungen und Spitaltage in der OKP</t>
  </si>
  <si>
    <t>Taggeldversicherung KVG / VVG ab 2002</t>
  </si>
  <si>
    <t>Krankenversicherung (KVG-Versicherer und Privatversicherer) ab 2002</t>
  </si>
  <si>
    <t>Gesundheitskosten ausgewählter OECD–Länder ab 2002</t>
  </si>
  <si>
    <t>Kosten des Gesundheitswesens in der Schweiz nach Leistungserbringer ab 1996</t>
  </si>
  <si>
    <t>Kosten des Gesundheitswesens in der Schweiz nach Leistungen ab 1996</t>
  </si>
  <si>
    <t>Kosten des Gesundheitswesens in der Schweiz und obligatorische Krankenversicherung ab 1996</t>
  </si>
  <si>
    <t>Datenstand: 5.12.13</t>
  </si>
  <si>
    <r>
      <t xml:space="preserve">T 9.11  Krankenversicherung </t>
    </r>
    <r>
      <rPr>
        <b/>
        <vertAlign val="superscript"/>
        <sz val="12"/>
        <rFont val="Arial"/>
        <family val="2"/>
      </rPr>
      <t>1</t>
    </r>
    <r>
      <rPr>
        <b/>
        <sz val="12"/>
        <rFont val="Arial"/>
        <family val="2"/>
      </rPr>
      <t xml:space="preserve"> (KVG-Versicherer und Privatversicherer) ab 2002 in Mio. Fr.</t>
    </r>
  </si>
  <si>
    <t>KVG-Versicherer</t>
  </si>
  <si>
    <r>
      <t xml:space="preserve">Privat-versicherer </t>
    </r>
    <r>
      <rPr>
        <b/>
        <vertAlign val="superscript"/>
        <sz val="11"/>
        <rFont val="Arial"/>
        <family val="2"/>
      </rPr>
      <t>2</t>
    </r>
  </si>
  <si>
    <t>Grund-</t>
  </si>
  <si>
    <r>
      <t>versicherung</t>
    </r>
    <r>
      <rPr>
        <sz val="10"/>
        <rFont val="Arial"/>
        <family val="2"/>
      </rPr>
      <t xml:space="preserve"> </t>
    </r>
    <r>
      <rPr>
        <vertAlign val="superscript"/>
        <sz val="10"/>
        <rFont val="Arial"/>
        <family val="2"/>
      </rPr>
      <t>4</t>
    </r>
  </si>
  <si>
    <r>
      <t xml:space="preserve">sicherung </t>
    </r>
    <r>
      <rPr>
        <vertAlign val="superscript"/>
        <sz val="11"/>
        <rFont val="Arial"/>
        <family val="2"/>
      </rPr>
      <t>3</t>
    </r>
  </si>
  <si>
    <r>
      <t>1) Krankenpflegeversicherung ohne Taggeldversicherung</t>
    </r>
    <r>
      <rPr>
        <sz val="10"/>
        <rFont val="Arial"/>
        <family val="2"/>
      </rPr>
      <t>.</t>
    </r>
  </si>
  <si>
    <t xml:space="preserve">   Privatversicherer: Prämien = verdiente Prämien brutto; Leistungen = Zahlungen für Versicherungsfälle / KVG-Versicherer: Prämien = Bruttoprämien ; Nettoleistungen = bezahlte Leistungen.</t>
  </si>
  <si>
    <t>2) Quelle: Die privaten Versicherungseinrichtungen in der Schweiz (FINMA), Total der Tabelle AS03N, C, D [Ohne Unfallversicherung] - Total KVG Versicherer Versicherung VVG [Spalte 2].</t>
  </si>
  <si>
    <t xml:space="preserve">    (-&gt; 2007: Die privaten Versicherungseinrichtungen in der Schweiz (BPV), detaillierte Fassung der Tabelle AS03N. Ohne Unfallversicherung)</t>
  </si>
  <si>
    <t xml:space="preserve">    Die Zusatzversicherungen gemäss VVG der KVG-Versicherer (Krankenkassen) sind nicht in diesen Zahlen inbegriffen (siehe Spalte 2).</t>
  </si>
  <si>
    <t>3) VVG Zusatzversicherungen der KVG-Versicherer (Krankenkassen). Mit Unfallversicherung.</t>
  </si>
  <si>
    <t xml:space="preserve">   Quelle: T 7.02 Bruttoprämien [3020+335] und bezahlte Leistungen [4020-(4207+4217)] (BAG) - Krankentaggeld VVG  [EF1.12C]  </t>
  </si>
  <si>
    <t xml:space="preserve">   Ab 2012 inkl. Liechstenstein und Versicherte wohnhaft im Ausland.</t>
  </si>
  <si>
    <t xml:space="preserve">   Quelle: (-&gt;2011: T 7.03 Bruttoprämien [60-65] und bezahlte Leistungen [30-33] (BAG) - Krankentaggeld VVG / -&gt; 2003: Bundesamt für Privatversicherungen [BPV] )</t>
  </si>
  <si>
    <t>4) Quelle: T 1.02 Bruttoprämien [3010-&gt;16+331] und bezahlte Leistungen [4010-&gt;16-(4200-&gt;16-4210-&gt;16)]. Mit Unfallversicherung.</t>
  </si>
  <si>
    <t xml:space="preserve">    Quelle: (-&gt;2001: T 1.02 Bruttoprämien [60-65] und bezahlte Leistungen [30-33]). Mit Unfallversicherung.</t>
  </si>
  <si>
    <t>T 9.10 Taggeldversicherung KVG / VVG ab 2002 in Mio. Fr.</t>
  </si>
  <si>
    <r>
      <t xml:space="preserve">Prämien </t>
    </r>
    <r>
      <rPr>
        <b/>
        <vertAlign val="superscript"/>
        <sz val="11"/>
        <rFont val="Arial"/>
        <family val="2"/>
      </rPr>
      <t>4</t>
    </r>
  </si>
  <si>
    <r>
      <t xml:space="preserve">Nettoleistungen </t>
    </r>
    <r>
      <rPr>
        <b/>
        <vertAlign val="superscript"/>
        <sz val="11"/>
        <rFont val="Arial"/>
        <family val="2"/>
      </rPr>
      <t>4</t>
    </r>
  </si>
  <si>
    <t>Privat-versicherer</t>
  </si>
  <si>
    <t>freiwillige</t>
  </si>
  <si>
    <r>
      <t xml:space="preserve">VVG </t>
    </r>
    <r>
      <rPr>
        <vertAlign val="superscript"/>
        <sz val="11"/>
        <rFont val="Arial"/>
        <family val="2"/>
      </rPr>
      <t>2</t>
    </r>
  </si>
  <si>
    <r>
      <t xml:space="preserve">VVG </t>
    </r>
    <r>
      <rPr>
        <vertAlign val="superscript"/>
        <sz val="11"/>
        <rFont val="Arial"/>
        <family val="2"/>
      </rPr>
      <t>3</t>
    </r>
  </si>
  <si>
    <r>
      <t xml:space="preserve">KVG </t>
    </r>
    <r>
      <rPr>
        <vertAlign val="superscript"/>
        <sz val="11"/>
        <rFont val="Arial"/>
        <family val="2"/>
      </rPr>
      <t>1</t>
    </r>
  </si>
  <si>
    <t>1) Quelle: T 6.04 Bruttoprämien [3000+3005+330] und bezahlte Leistungen [4000+4005] (-&gt;2011: T 6.04 Bruttoprämien [60-65] und bezahlte Leistungen [30-33]). Mit Unfallversicherung.</t>
  </si>
  <si>
    <t>2) Quelle: T 7.02 Krankentaggeld VVG (BAG, EF 1.12C). Mit Unfallversicherung.</t>
  </si>
  <si>
    <t xml:space="preserve">    Quelle: (2004-&gt;2011:  Quelle: T 7.03 Krankentaggeld VVG (BAG). Mit Unfallversicherung / -&gt; 2003: Bundesamt für Privatversicherungen [BPV]. Ohne Unfallversicherung)</t>
  </si>
  <si>
    <t>3) Quelle: Die privaten Versicherungseinrichtungen in der Schweiz (FINMA), Total der Tabelle AS03N, C, D [ohne Unfallversicherung] - Total KVG Versicherer für die VVG Versicherung [Spalte 2].</t>
  </si>
  <si>
    <t>4) Privatversicherer: Prämien = verdiente Prämien brutto; Leistungen = Zahlungen für Versicherungsfälle / KVG-Versicherer: Prämien = Bruttoprämien ; Nettoleistungen = bezahlte Leistungen.</t>
  </si>
  <si>
    <t>T 9.09  Erkrankte, Spitaleinweisungen und Spitaltage</t>
  </si>
  <si>
    <t>Merkmal</t>
  </si>
  <si>
    <r>
      <t xml:space="preserve">Kinder </t>
    </r>
    <r>
      <rPr>
        <vertAlign val="superscript"/>
        <sz val="11"/>
        <rFont val="Arial"/>
        <family val="2"/>
      </rPr>
      <t>5</t>
    </r>
  </si>
  <si>
    <r>
      <t xml:space="preserve">Versicherte </t>
    </r>
    <r>
      <rPr>
        <vertAlign val="superscript"/>
        <sz val="11"/>
        <rFont val="Arial"/>
        <family val="2"/>
      </rPr>
      <t>1</t>
    </r>
  </si>
  <si>
    <r>
      <t xml:space="preserve">Erkrankte </t>
    </r>
    <r>
      <rPr>
        <vertAlign val="superscript"/>
        <sz val="11"/>
        <rFont val="Arial"/>
        <family val="2"/>
      </rPr>
      <t>2</t>
    </r>
  </si>
  <si>
    <r>
      <t xml:space="preserve">Erkrankte je 100 Versicherte </t>
    </r>
    <r>
      <rPr>
        <vertAlign val="superscript"/>
        <sz val="11"/>
        <rFont val="Arial"/>
        <family val="2"/>
      </rPr>
      <t>2</t>
    </r>
  </si>
  <si>
    <r>
      <t xml:space="preserve">Einweisungen </t>
    </r>
    <r>
      <rPr>
        <vertAlign val="superscript"/>
        <sz val="11"/>
        <rFont val="Arial"/>
        <family val="2"/>
      </rPr>
      <t>3</t>
    </r>
  </si>
  <si>
    <t>Einweisungen je 100 Versicherte</t>
  </si>
  <si>
    <r>
      <t xml:space="preserve">Spitaltage </t>
    </r>
    <r>
      <rPr>
        <vertAlign val="superscript"/>
        <sz val="11"/>
        <rFont val="Arial"/>
        <family val="2"/>
      </rPr>
      <t>4</t>
    </r>
  </si>
  <si>
    <t>Spitaltage je 100 Versicherte</t>
  </si>
  <si>
    <t>Spitaltage je Einweisung</t>
  </si>
  <si>
    <t xml:space="preserve">1) Durchschnittlicher Versichertenbestand. </t>
  </si>
  <si>
    <t xml:space="preserve">2) Anzahl versicherte Personen, welche im Berichtsjahr mindestens einmal ambulante oder stationäre Kosten verursacht haben </t>
  </si>
  <si>
    <t xml:space="preserve">   (die Anzahl Erkrankte ist somit kleiner oder gleich wie die Anzahl Versicherte).</t>
  </si>
  <si>
    <t xml:space="preserve">3) Anzahl Einweisungen ins Spital stationär; dazu zählen Einweisungen in Spitäler zur kurzfristigen </t>
  </si>
  <si>
    <t xml:space="preserve">    und zur langfristigen Behandlung körperlich Kranker sowie Einweisungen in psychiatrische Kliniken; </t>
  </si>
  <si>
    <t xml:space="preserve">    nicht dazu zählen hingegen Einweisungen in Pflegeheime. Sobald zwischen zwei Spital- </t>
  </si>
  <si>
    <t xml:space="preserve">    aufenthalten eine Lücke besteht, zählen diese als zwei Einweisungen. </t>
  </si>
  <si>
    <t xml:space="preserve">4) Anzahl Spitaltage im Spital stationär; dazu zählen die Spitaltage in Spitälern zur kurzfristigen </t>
  </si>
  <si>
    <t xml:space="preserve">    und zur langfristigen Behandlung körperlich Kranker sowie die Spitaltage in psychiatrischen Kliniken; </t>
  </si>
  <si>
    <t xml:space="preserve">    nicht dazu zählen hingegen die Tage in Pflegeheimen. </t>
  </si>
  <si>
    <t xml:space="preserve">5) Personen, die das 18. Altersjahr noch nicht vollendet haben (vgl. Art. 61 Abs. 3 KVG). </t>
  </si>
  <si>
    <t>Quelle: Formular EF 1.12, 3.7.1 und 3.7.2</t>
  </si>
  <si>
    <t>T 9.08 Erkrankte, Spitaleinweisungen und Spitaltage ab 2002</t>
  </si>
  <si>
    <r>
      <t xml:space="preserve">Erkrankte </t>
    </r>
    <r>
      <rPr>
        <vertAlign val="superscript"/>
        <sz val="11"/>
        <rFont val="Arial"/>
        <family val="2"/>
      </rPr>
      <t>1</t>
    </r>
  </si>
  <si>
    <t>Einwei-</t>
  </si>
  <si>
    <t>Spitaltage</t>
  </si>
  <si>
    <t>sungen</t>
  </si>
  <si>
    <t>1) Anzahl versicherte Personen, welche im Berichtsjahr mindestens einmal ambulante oder stationäre Kosten verursacht haben.</t>
  </si>
  <si>
    <t xml:space="preserve">   (2008: Unvollständige Daten - 79 Versicherer -&gt; geschätzte Werte, schräg gedruckt)</t>
  </si>
  <si>
    <t>Quelle: T 9.09</t>
  </si>
  <si>
    <t>Datenstand: 9.12.13</t>
  </si>
  <si>
    <r>
      <t xml:space="preserve">T 9.07 Gesamtbeitrag je versicherte Person (Prämie + Kostenbeteiligung </t>
    </r>
    <r>
      <rPr>
        <b/>
        <vertAlign val="superscript"/>
        <sz val="12"/>
        <rFont val="Arial"/>
        <family val="2"/>
      </rPr>
      <t xml:space="preserve">1 </t>
    </r>
    <r>
      <rPr>
        <b/>
        <sz val="12"/>
        <rFont val="Arial"/>
        <family val="2"/>
      </rPr>
      <t>) nach Versicherungsform ab 2002</t>
    </r>
  </si>
  <si>
    <t>Quelle: T 3.05 + 2.02</t>
  </si>
  <si>
    <t>Zusätzliche Angaben nach Altersgruppe</t>
  </si>
  <si>
    <t>T 9.06 Index der Krankenpflegekosten, der Krankenversicherungsausgaben der Versicherten sowie der Löhne ab 1996  (1996 = 100)</t>
  </si>
  <si>
    <t>Pflege-</t>
  </si>
  <si>
    <t>Gesundheits-</t>
  </si>
  <si>
    <t>Ausgaben der</t>
  </si>
  <si>
    <t>OKP-</t>
  </si>
  <si>
    <t>BFS-Lohn-</t>
  </si>
  <si>
    <t>kosten-</t>
  </si>
  <si>
    <t>wesen Kosten-</t>
  </si>
  <si>
    <r>
      <t xml:space="preserve">index </t>
    </r>
    <r>
      <rPr>
        <vertAlign val="superscript"/>
        <sz val="11"/>
        <rFont val="Arial"/>
        <family val="2"/>
      </rPr>
      <t>6</t>
    </r>
  </si>
  <si>
    <t>index</t>
  </si>
  <si>
    <r>
      <t xml:space="preserve">index </t>
    </r>
    <r>
      <rPr>
        <vertAlign val="superscript"/>
        <sz val="11"/>
        <rFont val="Arial"/>
        <family val="2"/>
      </rPr>
      <t>2</t>
    </r>
  </si>
  <si>
    <t>in der OKP</t>
  </si>
  <si>
    <t>OKP</t>
  </si>
  <si>
    <t>(nominal)</t>
  </si>
  <si>
    <t>Index</t>
  </si>
  <si>
    <r>
      <t xml:space="preserve">OKP </t>
    </r>
    <r>
      <rPr>
        <vertAlign val="superscript"/>
        <sz val="11"/>
        <rFont val="Arial"/>
        <family val="2"/>
      </rPr>
      <t>1</t>
    </r>
  </si>
  <si>
    <r>
      <t xml:space="preserve">Index </t>
    </r>
    <r>
      <rPr>
        <vertAlign val="superscript"/>
        <sz val="11"/>
        <rFont val="Arial"/>
        <family val="2"/>
      </rPr>
      <t>3</t>
    </r>
  </si>
  <si>
    <r>
      <t xml:space="preserve">Index </t>
    </r>
    <r>
      <rPr>
        <vertAlign val="superscript"/>
        <sz val="11"/>
        <rFont val="Arial"/>
        <family val="2"/>
      </rPr>
      <t>4</t>
    </r>
  </si>
  <si>
    <r>
      <t xml:space="preserve">Index </t>
    </r>
    <r>
      <rPr>
        <vertAlign val="superscript"/>
        <sz val="11"/>
        <rFont val="Arial"/>
        <family val="2"/>
      </rPr>
      <t>5</t>
    </r>
  </si>
  <si>
    <r>
      <t xml:space="preserve">OKP </t>
    </r>
    <r>
      <rPr>
        <vertAlign val="superscript"/>
        <sz val="11"/>
        <rFont val="Arial"/>
        <family val="2"/>
      </rPr>
      <t>7</t>
    </r>
  </si>
  <si>
    <t>1) Quelle: T 2.15. Entwicklung der Bruttoleistungen pro versicherte Person (erfasst mit der Kostenbeteiligung der Versicherten).</t>
  </si>
  <si>
    <r>
      <t xml:space="preserve">2) Quelle: T 9.15. Entwicklung pro Einwohner. </t>
    </r>
    <r>
      <rPr>
        <i/>
        <sz val="10"/>
        <rFont val="Arial"/>
        <family val="2"/>
      </rPr>
      <t>2012: Daten später verfügbar.</t>
    </r>
  </si>
  <si>
    <t>3) Quelle: T 9.07. OKP Ausgaben = Prämien + Kostenbeteiligung (berücksichtigt nur die beim Versicherer eingereichten Rechnungen).</t>
  </si>
  <si>
    <t>4) Quelle: T 3.05. Entwicklung pro versicherte Person für alle Versicherungsmodelle.</t>
  </si>
  <si>
    <t>5) Quelle: T 2.02. Berücksichtigt nur die bei dem Versicherer eingereichten Rechnungen.</t>
  </si>
  <si>
    <t>6) Quelle: BFS, Sektion Löhne und Arbeitsbedingungen.</t>
  </si>
  <si>
    <t>7) Quelle: T 2.21. Entwicklung der Bruttoleistungen pro versicherte Person (erfasst ohne die Kostenbeteiligung der Versicherten).</t>
  </si>
  <si>
    <t>T 9.05 Index der Krankenversicherungsprämien je versicherte Person nach Versicherungsart ab 2002 (Basis 1999 = 100)</t>
  </si>
  <si>
    <r>
      <t xml:space="preserve">Obligatorische Krankenpflegeversicherung (OKP) </t>
    </r>
    <r>
      <rPr>
        <b/>
        <vertAlign val="superscript"/>
        <sz val="11"/>
        <rFont val="Arial"/>
        <family val="2"/>
      </rPr>
      <t>2</t>
    </r>
  </si>
  <si>
    <r>
      <t xml:space="preserve">Spitalzusatzversicherungen </t>
    </r>
    <r>
      <rPr>
        <b/>
        <vertAlign val="superscript"/>
        <sz val="11"/>
        <rFont val="Arial"/>
        <family val="2"/>
      </rPr>
      <t>3</t>
    </r>
  </si>
  <si>
    <t xml:space="preserve">Kinder </t>
  </si>
  <si>
    <t>allgemein</t>
  </si>
  <si>
    <t>halbprivat</t>
  </si>
  <si>
    <t>privat</t>
  </si>
  <si>
    <t>(ganze CH)</t>
  </si>
  <si>
    <t>Veränderung gegenüber dem Vorjahr</t>
  </si>
  <si>
    <t>Einfluss auf das</t>
  </si>
  <si>
    <t>verfügbares</t>
  </si>
  <si>
    <t>Einkommen</t>
  </si>
  <si>
    <r>
      <t xml:space="preserve">in %  </t>
    </r>
    <r>
      <rPr>
        <vertAlign val="superscript"/>
        <sz val="10"/>
        <rFont val="Arial"/>
        <family val="2"/>
      </rPr>
      <t>1</t>
    </r>
  </si>
  <si>
    <r>
      <t xml:space="preserve">2013 </t>
    </r>
    <r>
      <rPr>
        <vertAlign val="superscript"/>
        <sz val="11"/>
        <rFont val="Arial"/>
        <family val="2"/>
      </rPr>
      <t>4</t>
    </r>
  </si>
  <si>
    <t>1) Auswirkung der Prämienentwicklung auf das Wachstum des verfügbaren Einkommens der Haushalte in %. Quelle: Siehe 3).</t>
  </si>
  <si>
    <r>
      <t xml:space="preserve">2) Quelle: T 3.05. </t>
    </r>
    <r>
      <rPr>
        <u/>
        <sz val="10"/>
        <rFont val="55 Helvetica Roman"/>
      </rPr>
      <t>Effektive</t>
    </r>
    <r>
      <rPr>
        <sz val="10"/>
        <rFont val="55 Helvetica Roman"/>
      </rPr>
      <t xml:space="preserve"> Erhöhungen für alle Versicherungsarten.</t>
    </r>
  </si>
  <si>
    <r>
      <t xml:space="preserve">Werte der </t>
    </r>
    <r>
      <rPr>
        <u/>
        <sz val="10"/>
        <rFont val="Arial"/>
        <family val="2"/>
      </rPr>
      <t>geschätzten</t>
    </r>
    <r>
      <rPr>
        <sz val="10"/>
        <rFont val="Arial"/>
        <family val="2"/>
      </rPr>
      <t xml:space="preserve"> Erhöhung der Prämien pro Altersgruppe für die ordentliche Franchise: vgl. T 12.01.</t>
    </r>
  </si>
  <si>
    <t>3) Quelle: BFS, Sektion Preise. Krankenversicherungsprämienindex (KVPI) [Medienmitteilung 11/13].</t>
  </si>
  <si>
    <r>
      <t xml:space="preserve">4) OKP: </t>
    </r>
    <r>
      <rPr>
        <i/>
        <sz val="10"/>
        <rFont val="Arial"/>
        <family val="2"/>
      </rPr>
      <t>Schätzung:</t>
    </r>
    <r>
      <rPr>
        <sz val="10"/>
        <rFont val="Arial"/>
        <family val="2"/>
      </rPr>
      <t xml:space="preserve"> Quelle: Siehe 3). Siehe auch Beilage J (Schätzung, pro versicherte Person).</t>
    </r>
  </si>
  <si>
    <r>
      <t xml:space="preserve">T 9.04  Entwicklung der Preisindizes für Gesundheitspflege ab 2002  (1996 = 100) </t>
    </r>
    <r>
      <rPr>
        <b/>
        <vertAlign val="superscript"/>
        <sz val="12"/>
        <rFont val="Arial"/>
        <family val="2"/>
      </rPr>
      <t>1</t>
    </r>
  </si>
  <si>
    <t>Ärztliche Leistungen</t>
  </si>
  <si>
    <t>Zahnärztliche Leistungen</t>
  </si>
  <si>
    <t>Spital-leistungen</t>
  </si>
  <si>
    <t>Medizinische Apparate</t>
  </si>
  <si>
    <t>Andere Gesundheits-leistungen</t>
  </si>
  <si>
    <t>Gesundheits-pflege (Total)</t>
  </si>
  <si>
    <t>Landesindex der Konsu-mentenpreise 
(LIK)</t>
  </si>
  <si>
    <t>Vorjahresveränderung der Preisindizes für Gesundheitspflege</t>
  </si>
  <si>
    <t>Landesindex 
der Konsu-
mentenpreise 
(LIK)</t>
  </si>
  <si>
    <t>1) Basis des Indexes der Konsumentenpreise: Dezember 2010 = 100. Indizes neu berechnet auf der Basis Jahresdurchschnitt 1996 = 100.</t>
  </si>
  <si>
    <t>Methode zur Ermittlung des Index  "Gesundheitspflege":</t>
  </si>
  <si>
    <t>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</si>
  <si>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</si>
  <si>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</si>
  <si>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</si>
  <si>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</si>
  <si>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</si>
  <si>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</si>
  <si>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</si>
  <si>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BAG-Tarif - meistverkauften Geräten)</t>
  </si>
  <si>
    <t xml:space="preserve">   und andere medizinische Geräte (z.B. Gehhilfen, Stützen usw.).</t>
  </si>
  <si>
    <t xml:space="preserve"> - Andere Gesundheitsleistungen: Kostenermittlung nach den typischen Leistungen in den Bereichen Physiotherapie, Labor und Spitex. </t>
  </si>
  <si>
    <t>Quelle: BFS, Sektion Preise.</t>
  </si>
  <si>
    <r>
      <t xml:space="preserve">T 9.03 KVG-Versicherer </t>
    </r>
    <r>
      <rPr>
        <b/>
        <vertAlign val="superscript"/>
        <sz val="12"/>
        <rFont val="Arial"/>
        <family val="2"/>
      </rPr>
      <t>1</t>
    </r>
    <r>
      <rPr>
        <b/>
        <sz val="12"/>
        <rFont val="Arial"/>
        <family val="2"/>
      </rPr>
      <t xml:space="preserve"> : Spitalzusatzversicherungen seit 2002 in % der OKP-Versicherten</t>
    </r>
  </si>
  <si>
    <r>
      <t xml:space="preserve">Versicherte mit Grundversicherung </t>
    </r>
    <r>
      <rPr>
        <sz val="11"/>
        <rFont val="Arial"/>
        <family val="2"/>
      </rPr>
      <t xml:space="preserve">(bei dem selben KVG-Versicherer) </t>
    </r>
    <r>
      <rPr>
        <vertAlign val="superscript"/>
        <sz val="11"/>
        <rFont val="Arial"/>
        <family val="2"/>
      </rPr>
      <t>2</t>
    </r>
  </si>
  <si>
    <r>
      <t xml:space="preserve">Versicherte ohne Grundversicherung </t>
    </r>
    <r>
      <rPr>
        <sz val="11"/>
        <rFont val="Arial"/>
        <family val="2"/>
      </rPr>
      <t xml:space="preserve">(bei dem selben KVG-Versicherer) </t>
    </r>
    <r>
      <rPr>
        <vertAlign val="superscript"/>
        <sz val="11"/>
        <rFont val="Arial"/>
        <family val="2"/>
      </rPr>
      <t>4</t>
    </r>
  </si>
  <si>
    <r>
      <t xml:space="preserve">OKP </t>
    </r>
    <r>
      <rPr>
        <vertAlign val="superscript"/>
        <sz val="11"/>
        <rFont val="Arial"/>
        <family val="2"/>
      </rPr>
      <t>3</t>
    </r>
  </si>
  <si>
    <t>Besondere</t>
  </si>
  <si>
    <t>per 31.12</t>
  </si>
  <si>
    <r>
      <t xml:space="preserve">Angebote </t>
    </r>
    <r>
      <rPr>
        <vertAlign val="superscript"/>
        <sz val="11"/>
        <rFont val="Arial"/>
        <family val="2"/>
      </rPr>
      <t>5</t>
    </r>
  </si>
  <si>
    <t>ganze CH</t>
  </si>
  <si>
    <t>1) KVG-Versicherer: nur Spitalzusatzversicherungen, die den Versicherten von den KVG-Versicherern angeboten werden,</t>
  </si>
  <si>
    <t xml:space="preserve">   zum Teil über Drittversicherer (Gesellschaften, die dem VVG unterstellt sind).</t>
  </si>
  <si>
    <t xml:space="preserve">   Angaben der Privatversicherer: seit 2008 publiziert die FINMA keine Versichertenbestände mehr. Die Angaben von BAG/FINMA zu den Jahren 1996 -&gt; 2007 sind in der KV-Statistik BAG 2008 ersichtlich.</t>
  </si>
  <si>
    <t xml:space="preserve">   Folglich weisen die in dieser Tabelle enthaltenen Prozentwerte nur einen Teil der Versicherten aus, die eine Spitalzusatzversicherung abgeschlossen haben.</t>
  </si>
  <si>
    <t xml:space="preserve">   Kantonale Angaben zu den Spitalzusatzversicherungen stehen nicht zur Verfügung.</t>
  </si>
  <si>
    <t>2) Quelle: Bundesamt für Gesundheit (BAG), Formular EF3.7.3.</t>
  </si>
  <si>
    <t xml:space="preserve">   Es werden nur Versicherte berücksichtigt, welche die Zusatzversicherung beim gleichen Versicherer abgeschlossen haben wie die obligatorische Krankenpflegeversicherung.</t>
  </si>
  <si>
    <t>3) Quelle: T 11.06.</t>
  </si>
  <si>
    <t>4) Quelle: Bundesamt für Gesundheit (BAG), Formular EF3.7.3.</t>
  </si>
  <si>
    <t xml:space="preserve">   Nur Versicherte, welche die Zusatzversicherung bei einem anderen Versicherer abgeschlossen haben als die obligatorische Krankenpflegeversicherung.</t>
  </si>
  <si>
    <t>5) Besondere Versicherungsangebote :</t>
  </si>
  <si>
    <t xml:space="preserve">- Flex-Versicherung, bei der Versicherte von Fall zu Fall die Abteilung, in der sie behandelt werden wollen, und die dazu gehörige Franchise, </t>
  </si>
  <si>
    <t xml:space="preserve">  bzw. Kostenbeteiligung für die halbprivate oder private Abteilung wählen können.</t>
  </si>
  <si>
    <t>- Spitalzimmerversicherung für die freie Wahl von Ein- oder Zweibettzimmern in der allgemeinen Spitalabteilung.</t>
  </si>
  <si>
    <t>- Taggeldversicherung im Zusammenhang mit Spitalaufenthalten, bei denen der Versicherte einen fixen Betrag pro Spitaltag erhält.</t>
  </si>
  <si>
    <t>- Behandlungskostenversicherung bei Spitalaufenthalten mit einem definierten Maximalbetrag pro Jahr.</t>
  </si>
  <si>
    <t>Datenstand: 11.12.13</t>
  </si>
  <si>
    <t>Datenstand: 18.11.13</t>
  </si>
  <si>
    <t>Datenstand: 19.3.13</t>
  </si>
  <si>
    <t>Datenstand: 15.1.14</t>
  </si>
  <si>
    <t>15.1.14: 9.01, 9.02, 9.12, A, B, B1, F1, F2, F3</t>
  </si>
  <si>
    <t>vollständig (128 / 128 T.)</t>
  </si>
  <si>
    <t>T 9.12  Gesundheitskosten ausgewählter OECD–Länder ab 2002</t>
  </si>
  <si>
    <t>A. in % des BIP</t>
  </si>
  <si>
    <t>Land</t>
  </si>
  <si>
    <t>Australien</t>
  </si>
  <si>
    <t>Österreich</t>
  </si>
  <si>
    <t>Belgien</t>
  </si>
  <si>
    <t>Dänemark</t>
  </si>
  <si>
    <t>Finnland</t>
  </si>
  <si>
    <t>Frankreich</t>
  </si>
  <si>
    <t>Deutschland</t>
  </si>
  <si>
    <t>Italien</t>
  </si>
  <si>
    <t>Japan</t>
  </si>
  <si>
    <t>Niederlande</t>
  </si>
  <si>
    <t>Norwegen</t>
  </si>
  <si>
    <t>Spanien</t>
  </si>
  <si>
    <t>Schweden</t>
  </si>
  <si>
    <t>Grossbritannien</t>
  </si>
  <si>
    <t>USA</t>
  </si>
  <si>
    <r>
      <t xml:space="preserve">Schweiz * </t>
    </r>
    <r>
      <rPr>
        <b/>
        <vertAlign val="superscript"/>
        <sz val="11"/>
        <rFont val="Arial"/>
        <family val="2"/>
      </rPr>
      <t>1</t>
    </r>
  </si>
  <si>
    <r>
      <t xml:space="preserve">* davon Kosten OKP </t>
    </r>
    <r>
      <rPr>
        <b/>
        <vertAlign val="superscript"/>
        <sz val="11"/>
        <rFont val="Arial"/>
        <family val="2"/>
      </rPr>
      <t>2</t>
    </r>
  </si>
  <si>
    <r>
      <t xml:space="preserve">B. in CHF pro Person </t>
    </r>
    <r>
      <rPr>
        <b/>
        <vertAlign val="superscript"/>
        <sz val="12"/>
        <rFont val="Arial"/>
        <family val="2"/>
      </rPr>
      <t>3</t>
    </r>
  </si>
  <si>
    <t xml:space="preserve">1) 2012: Schätzung. </t>
  </si>
  <si>
    <t xml:space="preserve">2) nur die Kosten im Zusammenhang mit der obligatorischen Krankenpflegeversicherung, also Bruttoleistungen (bezahlte </t>
  </si>
  <si>
    <t xml:space="preserve">    Leistungen und Kostenbeteiligung) sowie Verwaltungskosten und Abschreibungen der KVG-Versicherer. Quelle: T 1.01 / BIP: BFS.</t>
  </si>
  <si>
    <t>3) Umrechnung von US$ in CHF mit dem Kurs des betrachteten Jahres, Kaufkraftbereinigt gemäss den OECD-Kaufkraftparitäten.</t>
  </si>
  <si>
    <t>Quelle: www.oecd.org -&gt; Topics: Health -&gt; OECD Health Data 2013 Version: January 2014 (Werte 2002 -&gt; 2012 teilweise revidiert).</t>
  </si>
  <si>
    <t xml:space="preserve">Topics &gt; OECD &gt; Themes &gt; Health Expenditure and Financing &gt;  total health expenditure &gt; total expenditure HC1-HC9,HCR1; HF1-HF3; HP1-HP9, </t>
  </si>
  <si>
    <t xml:space="preserve">% gross domestic product,    /capita, national currency unit (CH),   /capita, US$ purchasing power parity. </t>
  </si>
  <si>
    <t>Topics &gt; OECD &gt; Themes &gt; National accounts  &gt;  annual National accounts &gt; main aggregates &gt; PPP and exchange rates</t>
  </si>
  <si>
    <t>exchange rate and national currency per US dollar.</t>
  </si>
  <si>
    <t>T 9.02  Entwicklung der Wohnbevölkerung, der Ärzte mit Praxistätigkeit und der Apotheken ab 2002</t>
  </si>
  <si>
    <t xml:space="preserve"> Ärzte-</t>
  </si>
  <si>
    <r>
      <t xml:space="preserve">Veränderung </t>
    </r>
    <r>
      <rPr>
        <vertAlign val="superscript"/>
        <sz val="11"/>
        <rFont val="Arial"/>
        <family val="2"/>
      </rPr>
      <t>3</t>
    </r>
  </si>
  <si>
    <t>Apotheken-</t>
  </si>
  <si>
    <r>
      <t xml:space="preserve">Ärzte </t>
    </r>
    <r>
      <rPr>
        <vertAlign val="superscript"/>
        <sz val="11"/>
        <rFont val="Arial"/>
        <family val="2"/>
      </rPr>
      <t>1</t>
    </r>
  </si>
  <si>
    <r>
      <t xml:space="preserve">dichte </t>
    </r>
    <r>
      <rPr>
        <vertAlign val="superscript"/>
        <sz val="11"/>
        <rFont val="Arial"/>
        <family val="2"/>
      </rPr>
      <t>2</t>
    </r>
  </si>
  <si>
    <r>
      <t xml:space="preserve">Apotheken </t>
    </r>
    <r>
      <rPr>
        <vertAlign val="superscript"/>
        <sz val="11"/>
        <rFont val="Arial"/>
        <family val="2"/>
      </rPr>
      <t>1</t>
    </r>
  </si>
  <si>
    <r>
      <t xml:space="preserve">dichte </t>
    </r>
    <r>
      <rPr>
        <vertAlign val="superscript"/>
        <sz val="11"/>
        <rFont val="Arial"/>
        <family val="2"/>
      </rPr>
      <t>4</t>
    </r>
  </si>
  <si>
    <r>
      <t xml:space="preserve">völkerung </t>
    </r>
    <r>
      <rPr>
        <vertAlign val="superscript"/>
        <sz val="11"/>
        <rFont val="Arial"/>
        <family val="2"/>
      </rPr>
      <t>1</t>
    </r>
  </si>
  <si>
    <t>1) Quelle: T 9.01</t>
  </si>
  <si>
    <t xml:space="preserve">    Ab 2008 ohne die Ärzte, die weder im ambulanten noch im stationären Sektor arbeiten (Versicherungen, Bundesverwaltung usw.).</t>
  </si>
  <si>
    <t>2) Anzahl Ärzte mit Praxistätigkeit pro 1'000 Einwohner.</t>
  </si>
  <si>
    <t>3) Veränderung der Dichte.</t>
  </si>
  <si>
    <t>4) Anzahl Apotheken (öffentliche Apotheken) pro 10'000 Einwohner.</t>
  </si>
  <si>
    <t xml:space="preserve">T 9.01  Wohnbevölkerung, Ärzte mit Praxistätigkeit und Apotheken nach Kanton </t>
  </si>
  <si>
    <t>Ärzte:</t>
  </si>
  <si>
    <t>Medika-</t>
  </si>
  <si>
    <t>Allgemein-</t>
  </si>
  <si>
    <t>Spezialärzte</t>
  </si>
  <si>
    <t>Ärzte mit</t>
  </si>
  <si>
    <r>
      <t xml:space="preserve">dichte </t>
    </r>
    <r>
      <rPr>
        <vertAlign val="superscript"/>
        <sz val="11"/>
        <rFont val="Arial"/>
        <family val="2"/>
      </rPr>
      <t>5</t>
    </r>
  </si>
  <si>
    <r>
      <t>Apotheken</t>
    </r>
    <r>
      <rPr>
        <vertAlign val="superscript"/>
        <sz val="11"/>
        <rFont val="Arial"/>
        <family val="2"/>
      </rPr>
      <t xml:space="preserve"> 6</t>
    </r>
  </si>
  <si>
    <t>menten-</t>
  </si>
  <si>
    <r>
      <t xml:space="preserve">dichte </t>
    </r>
    <r>
      <rPr>
        <vertAlign val="superscript"/>
        <sz val="11"/>
        <rFont val="Arial"/>
        <family val="2"/>
      </rPr>
      <t>8</t>
    </r>
  </si>
  <si>
    <r>
      <t xml:space="preserve">praktiker </t>
    </r>
    <r>
      <rPr>
        <vertAlign val="superscript"/>
        <sz val="11"/>
        <rFont val="Arial"/>
        <family val="2"/>
      </rPr>
      <t>2</t>
    </r>
  </si>
  <si>
    <r>
      <t xml:space="preserve">FMH </t>
    </r>
    <r>
      <rPr>
        <vertAlign val="superscript"/>
        <sz val="11"/>
        <rFont val="Arial"/>
        <family val="2"/>
      </rPr>
      <t>3</t>
    </r>
  </si>
  <si>
    <t>Praxistä-</t>
  </si>
  <si>
    <r>
      <t xml:space="preserve">verkauf </t>
    </r>
    <r>
      <rPr>
        <vertAlign val="superscript"/>
        <sz val="11"/>
        <rFont val="Arial"/>
        <family val="2"/>
      </rPr>
      <t>7</t>
    </r>
  </si>
  <si>
    <r>
      <t xml:space="preserve">tigkeit </t>
    </r>
    <r>
      <rPr>
        <vertAlign val="superscript"/>
        <sz val="11"/>
        <rFont val="Arial"/>
        <family val="2"/>
      </rPr>
      <t>4</t>
    </r>
  </si>
  <si>
    <t>1) Durchschnittliche Wohnbevölkerung in einem bestimmten Gebiet nach wirtschaftlichem Wohnsitz.</t>
  </si>
  <si>
    <t xml:space="preserve">    Quelle: BFS Sektion Bevölkerungsentwicklung.</t>
  </si>
  <si>
    <t>2) Summe der Ärzte (mit Praxistätigkeit) mit Facharzttitel in Allgemeinmedizin und der Ärzte (mit Praxistätigkeit) ohne Facharzttitel.</t>
  </si>
  <si>
    <t xml:space="preserve">    Inklusiv Fachärzte für innere Medizin, die als Grundversorger tätig sind.</t>
  </si>
  <si>
    <t>3) Ohne Fachärzte für innere Medizin, die als Grundversorger tätig sind.</t>
  </si>
  <si>
    <t>4) Quelle: FMH, Ärztestatistik.</t>
  </si>
  <si>
    <t>5) Anzahl Ärzte mit Praxistätigkeit pro 1'000 Einwohner.</t>
  </si>
  <si>
    <t>6) Quelle: pharmaSuisse, Schweizerischer Apothekerverein SAV.</t>
  </si>
  <si>
    <t>7) Selbstdispensation (Medikamentenverkauf durch Ärzte): 1: flächendeckend im Kanton / 2: Mischformen / 3: reines Rezeptursystem.</t>
  </si>
  <si>
    <t xml:space="preserve">    Quelle: pharmaSuisse, Schweizerischer Apothekerverein SAV.</t>
  </si>
  <si>
    <t>8) Anzahl Apotheken (öffentliche Apotheken) pro 10'000 Einwohner.</t>
  </si>
  <si>
    <t>Datenstand: 14.1.14</t>
  </si>
  <si>
    <t>Beilage F3</t>
  </si>
  <si>
    <r>
      <t xml:space="preserve">Zunahme der Gesamtausgaben </t>
    </r>
    <r>
      <rPr>
        <b/>
        <vertAlign val="superscript"/>
        <sz val="11"/>
        <rFont val="Arial"/>
        <family val="2"/>
      </rPr>
      <t>1</t>
    </r>
    <r>
      <rPr>
        <b/>
        <sz val="11"/>
        <rFont val="Arial"/>
        <family val="2"/>
      </rPr>
      <t xml:space="preserve"> der Versicherten (Prämien + Kostenbeteiligung) als Folge der Änderungen der Franchisen, der Prämienrabatte und des Selbstbehalts </t>
    </r>
  </si>
  <si>
    <t>Erwachsene (ab 26 Jahren) : effektive Zunahme 2014</t>
  </si>
  <si>
    <r>
      <t xml:space="preserve">Durchschnittsprämie CH </t>
    </r>
    <r>
      <rPr>
        <b/>
        <i/>
        <vertAlign val="superscript"/>
        <sz val="10"/>
        <rFont val="Arial"/>
        <family val="2"/>
      </rPr>
      <t>2</t>
    </r>
    <r>
      <rPr>
        <b/>
        <i/>
        <sz val="10"/>
        <rFont val="Arial"/>
        <family val="2"/>
      </rPr>
      <t xml:space="preserve"> : 396.10</t>
    </r>
  </si>
  <si>
    <t>Gesamtausgaben in Fr. :</t>
  </si>
  <si>
    <t>Max. Gewinn (+) / Verlust (-) in Fr. / % gegenüber der ordentlichen Franchise :</t>
  </si>
  <si>
    <t>Franchise</t>
  </si>
  <si>
    <t>mit Leistungen von 0.-</t>
  </si>
  <si>
    <t>mit Leistungen von 9500.-</t>
  </si>
  <si>
    <t xml:space="preserve">ordentlich 300.- </t>
  </si>
  <si>
    <t xml:space="preserve">1) 500.- </t>
  </si>
  <si>
    <t xml:space="preserve">2) 1000.- </t>
  </si>
  <si>
    <t>3) 1500.-</t>
  </si>
  <si>
    <t>4) 2000.-</t>
  </si>
  <si>
    <t>5) 2500.-</t>
  </si>
  <si>
    <t>Junge Erwachsene (19-25 Jahre) : effektive Zunahme 2014</t>
  </si>
  <si>
    <r>
      <t xml:space="preserve">Durchschnittsprämie CH </t>
    </r>
    <r>
      <rPr>
        <b/>
        <i/>
        <vertAlign val="superscript"/>
        <sz val="10"/>
        <rFont val="Arial"/>
        <family val="2"/>
      </rPr>
      <t>2</t>
    </r>
    <r>
      <rPr>
        <b/>
        <i/>
        <sz val="10"/>
        <rFont val="Arial"/>
        <family val="2"/>
      </rPr>
      <t xml:space="preserve"> : 363.60</t>
    </r>
  </si>
  <si>
    <t>Kinder (0-18 Jahre) : effektive Zunahme 2014</t>
  </si>
  <si>
    <r>
      <t xml:space="preserve">Durchschnittsprämie CH </t>
    </r>
    <r>
      <rPr>
        <b/>
        <i/>
        <vertAlign val="superscript"/>
        <sz val="10"/>
        <rFont val="Arial"/>
        <family val="2"/>
      </rPr>
      <t>2</t>
    </r>
    <r>
      <rPr>
        <b/>
        <i/>
        <sz val="10"/>
        <rFont val="Arial"/>
        <family val="2"/>
      </rPr>
      <t xml:space="preserve"> : 91.50</t>
    </r>
  </si>
  <si>
    <t>Gesamtausgaben in Fr.  :</t>
  </si>
  <si>
    <t>Max. Gewinn (+) / Verlust (-) in Fr. / %  gegenüber der ordentlichen Franchise :</t>
  </si>
  <si>
    <t>mit Leistungen von 4100.-</t>
  </si>
  <si>
    <t>1) 100.-</t>
  </si>
  <si>
    <t>2) 200.-</t>
  </si>
  <si>
    <t>3) 300.-</t>
  </si>
  <si>
    <t xml:space="preserve">4) 400.- </t>
  </si>
  <si>
    <t>5) 500.-</t>
  </si>
  <si>
    <t xml:space="preserve">6) 600.- </t>
  </si>
  <si>
    <t>Quelle: T 12.01; Anhang F1 und F2.</t>
  </si>
  <si>
    <t xml:space="preserve">1) Der tatsächliche Anstieg ist abhängig von der Prämienhöhe und den Leistungen. Hier wird er angegeben für die schweizerische Durchschnittsprämie für </t>
  </si>
  <si>
    <t>null Leistungen (0.-) und maximale Leistungen (ab diesem Betrag nehmen die Ausgaben der Versicherten mit der höchsten Franchise nicht mehr zu).</t>
  </si>
  <si>
    <t>Es wird von der Hypothese ausgegangen, dass der gesetzlich maximale Prämienrabatt für die wählbaren Franchisen gewährt wird.</t>
  </si>
  <si>
    <t xml:space="preserve">Ist dem nicht so, sieht der tatsächliche Anstieg anders aus. </t>
  </si>
  <si>
    <t>Berechnungsmethode:</t>
  </si>
  <si>
    <t>- Man berechnet den Gesamtanstieg (Prämie + Kostenbeteiligung, d.h. Franchise + Selbstbehalt [10 % vereinfacht gesagt]) für jede Franchisenhöhe gemäss Leistungen;</t>
  </si>
  <si>
    <t>- danach wird der effektive Anstieg in % im Vergleich zum Vorjahr bestimmt;</t>
  </si>
  <si>
    <t>- der maximale Gewinn oder Verlust für das laufende Jahr berechnet sich aus dem Gesamtanstieg für die ordentliche Franchise.</t>
  </si>
  <si>
    <t>Anstieg 1996-&gt;2012: siehe STAT KV 03-&gt;10 (Beilagen).</t>
  </si>
  <si>
    <t xml:space="preserve">2) Es handelt sich um eine Schätzung der monatlichen Durchschnittsprämie in Franken ausgehend von den Versicherungstarifen mit ordentlicher Franchise </t>
  </si>
  <si>
    <t>einschliesslich Unfalldeckung und den Versichertenbeständen nach Kantonen und Prämienregion.</t>
  </si>
  <si>
    <t>input (coller valeurs depuis onglet f et modifier manuellement les années 2007 -&gt; 2008 )</t>
  </si>
  <si>
    <t>Beilage F2</t>
  </si>
  <si>
    <t>Entwicklung der Franchisen, Prämienrabatte und Selbstbehalte ab 1996 (Kinder)</t>
  </si>
  <si>
    <t>Kinder (0-18 Jahre)</t>
  </si>
  <si>
    <t>1996-1997</t>
  </si>
  <si>
    <t>Selbstbehalt</t>
  </si>
  <si>
    <t>10% max. 300.-</t>
  </si>
  <si>
    <t>maximaler Prämienrabatt in %</t>
  </si>
  <si>
    <t>ordentlich 0.-</t>
  </si>
  <si>
    <t>1) 150.-</t>
  </si>
  <si>
    <t>2) 300.-</t>
  </si>
  <si>
    <t>3) 375.-</t>
  </si>
  <si>
    <t>1998-2000</t>
  </si>
  <si>
    <t>2001-2003</t>
  </si>
  <si>
    <t>jedoch höchstens Fr. pro Jahr</t>
  </si>
  <si>
    <t>(Differenz zwischen wählbarer und ordentlicher Franchise)</t>
  </si>
  <si>
    <r>
      <t xml:space="preserve">10% </t>
    </r>
    <r>
      <rPr>
        <i/>
        <sz val="10"/>
        <rFont val="Arial"/>
        <family val="2"/>
      </rPr>
      <t xml:space="preserve">max. </t>
    </r>
    <r>
      <rPr>
        <b/>
        <i/>
        <sz val="10"/>
        <rFont val="Arial"/>
        <family val="2"/>
      </rPr>
      <t>350.-</t>
    </r>
  </si>
  <si>
    <t>(80% der Differenz zwischen wählbarer und ordentlicher Franchise)</t>
  </si>
  <si>
    <t>10% max. 350.-</t>
  </si>
  <si>
    <t>4) 400.-</t>
  </si>
  <si>
    <t>6) 600.-</t>
  </si>
  <si>
    <t>2006-2009</t>
  </si>
  <si>
    <r>
      <t>10%</t>
    </r>
    <r>
      <rPr>
        <sz val="10"/>
        <rFont val="Arial"/>
        <family val="2"/>
      </rPr>
      <t xml:space="preserve"> </t>
    </r>
    <r>
      <rPr>
        <vertAlign val="superscript"/>
        <sz val="10"/>
        <rFont val="Arial"/>
        <family val="2"/>
      </rPr>
      <t>1</t>
    </r>
    <r>
      <rPr>
        <sz val="10"/>
        <rFont val="Arial"/>
        <family val="2"/>
      </rPr>
      <t xml:space="preserve"> </t>
    </r>
    <r>
      <rPr>
        <i/>
        <sz val="10"/>
        <rFont val="Arial"/>
        <family val="2"/>
      </rPr>
      <t xml:space="preserve">max. </t>
    </r>
    <r>
      <rPr>
        <sz val="10"/>
        <rFont val="Arial"/>
        <family val="2"/>
      </rPr>
      <t>350</t>
    </r>
    <r>
      <rPr>
        <i/>
        <sz val="10"/>
        <rFont val="Arial"/>
        <family val="2"/>
      </rPr>
      <t>.-</t>
    </r>
  </si>
  <si>
    <t>2010-</t>
  </si>
  <si>
    <t>(70% der Differenz zwischen wählbarer und ordentlicher Franchise)</t>
  </si>
  <si>
    <t>Quelle: BAG</t>
  </si>
  <si>
    <t xml:space="preserve">1) Ausnahme: Erhöhung des Selbstbehaltes auf 20 % für Originalpräparate, von welchen </t>
  </si>
  <si>
    <t xml:space="preserve">    ein mindestens 20 % billigeres Generikum in der Spezialitätenliste angeführt ist (Art. 38a KLV).</t>
  </si>
  <si>
    <t>(Änderungen grau)</t>
  </si>
  <si>
    <t>Beilage F1</t>
  </si>
  <si>
    <t>Entwicklung der Franchisen, Prämienrabatte und Selbstbehalte ab 1996 (Erwachsene)</t>
  </si>
  <si>
    <r>
      <t xml:space="preserve">Erwachsene (ab 19 Jahren) </t>
    </r>
    <r>
      <rPr>
        <b/>
        <i/>
        <vertAlign val="superscript"/>
        <sz val="9"/>
        <rFont val="Arial"/>
        <family val="2"/>
      </rPr>
      <t>1</t>
    </r>
  </si>
  <si>
    <t>10% max. 600.-</t>
  </si>
  <si>
    <t>ordentlich 150.-</t>
  </si>
  <si>
    <t>1) 300.-</t>
  </si>
  <si>
    <t>2) 600.-</t>
  </si>
  <si>
    <t>3) 1200.-</t>
  </si>
  <si>
    <t>4) 1500.-</t>
  </si>
  <si>
    <r>
      <t xml:space="preserve">ordentlich </t>
    </r>
    <r>
      <rPr>
        <b/>
        <i/>
        <sz val="10"/>
        <rFont val="Arial"/>
        <family val="2"/>
      </rPr>
      <t>230</t>
    </r>
    <r>
      <rPr>
        <b/>
        <sz val="10"/>
        <rFont val="Arial"/>
        <family val="2"/>
      </rPr>
      <t>.-</t>
    </r>
  </si>
  <si>
    <r>
      <t xml:space="preserve">1) </t>
    </r>
    <r>
      <rPr>
        <b/>
        <i/>
        <sz val="10"/>
        <rFont val="Arial"/>
        <family val="2"/>
      </rPr>
      <t>400.-</t>
    </r>
  </si>
  <si>
    <t>ordentlich 230.-</t>
  </si>
  <si>
    <t>1) 400.-</t>
  </si>
  <si>
    <r>
      <t xml:space="preserve">10% </t>
    </r>
    <r>
      <rPr>
        <i/>
        <sz val="10"/>
        <rFont val="Arial"/>
        <family val="2"/>
      </rPr>
      <t>max</t>
    </r>
    <r>
      <rPr>
        <b/>
        <i/>
        <sz val="10"/>
        <rFont val="Arial"/>
        <family val="2"/>
      </rPr>
      <t>. 700.-</t>
    </r>
  </si>
  <si>
    <r>
      <t xml:space="preserve">ordentlich </t>
    </r>
    <r>
      <rPr>
        <b/>
        <i/>
        <sz val="10"/>
        <rFont val="Arial"/>
        <family val="2"/>
      </rPr>
      <t>300</t>
    </r>
    <r>
      <rPr>
        <b/>
        <sz val="10"/>
        <rFont val="Arial"/>
        <family val="2"/>
      </rPr>
      <t>.-</t>
    </r>
  </si>
  <si>
    <t>10% max. 700.-</t>
  </si>
  <si>
    <t>ordentlich 300.-</t>
  </si>
  <si>
    <t>1) 500.-</t>
  </si>
  <si>
    <t>2) 1000.-</t>
  </si>
  <si>
    <r>
      <t>10%</t>
    </r>
    <r>
      <rPr>
        <sz val="10"/>
        <rFont val="Arial"/>
        <family val="2"/>
      </rPr>
      <t xml:space="preserve"> </t>
    </r>
    <r>
      <rPr>
        <vertAlign val="superscript"/>
        <sz val="10"/>
        <rFont val="Arial"/>
        <family val="2"/>
      </rPr>
      <t>2</t>
    </r>
    <r>
      <rPr>
        <sz val="10"/>
        <rFont val="Arial"/>
        <family val="2"/>
      </rPr>
      <t xml:space="preserve"> </t>
    </r>
    <r>
      <rPr>
        <i/>
        <sz val="10"/>
        <rFont val="Arial"/>
        <family val="2"/>
      </rPr>
      <t>max. 700.-</t>
    </r>
  </si>
  <si>
    <t>1) Erwachsene (ab 19 Jahren) = junge Erwachsene (19-25 Jahre) + Erwachsene (ab 26 Jahren)</t>
  </si>
  <si>
    <t xml:space="preserve">2) Ausnahme: Erhöhung des Selbstbehaltes auf 20 % für Originalpräparate, von welchen </t>
  </si>
  <si>
    <t>Beilage B: Übergangsschlüssel Tabellen T  2011 -&gt; 2012 / 2012 -&gt; 2011</t>
  </si>
  <si>
    <t>Publikation 2012</t>
  </si>
  <si>
    <t>5.06</t>
  </si>
  <si>
    <t>(128 Tabellen)</t>
  </si>
  <si>
    <t>Neuheiten/Anderungen im Jahr 2012 (13)</t>
  </si>
  <si>
    <t>nicht vorhanden</t>
  </si>
  <si>
    <t>Daten pro Kanton (34)</t>
  </si>
  <si>
    <t>neu im Jahr 2012 (5)</t>
  </si>
  <si>
    <t>Übergangsschlüssel Tabellen 2012 -&gt; 1996 : siehe Beilage B1 Version STAT KV 2012 Tabellen XLS auf dem www.</t>
  </si>
  <si>
    <t>Übergangsschlüssel Tabellen *  2012 -&gt; 1996</t>
  </si>
  <si>
    <t>Beilagen A</t>
  </si>
  <si>
    <t xml:space="preserve">Übersicht der Tabellen zu Prämien, Leistungen, Kostenbeteiligung sowie Versichertenbestand (OKP):   </t>
  </si>
  <si>
    <t>Angaben zum Berichtsjahr</t>
  </si>
  <si>
    <t>Zeitreihen 2002 (1996) * -&gt;</t>
  </si>
  <si>
    <t>Kriterien</t>
  </si>
  <si>
    <t>Altersgruppe</t>
  </si>
  <si>
    <t xml:space="preserve">Form </t>
  </si>
  <si>
    <t>Mio. Fr.</t>
  </si>
  <si>
    <t>2.22</t>
  </si>
  <si>
    <t>2.17</t>
  </si>
  <si>
    <t>2.14</t>
  </si>
  <si>
    <t>Fr. pro Person</t>
  </si>
  <si>
    <t>2.24</t>
  </si>
  <si>
    <t>2.19</t>
  </si>
  <si>
    <t>2.15</t>
  </si>
  <si>
    <t>2.01</t>
  </si>
  <si>
    <t>2.13</t>
  </si>
  <si>
    <t>2.23</t>
  </si>
  <si>
    <t>2.02</t>
  </si>
  <si>
    <t>2.07</t>
  </si>
  <si>
    <t>2.12</t>
  </si>
  <si>
    <t>2.08</t>
  </si>
  <si>
    <t>2.21</t>
  </si>
  <si>
    <t>3.07</t>
  </si>
  <si>
    <t>3.06</t>
  </si>
  <si>
    <t>3.02</t>
  </si>
  <si>
    <t>3.04</t>
  </si>
  <si>
    <t>3.03</t>
  </si>
  <si>
    <t>3.05</t>
  </si>
  <si>
    <t>Prämientarif</t>
  </si>
  <si>
    <t>Fr. pro Monat</t>
  </si>
  <si>
    <t>12.02-12.04</t>
  </si>
  <si>
    <t>11.15</t>
  </si>
  <si>
    <t>11.14</t>
  </si>
  <si>
    <t>11.16</t>
  </si>
  <si>
    <t>11.08/09</t>
  </si>
  <si>
    <t>per 31.12.</t>
  </si>
  <si>
    <t>11.03</t>
  </si>
  <si>
    <t>11.06</t>
  </si>
  <si>
    <t>11.05, 11.07</t>
  </si>
  <si>
    <t>Erklärung zu den Statistiken:</t>
  </si>
  <si>
    <t>Bezahlte Leistungen (vom Versicherer bezahlte Leistungen) plus Kostenbeteiligung</t>
  </si>
  <si>
    <t xml:space="preserve">Beitrag der Versicherten an die Kosten (Franchise, Selbstbehalt, Beitrag an Spitalaufenthalt), sofern statistisch erfasst </t>
  </si>
  <si>
    <t>Nicht erfasst sind nicht eingereichte Belege im System Tiers garant</t>
  </si>
  <si>
    <t>Prämien, die die Versicherten dem Versicherer zahlen müssen (= geschuldete Prämien)</t>
  </si>
  <si>
    <t>Prämien für das Standardmodell mit ord. Franchise (inkl. Unfalldeckung)</t>
  </si>
  <si>
    <t>Erklärung zu den Kriterien:</t>
  </si>
  <si>
    <t>Altersklassen</t>
  </si>
  <si>
    <t>5-Jahresklassen; 0-5, 6-10, 11-15, 16-18; 19-20, 21-25; 26-30, 31-35 etc.</t>
  </si>
  <si>
    <t>Form</t>
  </si>
  <si>
    <t>Versicherungsform Ordentliche Franchise, Wahlfranchisen, BONUS, Eingeschränkte Wahl</t>
  </si>
  <si>
    <t>nach Leistungsprinzip</t>
  </si>
  <si>
    <t>Weitere wichtige Tabellen</t>
  </si>
  <si>
    <t>1.01 *</t>
  </si>
  <si>
    <t>Wichtige Indikatoren OKP</t>
  </si>
  <si>
    <t>Detaillierte Betriebsrechnung für das Berichtsjahr (OKP: 1.03-1.07; Taggeld: 6.04-6.06; Gesamtbetriebsrechnung: 8.05-8.06)</t>
  </si>
  <si>
    <t>1.08 - 1.09 *</t>
  </si>
  <si>
    <t xml:space="preserve">Gesamtbetriebsergebnis sowie Verwaltungsaufwand (Mio. Fr./pro Kopf) nach Form (grob) </t>
  </si>
  <si>
    <t>4.01 *, 4.02, 4.03</t>
  </si>
  <si>
    <t>Prämienverbilligung: Bezüger, Haushalte und ausbezahlter Betrag; Anzahl Bezüger nach Kanton, Alter und Geschlecht</t>
  </si>
  <si>
    <t>5.01, 5.03, 5.05</t>
  </si>
  <si>
    <t>Indikatoren nach einzelnem Versicherer (Aufsichtsdaten OKP; kantonale Versichertenbestände)</t>
  </si>
  <si>
    <t>8.03 *</t>
  </si>
  <si>
    <t>Stellen, Personal und Löhne OKP</t>
  </si>
  <si>
    <t>8.09 - 8.10</t>
  </si>
  <si>
    <t>Bilanz (aggregiert): Aktiven/Passiven</t>
  </si>
  <si>
    <t>Eintritte (nach Geschlecht)</t>
  </si>
  <si>
    <t>20.12.13: T 1.10</t>
  </si>
  <si>
    <t>3.2.14: T 10.01-&gt;10.05, 11.04</t>
  </si>
  <si>
    <t>Datenstand: 30.1.14</t>
  </si>
  <si>
    <r>
      <t xml:space="preserve">– Rückstellungsquote </t>
    </r>
    <r>
      <rPr>
        <vertAlign val="superscript"/>
        <sz val="11"/>
        <rFont val="Arial"/>
        <family val="2"/>
      </rPr>
      <t xml:space="preserve">3 </t>
    </r>
    <r>
      <rPr>
        <vertAlign val="superscript"/>
        <sz val="11"/>
        <color indexed="10"/>
        <rFont val="Arial"/>
        <family val="2"/>
      </rPr>
      <t>4</t>
    </r>
    <r>
      <rPr>
        <vertAlign val="superscript"/>
        <sz val="11"/>
        <rFont val="Arial"/>
        <family val="2"/>
      </rPr>
      <t xml:space="preserve"> </t>
    </r>
    <r>
      <rPr>
        <sz val="11"/>
        <rFont val="Arial"/>
        <family val="2"/>
      </rPr>
      <t xml:space="preserve"> per 31.12. in %</t>
    </r>
  </si>
  <si>
    <r>
      <t xml:space="preserve">– Rückstellungen </t>
    </r>
    <r>
      <rPr>
        <vertAlign val="superscript"/>
        <sz val="11"/>
        <color indexed="10"/>
        <rFont val="Arial"/>
        <family val="2"/>
      </rPr>
      <t>4</t>
    </r>
    <r>
      <rPr>
        <sz val="11"/>
        <rFont val="Arial"/>
        <family val="2"/>
      </rPr>
      <t>: Stand per 31.12. in Mio. Fr.</t>
    </r>
  </si>
  <si>
    <r>
      <t xml:space="preserve">– Rückstellungen per 31.12. pro Versicherten in Fr. </t>
    </r>
    <r>
      <rPr>
        <vertAlign val="superscript"/>
        <sz val="11"/>
        <color indexed="10"/>
        <rFont val="Arial"/>
        <family val="2"/>
      </rPr>
      <t>4</t>
    </r>
  </si>
  <si>
    <t>4) Die Werte von 2012 sind mit denjenigen aus dem Vorjahr aufgrund einer Änderung der Berechnungsmethode nicht vergleichbar: vgl. T 1.12 und 1.13.</t>
  </si>
  <si>
    <r>
      <t xml:space="preserve">1) </t>
    </r>
    <r>
      <rPr>
        <i/>
        <sz val="10"/>
        <rFont val="Arial"/>
        <family val="2"/>
      </rPr>
      <t>Die Werte von 2012 sind mit denjenigen aus dem Vorjahr aufgrund der Auflösung von stillen Reserven nicht vergleichbar (vgl. T 5.02).</t>
    </r>
  </si>
  <si>
    <t>5.2.14: T 1.01, 1.13</t>
  </si>
  <si>
    <r>
      <t xml:space="preserve">Person in Fr. </t>
    </r>
    <r>
      <rPr>
        <vertAlign val="superscript"/>
        <sz val="11"/>
        <rFont val="Arial"/>
        <family val="2"/>
      </rPr>
      <t>2</t>
    </r>
  </si>
  <si>
    <r>
      <t xml:space="preserve">leistungen </t>
    </r>
    <r>
      <rPr>
        <vertAlign val="superscript"/>
        <sz val="11"/>
        <rFont val="Arial"/>
        <family val="2"/>
      </rPr>
      <t>3</t>
    </r>
  </si>
  <si>
    <t>Swiss GAAP FER 41 (Methode des "best estimate") nicht vergleichbar.</t>
  </si>
  <si>
    <t>2) Vgl. Tabelle 11.13A.</t>
  </si>
  <si>
    <t>3) Vgl. Tabelle 2.20.</t>
  </si>
  <si>
    <r>
      <t xml:space="preserve">T 1.13  Stand der Rückstellungen </t>
    </r>
    <r>
      <rPr>
        <b/>
        <vertAlign val="superscript"/>
        <sz val="12"/>
        <color indexed="10"/>
        <rFont val="Arial"/>
        <family val="2"/>
      </rPr>
      <t>1</t>
    </r>
    <r>
      <rPr>
        <b/>
        <sz val="12"/>
        <rFont val="Arial"/>
        <family val="2"/>
      </rPr>
      <t xml:space="preserve"> per 31.12. für unerledigte Versicherungsfälle ab 2002</t>
    </r>
  </si>
  <si>
    <r>
      <t xml:space="preserve">1) </t>
    </r>
    <r>
      <rPr>
        <i/>
        <sz val="10"/>
        <color indexed="10"/>
        <rFont val="Arial"/>
        <family val="2"/>
      </rPr>
      <t xml:space="preserve">Die Werte von 2012 sind mit denjenigen aus dem Vorjahr aufgrund der Einführung des neuen Rechnungsstandards </t>
    </r>
  </si>
  <si>
    <t>Prämienverbilligung / sonstige Beiträge</t>
  </si>
  <si>
    <r>
      <t xml:space="preserve">Abschreibungen auf Kostenbeteiligung * </t>
    </r>
    <r>
      <rPr>
        <vertAlign val="superscript"/>
        <sz val="11"/>
        <color indexed="10"/>
        <rFont val="Arial"/>
        <family val="2"/>
      </rPr>
      <t>4</t>
    </r>
  </si>
  <si>
    <t>Behandlungspauschalen Managed Care</t>
  </si>
  <si>
    <t>Kosten für medizinische Call Center</t>
  </si>
  <si>
    <t>Schaden- und Leistungsaufwand für eigene Rechnung</t>
  </si>
  <si>
    <t>Provisionen ans eigene Personal</t>
  </si>
  <si>
    <t>Abschreibungen auf Kostenbeteiligung</t>
  </si>
  <si>
    <t>Veränderung versicherungstechnische Schwankungs-Rückstellungen</t>
  </si>
  <si>
    <r>
      <t xml:space="preserve">Kostenbeteiligungen der Versicherten / Abschreibungen auf Kobe </t>
    </r>
    <r>
      <rPr>
        <i/>
        <sz val="11"/>
        <color indexed="10"/>
        <rFont val="Arial"/>
        <family val="2"/>
      </rPr>
      <t>(CH und EU/EFTA)</t>
    </r>
  </si>
  <si>
    <t xml:space="preserve">Betriebsaufwand für eigene Rechnung </t>
  </si>
  <si>
    <t>Total Betriebsaufwand für eigene Rechnung</t>
  </si>
  <si>
    <t>Nicht zurückzuerstattende Umweltabgaben VOC / HEL KVG</t>
  </si>
  <si>
    <t>Erfolg auf Liegenschaftsverkauf KVG</t>
  </si>
  <si>
    <t>Diverse Kapitalaufwendungen KVG</t>
  </si>
  <si>
    <t>Total Übriger betrieblicher Erfolg und Kapitalerfolg</t>
  </si>
  <si>
    <t>übrige Immaterielle Werte</t>
  </si>
  <si>
    <t>Nicht einbezahltes Kapital der Organisation</t>
  </si>
  <si>
    <t>11.2.14: T 1.02-&gt;1.07, 6.04,</t>
  </si>
  <si>
    <t xml:space="preserve">  7.02, 8.05, 8.06, 8.10</t>
  </si>
  <si>
    <r>
      <t xml:space="preserve">Quelle: </t>
    </r>
    <r>
      <rPr>
        <sz val="10"/>
        <color indexed="10"/>
        <rFont val="Arial"/>
        <family val="2"/>
      </rPr>
      <t>2009</t>
    </r>
    <r>
      <rPr>
        <sz val="10"/>
        <rFont val="Arial"/>
        <family val="2"/>
      </rPr>
      <t xml:space="preserve"> -&gt; : T 2.12 (vollständige Daten)  </t>
    </r>
    <r>
      <rPr>
        <i/>
        <sz val="10"/>
        <rFont val="Arial"/>
        <family val="2"/>
      </rPr>
      <t xml:space="preserve">( 1997 -&gt; </t>
    </r>
    <r>
      <rPr>
        <i/>
        <sz val="10"/>
        <color indexed="10"/>
        <rFont val="Arial"/>
        <family val="2"/>
      </rPr>
      <t>2008:</t>
    </r>
    <r>
      <rPr>
        <i/>
        <sz val="10"/>
        <rFont val="Arial"/>
        <family val="2"/>
      </rPr>
      <t xml:space="preserve"> DATENPOOL santésuisse [Auswertung BAG, </t>
    </r>
    <r>
      <rPr>
        <i/>
        <sz val="10"/>
        <color indexed="10"/>
        <rFont val="Arial"/>
        <family val="2"/>
      </rPr>
      <t>revidierte Daten</t>
    </r>
    <r>
      <rPr>
        <i/>
        <sz val="10"/>
        <rFont val="Arial"/>
        <family val="2"/>
      </rPr>
      <t>] )</t>
    </r>
  </si>
  <si>
    <r>
      <t xml:space="preserve">Quelle: </t>
    </r>
    <r>
      <rPr>
        <sz val="10"/>
        <color indexed="10"/>
        <rFont val="Arial"/>
        <family val="2"/>
      </rPr>
      <t>2009</t>
    </r>
    <r>
      <rPr>
        <sz val="10"/>
        <rFont val="Arial"/>
        <family val="2"/>
      </rPr>
      <t xml:space="preserve"> -&gt; : T 2.05 (vollständige Daten)  </t>
    </r>
    <r>
      <rPr>
        <i/>
        <sz val="10"/>
        <rFont val="Arial"/>
        <family val="2"/>
      </rPr>
      <t xml:space="preserve"> (1997 -&gt; </t>
    </r>
    <r>
      <rPr>
        <i/>
        <sz val="10"/>
        <color indexed="10"/>
        <rFont val="Arial"/>
        <family val="2"/>
      </rPr>
      <t>2008:</t>
    </r>
    <r>
      <rPr>
        <i/>
        <sz val="10"/>
        <rFont val="Arial"/>
        <family val="2"/>
      </rPr>
      <t xml:space="preserve"> DATENPOOL santésuisse [Auswertung BAG,</t>
    </r>
    <r>
      <rPr>
        <i/>
        <sz val="10"/>
        <color indexed="10"/>
        <rFont val="Arial"/>
        <family val="2"/>
      </rPr>
      <t xml:space="preserve"> revidierte Daten</t>
    </r>
    <r>
      <rPr>
        <i/>
        <sz val="10"/>
        <rFont val="Arial"/>
        <family val="2"/>
      </rPr>
      <t>] )</t>
    </r>
  </si>
  <si>
    <r>
      <t xml:space="preserve">Quelle: </t>
    </r>
    <r>
      <rPr>
        <sz val="10"/>
        <color indexed="10"/>
        <rFont val="Arial"/>
        <family val="2"/>
      </rPr>
      <t>2009</t>
    </r>
    <r>
      <rPr>
        <sz val="10"/>
        <rFont val="Arial"/>
        <family val="2"/>
      </rPr>
      <t xml:space="preserve"> -&gt; : T 2.13 (vollständige Daten)  </t>
    </r>
    <r>
      <rPr>
        <i/>
        <sz val="10"/>
        <rFont val="Arial"/>
        <family val="2"/>
      </rPr>
      <t xml:space="preserve"> ( 1997 -&gt; </t>
    </r>
    <r>
      <rPr>
        <i/>
        <sz val="10"/>
        <color indexed="10"/>
        <rFont val="Arial"/>
        <family val="2"/>
      </rPr>
      <t>2008:</t>
    </r>
    <r>
      <rPr>
        <i/>
        <sz val="10"/>
        <rFont val="Arial"/>
        <family val="2"/>
      </rPr>
      <t xml:space="preserve"> DATENPOOL santésuisse [Auswertung BAG, </t>
    </r>
    <r>
      <rPr>
        <i/>
        <sz val="10"/>
        <color indexed="10"/>
        <rFont val="Arial"/>
        <family val="2"/>
      </rPr>
      <t>revidierte Daten</t>
    </r>
    <r>
      <rPr>
        <i/>
        <sz val="10"/>
        <rFont val="Arial"/>
        <family val="2"/>
      </rPr>
      <t>] )</t>
    </r>
  </si>
  <si>
    <t>7.3.14: T 1.02, 2.02, 2.15, 2.21</t>
  </si>
  <si>
    <t xml:space="preserve">G 1b, 1c : Total Versicherungsertrag (-&gt; 2011) &lt;-&gt; Verdiente Prämien für eigene Rechnung [3]   /  Total Versicherungsaufwand (-&gt; 2011) &lt;-&gt; Schaden- und </t>
  </si>
  <si>
    <t xml:space="preserve">Leistungsaufwand für eigene Rechnung [4]   /  Neutraler Aufwand / Ertrag (-&gt; 2011) &lt;-&gt; Nicht Versicherungstechnisches Ergebnis [995]   /  Gesamtbetriebsergebnis </t>
  </si>
  <si>
    <t>(-&gt; 2011) &lt;-&gt; Ergebnis [999]   /  Versicherungsbetriebsergebnis (-&gt; 2011) &lt;-&gt; Verdiente Prämien [3] - ( - Schaden- und Leistungsaufwand [4]  - Betriebsaufwand [5] )</t>
  </si>
  <si>
    <r>
      <t xml:space="preserve">1) Vgl. Fussnote 2) von Tabelle 11.02.    </t>
    </r>
    <r>
      <rPr>
        <sz val="10"/>
        <color indexed="10"/>
        <rFont val="Arial"/>
        <family val="2"/>
      </rPr>
      <t xml:space="preserve">2) Prämiensoll (vgl. T 3.06).    3) Bruttoleistungen (-) (vgl. T 2.04). </t>
    </r>
  </si>
  <si>
    <t>6.6.14: T 5.01, 5.02, 7.01, 7.02</t>
  </si>
  <si>
    <t>VVG Zusatzversicherungen : Prämien (in Mio. Fr.)  : KVG-Versicherer, welche eigene VVG-Zusatzversicherungen anbieten [ 10) -&gt; 2011].</t>
  </si>
  <si>
    <t>Infolge der Überarbeitung des Kontenplans beim BAG sind diese Angaben seit 2012 nur noch bei der FINMA (vgl. Fussnote 1) von Tabelle 7.01) verfügbar.</t>
  </si>
  <si>
    <t xml:space="preserve">1) Zusammenzug der «Zusatzversicherungen VVG», «Krankenpflegeversicherung Liechtenstein» und </t>
  </si>
  <si>
    <t>Die FINMA als Aufsichtsorgan publiziert die Angaben zu den Versicherern, die VVG-Produkte anbieten unter</t>
  </si>
  <si>
    <t>www.versichererreport.finma.ch/reportportal/  Rubrik Schadenversicherer / Direktes Schweizergeschäft / Krankenversicherung.</t>
  </si>
  <si>
    <r>
      <t xml:space="preserve">«Zusatzversicherungen Versicherte wohnhaft im Ausland», </t>
    </r>
    <r>
      <rPr>
        <sz val="10"/>
        <color indexed="10"/>
        <rFont val="Arial"/>
        <family val="2"/>
      </rPr>
      <t>ab 2012 nicht mehr separat verfügbar.</t>
    </r>
  </si>
  <si>
    <t>1) Vgl. Fussnote 1) von Tabelle 7.01.</t>
  </si>
  <si>
    <r>
      <t xml:space="preserve">T 7.02  Betriebsrechnung der Zusatzversicherungen VVG (inkl. Liechstenstein und Versicherte wohnhaft im Ausland) </t>
    </r>
    <r>
      <rPr>
        <b/>
        <vertAlign val="superscript"/>
        <sz val="12"/>
        <color indexed="10"/>
        <rFont val="Arial"/>
        <family val="2"/>
      </rPr>
      <t>1</t>
    </r>
  </si>
  <si>
    <t>Datenstand: 16.6.14</t>
  </si>
  <si>
    <t xml:space="preserve">Nicolas Siffert, Tel. +41 (0)58 463 27 68, nicolas.siffert@bag.admin.ch </t>
  </si>
  <si>
    <t>Beat Gruber, Tel. +41 (0)58 465 41 83 beat.gruber@bag.admin.ch  (Teil 4, Thema Prämienverbilligung)</t>
  </si>
  <si>
    <t>Michaela Kozelka, Tel. +41 (0)58 462 86 23, michaela.kozelka@bag.admin.ch  (französisch und deutsch)</t>
  </si>
  <si>
    <r>
      <t xml:space="preserve">Weitere Informationen: </t>
    </r>
    <r>
      <rPr>
        <sz val="10"/>
        <rFont val="Arial"/>
        <family val="2"/>
      </rPr>
      <t>BAG, Sektion Datenmanagement und Statistik KV</t>
    </r>
  </si>
  <si>
    <t>Daniel Dauwalder, Tel. +41 (0)58 462 11 30, daniel.dauwalder@bag.admin.ch  (französisch und deutsch)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</si>
</sst>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88" formatCode="0.0"/>
    <numFmt numFmtId="189" formatCode="#,##0.0"/>
    <numFmt numFmtId="190" formatCode="0.0%"/>
    <numFmt numFmtId="211" formatCode="#,##0.000"/>
    <numFmt numFmtId="212" formatCode="#,##0.000000"/>
  </numFmts>
  <fonts count="150">
    <font>
      <sz val="10"/>
      <name val="55 Helvetica Roman"/>
    </font>
    <font>
      <sz val="10"/>
      <name val="Geneva"/>
      <family val="2"/>
    </font>
    <font>
      <u/>
      <sz val="7.5"/>
      <color indexed="12"/>
      <name val="55 Helvetica Roman"/>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b/>
      <sz val="14"/>
      <name val="55 Helvetica Roman"/>
    </font>
    <font>
      <sz val="9"/>
      <name val="Arial"/>
      <family val="2"/>
    </font>
    <font>
      <b/>
      <sz val="11"/>
      <color indexed="9"/>
      <name val="55 Helvetica Roman"/>
    </font>
    <font>
      <b/>
      <sz val="12"/>
      <name val="55 Helvetica Roman"/>
    </font>
    <font>
      <sz val="8"/>
      <name val="Arial"/>
      <family val="2"/>
    </font>
    <font>
      <i/>
      <sz val="10"/>
      <name val="55 Helvetica Roman"/>
    </font>
    <font>
      <i/>
      <sz val="10"/>
      <name val="Arial"/>
      <family val="2"/>
    </font>
    <font>
      <sz val="10"/>
      <color indexed="10"/>
      <name val="55 Helvetica Roman"/>
    </font>
    <font>
      <b/>
      <sz val="9"/>
      <name val="55 Helvetica Roman"/>
    </font>
    <font>
      <sz val="9"/>
      <name val="55 Helvetica Roman"/>
    </font>
    <font>
      <sz val="10"/>
      <name val="Arial"/>
      <family val="2"/>
    </font>
    <font>
      <sz val="11"/>
      <name val="55 Helvetica Roman"/>
    </font>
    <font>
      <b/>
      <sz val="8"/>
      <name val="Arial"/>
      <family val="2"/>
    </font>
    <font>
      <b/>
      <sz val="7"/>
      <name val="Arial"/>
      <family val="2"/>
    </font>
    <font>
      <sz val="7"/>
      <name val="Arial"/>
      <family val="2"/>
    </font>
    <font>
      <i/>
      <sz val="7"/>
      <name val="Arial"/>
      <family val="2"/>
    </font>
    <font>
      <b/>
      <sz val="12"/>
      <color indexed="12"/>
      <name val="Arial"/>
      <family val="2"/>
    </font>
    <font>
      <sz val="10"/>
      <name val="55 Helvetica Roman"/>
    </font>
    <font>
      <b/>
      <sz val="9"/>
      <name val="Arial"/>
      <family val="2"/>
    </font>
    <font>
      <b/>
      <sz val="11"/>
      <color indexed="42"/>
      <name val="Arial"/>
      <family val="2"/>
    </font>
    <font>
      <sz val="6"/>
      <name val="Arial"/>
      <family val="2"/>
    </font>
    <font>
      <b/>
      <sz val="11"/>
      <name val="55 Helvetica Roman"/>
    </font>
    <font>
      <sz val="11"/>
      <color indexed="10"/>
      <name val="55 Helvetica Roman"/>
    </font>
    <font>
      <i/>
      <sz val="11"/>
      <name val="Arial"/>
      <family val="2"/>
    </font>
    <font>
      <b/>
      <sz val="11"/>
      <color indexed="10"/>
      <name val="Arial"/>
      <family val="2"/>
    </font>
    <font>
      <sz val="8"/>
      <name val="55 Helvetica Roman"/>
    </font>
    <font>
      <sz val="10"/>
      <color indexed="10"/>
      <name val="Arial"/>
      <family val="2"/>
    </font>
    <font>
      <sz val="10"/>
      <name val="Arial"/>
      <family val="2"/>
    </font>
    <font>
      <sz val="10"/>
      <name val="Arial"/>
      <family val="2"/>
    </font>
    <font>
      <sz val="10"/>
      <name val="Arial"/>
      <family val="2"/>
    </font>
    <font>
      <sz val="10"/>
      <name val="Tms Rmn"/>
    </font>
    <font>
      <sz val="10"/>
      <name val="Arial"/>
      <family val="2"/>
    </font>
    <font>
      <sz val="10"/>
      <name val="Arial"/>
      <family val="2"/>
    </font>
    <font>
      <sz val="10"/>
      <name val="Arial"/>
      <family val="2"/>
    </font>
    <font>
      <sz val="11"/>
      <color indexed="8"/>
      <name val="Arial"/>
      <family val="2"/>
    </font>
    <font>
      <sz val="10"/>
      <name val="Arial"/>
      <family val="2"/>
    </font>
    <font>
      <u/>
      <sz val="12"/>
      <color indexed="12"/>
      <name val="55 Helvetica Roman"/>
    </font>
    <font>
      <sz val="9"/>
      <name val="Geneva"/>
      <family val="2"/>
    </font>
    <font>
      <b/>
      <vertAlign val="superscript"/>
      <sz val="12"/>
      <name val="Arial"/>
      <family val="2"/>
    </font>
    <font>
      <strike/>
      <sz val="10"/>
      <name val="Arial"/>
      <family val="2"/>
    </font>
    <font>
      <b/>
      <sz val="14"/>
      <name val="Arial"/>
      <family val="2"/>
    </font>
    <font>
      <vertAlign val="superscript"/>
      <sz val="11"/>
      <name val="Arial"/>
      <family val="2"/>
    </font>
    <font>
      <i/>
      <sz val="9"/>
      <name val="Arial"/>
      <family val="2"/>
    </font>
    <font>
      <b/>
      <i/>
      <sz val="10"/>
      <name val="Arial"/>
      <family val="2"/>
    </font>
    <font>
      <b/>
      <i/>
      <sz val="11"/>
      <name val="Arial"/>
      <family val="2"/>
    </font>
    <font>
      <i/>
      <vertAlign val="superscript"/>
      <sz val="11"/>
      <name val="Arial"/>
      <family val="2"/>
    </font>
    <font>
      <i/>
      <vertAlign val="superscript"/>
      <sz val="10"/>
      <name val="Arial"/>
      <family val="2"/>
    </font>
    <font>
      <i/>
      <sz val="12"/>
      <name val="Arial"/>
      <family val="2"/>
    </font>
    <font>
      <b/>
      <vertAlign val="superscript"/>
      <sz val="11"/>
      <name val="Arial"/>
      <family val="2"/>
    </font>
    <font>
      <sz val="11"/>
      <color indexed="10"/>
      <name val="Arial"/>
      <family val="2"/>
    </font>
    <font>
      <sz val="10"/>
      <color indexed="10"/>
      <name val="Arial"/>
      <family val="2"/>
    </font>
    <font>
      <vertAlign val="superscript"/>
      <sz val="11"/>
      <color indexed="10"/>
      <name val="Arial"/>
      <family val="2"/>
    </font>
    <font>
      <i/>
      <sz val="8"/>
      <name val="Arial"/>
      <family val="2"/>
    </font>
    <font>
      <vertAlign val="superscript"/>
      <sz val="11"/>
      <color indexed="10"/>
      <name val="Arial"/>
      <family val="2"/>
    </font>
    <font>
      <u/>
      <sz val="10"/>
      <name val="Arial"/>
      <family val="2"/>
    </font>
    <font>
      <b/>
      <sz val="8"/>
      <color indexed="81"/>
      <name val="Tahoma"/>
      <family val="2"/>
    </font>
    <font>
      <sz val="8"/>
      <color indexed="81"/>
      <name val="Tahoma"/>
      <family val="2"/>
    </font>
    <font>
      <sz val="10"/>
      <name val="Arial"/>
      <family val="2"/>
    </font>
    <font>
      <b/>
      <vertAlign val="superscript"/>
      <sz val="12"/>
      <name val="55 Helvetica Roman"/>
    </font>
    <font>
      <b/>
      <vertAlign val="superscript"/>
      <sz val="12"/>
      <color indexed="10"/>
      <name val="Arial"/>
      <family val="2"/>
    </font>
    <font>
      <sz val="10"/>
      <color indexed="10"/>
      <name val="Arial"/>
      <family val="2"/>
    </font>
    <font>
      <i/>
      <sz val="10"/>
      <color indexed="10"/>
      <name val="Arial"/>
      <family val="2"/>
    </font>
    <font>
      <sz val="10"/>
      <name val="Arial"/>
      <family val="2"/>
    </font>
    <font>
      <vertAlign val="superscript"/>
      <sz val="10"/>
      <name val="Arial"/>
      <family val="2"/>
    </font>
    <font>
      <i/>
      <u/>
      <sz val="10"/>
      <name val="Arial"/>
      <family val="2"/>
    </font>
    <font>
      <b/>
      <sz val="12"/>
      <color indexed="8"/>
      <name val="Arial"/>
      <family val="2"/>
    </font>
    <font>
      <b/>
      <sz val="10"/>
      <color indexed="8"/>
      <name val="Arial"/>
      <family val="2"/>
    </font>
    <font>
      <sz val="10"/>
      <color indexed="8"/>
      <name val="Arial"/>
      <family val="2"/>
    </font>
    <font>
      <i/>
      <sz val="10"/>
      <color indexed="8"/>
      <name val="Arial"/>
      <family val="2"/>
    </font>
    <font>
      <b/>
      <i/>
      <u/>
      <sz val="11"/>
      <name val="Arial"/>
      <family val="2"/>
    </font>
    <font>
      <b/>
      <sz val="11"/>
      <color indexed="12"/>
      <name val="Arial"/>
      <family val="2"/>
    </font>
    <font>
      <sz val="10"/>
      <color indexed="10"/>
      <name val="Arial"/>
      <family val="2"/>
    </font>
    <font>
      <b/>
      <vertAlign val="superscript"/>
      <sz val="10"/>
      <color indexed="10"/>
      <name val="Arial"/>
      <family val="2"/>
    </font>
    <font>
      <vertAlign val="superscript"/>
      <sz val="9"/>
      <name val="Arial"/>
      <family val="2"/>
    </font>
    <font>
      <vertAlign val="superscript"/>
      <sz val="10"/>
      <name val="55 Helvetica Roman"/>
    </font>
    <font>
      <i/>
      <vertAlign val="superscript"/>
      <sz val="9"/>
      <name val="Arial"/>
      <family val="2"/>
    </font>
    <font>
      <sz val="10"/>
      <name val="Arial"/>
      <family val="2"/>
    </font>
    <font>
      <i/>
      <sz val="8"/>
      <color indexed="10"/>
      <name val="Arial"/>
      <family val="2"/>
    </font>
    <font>
      <i/>
      <sz val="9"/>
      <color indexed="10"/>
      <name val="Arial"/>
      <family val="2"/>
    </font>
    <font>
      <sz val="9"/>
      <color indexed="48"/>
      <name val="Arial"/>
      <family val="2"/>
    </font>
    <font>
      <u/>
      <sz val="10"/>
      <color indexed="12"/>
      <name val="55 Helvetica Roman"/>
    </font>
    <font>
      <b/>
      <vertAlign val="superscript"/>
      <sz val="10"/>
      <name val="Arial"/>
      <family val="2"/>
    </font>
    <font>
      <sz val="11"/>
      <name val="Calibri"/>
      <family val="2"/>
    </font>
    <font>
      <sz val="10"/>
      <color indexed="9"/>
      <name val="Arial"/>
      <family val="2"/>
    </font>
    <font>
      <sz val="10"/>
      <color indexed="15"/>
      <name val="Tms Rmn"/>
    </font>
    <font>
      <b/>
      <sz val="10"/>
      <name val="Tms Rmn"/>
    </font>
    <font>
      <b/>
      <i/>
      <sz val="10"/>
      <name val="Tms Rmn"/>
    </font>
    <font>
      <sz val="8"/>
      <name val="Tms Rmn"/>
    </font>
    <font>
      <b/>
      <i/>
      <vertAlign val="superscript"/>
      <sz val="10"/>
      <name val="Arial"/>
      <family val="2"/>
    </font>
    <font>
      <sz val="8"/>
      <color indexed="10"/>
      <name val="Arial"/>
      <family val="2"/>
    </font>
    <font>
      <b/>
      <vertAlign val="superscript"/>
      <sz val="9"/>
      <name val="Arial"/>
      <family val="2"/>
    </font>
    <font>
      <b/>
      <sz val="8"/>
      <name val="Tms Rmn"/>
    </font>
    <font>
      <vertAlign val="superscript"/>
      <sz val="8"/>
      <name val="Arial"/>
      <family val="2"/>
    </font>
    <font>
      <sz val="10"/>
      <color indexed="56"/>
      <name val="Tms Rmn"/>
    </font>
    <font>
      <b/>
      <sz val="10"/>
      <color indexed="56"/>
      <name val="Tms Rmn"/>
    </font>
    <font>
      <b/>
      <sz val="10"/>
      <color indexed="17"/>
      <name val="Tms Rmn"/>
    </font>
    <font>
      <b/>
      <sz val="10"/>
      <color indexed="52"/>
      <name val="Tms Rmn"/>
    </font>
    <font>
      <b/>
      <sz val="12"/>
      <name val="Times New Roman"/>
      <family val="1"/>
    </font>
    <font>
      <u/>
      <sz val="10"/>
      <name val="55 Helvetica Roman"/>
    </font>
    <font>
      <b/>
      <sz val="14"/>
      <name val="Times New Roman"/>
      <family val="1"/>
    </font>
    <font>
      <sz val="14"/>
      <name val="Times New Roman"/>
      <family val="1"/>
    </font>
    <font>
      <b/>
      <i/>
      <sz val="9"/>
      <name val="Arial"/>
      <family val="2"/>
    </font>
    <font>
      <sz val="10"/>
      <name val="Times New Roman"/>
      <family val="1"/>
    </font>
    <font>
      <sz val="8"/>
      <name val="Times New Roman"/>
      <family val="1"/>
    </font>
    <font>
      <b/>
      <i/>
      <vertAlign val="superscript"/>
      <sz val="9"/>
      <name val="Arial"/>
      <family val="2"/>
    </font>
    <font>
      <b/>
      <i/>
      <sz val="8"/>
      <name val="Arial"/>
      <family val="2"/>
    </font>
    <font>
      <i/>
      <sz val="10"/>
      <color indexed="10"/>
      <name val="Arial"/>
      <family val="2"/>
    </font>
    <font>
      <vertAlign val="superscript"/>
      <sz val="11"/>
      <color indexed="10"/>
      <name val="Arial"/>
      <family val="2"/>
    </font>
    <font>
      <b/>
      <vertAlign val="superscript"/>
      <sz val="12"/>
      <color indexed="10"/>
      <name val="Arial"/>
      <family val="2"/>
    </font>
    <font>
      <i/>
      <sz val="11"/>
      <color indexed="10"/>
      <name val="Arial"/>
      <family val="2"/>
    </font>
    <font>
      <vertAlign val="superscript"/>
      <sz val="11"/>
      <color indexed="10"/>
      <name val="Arial"/>
      <family val="2"/>
    </font>
    <font>
      <sz val="10"/>
      <color indexed="10"/>
      <name val="Arial"/>
      <family val="2"/>
    </font>
    <font>
      <i/>
      <sz val="10"/>
      <color indexed="10"/>
      <name val="Arial"/>
      <family val="2"/>
    </font>
    <font>
      <sz val="10"/>
      <color indexed="10"/>
      <name val="Arial"/>
      <family val="2"/>
    </font>
    <font>
      <sz val="10"/>
      <color indexed="10"/>
      <name val="Arial"/>
      <family val="2"/>
    </font>
    <font>
      <b/>
      <vertAlign val="superscript"/>
      <sz val="12"/>
      <color indexed="10"/>
      <name val="Arial"/>
      <family val="2"/>
    </font>
    <font>
      <sz val="11"/>
      <color rgb="FFFF0000"/>
      <name val="Arial"/>
      <family val="2"/>
    </font>
    <font>
      <sz val="10"/>
      <color rgb="FFFF0000"/>
      <name val="Arial"/>
      <family val="2"/>
    </font>
    <font>
      <b/>
      <sz val="11"/>
      <color rgb="FFFF0000"/>
      <name val="Arial"/>
      <family val="2"/>
    </font>
    <font>
      <i/>
      <sz val="10"/>
      <color rgb="FFFF0000"/>
      <name val="Arial"/>
      <family val="2"/>
    </font>
    <font>
      <sz val="10"/>
      <color theme="0"/>
      <name val="Arial"/>
      <family val="2"/>
    </font>
    <font>
      <b/>
      <sz val="10"/>
      <color theme="0"/>
      <name val="Arial"/>
      <family val="2"/>
    </font>
    <font>
      <sz val="9"/>
      <color rgb="FFFF0000"/>
      <name val="Arial"/>
      <family val="2"/>
    </font>
    <font>
      <sz val="10"/>
      <color rgb="FF000000"/>
      <name val="Arial"/>
      <family val="2"/>
    </font>
    <font>
      <b/>
      <sz val="11"/>
      <color theme="1"/>
      <name val="Calibri"/>
      <family val="2"/>
      <scheme val="minor"/>
    </font>
    <font>
      <sz val="11"/>
      <color rgb="FF000000"/>
      <name val="Calibri"/>
      <family val="2"/>
    </font>
    <font>
      <i/>
      <sz val="11"/>
      <color rgb="FFFF0000"/>
      <name val="Arial"/>
      <family val="2"/>
    </font>
    <font>
      <b/>
      <i/>
      <sz val="11"/>
      <color rgb="FFFF0000"/>
      <name val="Arial"/>
      <family val="2"/>
    </font>
    <font>
      <i/>
      <sz val="9"/>
      <color rgb="FFFF0000"/>
      <name val="Arial"/>
      <family val="2"/>
    </font>
    <font>
      <b/>
      <sz val="10"/>
      <color rgb="FFFF0000"/>
      <name val="Arial"/>
      <family val="2"/>
    </font>
    <font>
      <b/>
      <i/>
      <sz val="10"/>
      <color rgb="FFFF0000"/>
      <name val="Arial"/>
      <family val="2"/>
    </font>
    <font>
      <sz val="10"/>
      <color rgb="FFFF0000"/>
      <name val="55 Helvetica Roman"/>
    </font>
    <font>
      <sz val="10"/>
      <color theme="0"/>
      <name val="55 Helvetica Roman"/>
    </font>
  </fonts>
  <fills count="24">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indexed="47"/>
        <bgColor indexed="64"/>
      </patternFill>
    </fill>
    <fill>
      <patternFill patternType="lightGray">
        <fgColor indexed="22"/>
        <bgColor indexed="22"/>
      </patternFill>
    </fill>
    <fill>
      <patternFill patternType="solid">
        <fgColor indexed="47"/>
        <bgColor indexed="47"/>
      </patternFill>
    </fill>
    <fill>
      <patternFill patternType="solid">
        <fgColor indexed="41"/>
        <bgColor indexed="64"/>
      </patternFill>
    </fill>
    <fill>
      <patternFill patternType="solid">
        <fgColor theme="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C0C0C0"/>
        <bgColor indexed="64"/>
      </patternFill>
    </fill>
    <fill>
      <patternFill patternType="solid">
        <fgColor rgb="FFEAEAEA"/>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8" tint="0.59999389629810485"/>
        <bgColor indexed="64"/>
      </patternFill>
    </fill>
    <fill>
      <gradientFill>
        <stop position="0">
          <color theme="6" tint="0.80001220740379042"/>
        </stop>
        <stop position="1">
          <color rgb="FF00B050"/>
        </stop>
      </gradientFill>
    </fill>
    <fill>
      <patternFill patternType="solid">
        <fgColor theme="0" tint="-0.14999847407452621"/>
        <bgColor indexed="47"/>
      </patternFill>
    </fill>
  </fills>
  <borders count="50">
    <border>
      <left/>
      <right/>
      <top/>
      <bottom/>
      <diagonal/>
    </border>
    <border>
      <left style="hair">
        <color indexed="64"/>
      </left>
      <right style="hair">
        <color indexed="64"/>
      </right>
      <top style="hair">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medium">
        <color indexed="9"/>
      </bottom>
      <diagonal/>
    </border>
    <border>
      <left/>
      <right/>
      <top style="medium">
        <color indexed="9"/>
      </top>
      <bottom style="medium">
        <color indexed="9"/>
      </bottom>
      <diagonal/>
    </border>
    <border>
      <left/>
      <right/>
      <top style="medium">
        <color indexed="64"/>
      </top>
      <bottom/>
      <diagonal/>
    </border>
    <border>
      <left/>
      <right/>
      <top style="thin">
        <color indexed="64"/>
      </top>
      <bottom style="medium">
        <color indexed="9"/>
      </bottom>
      <diagonal/>
    </border>
    <border>
      <left/>
      <right/>
      <top style="medium">
        <color indexed="9"/>
      </top>
      <bottom style="medium">
        <color indexed="64"/>
      </bottom>
      <diagonal/>
    </border>
    <border>
      <left/>
      <right/>
      <top/>
      <bottom style="medium">
        <color indexed="64"/>
      </bottom>
      <diagonal/>
    </border>
    <border>
      <left/>
      <right/>
      <top style="hair">
        <color indexed="64"/>
      </top>
      <bottom style="hair">
        <color indexed="64"/>
      </bottom>
      <diagonal/>
    </border>
    <border>
      <left/>
      <right/>
      <top style="hair">
        <color indexed="8"/>
      </top>
      <bottom style="hair">
        <color indexed="8"/>
      </bottom>
      <diagonal/>
    </border>
    <border>
      <left/>
      <right/>
      <top style="medium">
        <color indexed="9"/>
      </top>
      <bottom/>
      <diagonal/>
    </border>
    <border>
      <left style="thin">
        <color indexed="64"/>
      </left>
      <right/>
      <top style="medium">
        <color indexed="9"/>
      </top>
      <bottom style="medium">
        <color indexed="9"/>
      </bottom>
      <diagonal/>
    </border>
    <border>
      <left/>
      <right style="thin">
        <color indexed="64"/>
      </right>
      <top/>
      <bottom/>
      <diagonal/>
    </border>
    <border>
      <left/>
      <right style="thin">
        <color indexed="64"/>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9"/>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9"/>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64"/>
      </bottom>
      <diagonal/>
    </border>
    <border>
      <left style="medium">
        <color indexed="64"/>
      </left>
      <right/>
      <top style="thin">
        <color indexed="64"/>
      </top>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right/>
      <top style="thin">
        <color indexed="8"/>
      </top>
      <bottom style="medium">
        <color indexed="9"/>
      </bottom>
      <diagonal/>
    </border>
    <border>
      <left style="medium">
        <color indexed="64"/>
      </left>
      <right/>
      <top style="thin">
        <color indexed="8"/>
      </top>
      <bottom style="medium">
        <color indexed="9"/>
      </bottom>
      <diagonal/>
    </border>
    <border>
      <left style="medium">
        <color indexed="64"/>
      </left>
      <right/>
      <top style="thin">
        <color indexed="8"/>
      </top>
      <bottom/>
      <diagonal/>
    </border>
    <border>
      <left/>
      <right/>
      <top style="thin">
        <color indexed="8"/>
      </top>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medium">
        <color indexed="9"/>
      </top>
      <bottom style="medium">
        <color theme="0"/>
      </bottom>
      <diagonal/>
    </border>
    <border>
      <left/>
      <right/>
      <top style="medium">
        <color theme="0"/>
      </top>
      <bottom style="medium">
        <color theme="0"/>
      </bottom>
      <diagonal/>
    </border>
    <border>
      <left/>
      <right/>
      <top style="medium">
        <color theme="0"/>
      </top>
      <bottom style="medium">
        <color indexed="9"/>
      </bottom>
      <diagonal/>
    </border>
    <border>
      <left/>
      <right/>
      <top style="thin">
        <color indexed="64"/>
      </top>
      <bottom style="medium">
        <color theme="0"/>
      </bottom>
      <diagonal/>
    </border>
    <border>
      <left/>
      <right/>
      <top/>
      <bottom style="medium">
        <color theme="0"/>
      </bottom>
      <diagonal/>
    </border>
    <border>
      <left style="medium">
        <color indexed="64"/>
      </left>
      <right/>
      <top style="medium">
        <color theme="0"/>
      </top>
      <bottom style="medium">
        <color theme="0"/>
      </bottom>
      <diagonal/>
    </border>
    <border>
      <left/>
      <right/>
      <top/>
      <bottom style="thick">
        <color rgb="FFFF0000"/>
      </bottom>
      <diagonal/>
    </border>
  </borders>
  <cellStyleXfs count="28">
    <xf numFmtId="0" fontId="0" fillId="0" borderId="0"/>
    <xf numFmtId="0" fontId="5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50" fillId="0" borderId="0"/>
    <xf numFmtId="0" fontId="52" fillId="0" borderId="0"/>
    <xf numFmtId="0" fontId="74" fillId="0" borderId="0"/>
    <xf numFmtId="0" fontId="79" fillId="0" borderId="0"/>
    <xf numFmtId="0" fontId="93" fillId="0" borderId="0"/>
    <xf numFmtId="0" fontId="27" fillId="0" borderId="0"/>
    <xf numFmtId="0" fontId="6" fillId="0" borderId="0"/>
    <xf numFmtId="0" fontId="6" fillId="0" borderId="0"/>
    <xf numFmtId="0" fontId="34" fillId="0" borderId="0"/>
    <xf numFmtId="0" fontId="44" fillId="0" borderId="0"/>
    <xf numFmtId="0" fontId="6" fillId="0" borderId="0"/>
    <xf numFmtId="0" fontId="45" fillId="0" borderId="0"/>
    <xf numFmtId="0" fontId="46" fillId="0" borderId="0"/>
    <xf numFmtId="0" fontId="47" fillId="0" borderId="0"/>
    <xf numFmtId="0" fontId="48" fillId="0" borderId="0"/>
    <xf numFmtId="0" fontId="49" fillId="0" borderId="0"/>
    <xf numFmtId="0" fontId="6" fillId="0" borderId="0"/>
    <xf numFmtId="0" fontId="6" fillId="0" borderId="0"/>
    <xf numFmtId="0" fontId="74" fillId="0" borderId="0"/>
    <xf numFmtId="0" fontId="34" fillId="0" borderId="0"/>
    <xf numFmtId="0" fontId="6" fillId="0" borderId="0"/>
    <xf numFmtId="0" fontId="34" fillId="0" borderId="0"/>
    <xf numFmtId="0" fontId="6" fillId="0" borderId="0"/>
    <xf numFmtId="0" fontId="1" fillId="0" borderId="0"/>
    <xf numFmtId="0" fontId="20" fillId="1" borderId="1" applyNumberFormat="0" applyFont="0" applyFill="0" applyBorder="0" applyAlignment="0">
      <alignment horizontal="right" vertical="top" wrapText="1"/>
    </xf>
  </cellStyleXfs>
  <cellXfs count="2086">
    <xf numFmtId="0" fontId="0" fillId="0" borderId="0" xfId="0"/>
    <xf numFmtId="0" fontId="22" fillId="22" borderId="0" xfId="0" applyFont="1" applyFill="1" applyAlignment="1">
      <alignment horizontal="center"/>
    </xf>
    <xf numFmtId="0" fontId="3" fillId="0" borderId="0" xfId="0" applyFont="1"/>
    <xf numFmtId="0" fontId="6" fillId="0" borderId="0" xfId="0" applyFont="1"/>
    <xf numFmtId="0" fontId="6" fillId="0" borderId="0" xfId="0" applyFont="1" applyFill="1"/>
    <xf numFmtId="0" fontId="8" fillId="0" borderId="0" xfId="0" applyFont="1" applyAlignment="1">
      <alignment horizontal="left"/>
    </xf>
    <xf numFmtId="0" fontId="9" fillId="0" borderId="0" xfId="0" applyFont="1" applyAlignment="1">
      <alignment horizontal="left"/>
    </xf>
    <xf numFmtId="0" fontId="11" fillId="0" borderId="0" xfId="0" applyFont="1" applyAlignment="1">
      <alignment horizontal="left"/>
    </xf>
    <xf numFmtId="3" fontId="6" fillId="0" borderId="0" xfId="0" applyNumberFormat="1" applyFont="1"/>
    <xf numFmtId="3" fontId="5" fillId="0" borderId="0" xfId="0" applyNumberFormat="1" applyFont="1" applyBorder="1" applyAlignment="1">
      <alignment horizontal="right"/>
    </xf>
    <xf numFmtId="0" fontId="14" fillId="2" borderId="0" xfId="0" applyFont="1" applyFill="1"/>
    <xf numFmtId="0" fontId="0" fillId="2" borderId="0" xfId="0" applyFill="1"/>
    <xf numFmtId="0" fontId="6" fillId="2" borderId="0" xfId="0" applyFont="1" applyFill="1"/>
    <xf numFmtId="0" fontId="12" fillId="0" borderId="0" xfId="0" applyFont="1"/>
    <xf numFmtId="2" fontId="4" fillId="0" borderId="0" xfId="0" applyNumberFormat="1" applyFont="1"/>
    <xf numFmtId="2" fontId="12" fillId="0" borderId="0" xfId="0" applyNumberFormat="1" applyFont="1"/>
    <xf numFmtId="0" fontId="6" fillId="3" borderId="0" xfId="0" applyFont="1" applyFill="1"/>
    <xf numFmtId="0" fontId="4" fillId="0" borderId="0" xfId="0" applyFont="1"/>
    <xf numFmtId="0" fontId="13" fillId="4" borderId="0" xfId="0" applyFont="1" applyFill="1"/>
    <xf numFmtId="0" fontId="7" fillId="4" borderId="0" xfId="0" applyFont="1" applyFill="1"/>
    <xf numFmtId="0" fontId="6" fillId="5" borderId="0" xfId="0" applyFont="1" applyFill="1"/>
    <xf numFmtId="0" fontId="16" fillId="0" borderId="0" xfId="0" applyFont="1" applyFill="1"/>
    <xf numFmtId="14" fontId="6" fillId="5" borderId="0" xfId="0" applyNumberFormat="1" applyFont="1" applyFill="1"/>
    <xf numFmtId="0" fontId="0" fillId="0" borderId="0" xfId="0" applyFill="1"/>
    <xf numFmtId="9" fontId="23" fillId="0" borderId="0" xfId="0" applyNumberFormat="1" applyFont="1" applyFill="1" applyAlignment="1">
      <alignment horizontal="right"/>
    </xf>
    <xf numFmtId="2" fontId="6" fillId="5" borderId="0" xfId="0" applyNumberFormat="1" applyFont="1" applyFill="1" applyAlignment="1">
      <alignment horizontal="left"/>
    </xf>
    <xf numFmtId="0" fontId="14" fillId="0" borderId="0" xfId="0" applyFont="1" applyFill="1"/>
    <xf numFmtId="0" fontId="15" fillId="0" borderId="0" xfId="0" applyFont="1" applyFill="1"/>
    <xf numFmtId="0" fontId="25" fillId="2" borderId="0" xfId="0" applyFont="1" applyFill="1"/>
    <xf numFmtId="0" fontId="26" fillId="2" borderId="0" xfId="0" applyFont="1" applyFill="1"/>
    <xf numFmtId="0" fontId="18" fillId="2" borderId="0" xfId="0" applyFont="1" applyFill="1"/>
    <xf numFmtId="14" fontId="6" fillId="0" borderId="0" xfId="0" applyNumberFormat="1" applyFont="1" applyFill="1"/>
    <xf numFmtId="2" fontId="6" fillId="0" borderId="0" xfId="0" applyNumberFormat="1" applyFont="1" applyFill="1" applyAlignment="1">
      <alignment horizontal="left"/>
    </xf>
    <xf numFmtId="0" fontId="6" fillId="0" borderId="2" xfId="0" applyFont="1" applyBorder="1"/>
    <xf numFmtId="0" fontId="20" fillId="0" borderId="0" xfId="0" applyFont="1" applyFill="1"/>
    <xf numFmtId="0" fontId="26" fillId="0" borderId="0" xfId="0" applyFont="1" applyFill="1"/>
    <xf numFmtId="0" fontId="18" fillId="0" borderId="0" xfId="0" applyFont="1" applyFill="1"/>
    <xf numFmtId="0" fontId="33" fillId="0" borderId="0" xfId="0" applyFont="1"/>
    <xf numFmtId="0" fontId="15" fillId="2" borderId="0" xfId="0" applyFont="1" applyFill="1"/>
    <xf numFmtId="14" fontId="26" fillId="2" borderId="0" xfId="0" applyNumberFormat="1" applyFont="1" applyFill="1"/>
    <xf numFmtId="0" fontId="35" fillId="2" borderId="0" xfId="0" applyFont="1" applyFill="1"/>
    <xf numFmtId="0" fontId="35" fillId="0" borderId="0" xfId="0" applyFont="1" applyFill="1"/>
    <xf numFmtId="0" fontId="38" fillId="5" borderId="0" xfId="0" applyFont="1" applyFill="1"/>
    <xf numFmtId="0" fontId="23" fillId="0" borderId="0" xfId="0" applyFont="1"/>
    <xf numFmtId="0" fontId="34" fillId="0" borderId="0" xfId="0" applyFont="1" applyFill="1"/>
    <xf numFmtId="0" fontId="24" fillId="0" borderId="0" xfId="0" applyFont="1" applyFill="1"/>
    <xf numFmtId="0" fontId="6" fillId="0" borderId="0" xfId="22" applyFont="1" applyAlignment="1">
      <alignment horizontal="right"/>
    </xf>
    <xf numFmtId="0" fontId="28" fillId="0" borderId="0" xfId="22" applyFont="1"/>
    <xf numFmtId="0" fontId="10" fillId="0" borderId="0" xfId="0" applyFont="1" applyFill="1"/>
    <xf numFmtId="0" fontId="41" fillId="2" borderId="0" xfId="0" applyFont="1" applyFill="1"/>
    <xf numFmtId="0" fontId="23" fillId="0" borderId="2" xfId="0" applyFont="1" applyBorder="1"/>
    <xf numFmtId="14" fontId="42" fillId="2" borderId="0" xfId="0" applyNumberFormat="1" applyFont="1" applyFill="1"/>
    <xf numFmtId="0" fontId="15" fillId="4" borderId="0" xfId="0" applyFont="1" applyFill="1"/>
    <xf numFmtId="0" fontId="10" fillId="4" borderId="0" xfId="0" applyFont="1" applyFill="1"/>
    <xf numFmtId="0" fontId="43" fillId="2" borderId="0" xfId="0" applyFont="1" applyFill="1"/>
    <xf numFmtId="0" fontId="21" fillId="0" borderId="0" xfId="0" applyFont="1"/>
    <xf numFmtId="14" fontId="42" fillId="5" borderId="0" xfId="0" applyNumberFormat="1" applyFont="1" applyFill="1"/>
    <xf numFmtId="14" fontId="21" fillId="5" borderId="0" xfId="0" applyNumberFormat="1" applyFont="1" applyFill="1"/>
    <xf numFmtId="2" fontId="21" fillId="5" borderId="0" xfId="0" applyNumberFormat="1" applyFont="1" applyFill="1" applyAlignment="1">
      <alignment horizontal="left"/>
    </xf>
    <xf numFmtId="14" fontId="42" fillId="0" borderId="0" xfId="0" applyNumberFormat="1" applyFont="1" applyFill="1"/>
    <xf numFmtId="0" fontId="6" fillId="11" borderId="0" xfId="0" applyFont="1" applyFill="1"/>
    <xf numFmtId="0" fontId="6" fillId="4" borderId="0" xfId="0" applyFont="1" applyFill="1"/>
    <xf numFmtId="0" fontId="36" fillId="11" borderId="0" xfId="0" applyFont="1" applyFill="1"/>
    <xf numFmtId="0" fontId="18" fillId="0" borderId="0" xfId="9" applyFont="1"/>
    <xf numFmtId="0" fontId="18" fillId="0" borderId="0" xfId="9" applyFont="1" applyAlignment="1"/>
    <xf numFmtId="0" fontId="6" fillId="0" borderId="0" xfId="9"/>
    <xf numFmtId="0" fontId="4" fillId="0" borderId="0" xfId="9" applyFont="1"/>
    <xf numFmtId="0" fontId="6" fillId="0" borderId="0" xfId="9" applyFont="1" applyAlignment="1"/>
    <xf numFmtId="2" fontId="18" fillId="0" borderId="0" xfId="9" applyNumberFormat="1" applyFont="1"/>
    <xf numFmtId="0" fontId="35" fillId="4" borderId="0" xfId="0" applyFont="1" applyFill="1"/>
    <xf numFmtId="0" fontId="21" fillId="0" borderId="0" xfId="9" applyFont="1"/>
    <xf numFmtId="0" fontId="40" fillId="12" borderId="0" xfId="0" applyFont="1" applyFill="1" applyAlignment="1">
      <alignment horizontal="left"/>
    </xf>
    <xf numFmtId="0" fontId="40" fillId="12" borderId="0" xfId="0" applyFont="1" applyFill="1"/>
    <xf numFmtId="0" fontId="23" fillId="12" borderId="0" xfId="0" applyFont="1" applyFill="1"/>
    <xf numFmtId="0" fontId="11" fillId="0" borderId="0" xfId="0" applyFont="1"/>
    <xf numFmtId="0" fontId="4" fillId="0" borderId="0" xfId="9" applyFont="1" applyAlignment="1">
      <alignment horizontal="left"/>
    </xf>
    <xf numFmtId="0" fontId="31" fillId="0" borderId="0" xfId="9" applyFont="1"/>
    <xf numFmtId="0" fontId="31" fillId="0" borderId="0" xfId="9" applyFont="1" applyAlignment="1">
      <alignment horizontal="center"/>
    </xf>
    <xf numFmtId="0" fontId="30" fillId="0" borderId="0" xfId="9" applyFont="1" applyAlignment="1">
      <alignment horizontal="center"/>
    </xf>
    <xf numFmtId="0" fontId="32" fillId="0" borderId="0" xfId="9" applyFont="1" applyFill="1" applyAlignment="1">
      <alignment horizontal="center"/>
    </xf>
    <xf numFmtId="0" fontId="32" fillId="0" borderId="0" xfId="9" applyFont="1" applyAlignment="1">
      <alignment horizontal="center"/>
    </xf>
    <xf numFmtId="0" fontId="29" fillId="5" borderId="0" xfId="9" applyFont="1" applyFill="1" applyAlignment="1">
      <alignment horizontal="center" wrapText="1" shrinkToFit="1"/>
    </xf>
    <xf numFmtId="0" fontId="29" fillId="0" borderId="0" xfId="9" applyFont="1" applyFill="1" applyAlignment="1">
      <alignment horizontal="left" wrapText="1" shrinkToFit="1"/>
    </xf>
    <xf numFmtId="0" fontId="31" fillId="0" borderId="3" xfId="9" applyFont="1" applyBorder="1"/>
    <xf numFmtId="0" fontId="30" fillId="0" borderId="3" xfId="9" applyFont="1" applyBorder="1" applyAlignment="1">
      <alignment horizontal="center" wrapText="1" shrinkToFit="1"/>
    </xf>
    <xf numFmtId="2" fontId="31" fillId="0" borderId="3" xfId="9" applyNumberFormat="1" applyFont="1" applyFill="1" applyBorder="1" applyAlignment="1">
      <alignment horizontal="center"/>
    </xf>
    <xf numFmtId="2" fontId="31" fillId="0" borderId="3" xfId="9" applyNumberFormat="1" applyFont="1" applyBorder="1" applyAlignment="1">
      <alignment horizontal="center"/>
    </xf>
    <xf numFmtId="0" fontId="31" fillId="0" borderId="3" xfId="9" quotePrefix="1" applyFont="1" applyBorder="1" applyAlignment="1">
      <alignment horizontal="center"/>
    </xf>
    <xf numFmtId="2" fontId="31" fillId="0" borderId="4" xfId="9" applyNumberFormat="1" applyFont="1" applyFill="1" applyBorder="1" applyAlignment="1">
      <alignment horizontal="center"/>
    </xf>
    <xf numFmtId="0" fontId="31" fillId="0" borderId="3" xfId="9" applyFont="1" applyBorder="1" applyAlignment="1">
      <alignment horizontal="center"/>
    </xf>
    <xf numFmtId="2" fontId="31" fillId="0" borderId="4" xfId="9" applyNumberFormat="1" applyFont="1" applyBorder="1" applyAlignment="1">
      <alignment horizontal="center"/>
    </xf>
    <xf numFmtId="0" fontId="31" fillId="0" borderId="4" xfId="9" applyFont="1" applyBorder="1" applyAlignment="1">
      <alignment horizontal="center"/>
    </xf>
    <xf numFmtId="0" fontId="31" fillId="0" borderId="4" xfId="9" quotePrefix="1" applyFont="1" applyFill="1" applyBorder="1" applyAlignment="1">
      <alignment horizontal="center"/>
    </xf>
    <xf numFmtId="0" fontId="31" fillId="0" borderId="4" xfId="9" applyFont="1" applyFill="1" applyBorder="1" applyAlignment="1">
      <alignment horizontal="center"/>
    </xf>
    <xf numFmtId="0" fontId="31" fillId="0" borderId="4" xfId="9" quotePrefix="1" applyFont="1" applyBorder="1" applyAlignment="1">
      <alignment horizontal="center"/>
    </xf>
    <xf numFmtId="2" fontId="31" fillId="0" borderId="0" xfId="9" applyNumberFormat="1" applyFont="1" applyFill="1" applyAlignment="1">
      <alignment horizontal="center"/>
    </xf>
    <xf numFmtId="2" fontId="31" fillId="0" borderId="4" xfId="9" quotePrefix="1" applyNumberFormat="1" applyFont="1" applyFill="1" applyBorder="1" applyAlignment="1">
      <alignment horizontal="center"/>
    </xf>
    <xf numFmtId="0" fontId="31" fillId="0" borderId="5" xfId="9" quotePrefix="1" applyFont="1" applyFill="1" applyBorder="1" applyAlignment="1">
      <alignment horizontal="center"/>
    </xf>
    <xf numFmtId="0" fontId="31" fillId="0" borderId="3" xfId="9" applyFont="1" applyFill="1" applyBorder="1" applyAlignment="1">
      <alignment horizontal="center"/>
    </xf>
    <xf numFmtId="0" fontId="31" fillId="0" borderId="3" xfId="9" quotePrefix="1" applyFont="1" applyFill="1" applyBorder="1" applyAlignment="1">
      <alignment horizontal="center"/>
    </xf>
    <xf numFmtId="2" fontId="31" fillId="0" borderId="4" xfId="9" quotePrefix="1" applyNumberFormat="1" applyFont="1" applyBorder="1" applyAlignment="1">
      <alignment horizontal="center"/>
    </xf>
    <xf numFmtId="0" fontId="31" fillId="0" borderId="0" xfId="9" applyFont="1" applyFill="1" applyAlignment="1">
      <alignment horizontal="center"/>
    </xf>
    <xf numFmtId="0" fontId="30" fillId="3" borderId="0" xfId="9" applyFont="1" applyFill="1" applyAlignment="1">
      <alignment horizontal="center"/>
    </xf>
    <xf numFmtId="0" fontId="37" fillId="0" borderId="0" xfId="9" applyFont="1" applyFill="1" applyAlignment="1">
      <alignment horizontal="center"/>
    </xf>
    <xf numFmtId="0" fontId="31" fillId="0" borderId="0" xfId="9" applyFont="1" applyFill="1"/>
    <xf numFmtId="0" fontId="36" fillId="0" borderId="0" xfId="0" applyFont="1" applyFill="1"/>
    <xf numFmtId="0" fontId="36" fillId="0" borderId="0" xfId="0" applyFont="1" applyFill="1" applyAlignment="1">
      <alignment horizontal="right"/>
    </xf>
    <xf numFmtId="0" fontId="43" fillId="0" borderId="0" xfId="0" applyFont="1" applyFill="1"/>
    <xf numFmtId="0" fontId="6" fillId="0" borderId="0" xfId="9" quotePrefix="1" applyFont="1" applyAlignment="1">
      <alignment horizontal="right"/>
    </xf>
    <xf numFmtId="0" fontId="5" fillId="3" borderId="5" xfId="0" applyFont="1" applyFill="1" applyBorder="1" applyAlignment="1">
      <alignment horizontal="left"/>
    </xf>
    <xf numFmtId="0" fontId="5" fillId="7" borderId="5" xfId="0" applyFont="1" applyFill="1" applyBorder="1" applyAlignment="1">
      <alignment horizontal="right"/>
    </xf>
    <xf numFmtId="0" fontId="5" fillId="3" borderId="5" xfId="0" applyFont="1" applyFill="1" applyBorder="1" applyAlignment="1">
      <alignment horizontal="right"/>
    </xf>
    <xf numFmtId="0" fontId="5" fillId="3" borderId="0" xfId="0" applyFont="1" applyFill="1" applyBorder="1" applyAlignment="1">
      <alignment horizontal="left"/>
    </xf>
    <xf numFmtId="0" fontId="5" fillId="7" borderId="0" xfId="0" applyFont="1" applyFill="1" applyBorder="1" applyAlignment="1">
      <alignment horizontal="right"/>
    </xf>
    <xf numFmtId="0" fontId="5" fillId="3" borderId="0" xfId="0" applyFont="1" applyFill="1" applyBorder="1" applyAlignment="1">
      <alignment horizontal="right"/>
    </xf>
    <xf numFmtId="3" fontId="5" fillId="3" borderId="0" xfId="0" applyNumberFormat="1" applyFont="1" applyFill="1" applyBorder="1" applyAlignment="1">
      <alignment horizontal="right"/>
    </xf>
    <xf numFmtId="0" fontId="5" fillId="3" borderId="3" xfId="0" applyFont="1" applyFill="1" applyBorder="1" applyAlignment="1">
      <alignment horizontal="left" vertical="top"/>
    </xf>
    <xf numFmtId="0" fontId="5" fillId="7" borderId="3" xfId="0" applyFont="1" applyFill="1" applyBorder="1" applyAlignment="1">
      <alignment horizontal="right" vertical="top"/>
    </xf>
    <xf numFmtId="0" fontId="5" fillId="3" borderId="3" xfId="0" applyFont="1" applyFill="1" applyBorder="1" applyAlignment="1">
      <alignment horizontal="right" vertical="top"/>
    </xf>
    <xf numFmtId="3" fontId="5" fillId="3" borderId="3" xfId="0" applyNumberFormat="1" applyFont="1" applyFill="1" applyBorder="1" applyAlignment="1">
      <alignment horizontal="right" vertical="top"/>
    </xf>
    <xf numFmtId="0" fontId="5" fillId="3" borderId="6" xfId="0" quotePrefix="1" applyFont="1" applyFill="1" applyBorder="1" applyAlignment="1">
      <alignment horizontal="left"/>
    </xf>
    <xf numFmtId="189" fontId="5" fillId="7" borderId="6" xfId="0" applyNumberFormat="1" applyFont="1" applyFill="1" applyBorder="1" applyAlignment="1">
      <alignment horizontal="right"/>
    </xf>
    <xf numFmtId="189" fontId="5" fillId="3" borderId="6" xfId="0" applyNumberFormat="1" applyFont="1" applyFill="1" applyBorder="1" applyAlignment="1">
      <alignment horizontal="right"/>
    </xf>
    <xf numFmtId="0" fontId="5" fillId="3" borderId="7" xfId="0" quotePrefix="1" applyFont="1" applyFill="1" applyBorder="1" applyAlignment="1">
      <alignment horizontal="left"/>
    </xf>
    <xf numFmtId="189" fontId="5" fillId="7" borderId="7" xfId="0" applyNumberFormat="1" applyFont="1" applyFill="1" applyBorder="1" applyAlignment="1">
      <alignment horizontal="right"/>
    </xf>
    <xf numFmtId="189" fontId="5" fillId="3" borderId="7" xfId="0" applyNumberFormat="1" applyFont="1" applyFill="1" applyBorder="1" applyAlignment="1">
      <alignment horizontal="right"/>
    </xf>
    <xf numFmtId="0" fontId="7" fillId="3" borderId="0" xfId="0" quotePrefix="1" applyFont="1" applyFill="1" applyBorder="1" applyAlignment="1">
      <alignment horizontal="left" vertical="center"/>
    </xf>
    <xf numFmtId="189" fontId="7" fillId="7" borderId="0" xfId="0" applyNumberFormat="1" applyFont="1" applyFill="1" applyBorder="1" applyAlignment="1">
      <alignment horizontal="right" vertical="center"/>
    </xf>
    <xf numFmtId="189" fontId="7" fillId="3" borderId="0" xfId="0" applyNumberFormat="1" applyFont="1" applyFill="1" applyBorder="1" applyAlignment="1">
      <alignment horizontal="right" vertical="center"/>
    </xf>
    <xf numFmtId="0" fontId="6" fillId="0" borderId="0" xfId="0" applyFont="1" applyAlignment="1">
      <alignment vertical="top"/>
    </xf>
    <xf numFmtId="0" fontId="6" fillId="0" borderId="8" xfId="0" applyFont="1" applyBorder="1"/>
    <xf numFmtId="0" fontId="6" fillId="0" borderId="0" xfId="0" applyFont="1" applyBorder="1"/>
    <xf numFmtId="3" fontId="5" fillId="7" borderId="6" xfId="0" applyNumberFormat="1" applyFont="1" applyFill="1" applyBorder="1" applyAlignment="1">
      <alignment horizontal="right"/>
    </xf>
    <xf numFmtId="3" fontId="5" fillId="3" borderId="6" xfId="0" applyNumberFormat="1" applyFont="1" applyFill="1" applyBorder="1" applyAlignment="1">
      <alignment horizontal="right"/>
    </xf>
    <xf numFmtId="3" fontId="5" fillId="7" borderId="7" xfId="0" applyNumberFormat="1" applyFont="1" applyFill="1" applyBorder="1" applyAlignment="1">
      <alignment horizontal="right"/>
    </xf>
    <xf numFmtId="3" fontId="5" fillId="3" borderId="7" xfId="0" applyNumberFormat="1" applyFont="1" applyFill="1" applyBorder="1" applyAlignment="1">
      <alignment horizontal="right"/>
    </xf>
    <xf numFmtId="3" fontId="7" fillId="7" borderId="0" xfId="0" applyNumberFormat="1" applyFont="1" applyFill="1" applyBorder="1" applyAlignment="1">
      <alignment horizontal="right" vertical="center"/>
    </xf>
    <xf numFmtId="3" fontId="7" fillId="3" borderId="0" xfId="0" applyNumberFormat="1" applyFont="1" applyFill="1" applyBorder="1" applyAlignment="1">
      <alignment horizontal="right" vertical="center"/>
    </xf>
    <xf numFmtId="0" fontId="10" fillId="0" borderId="0" xfId="0" applyFont="1"/>
    <xf numFmtId="0" fontId="4" fillId="0" borderId="0" xfId="0" applyFont="1" applyAlignment="1">
      <alignment vertical="top"/>
    </xf>
    <xf numFmtId="0" fontId="4" fillId="0" borderId="3" xfId="0" applyFont="1" applyFill="1" applyBorder="1" applyAlignment="1">
      <alignment horizontal="right" vertical="top"/>
    </xf>
    <xf numFmtId="0" fontId="5" fillId="7" borderId="0" xfId="0" applyFont="1" applyFill="1" applyBorder="1" applyAlignment="1">
      <alignment horizontal="right" wrapText="1"/>
    </xf>
    <xf numFmtId="0" fontId="5" fillId="3" borderId="0" xfId="0" applyFont="1" applyFill="1" applyBorder="1" applyAlignment="1">
      <alignment horizontal="right" wrapText="1"/>
    </xf>
    <xf numFmtId="0" fontId="5" fillId="7" borderId="0" xfId="0" applyFont="1" applyFill="1" applyBorder="1" applyAlignment="1">
      <alignment horizontal="right" vertical="top"/>
    </xf>
    <xf numFmtId="1" fontId="5" fillId="3" borderId="6" xfId="0" applyNumberFormat="1" applyFont="1" applyFill="1" applyBorder="1" applyAlignment="1">
      <alignment horizontal="left"/>
    </xf>
    <xf numFmtId="211" fontId="5" fillId="7" borderId="6" xfId="0" applyNumberFormat="1" applyFont="1" applyFill="1" applyBorder="1" applyAlignment="1">
      <alignment horizontal="right"/>
    </xf>
    <xf numFmtId="190" fontId="5" fillId="3" borderId="6" xfId="0" applyNumberFormat="1" applyFont="1" applyFill="1" applyBorder="1" applyAlignment="1">
      <alignment horizontal="right"/>
    </xf>
    <xf numFmtId="1" fontId="5" fillId="3" borderId="7" xfId="0" applyNumberFormat="1" applyFont="1" applyFill="1" applyBorder="1" applyAlignment="1">
      <alignment horizontal="left"/>
    </xf>
    <xf numFmtId="211" fontId="5" fillId="7" borderId="7" xfId="0" applyNumberFormat="1" applyFont="1" applyFill="1" applyBorder="1" applyAlignment="1">
      <alignment horizontal="right"/>
    </xf>
    <xf numFmtId="190" fontId="5" fillId="3" borderId="9" xfId="0" applyNumberFormat="1" applyFont="1" applyFill="1" applyBorder="1" applyAlignment="1">
      <alignment horizontal="right"/>
    </xf>
    <xf numFmtId="1" fontId="7" fillId="3" borderId="0" xfId="0" applyNumberFormat="1" applyFont="1" applyFill="1" applyBorder="1" applyAlignment="1">
      <alignment horizontal="left" vertical="center"/>
    </xf>
    <xf numFmtId="211" fontId="7" fillId="7" borderId="0" xfId="0" applyNumberFormat="1" applyFont="1" applyFill="1" applyBorder="1" applyAlignment="1">
      <alignment horizontal="right" vertical="center"/>
    </xf>
    <xf numFmtId="190" fontId="7" fillId="3" borderId="9" xfId="0" applyNumberFormat="1" applyFont="1" applyFill="1" applyBorder="1" applyAlignment="1">
      <alignment horizontal="right" vertical="center"/>
    </xf>
    <xf numFmtId="189" fontId="7" fillId="7" borderId="10" xfId="0" applyNumberFormat="1" applyFont="1" applyFill="1" applyBorder="1" applyAlignment="1">
      <alignment horizontal="right" vertical="center"/>
    </xf>
    <xf numFmtId="3" fontId="0" fillId="0" borderId="0" xfId="0" applyNumberFormat="1"/>
    <xf numFmtId="0" fontId="5" fillId="3" borderId="5" xfId="0" applyFont="1" applyFill="1" applyBorder="1" applyAlignment="1">
      <alignment horizontal="center"/>
    </xf>
    <xf numFmtId="0" fontId="5" fillId="3" borderId="0" xfId="0" applyFont="1" applyFill="1" applyBorder="1" applyAlignment="1">
      <alignment horizontal="center"/>
    </xf>
    <xf numFmtId="0" fontId="5" fillId="3" borderId="3" xfId="0" applyFont="1" applyFill="1" applyBorder="1" applyAlignment="1">
      <alignment horizontal="center" vertical="top"/>
    </xf>
    <xf numFmtId="190" fontId="5" fillId="3" borderId="6" xfId="0" applyNumberFormat="1" applyFont="1" applyFill="1" applyBorder="1" applyAlignment="1">
      <alignment horizontal="center"/>
    </xf>
    <xf numFmtId="190" fontId="5" fillId="3" borderId="7" xfId="0" applyNumberFormat="1" applyFont="1" applyFill="1" applyBorder="1" applyAlignment="1">
      <alignment horizontal="center"/>
    </xf>
    <xf numFmtId="190" fontId="7" fillId="3" borderId="7" xfId="0" applyNumberFormat="1" applyFont="1" applyFill="1" applyBorder="1" applyAlignment="1">
      <alignment horizontal="center" vertical="center"/>
    </xf>
    <xf numFmtId="0" fontId="3" fillId="0" borderId="0" xfId="0" applyFont="1" applyAlignment="1">
      <alignment horizontal="center"/>
    </xf>
    <xf numFmtId="3" fontId="4" fillId="0" borderId="0" xfId="0" applyNumberFormat="1" applyFont="1"/>
    <xf numFmtId="0" fontId="0" fillId="0" borderId="0" xfId="0" applyAlignment="1">
      <alignment wrapText="1"/>
    </xf>
    <xf numFmtId="0" fontId="4" fillId="0" borderId="0" xfId="0" applyFont="1" applyBorder="1" applyAlignment="1">
      <alignment vertical="top"/>
    </xf>
    <xf numFmtId="0" fontId="5" fillId="7" borderId="5" xfId="0" applyFont="1" applyFill="1" applyBorder="1" applyAlignment="1">
      <alignment horizontal="center"/>
    </xf>
    <xf numFmtId="3" fontId="7" fillId="13" borderId="5" xfId="0" applyNumberFormat="1" applyFont="1" applyFill="1" applyBorder="1" applyAlignment="1">
      <alignment horizontal="right"/>
    </xf>
    <xf numFmtId="0" fontId="5" fillId="3" borderId="3" xfId="0" applyFont="1" applyFill="1" applyBorder="1" applyAlignment="1">
      <alignment horizontal="left"/>
    </xf>
    <xf numFmtId="0" fontId="5" fillId="3" borderId="3" xfId="0" applyFont="1" applyFill="1" applyBorder="1" applyAlignment="1">
      <alignment horizontal="center"/>
    </xf>
    <xf numFmtId="0" fontId="5" fillId="7" borderId="3" xfId="0" applyFont="1" applyFill="1" applyBorder="1" applyAlignment="1">
      <alignment horizontal="center" vertical="top"/>
    </xf>
    <xf numFmtId="3" fontId="7" fillId="13" borderId="3" xfId="0" applyNumberFormat="1" applyFont="1" applyFill="1" applyBorder="1" applyAlignment="1">
      <alignment horizontal="right" vertical="top"/>
    </xf>
    <xf numFmtId="0" fontId="5" fillId="3" borderId="9" xfId="0" applyFont="1" applyFill="1" applyBorder="1" applyAlignment="1">
      <alignment horizontal="left" vertical="center"/>
    </xf>
    <xf numFmtId="3" fontId="5" fillId="7" borderId="9" xfId="0" applyNumberFormat="1" applyFont="1" applyFill="1" applyBorder="1" applyAlignment="1">
      <alignment horizontal="center" vertical="center"/>
    </xf>
    <xf numFmtId="3" fontId="7" fillId="13" borderId="9" xfId="0" applyNumberFormat="1" applyFont="1" applyFill="1" applyBorder="1" applyAlignment="1">
      <alignment horizontal="right" vertical="center"/>
    </xf>
    <xf numFmtId="0" fontId="5" fillId="3" borderId="7" xfId="0" applyFont="1" applyFill="1" applyBorder="1" applyAlignment="1">
      <alignment horizontal="left" vertical="center"/>
    </xf>
    <xf numFmtId="3" fontId="5" fillId="7" borderId="7" xfId="0" applyNumberFormat="1" applyFont="1" applyFill="1" applyBorder="1" applyAlignment="1">
      <alignment horizontal="center" vertical="center"/>
    </xf>
    <xf numFmtId="0" fontId="6" fillId="11" borderId="0" xfId="0" applyFont="1" applyFill="1" applyAlignment="1">
      <alignment horizontal="right"/>
    </xf>
    <xf numFmtId="0" fontId="56" fillId="11" borderId="0" xfId="0" applyFont="1" applyFill="1" applyAlignment="1">
      <alignment horizontal="right"/>
    </xf>
    <xf numFmtId="0" fontId="5" fillId="3" borderId="11" xfId="0" applyFont="1" applyFill="1" applyBorder="1" applyAlignment="1">
      <alignment horizontal="left" vertical="center"/>
    </xf>
    <xf numFmtId="3" fontId="5" fillId="7" borderId="11" xfId="0" applyNumberFormat="1" applyFont="1" applyFill="1" applyBorder="1" applyAlignment="1">
      <alignment horizontal="center" vertical="center"/>
    </xf>
    <xf numFmtId="3" fontId="7" fillId="13" borderId="11" xfId="0" applyNumberFormat="1" applyFont="1" applyFill="1" applyBorder="1" applyAlignment="1">
      <alignment horizontal="right" vertical="center"/>
    </xf>
    <xf numFmtId="0" fontId="6" fillId="0" borderId="0" xfId="0" applyFont="1" applyAlignment="1">
      <alignment horizontal="center"/>
    </xf>
    <xf numFmtId="3" fontId="10" fillId="0" borderId="0" xfId="0" applyNumberFormat="1" applyFont="1"/>
    <xf numFmtId="0" fontId="4" fillId="0" borderId="3" xfId="0" applyFont="1" applyBorder="1" applyAlignment="1">
      <alignment vertical="center"/>
    </xf>
    <xf numFmtId="0" fontId="0" fillId="0" borderId="3" xfId="0" applyBorder="1" applyAlignment="1">
      <alignment vertical="center"/>
    </xf>
    <xf numFmtId="0" fontId="0" fillId="0" borderId="0" xfId="0" applyBorder="1" applyAlignment="1">
      <alignment vertical="center"/>
    </xf>
    <xf numFmtId="0" fontId="40" fillId="3" borderId="6" xfId="0" applyFont="1" applyFill="1" applyBorder="1" applyAlignment="1">
      <alignment horizontal="left" vertical="center"/>
    </xf>
    <xf numFmtId="0" fontId="5" fillId="3" borderId="6" xfId="0" applyFont="1" applyFill="1" applyBorder="1" applyAlignment="1">
      <alignment horizontal="left" vertical="center"/>
    </xf>
    <xf numFmtId="3" fontId="5" fillId="7" borderId="6" xfId="0" quotePrefix="1" applyNumberFormat="1" applyFont="1" applyFill="1" applyBorder="1" applyAlignment="1">
      <alignment horizontal="center" vertical="center"/>
    </xf>
    <xf numFmtId="3" fontId="7" fillId="3" borderId="6" xfId="0" applyNumberFormat="1" applyFont="1" applyFill="1" applyBorder="1" applyAlignment="1">
      <alignment horizontal="right" vertical="center"/>
    </xf>
    <xf numFmtId="3" fontId="7" fillId="0" borderId="0" xfId="0" applyNumberFormat="1" applyFont="1" applyFill="1" applyBorder="1" applyAlignment="1">
      <alignment horizontal="right" vertical="center"/>
    </xf>
    <xf numFmtId="0" fontId="40" fillId="3" borderId="7" xfId="0" applyFont="1" applyFill="1" applyBorder="1" applyAlignment="1">
      <alignment horizontal="left" vertical="center"/>
    </xf>
    <xf numFmtId="3" fontId="7" fillId="13" borderId="7" xfId="0" applyNumberFormat="1" applyFont="1" applyFill="1" applyBorder="1" applyAlignment="1">
      <alignment horizontal="right" vertical="center"/>
    </xf>
    <xf numFmtId="3" fontId="5" fillId="7" borderId="7" xfId="0" quotePrefix="1" applyNumberFormat="1" applyFont="1" applyFill="1" applyBorder="1" applyAlignment="1">
      <alignment horizontal="center" vertical="center"/>
    </xf>
    <xf numFmtId="0" fontId="6" fillId="0" borderId="8" xfId="0" applyFont="1" applyBorder="1" applyAlignment="1">
      <alignment horizontal="center"/>
    </xf>
    <xf numFmtId="3" fontId="6" fillId="0" borderId="8" xfId="0" applyNumberFormat="1" applyFont="1" applyBorder="1"/>
    <xf numFmtId="3" fontId="10" fillId="0" borderId="0" xfId="0" applyNumberFormat="1" applyFont="1" applyBorder="1"/>
    <xf numFmtId="0" fontId="6" fillId="0" borderId="0" xfId="25" applyFont="1"/>
    <xf numFmtId="0" fontId="21" fillId="6" borderId="0" xfId="0" applyFont="1" applyFill="1" applyBorder="1"/>
    <xf numFmtId="0" fontId="6" fillId="11" borderId="0" xfId="0" applyFont="1" applyFill="1" applyAlignment="1">
      <alignment horizontal="center"/>
    </xf>
    <xf numFmtId="0" fontId="5" fillId="11" borderId="0" xfId="0" applyFont="1" applyFill="1" applyBorder="1" applyAlignment="1">
      <alignment horizontal="left" vertical="center"/>
    </xf>
    <xf numFmtId="3" fontId="5" fillId="11" borderId="0" xfId="0" applyNumberFormat="1" applyFont="1" applyFill="1" applyBorder="1" applyAlignment="1">
      <alignment horizontal="center" vertical="center"/>
    </xf>
    <xf numFmtId="3" fontId="7" fillId="11" borderId="0" xfId="0" applyNumberFormat="1" applyFont="1" applyFill="1" applyBorder="1" applyAlignment="1">
      <alignment horizontal="right" vertical="center"/>
    </xf>
    <xf numFmtId="0" fontId="3" fillId="0" borderId="3" xfId="0" applyFont="1" applyBorder="1" applyAlignment="1">
      <alignment wrapText="1"/>
    </xf>
    <xf numFmtId="0" fontId="5" fillId="3" borderId="7" xfId="0" quotePrefix="1" applyFont="1" applyFill="1" applyBorder="1" applyAlignment="1">
      <alignment horizontal="left" vertical="center"/>
    </xf>
    <xf numFmtId="0" fontId="6" fillId="6" borderId="0" xfId="0" applyFont="1" applyFill="1" applyBorder="1" applyProtection="1"/>
    <xf numFmtId="3" fontId="7" fillId="13" borderId="10" xfId="0" applyNumberFormat="1" applyFont="1" applyFill="1" applyBorder="1" applyAlignment="1">
      <alignment horizontal="right" vertical="center"/>
    </xf>
    <xf numFmtId="0" fontId="5" fillId="14" borderId="5" xfId="0" applyFont="1" applyFill="1" applyBorder="1" applyAlignment="1">
      <alignment horizontal="left"/>
    </xf>
    <xf numFmtId="0" fontId="5" fillId="14" borderId="3" xfId="0" applyFont="1" applyFill="1" applyBorder="1" applyAlignment="1">
      <alignment horizontal="left"/>
    </xf>
    <xf numFmtId="0" fontId="5" fillId="14" borderId="9" xfId="0" applyFont="1" applyFill="1" applyBorder="1" applyAlignment="1">
      <alignment horizontal="left" vertical="center"/>
    </xf>
    <xf numFmtId="0" fontId="5" fillId="14" borderId="7" xfId="0" applyFont="1" applyFill="1" applyBorder="1" applyAlignment="1">
      <alignment horizontal="left" vertical="center"/>
    </xf>
    <xf numFmtId="0" fontId="5" fillId="14" borderId="7" xfId="0" quotePrefix="1" applyFont="1" applyFill="1" applyBorder="1" applyAlignment="1">
      <alignment horizontal="left" vertical="center"/>
    </xf>
    <xf numFmtId="0" fontId="5" fillId="14" borderId="11" xfId="0" applyFont="1" applyFill="1" applyBorder="1" applyAlignment="1">
      <alignment horizontal="left" vertical="center"/>
    </xf>
    <xf numFmtId="0" fontId="57" fillId="6" borderId="0" xfId="0" applyFont="1" applyFill="1" applyAlignment="1">
      <alignment vertical="top"/>
    </xf>
    <xf numFmtId="0" fontId="18" fillId="6" borderId="0" xfId="0" applyFont="1" applyFill="1"/>
    <xf numFmtId="0" fontId="10" fillId="6" borderId="0" xfId="0" applyFont="1" applyFill="1"/>
    <xf numFmtId="0" fontId="57" fillId="6" borderId="3" xfId="0" applyFont="1" applyFill="1" applyBorder="1" applyAlignment="1">
      <alignment vertical="top"/>
    </xf>
    <xf numFmtId="0" fontId="18" fillId="6" borderId="3" xfId="0" applyFont="1" applyFill="1" applyBorder="1" applyAlignment="1">
      <alignment vertical="center"/>
    </xf>
    <xf numFmtId="0" fontId="6" fillId="6" borderId="3" xfId="0" applyFont="1" applyFill="1" applyBorder="1" applyAlignment="1">
      <alignment vertical="center"/>
    </xf>
    <xf numFmtId="0" fontId="10" fillId="6" borderId="3" xfId="0" applyFont="1" applyFill="1" applyBorder="1" applyAlignment="1">
      <alignment vertical="center"/>
    </xf>
    <xf numFmtId="0" fontId="10" fillId="0" borderId="3" xfId="0" applyFont="1" applyFill="1" applyBorder="1" applyAlignment="1">
      <alignment vertical="center"/>
    </xf>
    <xf numFmtId="0" fontId="6" fillId="0" borderId="3" xfId="0" applyFont="1" applyBorder="1"/>
    <xf numFmtId="0" fontId="4" fillId="0" borderId="3" xfId="0" applyFont="1" applyBorder="1" applyAlignment="1">
      <alignment vertical="top"/>
    </xf>
    <xf numFmtId="0" fontId="29" fillId="7" borderId="0" xfId="0" applyFont="1" applyFill="1" applyBorder="1" applyAlignment="1">
      <alignment horizontal="center"/>
    </xf>
    <xf numFmtId="0" fontId="7" fillId="7" borderId="0" xfId="0" applyFont="1" applyFill="1" applyBorder="1"/>
    <xf numFmtId="0" fontId="7" fillId="3" borderId="0" xfId="0" applyFont="1" applyFill="1" applyBorder="1"/>
    <xf numFmtId="0" fontId="7" fillId="7" borderId="0" xfId="0" applyFont="1" applyFill="1" applyBorder="1" applyAlignment="1">
      <alignment horizontal="right"/>
    </xf>
    <xf numFmtId="0" fontId="7" fillId="3" borderId="0" xfId="0" applyFont="1" applyFill="1" applyBorder="1" applyAlignment="1">
      <alignment horizontal="right"/>
    </xf>
    <xf numFmtId="0" fontId="7" fillId="0" borderId="0" xfId="0" applyFont="1" applyFill="1" applyBorder="1" applyAlignment="1">
      <alignment horizontal="right"/>
    </xf>
    <xf numFmtId="0" fontId="18" fillId="7" borderId="0" xfId="0" applyFont="1" applyFill="1" applyBorder="1" applyAlignment="1">
      <alignment horizontal="center" wrapText="1"/>
    </xf>
    <xf numFmtId="0" fontId="18" fillId="3" borderId="0" xfId="0" applyFont="1" applyFill="1" applyBorder="1" applyAlignment="1">
      <alignment horizontal="center" wrapText="1"/>
    </xf>
    <xf numFmtId="0" fontId="18" fillId="0" borderId="0" xfId="0" applyFont="1" applyFill="1" applyBorder="1" applyAlignment="1">
      <alignment horizontal="right" wrapText="1"/>
    </xf>
    <xf numFmtId="0" fontId="35" fillId="3" borderId="0" xfId="0" applyFont="1" applyFill="1" applyBorder="1"/>
    <xf numFmtId="0" fontId="7" fillId="0" borderId="0" xfId="0" applyFont="1" applyFill="1" applyBorder="1"/>
    <xf numFmtId="0" fontId="29" fillId="7" borderId="3" xfId="0" applyFont="1" applyFill="1" applyBorder="1" applyAlignment="1">
      <alignment horizontal="center"/>
    </xf>
    <xf numFmtId="0" fontId="7" fillId="7" borderId="3" xfId="0" applyFont="1" applyFill="1" applyBorder="1" applyAlignment="1">
      <alignment vertical="top"/>
    </xf>
    <xf numFmtId="0" fontId="7" fillId="3" borderId="3" xfId="0" applyFont="1" applyFill="1" applyBorder="1" applyAlignment="1">
      <alignment vertical="top"/>
    </xf>
    <xf numFmtId="0" fontId="7" fillId="7" borderId="3" xfId="0" applyFont="1" applyFill="1" applyBorder="1" applyAlignment="1">
      <alignment horizontal="right" vertical="top"/>
    </xf>
    <xf numFmtId="0" fontId="7" fillId="3" borderId="3" xfId="0" applyFont="1" applyFill="1" applyBorder="1"/>
    <xf numFmtId="0" fontId="7" fillId="3" borderId="3" xfId="0" applyFont="1" applyFill="1" applyBorder="1" applyAlignment="1">
      <alignment horizontal="right" vertical="top"/>
    </xf>
    <xf numFmtId="0" fontId="7" fillId="0" borderId="3" xfId="0" applyFont="1" applyFill="1" applyBorder="1" applyAlignment="1">
      <alignment horizontal="right" vertical="top"/>
    </xf>
    <xf numFmtId="0" fontId="7" fillId="7" borderId="3" xfId="0" applyFont="1" applyFill="1" applyBorder="1"/>
    <xf numFmtId="0" fontId="21" fillId="7" borderId="6" xfId="0" applyFont="1" applyFill="1" applyBorder="1" applyAlignment="1">
      <alignment horizontal="center"/>
    </xf>
    <xf numFmtId="0" fontId="5" fillId="7" borderId="6" xfId="0" applyFont="1" applyFill="1" applyBorder="1" applyAlignment="1"/>
    <xf numFmtId="3" fontId="5" fillId="3" borderId="6" xfId="0" applyNumberFormat="1" applyFont="1" applyFill="1" applyBorder="1" applyAlignment="1"/>
    <xf numFmtId="3" fontId="5" fillId="7" borderId="6" xfId="0" applyNumberFormat="1" applyFont="1" applyFill="1" applyBorder="1" applyAlignment="1"/>
    <xf numFmtId="3" fontId="7" fillId="3" borderId="6" xfId="0" applyNumberFormat="1" applyFont="1" applyFill="1" applyBorder="1" applyAlignment="1"/>
    <xf numFmtId="3" fontId="5" fillId="0" borderId="6" xfId="0" applyNumberFormat="1" applyFont="1" applyFill="1" applyBorder="1" applyAlignment="1"/>
    <xf numFmtId="190" fontId="6" fillId="7" borderId="6" xfId="0" applyNumberFormat="1" applyFont="1" applyFill="1" applyBorder="1" applyAlignment="1">
      <alignment horizontal="center"/>
    </xf>
    <xf numFmtId="190" fontId="6" fillId="3" borderId="6" xfId="0" applyNumberFormat="1" applyFont="1" applyFill="1" applyBorder="1" applyAlignment="1">
      <alignment horizontal="center"/>
    </xf>
    <xf numFmtId="190" fontId="6" fillId="0" borderId="0" xfId="0" applyNumberFormat="1" applyFont="1" applyFill="1" applyBorder="1" applyAlignment="1">
      <alignment horizontal="center"/>
    </xf>
    <xf numFmtId="0" fontId="21" fillId="7" borderId="7" xfId="0" applyFont="1" applyFill="1" applyBorder="1" applyAlignment="1">
      <alignment horizontal="center"/>
    </xf>
    <xf numFmtId="0" fontId="5" fillId="7" borderId="7" xfId="0" applyFont="1" applyFill="1" applyBorder="1" applyAlignment="1"/>
    <xf numFmtId="3" fontId="5" fillId="3" borderId="7" xfId="0" applyNumberFormat="1" applyFont="1" applyFill="1" applyBorder="1" applyAlignment="1"/>
    <xf numFmtId="3" fontId="5" fillId="7" borderId="7" xfId="0" applyNumberFormat="1" applyFont="1" applyFill="1" applyBorder="1" applyAlignment="1"/>
    <xf numFmtId="3" fontId="7" fillId="3" borderId="7" xfId="0" applyNumberFormat="1" applyFont="1" applyFill="1" applyBorder="1" applyAlignment="1"/>
    <xf numFmtId="189" fontId="5" fillId="3" borderId="7" xfId="0" applyNumberFormat="1" applyFont="1" applyFill="1" applyBorder="1" applyAlignment="1"/>
    <xf numFmtId="189" fontId="5" fillId="7" borderId="7" xfId="0" applyNumberFormat="1" applyFont="1" applyFill="1" applyBorder="1" applyAlignment="1"/>
    <xf numFmtId="188" fontId="5" fillId="3" borderId="7" xfId="0" applyNumberFormat="1" applyFont="1" applyFill="1" applyBorder="1" applyAlignment="1">
      <alignment horizontal="right"/>
    </xf>
    <xf numFmtId="189" fontId="7" fillId="3" borderId="7" xfId="0" applyNumberFormat="1" applyFont="1" applyFill="1" applyBorder="1" applyAlignment="1"/>
    <xf numFmtId="189" fontId="5" fillId="0" borderId="6" xfId="0" applyNumberFormat="1" applyFont="1" applyFill="1" applyBorder="1" applyAlignment="1"/>
    <xf numFmtId="0" fontId="6" fillId="7" borderId="7" xfId="0" applyFont="1" applyFill="1" applyBorder="1" applyAlignment="1"/>
    <xf numFmtId="190" fontId="5" fillId="3" borderId="7" xfId="0" applyNumberFormat="1" applyFont="1" applyFill="1" applyBorder="1" applyAlignment="1"/>
    <xf numFmtId="190" fontId="5" fillId="7" borderId="7" xfId="0" applyNumberFormat="1" applyFont="1" applyFill="1" applyBorder="1" applyAlignment="1"/>
    <xf numFmtId="190" fontId="7" fillId="3" borderId="7" xfId="0" applyNumberFormat="1" applyFont="1" applyFill="1" applyBorder="1" applyAlignment="1"/>
    <xf numFmtId="190" fontId="6" fillId="0" borderId="0" xfId="0" applyNumberFormat="1" applyFont="1" applyFill="1" applyBorder="1" applyAlignment="1">
      <alignment horizontal="center" vertical="center"/>
    </xf>
    <xf numFmtId="0" fontId="6" fillId="0" borderId="0" xfId="0" applyFont="1" applyAlignment="1">
      <alignment vertical="center"/>
    </xf>
    <xf numFmtId="0" fontId="6" fillId="11" borderId="8" xfId="0" applyFont="1" applyFill="1" applyBorder="1" applyAlignment="1"/>
    <xf numFmtId="190" fontId="5" fillId="0" borderId="8" xfId="0" applyNumberFormat="1" applyFont="1" applyFill="1" applyBorder="1" applyAlignment="1"/>
    <xf numFmtId="190" fontId="7" fillId="0" borderId="8" xfId="0" applyNumberFormat="1" applyFont="1" applyFill="1" applyBorder="1" applyAlignment="1"/>
    <xf numFmtId="190" fontId="7" fillId="0" borderId="0" xfId="0" applyNumberFormat="1" applyFont="1" applyFill="1" applyBorder="1" applyAlignment="1"/>
    <xf numFmtId="0" fontId="10" fillId="0" borderId="0" xfId="0" applyFont="1" applyBorder="1"/>
    <xf numFmtId="0" fontId="3" fillId="6" borderId="0" xfId="0" applyFont="1" applyFill="1"/>
    <xf numFmtId="0" fontId="4" fillId="6" borderId="0" xfId="0" applyFont="1" applyFill="1"/>
    <xf numFmtId="3" fontId="3" fillId="0" borderId="0" xfId="0" applyNumberFormat="1" applyFont="1" applyFill="1"/>
    <xf numFmtId="0" fontId="5" fillId="0" borderId="0" xfId="0" applyFont="1" applyFill="1" applyBorder="1"/>
    <xf numFmtId="3" fontId="3" fillId="0" borderId="0" xfId="0" applyNumberFormat="1" applyFont="1" applyFill="1" applyBorder="1"/>
    <xf numFmtId="0" fontId="3" fillId="0" borderId="0" xfId="0" applyFont="1" applyBorder="1"/>
    <xf numFmtId="0" fontId="4" fillId="0" borderId="0" xfId="0" applyFont="1" applyBorder="1"/>
    <xf numFmtId="0" fontId="23" fillId="0" borderId="0" xfId="0" applyFont="1" applyFill="1"/>
    <xf numFmtId="0" fontId="18" fillId="0" borderId="0" xfId="0" applyFont="1"/>
    <xf numFmtId="0" fontId="59" fillId="0" borderId="0" xfId="0" applyFont="1" applyFill="1" applyAlignment="1">
      <alignment horizontal="center"/>
    </xf>
    <xf numFmtId="0" fontId="60" fillId="0" borderId="0" xfId="0" applyFont="1"/>
    <xf numFmtId="0" fontId="6" fillId="0" borderId="0" xfId="0" applyFont="1" applyAlignment="1">
      <alignment horizontal="right"/>
    </xf>
    <xf numFmtId="0" fontId="6" fillId="0" borderId="12" xfId="0" applyFont="1" applyBorder="1" applyAlignment="1">
      <alignment horizontal="center"/>
    </xf>
    <xf numFmtId="0" fontId="6" fillId="0" borderId="12" xfId="0" applyFont="1" applyFill="1" applyBorder="1"/>
    <xf numFmtId="0" fontId="6" fillId="0" borderId="12" xfId="0" applyFont="1" applyFill="1" applyBorder="1" applyAlignment="1">
      <alignment horizontal="right"/>
    </xf>
    <xf numFmtId="0" fontId="6" fillId="0" borderId="12" xfId="0" quotePrefix="1" applyFont="1" applyBorder="1"/>
    <xf numFmtId="0" fontId="6" fillId="0" borderId="12" xfId="0" applyFont="1" applyBorder="1"/>
    <xf numFmtId="0" fontId="10" fillId="0" borderId="12" xfId="0" applyFont="1" applyBorder="1"/>
    <xf numFmtId="0" fontId="6" fillId="0" borderId="13" xfId="24" applyFont="1" applyFill="1" applyBorder="1"/>
    <xf numFmtId="0" fontId="6" fillId="0" borderId="12" xfId="0" applyFont="1" applyBorder="1" applyAlignment="1">
      <alignment horizontal="right"/>
    </xf>
    <xf numFmtId="0" fontId="6" fillId="0" borderId="12" xfId="0" quotePrefix="1" applyFont="1" applyBorder="1" applyAlignment="1">
      <alignment horizontal="center"/>
    </xf>
    <xf numFmtId="0" fontId="4" fillId="0" borderId="0" xfId="4" applyFont="1"/>
    <xf numFmtId="0" fontId="52" fillId="0" borderId="0" xfId="4"/>
    <xf numFmtId="0" fontId="18" fillId="0" borderId="0" xfId="4" applyFont="1" applyAlignment="1"/>
    <xf numFmtId="0" fontId="52" fillId="0" borderId="0" xfId="4" applyAlignment="1"/>
    <xf numFmtId="2" fontId="18" fillId="0" borderId="0" xfId="4" quotePrefix="1" applyNumberFormat="1" applyFont="1"/>
    <xf numFmtId="0" fontId="18" fillId="0" borderId="0" xfId="4" quotePrefix="1" applyFont="1" applyAlignment="1">
      <alignment horizontal="right"/>
    </xf>
    <xf numFmtId="0" fontId="21" fillId="0" borderId="0" xfId="4" applyFont="1"/>
    <xf numFmtId="0" fontId="5" fillId="7" borderId="0" xfId="0" applyFont="1" applyFill="1" applyBorder="1" applyAlignment="1">
      <alignment horizontal="center"/>
    </xf>
    <xf numFmtId="0" fontId="5" fillId="0" borderId="0" xfId="0" applyFont="1"/>
    <xf numFmtId="0" fontId="5" fillId="3" borderId="9" xfId="0" applyFont="1" applyFill="1" applyBorder="1" applyAlignment="1">
      <alignment horizontal="left"/>
    </xf>
    <xf numFmtId="3" fontId="5" fillId="7" borderId="9" xfId="0" applyNumberFormat="1" applyFont="1" applyFill="1" applyBorder="1"/>
    <xf numFmtId="3" fontId="5" fillId="3" borderId="9" xfId="0" applyNumberFormat="1" applyFont="1" applyFill="1" applyBorder="1"/>
    <xf numFmtId="190" fontId="5" fillId="7" borderId="9" xfId="0" applyNumberFormat="1" applyFont="1" applyFill="1" applyBorder="1" applyAlignment="1">
      <alignment horizontal="center"/>
    </xf>
    <xf numFmtId="3" fontId="5" fillId="0" borderId="0" xfId="0" applyNumberFormat="1" applyFont="1"/>
    <xf numFmtId="0" fontId="5" fillId="3" borderId="7" xfId="0" applyFont="1" applyFill="1" applyBorder="1" applyAlignment="1">
      <alignment horizontal="left"/>
    </xf>
    <xf numFmtId="0" fontId="5" fillId="3" borderId="43" xfId="0" applyFont="1" applyFill="1" applyBorder="1" applyAlignment="1">
      <alignment horizontal="left"/>
    </xf>
    <xf numFmtId="3" fontId="5" fillId="7" borderId="43" xfId="0" applyNumberFormat="1" applyFont="1" applyFill="1" applyBorder="1"/>
    <xf numFmtId="3" fontId="5" fillId="3" borderId="43" xfId="0" applyNumberFormat="1" applyFont="1" applyFill="1" applyBorder="1"/>
    <xf numFmtId="190" fontId="5" fillId="7" borderId="43" xfId="0" applyNumberFormat="1" applyFont="1" applyFill="1" applyBorder="1" applyAlignment="1">
      <alignment horizontal="center"/>
    </xf>
    <xf numFmtId="0" fontId="5" fillId="3" borderId="44" xfId="0" applyFont="1" applyFill="1" applyBorder="1" applyAlignment="1">
      <alignment horizontal="left"/>
    </xf>
    <xf numFmtId="3" fontId="5" fillId="7" borderId="44" xfId="0" applyNumberFormat="1" applyFont="1" applyFill="1" applyBorder="1"/>
    <xf numFmtId="3" fontId="5" fillId="3" borderId="44" xfId="0" applyNumberFormat="1" applyFont="1" applyFill="1" applyBorder="1"/>
    <xf numFmtId="190" fontId="5" fillId="7" borderId="44" xfId="0" applyNumberFormat="1" applyFont="1" applyFill="1" applyBorder="1" applyAlignment="1">
      <alignment horizontal="center"/>
    </xf>
    <xf numFmtId="0" fontId="5" fillId="3" borderId="45" xfId="0" applyFont="1" applyFill="1" applyBorder="1" applyAlignment="1">
      <alignment horizontal="left"/>
    </xf>
    <xf numFmtId="3" fontId="5" fillId="7" borderId="45" xfId="0" applyNumberFormat="1" applyFont="1" applyFill="1" applyBorder="1"/>
    <xf numFmtId="3" fontId="5" fillId="3" borderId="45" xfId="0" applyNumberFormat="1" applyFont="1" applyFill="1" applyBorder="1"/>
    <xf numFmtId="190" fontId="5" fillId="7" borderId="45" xfId="0" applyNumberFormat="1" applyFont="1" applyFill="1" applyBorder="1" applyAlignment="1">
      <alignment horizontal="center"/>
    </xf>
    <xf numFmtId="3" fontId="5" fillId="7" borderId="9" xfId="0" applyNumberFormat="1" applyFont="1" applyFill="1" applyBorder="1" applyAlignment="1">
      <alignment horizontal="right"/>
    </xf>
    <xf numFmtId="3" fontId="5" fillId="3" borderId="9" xfId="0" applyNumberFormat="1" applyFont="1" applyFill="1" applyBorder="1" applyAlignment="1">
      <alignment horizontal="right"/>
    </xf>
    <xf numFmtId="0" fontId="7" fillId="3" borderId="0" xfId="0" applyFont="1" applyFill="1" applyBorder="1" applyAlignment="1">
      <alignment horizontal="left" vertical="center"/>
    </xf>
    <xf numFmtId="3" fontId="7" fillId="7" borderId="9" xfId="0" applyNumberFormat="1" applyFont="1" applyFill="1" applyBorder="1" applyAlignment="1">
      <alignment vertical="center"/>
    </xf>
    <xf numFmtId="3" fontId="7" fillId="3" borderId="9" xfId="0" applyNumberFormat="1" applyFont="1" applyFill="1" applyBorder="1" applyAlignment="1">
      <alignment vertical="center"/>
    </xf>
    <xf numFmtId="190" fontId="7" fillId="7" borderId="9" xfId="0" applyNumberFormat="1" applyFont="1" applyFill="1" applyBorder="1" applyAlignment="1">
      <alignment horizontal="center" vertical="center"/>
    </xf>
    <xf numFmtId="3" fontId="3" fillId="0" borderId="0" xfId="0" applyNumberFormat="1" applyFont="1" applyAlignment="1">
      <alignment horizontal="right"/>
    </xf>
    <xf numFmtId="0" fontId="3" fillId="0" borderId="0" xfId="0" applyFont="1" applyAlignment="1">
      <alignment horizontal="right"/>
    </xf>
    <xf numFmtId="0" fontId="0" fillId="0" borderId="3" xfId="0" applyBorder="1" applyAlignment="1"/>
    <xf numFmtId="0" fontId="4" fillId="0" borderId="0" xfId="0" applyFont="1" applyAlignment="1">
      <alignment horizontal="right" vertical="top"/>
    </xf>
    <xf numFmtId="3" fontId="5" fillId="7" borderId="3" xfId="0" applyNumberFormat="1" applyFont="1" applyFill="1" applyBorder="1" applyAlignment="1">
      <alignment horizontal="right" vertical="top"/>
    </xf>
    <xf numFmtId="3" fontId="7" fillId="7" borderId="7" xfId="0" applyNumberFormat="1" applyFont="1" applyFill="1" applyBorder="1" applyAlignment="1">
      <alignment horizontal="right" vertical="center"/>
    </xf>
    <xf numFmtId="0" fontId="0" fillId="0" borderId="0" xfId="0" applyBorder="1"/>
    <xf numFmtId="3" fontId="6" fillId="0" borderId="8" xfId="0" applyNumberFormat="1" applyFont="1" applyBorder="1" applyAlignment="1">
      <alignment horizontal="right"/>
    </xf>
    <xf numFmtId="0" fontId="6" fillId="0" borderId="0" xfId="0" applyFont="1" applyBorder="1" applyAlignment="1">
      <alignment horizontal="right"/>
    </xf>
    <xf numFmtId="3" fontId="6" fillId="0" borderId="0" xfId="0" applyNumberFormat="1" applyFont="1" applyBorder="1" applyAlignment="1">
      <alignment horizontal="right"/>
    </xf>
    <xf numFmtId="0" fontId="6" fillId="0" borderId="0" xfId="0" applyFont="1" applyFill="1" applyBorder="1"/>
    <xf numFmtId="3" fontId="6" fillId="0" borderId="0" xfId="0" applyNumberFormat="1" applyFont="1" applyFill="1" applyBorder="1" applyAlignment="1">
      <alignment horizontal="right"/>
    </xf>
    <xf numFmtId="3" fontId="6" fillId="0" borderId="0" xfId="0" applyNumberFormat="1" applyFont="1" applyAlignment="1">
      <alignment horizontal="right"/>
    </xf>
    <xf numFmtId="3" fontId="5" fillId="7" borderId="6" xfId="0" applyNumberFormat="1" applyFont="1" applyFill="1" applyBorder="1"/>
    <xf numFmtId="3" fontId="5" fillId="3" borderId="6" xfId="0" applyNumberFormat="1" applyFont="1" applyFill="1" applyBorder="1"/>
    <xf numFmtId="3" fontId="7" fillId="7" borderId="7" xfId="0" applyNumberFormat="1" applyFont="1" applyFill="1" applyBorder="1" applyAlignment="1">
      <alignment vertical="center"/>
    </xf>
    <xf numFmtId="3" fontId="7" fillId="3" borderId="7" xfId="0" applyNumberFormat="1" applyFont="1" applyFill="1" applyBorder="1" applyAlignment="1">
      <alignment vertical="center"/>
    </xf>
    <xf numFmtId="0" fontId="3" fillId="0" borderId="3" xfId="0" applyFont="1" applyBorder="1"/>
    <xf numFmtId="0" fontId="5" fillId="7" borderId="5" xfId="0" applyFont="1" applyFill="1" applyBorder="1" applyAlignment="1">
      <alignment horizontal="left"/>
    </xf>
    <xf numFmtId="0" fontId="5" fillId="7" borderId="0" xfId="0" applyNumberFormat="1" applyFont="1" applyFill="1" applyBorder="1" applyAlignment="1">
      <alignment horizontal="right"/>
    </xf>
    <xf numFmtId="0" fontId="5" fillId="3" borderId="0" xfId="0" applyNumberFormat="1" applyFont="1" applyFill="1" applyBorder="1" applyAlignment="1">
      <alignment horizontal="right"/>
    </xf>
    <xf numFmtId="0" fontId="5" fillId="7" borderId="0" xfId="0" applyFont="1" applyFill="1" applyBorder="1" applyAlignment="1">
      <alignment horizontal="left"/>
    </xf>
    <xf numFmtId="3" fontId="5" fillId="7" borderId="0" xfId="0" applyNumberFormat="1" applyFont="1" applyFill="1" applyBorder="1" applyAlignment="1">
      <alignment horizontal="right"/>
    </xf>
    <xf numFmtId="0" fontId="5" fillId="7" borderId="3" xfId="0" applyFont="1" applyFill="1" applyBorder="1" applyAlignment="1">
      <alignment horizontal="left" vertical="top"/>
    </xf>
    <xf numFmtId="188" fontId="5" fillId="7" borderId="9" xfId="0" applyNumberFormat="1" applyFont="1" applyFill="1" applyBorder="1" applyAlignment="1">
      <alignment horizontal="left"/>
    </xf>
    <xf numFmtId="188" fontId="5" fillId="7" borderId="7" xfId="0" applyNumberFormat="1" applyFont="1" applyFill="1" applyBorder="1" applyAlignment="1">
      <alignment horizontal="left"/>
    </xf>
    <xf numFmtId="0" fontId="7" fillId="7" borderId="0" xfId="0" applyFont="1" applyFill="1" applyBorder="1" applyAlignment="1">
      <alignment horizontal="left" vertical="center"/>
    </xf>
    <xf numFmtId="3" fontId="7" fillId="7" borderId="10" xfId="0" applyNumberFormat="1" applyFont="1" applyFill="1" applyBorder="1" applyAlignment="1">
      <alignment horizontal="right" vertical="center"/>
    </xf>
    <xf numFmtId="3" fontId="5" fillId="0" borderId="8" xfId="0" applyNumberFormat="1" applyFont="1" applyBorder="1" applyAlignment="1">
      <alignment horizontal="right" vertical="top"/>
    </xf>
    <xf numFmtId="3" fontId="18" fillId="0" borderId="8" xfId="0" applyNumberFormat="1" applyFont="1" applyBorder="1" applyAlignment="1">
      <alignment horizontal="left" vertical="center"/>
    </xf>
    <xf numFmtId="188" fontId="5" fillId="0" borderId="8" xfId="0" applyNumberFormat="1" applyFont="1" applyBorder="1" applyAlignment="1">
      <alignment horizontal="right" vertical="top"/>
    </xf>
    <xf numFmtId="3" fontId="5" fillId="0" borderId="0" xfId="0" applyNumberFormat="1" applyFont="1" applyBorder="1" applyAlignment="1">
      <alignment horizontal="right" vertical="top"/>
    </xf>
    <xf numFmtId="188" fontId="5" fillId="0" borderId="0" xfId="0" applyNumberFormat="1" applyFont="1" applyBorder="1" applyAlignment="1">
      <alignment horizontal="right" vertical="top"/>
    </xf>
    <xf numFmtId="0" fontId="6" fillId="6" borderId="0" xfId="0" applyFont="1" applyFill="1" applyBorder="1"/>
    <xf numFmtId="0" fontId="7" fillId="3" borderId="5" xfId="0" applyFont="1" applyFill="1" applyBorder="1" applyAlignment="1">
      <alignment horizontal="right"/>
    </xf>
    <xf numFmtId="3" fontId="7" fillId="3" borderId="0" xfId="0" applyNumberFormat="1" applyFont="1" applyFill="1" applyBorder="1" applyAlignment="1">
      <alignment horizontal="right"/>
    </xf>
    <xf numFmtId="0" fontId="5" fillId="3" borderId="3" xfId="0" applyFont="1" applyFill="1" applyBorder="1" applyAlignment="1">
      <alignment horizontal="left" vertical="center"/>
    </xf>
    <xf numFmtId="0" fontId="5" fillId="7" borderId="3" xfId="0" applyFont="1" applyFill="1" applyBorder="1" applyAlignment="1">
      <alignment horizontal="right" vertical="center"/>
    </xf>
    <xf numFmtId="0" fontId="5" fillId="3" borderId="3" xfId="0" applyFont="1" applyFill="1" applyBorder="1" applyAlignment="1">
      <alignment horizontal="right" vertical="center"/>
    </xf>
    <xf numFmtId="3" fontId="7" fillId="3" borderId="3" xfId="0" applyNumberFormat="1" applyFont="1" applyFill="1" applyBorder="1" applyAlignment="1">
      <alignment horizontal="right" vertical="center"/>
    </xf>
    <xf numFmtId="0" fontId="5" fillId="7" borderId="3" xfId="0" applyFont="1" applyFill="1" applyBorder="1" applyAlignment="1">
      <alignment horizontal="center" vertical="center"/>
    </xf>
    <xf numFmtId="0" fontId="5" fillId="3" borderId="9" xfId="0" quotePrefix="1" applyFont="1" applyFill="1" applyBorder="1" applyAlignment="1">
      <alignment horizontal="left"/>
    </xf>
    <xf numFmtId="3" fontId="7" fillId="3" borderId="9" xfId="0" applyNumberFormat="1" applyFont="1" applyFill="1" applyBorder="1" applyAlignment="1">
      <alignment horizontal="right"/>
    </xf>
    <xf numFmtId="190" fontId="5" fillId="7" borderId="9" xfId="0" applyNumberFormat="1" applyFont="1" applyFill="1" applyBorder="1" applyAlignment="1">
      <alignment horizontal="right"/>
    </xf>
    <xf numFmtId="3" fontId="7" fillId="3" borderId="7" xfId="0" applyNumberFormat="1" applyFont="1" applyFill="1" applyBorder="1" applyAlignment="1">
      <alignment horizontal="right"/>
    </xf>
    <xf numFmtId="0" fontId="5" fillId="3" borderId="10" xfId="0" quotePrefix="1" applyFont="1" applyFill="1" applyBorder="1" applyAlignment="1">
      <alignment horizontal="left" vertical="center"/>
    </xf>
    <xf numFmtId="3" fontId="5" fillId="7" borderId="10" xfId="0" applyNumberFormat="1" applyFont="1" applyFill="1" applyBorder="1" applyAlignment="1">
      <alignment horizontal="right" vertical="center"/>
    </xf>
    <xf numFmtId="3" fontId="5" fillId="3" borderId="10" xfId="0" applyNumberFormat="1" applyFont="1" applyFill="1" applyBorder="1" applyAlignment="1">
      <alignment horizontal="right" vertical="center"/>
    </xf>
    <xf numFmtId="190" fontId="5" fillId="7" borderId="10" xfId="0" applyNumberFormat="1" applyFont="1" applyFill="1" applyBorder="1" applyAlignment="1">
      <alignment horizontal="right" vertical="center"/>
    </xf>
    <xf numFmtId="190" fontId="5" fillId="7" borderId="10" xfId="0" applyNumberFormat="1" applyFont="1" applyFill="1" applyBorder="1" applyAlignment="1">
      <alignment horizontal="center" vertical="center"/>
    </xf>
    <xf numFmtId="0" fontId="5" fillId="0" borderId="0" xfId="0" quotePrefix="1" applyFont="1" applyFill="1" applyBorder="1" applyAlignment="1">
      <alignment horizontal="left" vertical="center"/>
    </xf>
    <xf numFmtId="3" fontId="5" fillId="0" borderId="0" xfId="0" applyNumberFormat="1" applyFont="1" applyFill="1" applyBorder="1" applyAlignment="1">
      <alignment horizontal="right" vertical="center"/>
    </xf>
    <xf numFmtId="190" fontId="5" fillId="0" borderId="0" xfId="0" applyNumberFormat="1" applyFont="1" applyFill="1" applyBorder="1" applyAlignment="1">
      <alignment horizontal="right" vertical="center"/>
    </xf>
    <xf numFmtId="190" fontId="5" fillId="0" borderId="0" xfId="0" applyNumberFormat="1" applyFont="1" applyFill="1" applyBorder="1" applyAlignment="1">
      <alignment horizontal="center" vertical="center"/>
    </xf>
    <xf numFmtId="0" fontId="40" fillId="3" borderId="9" xfId="0" quotePrefix="1" applyFont="1" applyFill="1" applyBorder="1" applyAlignment="1">
      <alignment horizontal="left" vertical="center"/>
    </xf>
    <xf numFmtId="3" fontId="40" fillId="7" borderId="9" xfId="0" applyNumberFormat="1" applyFont="1" applyFill="1" applyBorder="1" applyAlignment="1">
      <alignment horizontal="right" vertical="center"/>
    </xf>
    <xf numFmtId="3" fontId="40" fillId="3" borderId="9" xfId="0" applyNumberFormat="1" applyFont="1" applyFill="1" applyBorder="1" applyAlignment="1">
      <alignment horizontal="right" vertical="center"/>
    </xf>
    <xf numFmtId="3" fontId="61" fillId="3" borderId="9" xfId="0" applyNumberFormat="1" applyFont="1" applyFill="1" applyBorder="1" applyAlignment="1">
      <alignment horizontal="right" vertical="center"/>
    </xf>
    <xf numFmtId="190" fontId="40" fillId="7" borderId="9" xfId="0" applyNumberFormat="1" applyFont="1" applyFill="1" applyBorder="1" applyAlignment="1">
      <alignment horizontal="right" vertical="center"/>
    </xf>
    <xf numFmtId="190" fontId="40" fillId="7" borderId="9" xfId="0" applyNumberFormat="1" applyFont="1" applyFill="1" applyBorder="1" applyAlignment="1">
      <alignment horizontal="center" vertical="center"/>
    </xf>
    <xf numFmtId="0" fontId="40" fillId="3" borderId="11" xfId="0" quotePrefix="1" applyFont="1" applyFill="1" applyBorder="1" applyAlignment="1">
      <alignment horizontal="left" vertical="center" wrapText="1"/>
    </xf>
    <xf numFmtId="3" fontId="40" fillId="7" borderId="11" xfId="0" applyNumberFormat="1" applyFont="1" applyFill="1" applyBorder="1" applyAlignment="1">
      <alignment horizontal="right" vertical="center"/>
    </xf>
    <xf numFmtId="3" fontId="40" fillId="3" borderId="11" xfId="0" applyNumberFormat="1" applyFont="1" applyFill="1" applyBorder="1" applyAlignment="1">
      <alignment horizontal="right" vertical="center"/>
    </xf>
    <xf numFmtId="3" fontId="61" fillId="3" borderId="11" xfId="0" applyNumberFormat="1" applyFont="1" applyFill="1" applyBorder="1" applyAlignment="1">
      <alignment horizontal="right" vertical="center"/>
    </xf>
    <xf numFmtId="190" fontId="40" fillId="7" borderId="11" xfId="0" applyNumberFormat="1" applyFont="1" applyFill="1" applyBorder="1" applyAlignment="1">
      <alignment horizontal="right" vertical="center"/>
    </xf>
    <xf numFmtId="190" fontId="40" fillId="7" borderId="11" xfId="0" applyNumberFormat="1" applyFont="1" applyFill="1" applyBorder="1" applyAlignment="1">
      <alignment horizontal="center" vertical="center"/>
    </xf>
    <xf numFmtId="3" fontId="7" fillId="0" borderId="8" xfId="0" applyNumberFormat="1" applyFont="1" applyBorder="1" applyAlignment="1">
      <alignment horizontal="right" vertical="top"/>
    </xf>
    <xf numFmtId="3" fontId="7" fillId="0" borderId="0" xfId="0" applyNumberFormat="1" applyFont="1" applyBorder="1" applyAlignment="1">
      <alignment horizontal="right" vertical="top"/>
    </xf>
    <xf numFmtId="190" fontId="3" fillId="6" borderId="0" xfId="0" applyNumberFormat="1" applyFont="1" applyFill="1"/>
    <xf numFmtId="0" fontId="21" fillId="0" borderId="0" xfId="0" applyFont="1" applyAlignment="1">
      <alignment horizontal="left" wrapText="1"/>
    </xf>
    <xf numFmtId="0" fontId="4" fillId="6" borderId="0" xfId="0" applyFont="1" applyFill="1" applyAlignment="1">
      <alignment vertical="top"/>
    </xf>
    <xf numFmtId="0" fontId="7" fillId="7" borderId="5" xfId="0" applyFont="1" applyFill="1" applyBorder="1" applyAlignment="1">
      <alignment horizontal="right"/>
    </xf>
    <xf numFmtId="190" fontId="5" fillId="3" borderId="5" xfId="0" applyNumberFormat="1" applyFont="1" applyFill="1" applyBorder="1" applyAlignment="1">
      <alignment horizontal="right"/>
    </xf>
    <xf numFmtId="0" fontId="23" fillId="7" borderId="0" xfId="0" applyFont="1" applyFill="1" applyBorder="1" applyAlignment="1">
      <alignment horizontal="right" vertical="center"/>
    </xf>
    <xf numFmtId="190" fontId="23" fillId="3" borderId="0" xfId="0" applyNumberFormat="1" applyFont="1" applyFill="1" applyBorder="1" applyAlignment="1">
      <alignment horizontal="right" vertical="center"/>
    </xf>
    <xf numFmtId="0" fontId="5" fillId="3" borderId="0" xfId="0" applyFont="1" applyFill="1" applyBorder="1" applyAlignment="1">
      <alignment horizontal="left" vertical="top"/>
    </xf>
    <xf numFmtId="190" fontId="5" fillId="3" borderId="0" xfId="0" applyNumberFormat="1" applyFont="1" applyFill="1" applyBorder="1" applyAlignment="1">
      <alignment horizontal="center" vertical="top"/>
    </xf>
    <xf numFmtId="190" fontId="5" fillId="3" borderId="3" xfId="0" applyNumberFormat="1" applyFont="1" applyFill="1" applyBorder="1" applyAlignment="1">
      <alignment horizontal="center" vertical="top"/>
    </xf>
    <xf numFmtId="190" fontId="5" fillId="3" borderId="0" xfId="0" applyNumberFormat="1" applyFont="1" applyFill="1" applyBorder="1" applyAlignment="1">
      <alignment horizontal="right" vertical="top"/>
    </xf>
    <xf numFmtId="190" fontId="5" fillId="3" borderId="3" xfId="0" applyNumberFormat="1" applyFont="1" applyFill="1" applyBorder="1" applyAlignment="1">
      <alignment horizontal="right" vertical="top"/>
    </xf>
    <xf numFmtId="190" fontId="7" fillId="3" borderId="14" xfId="0" applyNumberFormat="1" applyFont="1" applyFill="1" applyBorder="1" applyAlignment="1">
      <alignment horizontal="center" vertical="center"/>
    </xf>
    <xf numFmtId="3" fontId="7" fillId="3" borderId="14" xfId="0" applyNumberFormat="1" applyFont="1" applyFill="1" applyBorder="1" applyAlignment="1">
      <alignment horizontal="right" vertical="center"/>
    </xf>
    <xf numFmtId="3" fontId="7" fillId="7" borderId="14" xfId="0" applyNumberFormat="1" applyFont="1" applyFill="1" applyBorder="1" applyAlignment="1">
      <alignment horizontal="right" vertical="center"/>
    </xf>
    <xf numFmtId="0" fontId="6" fillId="0" borderId="0" xfId="0" applyFont="1" applyFill="1" applyAlignment="1">
      <alignment vertical="center"/>
    </xf>
    <xf numFmtId="0" fontId="10" fillId="0" borderId="0" xfId="0" applyFont="1" applyFill="1" applyAlignment="1">
      <alignment vertical="center"/>
    </xf>
    <xf numFmtId="0" fontId="10" fillId="0" borderId="0" xfId="0" applyFont="1" applyAlignment="1">
      <alignment vertical="center"/>
    </xf>
    <xf numFmtId="3" fontId="5" fillId="0" borderId="0" xfId="0" applyNumberFormat="1" applyFont="1" applyFill="1" applyBorder="1" applyAlignment="1">
      <alignment horizontal="right" vertical="top"/>
    </xf>
    <xf numFmtId="190" fontId="5" fillId="0" borderId="0" xfId="0" applyNumberFormat="1" applyFont="1" applyFill="1" applyBorder="1" applyAlignment="1">
      <alignment horizontal="center" vertical="top"/>
    </xf>
    <xf numFmtId="190" fontId="5" fillId="0" borderId="0" xfId="0" applyNumberFormat="1" applyFont="1" applyFill="1" applyBorder="1" applyAlignment="1">
      <alignment horizontal="right" vertical="top"/>
    </xf>
    <xf numFmtId="0" fontId="18" fillId="3" borderId="10" xfId="0" applyFont="1" applyFill="1" applyBorder="1" applyAlignment="1">
      <alignment horizontal="left" vertical="center" wrapText="1"/>
    </xf>
    <xf numFmtId="190" fontId="5" fillId="7" borderId="11" xfId="0" applyNumberFormat="1" applyFont="1" applyFill="1" applyBorder="1" applyAlignment="1">
      <alignment horizontal="right" vertical="center"/>
    </xf>
    <xf numFmtId="190" fontId="5" fillId="3" borderId="10" xfId="0" applyNumberFormat="1" applyFont="1" applyFill="1" applyBorder="1" applyAlignment="1">
      <alignment horizontal="center" vertical="center"/>
    </xf>
    <xf numFmtId="190" fontId="5" fillId="3" borderId="10" xfId="0" applyNumberFormat="1" applyFont="1" applyFill="1" applyBorder="1" applyAlignment="1">
      <alignment horizontal="right" vertical="center"/>
    </xf>
    <xf numFmtId="3" fontId="5" fillId="0" borderId="3" xfId="0" applyNumberFormat="1" applyFont="1" applyFill="1" applyBorder="1" applyAlignment="1">
      <alignment horizontal="right" vertical="top"/>
    </xf>
    <xf numFmtId="0" fontId="59" fillId="7" borderId="0" xfId="0" applyFont="1" applyFill="1" applyBorder="1" applyAlignment="1">
      <alignment horizontal="right" vertical="top"/>
    </xf>
    <xf numFmtId="190" fontId="59" fillId="3" borderId="0" xfId="0" applyNumberFormat="1" applyFont="1" applyFill="1" applyBorder="1" applyAlignment="1">
      <alignment horizontal="right" vertical="top"/>
    </xf>
    <xf numFmtId="0" fontId="34" fillId="0" borderId="0" xfId="0" applyFont="1"/>
    <xf numFmtId="190" fontId="6" fillId="0" borderId="0" xfId="0" applyNumberFormat="1" applyFont="1" applyFill="1"/>
    <xf numFmtId="190" fontId="6" fillId="0" borderId="0" xfId="0" applyNumberFormat="1" applyFont="1"/>
    <xf numFmtId="0" fontId="64" fillId="0" borderId="0" xfId="0" applyFont="1"/>
    <xf numFmtId="0" fontId="5" fillId="7" borderId="0" xfId="0" applyFont="1" applyFill="1" applyBorder="1" applyAlignment="1">
      <alignment horizontal="right" vertical="center"/>
    </xf>
    <xf numFmtId="0" fontId="5" fillId="3" borderId="0" xfId="0" applyFont="1" applyFill="1" applyBorder="1" applyAlignment="1">
      <alignment horizontal="right" vertical="center"/>
    </xf>
    <xf numFmtId="0" fontId="5" fillId="7" borderId="0" xfId="0" applyFont="1" applyFill="1" applyBorder="1" applyAlignment="1">
      <alignment horizontal="center" vertical="center"/>
    </xf>
    <xf numFmtId="0" fontId="5" fillId="0" borderId="0" xfId="0" applyFont="1" applyFill="1" applyBorder="1" applyAlignment="1">
      <alignment horizontal="left"/>
    </xf>
    <xf numFmtId="0" fontId="7" fillId="3" borderId="7" xfId="0" quotePrefix="1" applyFont="1" applyFill="1" applyBorder="1" applyAlignment="1">
      <alignment horizontal="left" vertical="center"/>
    </xf>
    <xf numFmtId="0" fontId="28" fillId="12" borderId="0" xfId="0" applyFont="1" applyFill="1" applyAlignment="1">
      <alignment horizontal="left"/>
    </xf>
    <xf numFmtId="0" fontId="51" fillId="12" borderId="0" xfId="0" applyFont="1" applyFill="1" applyAlignment="1"/>
    <xf numFmtId="0" fontId="6" fillId="12" borderId="0" xfId="0" applyFont="1" applyFill="1"/>
    <xf numFmtId="0" fontId="134" fillId="0" borderId="0" xfId="0" applyFont="1" applyBorder="1"/>
    <xf numFmtId="0" fontId="134" fillId="3" borderId="7" xfId="0" applyFont="1" applyFill="1" applyBorder="1" applyAlignment="1">
      <alignment horizontal="left" vertical="center"/>
    </xf>
    <xf numFmtId="3" fontId="133" fillId="7" borderId="7" xfId="0" applyNumberFormat="1" applyFont="1" applyFill="1" applyBorder="1" applyAlignment="1">
      <alignment horizontal="center" vertical="center"/>
    </xf>
    <xf numFmtId="3" fontId="135" fillId="13" borderId="7" xfId="0" applyNumberFormat="1" applyFont="1" applyFill="1" applyBorder="1" applyAlignment="1">
      <alignment horizontal="right" vertical="center"/>
    </xf>
    <xf numFmtId="0" fontId="134" fillId="6" borderId="0" xfId="0" applyFont="1" applyFill="1" applyBorder="1" applyProtection="1"/>
    <xf numFmtId="0" fontId="134" fillId="0" borderId="0" xfId="0" applyFont="1"/>
    <xf numFmtId="0" fontId="18" fillId="0" borderId="0" xfId="9" quotePrefix="1" applyFont="1" applyAlignment="1">
      <alignment horizontal="right"/>
    </xf>
    <xf numFmtId="0" fontId="69" fillId="0" borderId="0" xfId="9" applyFont="1"/>
    <xf numFmtId="0" fontId="4" fillId="0" borderId="0" xfId="0" applyFont="1" applyFill="1" applyAlignment="1">
      <alignment horizontal="right" vertical="top"/>
    </xf>
    <xf numFmtId="0" fontId="5" fillId="7" borderId="3" xfId="0" applyFont="1" applyFill="1" applyBorder="1" applyAlignment="1">
      <alignment horizontal="right"/>
    </xf>
    <xf numFmtId="0" fontId="5" fillId="3" borderId="3" xfId="0" applyFont="1" applyFill="1" applyBorder="1" applyAlignment="1">
      <alignment horizontal="right"/>
    </xf>
    <xf numFmtId="0" fontId="5" fillId="3" borderId="6" xfId="0" applyFont="1" applyFill="1" applyBorder="1" applyAlignment="1">
      <alignment vertical="center" wrapText="1"/>
    </xf>
    <xf numFmtId="3" fontId="5" fillId="7" borderId="6" xfId="0" applyNumberFormat="1" applyFont="1" applyFill="1" applyBorder="1" applyAlignment="1">
      <alignment vertical="center"/>
    </xf>
    <xf numFmtId="3" fontId="5" fillId="3" borderId="6" xfId="0" applyNumberFormat="1" applyFont="1" applyFill="1" applyBorder="1" applyAlignment="1">
      <alignment vertical="center"/>
    </xf>
    <xf numFmtId="190" fontId="5" fillId="7" borderId="6" xfId="0" applyNumberFormat="1" applyFont="1" applyFill="1" applyBorder="1" applyAlignment="1">
      <alignment horizontal="right" vertical="center"/>
    </xf>
    <xf numFmtId="190" fontId="5" fillId="3" borderId="6" xfId="0" applyNumberFormat="1" applyFont="1" applyFill="1" applyBorder="1" applyAlignment="1">
      <alignment horizontal="center" vertical="center"/>
    </xf>
    <xf numFmtId="3" fontId="5" fillId="3" borderId="0" xfId="0" applyNumberFormat="1" applyFont="1" applyFill="1" applyBorder="1"/>
    <xf numFmtId="0" fontId="7" fillId="3" borderId="0" xfId="0" applyFont="1" applyFill="1" applyBorder="1" applyAlignment="1">
      <alignment vertical="center"/>
    </xf>
    <xf numFmtId="3" fontId="7" fillId="7" borderId="0" xfId="0" applyNumberFormat="1" applyFont="1" applyFill="1" applyBorder="1" applyAlignment="1">
      <alignment vertical="center"/>
    </xf>
    <xf numFmtId="3" fontId="7" fillId="3" borderId="0" xfId="0" applyNumberFormat="1" applyFont="1" applyFill="1" applyBorder="1" applyAlignment="1">
      <alignment vertical="center"/>
    </xf>
    <xf numFmtId="190" fontId="7" fillId="7" borderId="0" xfId="0" applyNumberFormat="1" applyFont="1" applyFill="1" applyBorder="1" applyAlignment="1">
      <alignment horizontal="right" vertical="center"/>
    </xf>
    <xf numFmtId="190" fontId="7" fillId="3" borderId="0" xfId="0" applyNumberFormat="1" applyFont="1" applyFill="1" applyBorder="1" applyAlignment="1">
      <alignment horizontal="center" vertical="center"/>
    </xf>
    <xf numFmtId="3" fontId="5" fillId="3" borderId="0" xfId="0" applyNumberFormat="1" applyFont="1" applyFill="1" applyBorder="1" applyAlignment="1">
      <alignment vertical="center"/>
    </xf>
    <xf numFmtId="0" fontId="7" fillId="3" borderId="14" xfId="0" quotePrefix="1" applyFont="1" applyFill="1" applyBorder="1" applyAlignment="1">
      <alignment horizontal="left" vertical="center"/>
    </xf>
    <xf numFmtId="189" fontId="7" fillId="7" borderId="14" xfId="0" applyNumberFormat="1" applyFont="1" applyFill="1" applyBorder="1" applyAlignment="1">
      <alignment horizontal="right" vertical="center"/>
    </xf>
    <xf numFmtId="189" fontId="7" fillId="3" borderId="14" xfId="0" applyNumberFormat="1" applyFont="1" applyFill="1" applyBorder="1" applyAlignment="1">
      <alignment horizontal="right" vertical="center"/>
    </xf>
    <xf numFmtId="0" fontId="4" fillId="6" borderId="0" xfId="0" applyFont="1" applyFill="1" applyAlignment="1">
      <alignment horizontal="right" vertical="top"/>
    </xf>
    <xf numFmtId="0" fontId="4" fillId="6" borderId="3" xfId="0" applyFont="1" applyFill="1" applyBorder="1" applyAlignment="1">
      <alignment vertical="top"/>
    </xf>
    <xf numFmtId="0" fontId="3" fillId="6" borderId="3" xfId="0" applyFont="1" applyFill="1" applyBorder="1"/>
    <xf numFmtId="0" fontId="7" fillId="3" borderId="0" xfId="0" applyFont="1" applyFill="1" applyBorder="1" applyAlignment="1">
      <alignment vertical="center" wrapText="1"/>
    </xf>
    <xf numFmtId="0" fontId="7" fillId="7" borderId="0" xfId="0" applyFont="1" applyFill="1" applyBorder="1" applyAlignment="1">
      <alignment vertical="center" wrapText="1"/>
    </xf>
    <xf numFmtId="0" fontId="5" fillId="3" borderId="0"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5" fillId="7" borderId="0" xfId="0" applyFont="1" applyFill="1" applyBorder="1" applyAlignment="1">
      <alignment horizontal="right" vertical="center" wrapText="1"/>
    </xf>
    <xf numFmtId="0" fontId="7" fillId="3" borderId="3" xfId="0" applyFont="1" applyFill="1" applyBorder="1" applyAlignment="1">
      <alignment horizontal="left"/>
    </xf>
    <xf numFmtId="0" fontId="7" fillId="7" borderId="3" xfId="0" applyFont="1" applyFill="1" applyBorder="1" applyAlignment="1">
      <alignment horizontal="left"/>
    </xf>
    <xf numFmtId="0" fontId="7" fillId="3" borderId="0" xfId="0" applyFont="1" applyFill="1" applyBorder="1" applyAlignment="1">
      <alignment horizontal="left" vertical="center" wrapText="1"/>
    </xf>
    <xf numFmtId="0" fontId="7" fillId="7" borderId="9" xfId="0" applyFont="1" applyFill="1" applyBorder="1" applyAlignment="1">
      <alignment horizontal="left" vertical="center"/>
    </xf>
    <xf numFmtId="3" fontId="5" fillId="3" borderId="6" xfId="0" applyNumberFormat="1" applyFont="1" applyFill="1" applyBorder="1" applyAlignment="1">
      <alignment horizontal="right" vertical="center"/>
    </xf>
    <xf numFmtId="3" fontId="5" fillId="7" borderId="6" xfId="0" applyNumberFormat="1" applyFont="1" applyFill="1" applyBorder="1" applyAlignment="1">
      <alignment horizontal="right" vertical="center"/>
    </xf>
    <xf numFmtId="0" fontId="5" fillId="7" borderId="7" xfId="0" applyFont="1" applyFill="1" applyBorder="1" applyAlignment="1">
      <alignment horizontal="left" vertical="center"/>
    </xf>
    <xf numFmtId="3" fontId="5" fillId="3" borderId="7" xfId="0" applyNumberFormat="1" applyFont="1" applyFill="1" applyBorder="1" applyAlignment="1">
      <alignment vertical="center"/>
    </xf>
    <xf numFmtId="3" fontId="5" fillId="7" borderId="7" xfId="0" applyNumberFormat="1" applyFont="1" applyFill="1" applyBorder="1" applyAlignment="1">
      <alignment vertical="center"/>
    </xf>
    <xf numFmtId="0" fontId="7" fillId="3" borderId="14" xfId="0" applyFont="1" applyFill="1" applyBorder="1" applyAlignment="1">
      <alignment horizontal="left" vertical="center" wrapText="1"/>
    </xf>
    <xf numFmtId="0" fontId="7" fillId="7" borderId="15" xfId="0" applyFont="1" applyFill="1" applyBorder="1" applyAlignment="1">
      <alignment horizontal="left" vertical="center"/>
    </xf>
    <xf numFmtId="0" fontId="7" fillId="3" borderId="16" xfId="0" applyFont="1" applyFill="1" applyBorder="1" applyAlignment="1">
      <alignment horizontal="left" vertical="center"/>
    </xf>
    <xf numFmtId="3" fontId="5" fillId="7" borderId="7" xfId="0" applyNumberFormat="1" applyFont="1" applyFill="1" applyBorder="1" applyAlignment="1">
      <alignment horizontal="right" vertical="center"/>
    </xf>
    <xf numFmtId="3" fontId="5" fillId="3" borderId="7" xfId="0" applyNumberFormat="1" applyFont="1" applyFill="1" applyBorder="1" applyAlignment="1">
      <alignment horizontal="right" vertical="center"/>
    </xf>
    <xf numFmtId="0" fontId="7" fillId="3" borderId="6" xfId="0" applyFont="1" applyFill="1" applyBorder="1" applyAlignment="1">
      <alignment horizontal="left" vertical="center"/>
    </xf>
    <xf numFmtId="0" fontId="7" fillId="3" borderId="7" xfId="0" applyFont="1" applyFill="1" applyBorder="1" applyAlignment="1">
      <alignment horizontal="left" vertical="center"/>
    </xf>
    <xf numFmtId="0" fontId="7" fillId="7" borderId="7" xfId="0" applyFont="1" applyFill="1" applyBorder="1" applyAlignment="1">
      <alignment horizontal="left" vertical="center"/>
    </xf>
    <xf numFmtId="0" fontId="40" fillId="3" borderId="0" xfId="0" applyFont="1" applyFill="1" applyBorder="1" applyAlignment="1">
      <alignment horizontal="left" vertical="center" wrapText="1"/>
    </xf>
    <xf numFmtId="0" fontId="40" fillId="7" borderId="15" xfId="0" applyFont="1" applyFill="1" applyBorder="1" applyAlignment="1">
      <alignment horizontal="left" vertical="center" wrapText="1"/>
    </xf>
    <xf numFmtId="3" fontId="40" fillId="3" borderId="7" xfId="0" applyNumberFormat="1" applyFont="1" applyFill="1" applyBorder="1" applyAlignment="1">
      <alignment vertical="center"/>
    </xf>
    <xf numFmtId="3" fontId="40" fillId="7" borderId="7" xfId="0" applyNumberFormat="1" applyFont="1" applyFill="1" applyBorder="1" applyAlignment="1">
      <alignment vertical="center"/>
    </xf>
    <xf numFmtId="0" fontId="40" fillId="7" borderId="15" xfId="0" applyFont="1" applyFill="1" applyBorder="1" applyAlignment="1">
      <alignment vertical="center" wrapText="1"/>
    </xf>
    <xf numFmtId="0" fontId="40" fillId="3" borderId="6" xfId="0" applyFont="1" applyFill="1" applyBorder="1" applyAlignment="1">
      <alignment vertical="center" wrapText="1"/>
    </xf>
    <xf numFmtId="0" fontId="7" fillId="3" borderId="7" xfId="0" applyFont="1" applyFill="1" applyBorder="1" applyAlignment="1">
      <alignment vertical="center"/>
    </xf>
    <xf numFmtId="0" fontId="7" fillId="7" borderId="7" xfId="0" applyFont="1" applyFill="1" applyBorder="1" applyAlignment="1">
      <alignment vertical="center"/>
    </xf>
    <xf numFmtId="0" fontId="7" fillId="3" borderId="10" xfId="0" applyFont="1" applyFill="1" applyBorder="1" applyAlignment="1">
      <alignment vertical="center"/>
    </xf>
    <xf numFmtId="0" fontId="7" fillId="7" borderId="10" xfId="0" applyFont="1" applyFill="1" applyBorder="1" applyAlignment="1">
      <alignment vertical="center"/>
    </xf>
    <xf numFmtId="3" fontId="7" fillId="3" borderId="10" xfId="0" applyNumberFormat="1" applyFont="1" applyFill="1" applyBorder="1" applyAlignment="1">
      <alignment vertical="center"/>
    </xf>
    <xf numFmtId="3" fontId="7" fillId="7" borderId="10" xfId="0" applyNumberFormat="1" applyFont="1" applyFill="1" applyBorder="1" applyAlignment="1">
      <alignment vertical="center"/>
    </xf>
    <xf numFmtId="3" fontId="10" fillId="0" borderId="0" xfId="0" quotePrefix="1" applyNumberFormat="1" applyFont="1" applyFill="1"/>
    <xf numFmtId="3" fontId="6" fillId="0" borderId="0" xfId="0" applyNumberFormat="1" applyFont="1" applyFill="1" applyAlignment="1">
      <alignment horizontal="center"/>
    </xf>
    <xf numFmtId="3" fontId="10" fillId="0" borderId="0" xfId="0" applyNumberFormat="1" applyFont="1" applyFill="1"/>
    <xf numFmtId="3" fontId="10" fillId="0" borderId="0" xfId="0" applyNumberFormat="1" applyFont="1" applyFill="1" applyAlignment="1">
      <alignment horizontal="center"/>
    </xf>
    <xf numFmtId="0" fontId="6" fillId="0" borderId="0" xfId="0" applyFont="1" applyFill="1" applyAlignment="1">
      <alignment horizontal="center"/>
    </xf>
    <xf numFmtId="3" fontId="3" fillId="0" borderId="0" xfId="0" applyNumberFormat="1" applyFont="1"/>
    <xf numFmtId="3" fontId="5" fillId="7" borderId="3" xfId="0" applyNumberFormat="1" applyFont="1" applyFill="1" applyBorder="1" applyAlignment="1">
      <alignment horizontal="center" vertical="top"/>
    </xf>
    <xf numFmtId="3" fontId="5" fillId="3" borderId="3" xfId="0" applyNumberFormat="1" applyFont="1" applyFill="1" applyBorder="1" applyAlignment="1">
      <alignment horizontal="center" vertical="top"/>
    </xf>
    <xf numFmtId="190" fontId="5" fillId="7" borderId="6" xfId="0" applyNumberFormat="1" applyFont="1" applyFill="1" applyBorder="1" applyAlignment="1">
      <alignment horizontal="center"/>
    </xf>
    <xf numFmtId="3" fontId="7" fillId="7" borderId="6" xfId="0" applyNumberFormat="1" applyFont="1" applyFill="1" applyBorder="1" applyAlignment="1">
      <alignment vertical="center"/>
    </xf>
    <xf numFmtId="3" fontId="7" fillId="3" borderId="6" xfId="0" applyNumberFormat="1" applyFont="1" applyFill="1" applyBorder="1" applyAlignment="1">
      <alignment vertical="center"/>
    </xf>
    <xf numFmtId="190" fontId="7" fillId="7" borderId="7" xfId="0" applyNumberFormat="1" applyFont="1" applyFill="1" applyBorder="1" applyAlignment="1">
      <alignment horizontal="center" vertical="center"/>
    </xf>
    <xf numFmtId="3" fontId="7" fillId="0" borderId="0" xfId="0" applyNumberFormat="1" applyFont="1" applyAlignment="1">
      <alignment vertical="center"/>
    </xf>
    <xf numFmtId="0" fontId="6" fillId="0" borderId="8" xfId="0" applyFont="1" applyBorder="1" applyAlignment="1">
      <alignment horizontal="right"/>
    </xf>
    <xf numFmtId="3" fontId="6" fillId="0" borderId="0" xfId="0" applyNumberFormat="1" applyFont="1" applyBorder="1"/>
    <xf numFmtId="190" fontId="7" fillId="3" borderId="10" xfId="0" applyNumberFormat="1" applyFont="1" applyFill="1" applyBorder="1" applyAlignment="1">
      <alignment horizontal="center" vertical="center"/>
    </xf>
    <xf numFmtId="190" fontId="6" fillId="0" borderId="0" xfId="0" applyNumberFormat="1" applyFont="1" applyBorder="1" applyAlignment="1">
      <alignment horizontal="center"/>
    </xf>
    <xf numFmtId="190" fontId="6" fillId="0" borderId="0" xfId="0" applyNumberFormat="1" applyFont="1" applyAlignment="1">
      <alignment horizontal="center"/>
    </xf>
    <xf numFmtId="0" fontId="4" fillId="0" borderId="0" xfId="0" applyFont="1" applyFill="1" applyBorder="1" applyAlignment="1">
      <alignment vertical="center"/>
    </xf>
    <xf numFmtId="190" fontId="5" fillId="3" borderId="5" xfId="0" applyNumberFormat="1" applyFont="1" applyFill="1" applyBorder="1" applyAlignment="1">
      <alignment horizontal="center"/>
    </xf>
    <xf numFmtId="0" fontId="7" fillId="3" borderId="0" xfId="0" applyFont="1" applyFill="1" applyBorder="1" applyAlignment="1">
      <alignment horizontal="left"/>
    </xf>
    <xf numFmtId="190" fontId="5" fillId="3" borderId="0" xfId="0" applyNumberFormat="1" applyFont="1" applyFill="1" applyBorder="1" applyAlignment="1">
      <alignment horizontal="center"/>
    </xf>
    <xf numFmtId="3" fontId="5" fillId="3" borderId="6" xfId="0" applyNumberFormat="1" applyFont="1" applyFill="1" applyBorder="1" applyAlignment="1">
      <alignment horizontal="center"/>
    </xf>
    <xf numFmtId="0" fontId="7" fillId="3" borderId="10" xfId="0" quotePrefix="1" applyFont="1" applyFill="1" applyBorder="1" applyAlignment="1">
      <alignment horizontal="left" vertical="center"/>
    </xf>
    <xf numFmtId="0" fontId="6" fillId="11" borderId="0" xfId="0" applyFont="1" applyFill="1" applyBorder="1"/>
    <xf numFmtId="0" fontId="10" fillId="0" borderId="0" xfId="0" applyFont="1" applyAlignment="1">
      <alignment horizontal="center"/>
    </xf>
    <xf numFmtId="0" fontId="4" fillId="0" borderId="0" xfId="0" applyFont="1" applyAlignment="1">
      <alignment vertical="center"/>
    </xf>
    <xf numFmtId="3" fontId="4" fillId="0" borderId="0" xfId="0" applyNumberFormat="1" applyFont="1" applyAlignment="1">
      <alignment horizontal="left" vertical="center"/>
    </xf>
    <xf numFmtId="3" fontId="4" fillId="6" borderId="3" xfId="0" applyNumberFormat="1" applyFont="1" applyFill="1" applyBorder="1" applyAlignment="1">
      <alignment horizontal="left" vertical="top"/>
    </xf>
    <xf numFmtId="3" fontId="5" fillId="13" borderId="0" xfId="0" applyNumberFormat="1" applyFont="1" applyFill="1" applyBorder="1" applyAlignment="1">
      <alignment horizontal="right"/>
    </xf>
    <xf numFmtId="0" fontId="5" fillId="13" borderId="3" xfId="0" applyFont="1" applyFill="1" applyBorder="1" applyAlignment="1">
      <alignment horizontal="center" vertical="top"/>
    </xf>
    <xf numFmtId="3" fontId="5" fillId="13" borderId="3" xfId="0" applyNumberFormat="1" applyFont="1" applyFill="1" applyBorder="1" applyAlignment="1">
      <alignment horizontal="right" vertical="top"/>
    </xf>
    <xf numFmtId="3" fontId="5" fillId="13" borderId="6" xfId="0" applyNumberFormat="1" applyFont="1" applyFill="1" applyBorder="1" applyAlignment="1">
      <alignment horizontal="right"/>
    </xf>
    <xf numFmtId="190" fontId="5" fillId="13" borderId="6" xfId="0" applyNumberFormat="1" applyFont="1" applyFill="1" applyBorder="1" applyAlignment="1">
      <alignment horizontal="right"/>
    </xf>
    <xf numFmtId="1" fontId="6" fillId="0" borderId="0" xfId="0" applyNumberFormat="1" applyFont="1"/>
    <xf numFmtId="0" fontId="61" fillId="3" borderId="7" xfId="0" applyFont="1" applyFill="1" applyBorder="1" applyAlignment="1">
      <alignment horizontal="left"/>
    </xf>
    <xf numFmtId="189" fontId="61" fillId="7" borderId="6" xfId="0" applyNumberFormat="1" applyFont="1" applyFill="1" applyBorder="1" applyAlignment="1">
      <alignment horizontal="right"/>
    </xf>
    <xf numFmtId="3" fontId="61" fillId="13" borderId="6" xfId="0" applyNumberFormat="1" applyFont="1" applyFill="1" applyBorder="1" applyAlignment="1">
      <alignment horizontal="right"/>
    </xf>
    <xf numFmtId="190" fontId="61" fillId="13" borderId="6" xfId="0" applyNumberFormat="1" applyFont="1" applyFill="1" applyBorder="1" applyAlignment="1">
      <alignment horizontal="right"/>
    </xf>
    <xf numFmtId="3" fontId="61" fillId="7" borderId="6" xfId="0" applyNumberFormat="1" applyFont="1" applyFill="1" applyBorder="1" applyAlignment="1">
      <alignment horizontal="right"/>
    </xf>
    <xf numFmtId="189" fontId="7" fillId="7" borderId="7" xfId="0" applyNumberFormat="1" applyFont="1" applyFill="1" applyBorder="1" applyAlignment="1">
      <alignment horizontal="right" vertical="center"/>
    </xf>
    <xf numFmtId="190" fontId="7" fillId="13" borderId="10" xfId="0" applyNumberFormat="1" applyFont="1" applyFill="1" applyBorder="1" applyAlignment="1">
      <alignment horizontal="right" vertical="center"/>
    </xf>
    <xf numFmtId="1" fontId="10" fillId="0" borderId="0" xfId="0" applyNumberFormat="1" applyFont="1"/>
    <xf numFmtId="0" fontId="6" fillId="0" borderId="0" xfId="0" applyFont="1" applyBorder="1" applyAlignment="1">
      <alignment horizontal="center"/>
    </xf>
    <xf numFmtId="0" fontId="4" fillId="6" borderId="0" xfId="0" applyFont="1" applyFill="1" applyAlignment="1">
      <alignment vertical="center"/>
    </xf>
    <xf numFmtId="0" fontId="6" fillId="0" borderId="0" xfId="20" applyFont="1"/>
    <xf numFmtId="0" fontId="18" fillId="0" borderId="0" xfId="9" applyFont="1" applyFill="1"/>
    <xf numFmtId="0" fontId="69" fillId="0" borderId="0" xfId="19" applyFont="1"/>
    <xf numFmtId="0" fontId="4" fillId="6" borderId="3" xfId="0" applyFont="1" applyFill="1" applyBorder="1" applyAlignment="1">
      <alignment horizontal="right" vertical="top"/>
    </xf>
    <xf numFmtId="0" fontId="40" fillId="3" borderId="0" xfId="0" applyFont="1" applyFill="1" applyBorder="1" applyAlignment="1">
      <alignment horizontal="right" vertical="center" wrapText="1"/>
    </xf>
    <xf numFmtId="0" fontId="40" fillId="7" borderId="0" xfId="0" applyFont="1" applyFill="1" applyBorder="1" applyAlignment="1">
      <alignment horizontal="right" vertical="center" wrapText="1"/>
    </xf>
    <xf numFmtId="0" fontId="40" fillId="3" borderId="3" xfId="0" applyFont="1" applyFill="1" applyBorder="1" applyAlignment="1">
      <alignment horizontal="right"/>
    </xf>
    <xf numFmtId="0" fontId="5" fillId="7" borderId="3" xfId="0" applyFont="1" applyFill="1" applyBorder="1"/>
    <xf numFmtId="3" fontId="40" fillId="3" borderId="6" xfId="0" applyNumberFormat="1" applyFont="1" applyFill="1" applyBorder="1" applyAlignment="1">
      <alignment horizontal="right" vertical="center"/>
    </xf>
    <xf numFmtId="3" fontId="40" fillId="7" borderId="6" xfId="0" applyNumberFormat="1" applyFont="1" applyFill="1" applyBorder="1" applyAlignment="1">
      <alignment vertical="center"/>
    </xf>
    <xf numFmtId="3" fontId="40" fillId="7" borderId="7" xfId="0" applyNumberFormat="1" applyFont="1" applyFill="1" applyBorder="1" applyAlignment="1">
      <alignment horizontal="right" vertical="center"/>
    </xf>
    <xf numFmtId="3" fontId="61" fillId="3" borderId="10" xfId="0" applyNumberFormat="1" applyFont="1" applyFill="1" applyBorder="1" applyAlignment="1">
      <alignment vertical="center"/>
    </xf>
    <xf numFmtId="3" fontId="61" fillId="7" borderId="10" xfId="0" applyNumberFormat="1" applyFont="1" applyFill="1" applyBorder="1" applyAlignment="1">
      <alignment vertical="center"/>
    </xf>
    <xf numFmtId="3" fontId="6" fillId="0" borderId="0" xfId="0" applyNumberFormat="1" applyFont="1" applyFill="1" applyAlignment="1">
      <alignment horizontal="right"/>
    </xf>
    <xf numFmtId="3" fontId="5" fillId="7" borderId="5" xfId="0" applyNumberFormat="1" applyFont="1" applyFill="1" applyBorder="1" applyAlignment="1">
      <alignment horizontal="right"/>
    </xf>
    <xf numFmtId="190" fontId="61" fillId="3" borderId="6" xfId="0" applyNumberFormat="1" applyFont="1" applyFill="1" applyBorder="1" applyAlignment="1">
      <alignment horizontal="center"/>
    </xf>
    <xf numFmtId="0" fontId="6" fillId="0" borderId="0" xfId="0" applyNumberFormat="1" applyFont="1"/>
    <xf numFmtId="0" fontId="5" fillId="3" borderId="6" xfId="0" applyFont="1" applyFill="1" applyBorder="1" applyAlignment="1">
      <alignment wrapText="1"/>
    </xf>
    <xf numFmtId="190" fontId="5" fillId="7" borderId="6" xfId="0" applyNumberFormat="1" applyFont="1" applyFill="1" applyBorder="1"/>
    <xf numFmtId="0" fontId="40" fillId="3" borderId="6" xfId="0" applyFont="1" applyFill="1" applyBorder="1" applyAlignment="1">
      <alignment wrapText="1"/>
    </xf>
    <xf numFmtId="3" fontId="40" fillId="7" borderId="6" xfId="0" applyNumberFormat="1" applyFont="1" applyFill="1" applyBorder="1" applyAlignment="1">
      <alignment horizontal="right"/>
    </xf>
    <xf numFmtId="3" fontId="40" fillId="3" borderId="6" xfId="0" applyNumberFormat="1" applyFont="1" applyFill="1" applyBorder="1" applyAlignment="1">
      <alignment horizontal="right"/>
    </xf>
    <xf numFmtId="3" fontId="40" fillId="3" borderId="6" xfId="0" applyNumberFormat="1" applyFont="1" applyFill="1" applyBorder="1"/>
    <xf numFmtId="190" fontId="40" fillId="7" borderId="6" xfId="0" applyNumberFormat="1" applyFont="1" applyFill="1" applyBorder="1"/>
    <xf numFmtId="190" fontId="40" fillId="3" borderId="6" xfId="0" applyNumberFormat="1" applyFont="1" applyFill="1" applyBorder="1" applyAlignment="1">
      <alignment horizontal="center"/>
    </xf>
    <xf numFmtId="190" fontId="7" fillId="7" borderId="6" xfId="0" applyNumberFormat="1" applyFont="1" applyFill="1" applyBorder="1" applyAlignment="1">
      <alignment vertical="center"/>
    </xf>
    <xf numFmtId="190" fontId="7" fillId="3" borderId="6" xfId="0" applyNumberFormat="1" applyFont="1" applyFill="1" applyBorder="1" applyAlignment="1">
      <alignment horizontal="center" vertical="center"/>
    </xf>
    <xf numFmtId="3" fontId="5" fillId="3" borderId="5" xfId="0" applyNumberFormat="1" applyFont="1" applyFill="1" applyBorder="1" applyAlignment="1">
      <alignment horizontal="right"/>
    </xf>
    <xf numFmtId="0" fontId="0" fillId="0" borderId="3" xfId="0" applyBorder="1" applyAlignment="1">
      <alignment wrapText="1"/>
    </xf>
    <xf numFmtId="3" fontId="61" fillId="3" borderId="7" xfId="0" applyNumberFormat="1" applyFont="1" applyFill="1" applyBorder="1" applyAlignment="1"/>
    <xf numFmtId="3" fontId="40" fillId="0" borderId="6" xfId="0" applyNumberFormat="1" applyFont="1" applyFill="1" applyBorder="1" applyAlignment="1"/>
    <xf numFmtId="190" fontId="23" fillId="7" borderId="6" xfId="0" applyNumberFormat="1" applyFont="1" applyFill="1" applyBorder="1" applyAlignment="1">
      <alignment horizontal="center"/>
    </xf>
    <xf numFmtId="190" fontId="23" fillId="3" borderId="6" xfId="0" applyNumberFormat="1" applyFont="1" applyFill="1" applyBorder="1" applyAlignment="1">
      <alignment horizontal="center"/>
    </xf>
    <xf numFmtId="0" fontId="136" fillId="0" borderId="0" xfId="0" applyFont="1" applyFill="1"/>
    <xf numFmtId="0" fontId="21" fillId="7" borderId="11" xfId="0" applyFont="1" applyFill="1" applyBorder="1" applyAlignment="1">
      <alignment horizontal="center" vertical="center"/>
    </xf>
    <xf numFmtId="0" fontId="5" fillId="7" borderId="11" xfId="0" applyFont="1" applyFill="1" applyBorder="1" applyAlignment="1">
      <alignment vertical="center"/>
    </xf>
    <xf numFmtId="190" fontId="5" fillId="3" borderId="11" xfId="0" applyNumberFormat="1" applyFont="1" applyFill="1" applyBorder="1" applyAlignment="1">
      <alignment vertical="center"/>
    </xf>
    <xf numFmtId="190" fontId="5" fillId="7" borderId="11" xfId="0" applyNumberFormat="1" applyFont="1" applyFill="1" applyBorder="1" applyAlignment="1">
      <alignment vertical="center"/>
    </xf>
    <xf numFmtId="190" fontId="7" fillId="3" borderId="11" xfId="0" applyNumberFormat="1" applyFont="1" applyFill="1" applyBorder="1" applyAlignment="1">
      <alignment vertical="center"/>
    </xf>
    <xf numFmtId="190" fontId="135" fillId="3" borderId="11" xfId="0" applyNumberFormat="1" applyFont="1" applyFill="1" applyBorder="1" applyAlignment="1">
      <alignment horizontal="right" vertical="center"/>
    </xf>
    <xf numFmtId="190" fontId="5" fillId="0" borderId="11" xfId="0" applyNumberFormat="1" applyFont="1" applyFill="1" applyBorder="1" applyAlignment="1">
      <alignment vertical="center"/>
    </xf>
    <xf numFmtId="190" fontId="6" fillId="7" borderId="11" xfId="0" applyNumberFormat="1" applyFont="1" applyFill="1" applyBorder="1" applyAlignment="1">
      <alignment horizontal="center" vertical="center"/>
    </xf>
    <xf numFmtId="190" fontId="6" fillId="3" borderId="11" xfId="0" applyNumberFormat="1" applyFont="1" applyFill="1" applyBorder="1" applyAlignment="1">
      <alignment horizontal="center" vertical="center"/>
    </xf>
    <xf numFmtId="0" fontId="21" fillId="7" borderId="10" xfId="0" applyFont="1" applyFill="1" applyBorder="1" applyAlignment="1">
      <alignment horizontal="center"/>
    </xf>
    <xf numFmtId="0" fontId="5" fillId="7" borderId="10" xfId="0" applyFont="1" applyFill="1" applyBorder="1" applyAlignment="1"/>
    <xf numFmtId="3" fontId="5" fillId="3" borderId="10" xfId="0" applyNumberFormat="1" applyFont="1" applyFill="1" applyBorder="1" applyAlignment="1"/>
    <xf numFmtId="3" fontId="5" fillId="7" borderId="10" xfId="0" applyNumberFormat="1" applyFont="1" applyFill="1" applyBorder="1" applyAlignment="1"/>
    <xf numFmtId="3" fontId="7" fillId="3" borderId="10" xfId="0" applyNumberFormat="1" applyFont="1" applyFill="1" applyBorder="1" applyAlignment="1"/>
    <xf numFmtId="3" fontId="61" fillId="3" borderId="10" xfId="0" applyNumberFormat="1" applyFont="1" applyFill="1" applyBorder="1" applyAlignment="1"/>
    <xf numFmtId="3" fontId="40" fillId="0" borderId="10" xfId="0" applyNumberFormat="1" applyFont="1" applyFill="1" applyBorder="1" applyAlignment="1"/>
    <xf numFmtId="190" fontId="23" fillId="7" borderId="10" xfId="0" applyNumberFormat="1" applyFont="1" applyFill="1" applyBorder="1" applyAlignment="1">
      <alignment horizontal="center"/>
    </xf>
    <xf numFmtId="190" fontId="23" fillId="3" borderId="10" xfId="0" applyNumberFormat="1" applyFont="1" applyFill="1" applyBorder="1" applyAlignment="1">
      <alignment horizontal="center"/>
    </xf>
    <xf numFmtId="0" fontId="137" fillId="0" borderId="12" xfId="0" applyFont="1" applyBorder="1" applyAlignment="1">
      <alignment horizontal="right"/>
    </xf>
    <xf numFmtId="0" fontId="137" fillId="0" borderId="12" xfId="0" applyFont="1" applyBorder="1"/>
    <xf numFmtId="0" fontId="138" fillId="0" borderId="12" xfId="0" applyFont="1" applyBorder="1"/>
    <xf numFmtId="0" fontId="137" fillId="0" borderId="12" xfId="0" applyFont="1" applyBorder="1" applyAlignment="1">
      <alignment horizontal="center"/>
    </xf>
    <xf numFmtId="0" fontId="4" fillId="0" borderId="0" xfId="10" applyFont="1" applyAlignment="1" applyProtection="1"/>
    <xf numFmtId="0" fontId="5" fillId="0" borderId="0" xfId="0" applyFont="1" applyFill="1" applyBorder="1" applyAlignment="1">
      <alignment horizontal="left" vertical="center"/>
    </xf>
    <xf numFmtId="0" fontId="4" fillId="0" borderId="0" xfId="0" applyFont="1" applyBorder="1" applyAlignment="1">
      <alignment horizontal="center" vertical="top"/>
    </xf>
    <xf numFmtId="0" fontId="20" fillId="0" borderId="0" xfId="9" applyFont="1"/>
    <xf numFmtId="0" fontId="6" fillId="0" borderId="0" xfId="9" applyFont="1"/>
    <xf numFmtId="189" fontId="5" fillId="7" borderId="6" xfId="0" applyNumberFormat="1" applyFont="1" applyFill="1" applyBorder="1" applyAlignment="1"/>
    <xf numFmtId="0" fontId="5" fillId="3" borderId="6" xfId="0" applyNumberFormat="1" applyFont="1" applyFill="1" applyBorder="1" applyAlignment="1">
      <alignment horizontal="right"/>
    </xf>
    <xf numFmtId="0" fontId="5" fillId="3" borderId="7" xfId="0" applyNumberFormat="1" applyFont="1" applyFill="1" applyBorder="1" applyAlignment="1">
      <alignment horizontal="right"/>
    </xf>
    <xf numFmtId="189" fontId="7" fillId="7" borderId="7" xfId="0" applyNumberFormat="1" applyFont="1" applyFill="1" applyBorder="1" applyAlignment="1">
      <alignment vertical="center"/>
    </xf>
    <xf numFmtId="0" fontId="7" fillId="3" borderId="7" xfId="0" applyNumberFormat="1" applyFont="1" applyFill="1" applyBorder="1" applyAlignment="1">
      <alignment horizontal="right" vertical="center"/>
    </xf>
    <xf numFmtId="190" fontId="3" fillId="0" borderId="0" xfId="0" applyNumberFormat="1" applyFont="1" applyAlignment="1">
      <alignment horizontal="center"/>
    </xf>
    <xf numFmtId="0" fontId="5" fillId="0" borderId="0" xfId="0" applyFont="1" applyAlignment="1">
      <alignment horizontal="right"/>
    </xf>
    <xf numFmtId="0" fontId="7" fillId="3" borderId="9" xfId="0" quotePrefix="1" applyFont="1" applyFill="1" applyBorder="1" applyAlignment="1"/>
    <xf numFmtId="3" fontId="7" fillId="7" borderId="6" xfId="0" applyNumberFormat="1" applyFont="1" applyFill="1" applyBorder="1" applyAlignment="1">
      <alignment horizontal="right"/>
    </xf>
    <xf numFmtId="190" fontId="7" fillId="3" borderId="6" xfId="0" applyNumberFormat="1" applyFont="1" applyFill="1" applyBorder="1" applyAlignment="1">
      <alignment horizontal="center"/>
    </xf>
    <xf numFmtId="0" fontId="7" fillId="3" borderId="7" xfId="0" quotePrefix="1" applyFont="1" applyFill="1" applyBorder="1" applyAlignment="1"/>
    <xf numFmtId="3" fontId="7" fillId="7" borderId="7" xfId="0" applyNumberFormat="1" applyFont="1" applyFill="1" applyBorder="1" applyAlignment="1">
      <alignment horizontal="right"/>
    </xf>
    <xf numFmtId="190" fontId="7" fillId="3" borderId="7" xfId="0" applyNumberFormat="1" applyFont="1" applyFill="1" applyBorder="1" applyAlignment="1">
      <alignment horizontal="center"/>
    </xf>
    <xf numFmtId="0" fontId="7" fillId="3" borderId="7" xfId="0" quotePrefix="1" applyFont="1" applyFill="1" applyBorder="1" applyAlignment="1">
      <alignment wrapText="1"/>
    </xf>
    <xf numFmtId="0" fontId="5" fillId="3" borderId="0" xfId="0" quotePrefix="1" applyFont="1" applyFill="1" applyBorder="1" applyAlignment="1">
      <alignment vertical="center"/>
    </xf>
    <xf numFmtId="190" fontId="5" fillId="3" borderId="7" xfId="0" applyNumberFormat="1" applyFont="1" applyFill="1" applyBorder="1" applyAlignment="1">
      <alignment horizontal="center" vertical="center"/>
    </xf>
    <xf numFmtId="3" fontId="5" fillId="7" borderId="0" xfId="0" applyNumberFormat="1" applyFont="1" applyFill="1" applyBorder="1" applyAlignment="1">
      <alignment horizontal="right" vertical="center"/>
    </xf>
    <xf numFmtId="0" fontId="10" fillId="0" borderId="8" xfId="0" applyFont="1" applyBorder="1"/>
    <xf numFmtId="190" fontId="6" fillId="0" borderId="8" xfId="0" applyNumberFormat="1" applyFont="1" applyBorder="1" applyAlignment="1">
      <alignment horizontal="center"/>
    </xf>
    <xf numFmtId="0" fontId="134" fillId="6" borderId="0" xfId="0" applyFont="1" applyFill="1" applyBorder="1"/>
    <xf numFmtId="3" fontId="5" fillId="6" borderId="0" xfId="0" applyNumberFormat="1" applyFont="1" applyFill="1" applyBorder="1" applyAlignment="1">
      <alignment horizontal="right" vertical="top"/>
    </xf>
    <xf numFmtId="188" fontId="5" fillId="6" borderId="0" xfId="0" applyNumberFormat="1" applyFont="1" applyFill="1" applyBorder="1" applyAlignment="1">
      <alignment horizontal="right" vertical="top"/>
    </xf>
    <xf numFmtId="0" fontId="10" fillId="0" borderId="0" xfId="0" applyFont="1" applyFill="1" applyBorder="1" applyAlignment="1">
      <alignment horizontal="right"/>
    </xf>
    <xf numFmtId="0" fontId="6" fillId="0" borderId="0" xfId="0" applyFont="1" applyFill="1" applyBorder="1" applyAlignment="1">
      <alignment horizontal="right"/>
    </xf>
    <xf numFmtId="190" fontId="6" fillId="0" borderId="0" xfId="0" applyNumberFormat="1" applyFont="1" applyFill="1" applyBorder="1"/>
    <xf numFmtId="188" fontId="139" fillId="7" borderId="7" xfId="0" applyNumberFormat="1" applyFont="1" applyFill="1" applyBorder="1" applyAlignment="1">
      <alignment horizontal="left"/>
    </xf>
    <xf numFmtId="189" fontId="134" fillId="3" borderId="7" xfId="0" applyNumberFormat="1" applyFont="1" applyFill="1" applyBorder="1" applyAlignment="1">
      <alignment horizontal="right"/>
    </xf>
    <xf numFmtId="189" fontId="134" fillId="7" borderId="7" xfId="0" applyNumberFormat="1" applyFont="1" applyFill="1" applyBorder="1" applyAlignment="1">
      <alignment horizontal="right"/>
    </xf>
    <xf numFmtId="3" fontId="134" fillId="3" borderId="7" xfId="0" applyNumberFormat="1" applyFont="1" applyFill="1" applyBorder="1" applyAlignment="1">
      <alignment horizontal="right"/>
    </xf>
    <xf numFmtId="3" fontId="134" fillId="7" borderId="7" xfId="0" applyNumberFormat="1" applyFont="1" applyFill="1" applyBorder="1" applyAlignment="1">
      <alignment horizontal="right"/>
    </xf>
    <xf numFmtId="0" fontId="4" fillId="0" borderId="0" xfId="5" applyFont="1"/>
    <xf numFmtId="0" fontId="74" fillId="0" borderId="0" xfId="5"/>
    <xf numFmtId="2" fontId="18" fillId="0" borderId="0" xfId="5" applyNumberFormat="1" applyFont="1"/>
    <xf numFmtId="0" fontId="18" fillId="0" borderId="0" xfId="5" applyFont="1" applyAlignment="1"/>
    <xf numFmtId="0" fontId="18" fillId="0" borderId="0" xfId="5" applyFont="1"/>
    <xf numFmtId="0" fontId="69" fillId="0" borderId="0" xfId="5" applyFont="1"/>
    <xf numFmtId="0" fontId="18" fillId="0" borderId="0" xfId="21" applyFont="1"/>
    <xf numFmtId="0" fontId="18" fillId="0" borderId="0" xfId="5" applyFont="1" applyFill="1" applyBorder="1"/>
    <xf numFmtId="3" fontId="6" fillId="0" borderId="0" xfId="0" applyNumberFormat="1" applyFont="1" applyAlignment="1">
      <alignment vertical="center"/>
    </xf>
    <xf numFmtId="0" fontId="5" fillId="13" borderId="5" xfId="0" applyFont="1" applyFill="1" applyBorder="1" applyAlignment="1">
      <alignment horizontal="left"/>
    </xf>
    <xf numFmtId="0" fontId="5" fillId="13" borderId="3" xfId="0" applyFont="1" applyFill="1" applyBorder="1" applyAlignment="1">
      <alignment horizontal="left" vertical="top"/>
    </xf>
    <xf numFmtId="3" fontId="5" fillId="13" borderId="9" xfId="0" applyNumberFormat="1" applyFont="1" applyFill="1" applyBorder="1" applyAlignment="1">
      <alignment horizontal="left" vertical="center"/>
    </xf>
    <xf numFmtId="0" fontId="61" fillId="3" borderId="9" xfId="0" applyFont="1" applyFill="1" applyBorder="1" applyAlignment="1">
      <alignment horizontal="left" vertical="center"/>
    </xf>
    <xf numFmtId="1" fontId="5" fillId="13" borderId="7" xfId="0" applyNumberFormat="1" applyFont="1" applyFill="1" applyBorder="1" applyAlignment="1">
      <alignment horizontal="left" vertical="center"/>
    </xf>
    <xf numFmtId="0" fontId="6" fillId="0" borderId="0" xfId="0" applyFont="1" applyBorder="1" applyAlignment="1"/>
    <xf numFmtId="0" fontId="18" fillId="6" borderId="0" xfId="0" applyFont="1" applyFill="1" applyBorder="1"/>
    <xf numFmtId="190" fontId="3" fillId="0" borderId="0" xfId="0" applyNumberFormat="1" applyFont="1"/>
    <xf numFmtId="190" fontId="5" fillId="7" borderId="5" xfId="0" applyNumberFormat="1" applyFont="1" applyFill="1" applyBorder="1" applyAlignment="1">
      <alignment horizontal="center"/>
    </xf>
    <xf numFmtId="190" fontId="5" fillId="7" borderId="0" xfId="0" applyNumberFormat="1" applyFont="1" applyFill="1" applyBorder="1" applyAlignment="1">
      <alignment horizontal="center"/>
    </xf>
    <xf numFmtId="190" fontId="5" fillId="7" borderId="3" xfId="0" applyNumberFormat="1" applyFont="1" applyFill="1" applyBorder="1" applyAlignment="1">
      <alignment horizontal="center" vertical="top"/>
    </xf>
    <xf numFmtId="190" fontId="5" fillId="7" borderId="7" xfId="0" applyNumberFormat="1" applyFont="1" applyFill="1" applyBorder="1" applyAlignment="1">
      <alignment horizontal="center" vertical="center"/>
    </xf>
    <xf numFmtId="0" fontId="7" fillId="3" borderId="10" xfId="0" applyFont="1" applyFill="1" applyBorder="1" applyAlignment="1">
      <alignment horizontal="left" vertical="center"/>
    </xf>
    <xf numFmtId="190" fontId="7" fillId="7" borderId="10" xfId="0" applyNumberFormat="1" applyFont="1" applyFill="1" applyBorder="1" applyAlignment="1">
      <alignment horizontal="center" vertical="center"/>
    </xf>
    <xf numFmtId="0" fontId="6" fillId="0" borderId="0" xfId="0" applyNumberFormat="1" applyFont="1" applyBorder="1"/>
    <xf numFmtId="190" fontId="5" fillId="7" borderId="6" xfId="0" applyNumberFormat="1" applyFont="1" applyFill="1" applyBorder="1" applyAlignment="1">
      <alignment horizontal="right"/>
    </xf>
    <xf numFmtId="190" fontId="5" fillId="7" borderId="7" xfId="0" applyNumberFormat="1" applyFont="1" applyFill="1" applyBorder="1" applyAlignment="1">
      <alignment horizontal="right"/>
    </xf>
    <xf numFmtId="190" fontId="5" fillId="3" borderId="7" xfId="0" applyNumberFormat="1" applyFont="1" applyFill="1" applyBorder="1" applyAlignment="1">
      <alignment horizontal="right"/>
    </xf>
    <xf numFmtId="190" fontId="7" fillId="3" borderId="0" xfId="0" applyNumberFormat="1" applyFont="1" applyFill="1" applyBorder="1" applyAlignment="1">
      <alignment horizontal="right" vertical="center"/>
    </xf>
    <xf numFmtId="0" fontId="4" fillId="6" borderId="0" xfId="0" applyFont="1" applyFill="1" applyAlignment="1">
      <alignment horizontal="center"/>
    </xf>
    <xf numFmtId="0" fontId="4" fillId="0" borderId="3" xfId="0" applyFont="1" applyBorder="1"/>
    <xf numFmtId="0" fontId="7" fillId="7" borderId="5" xfId="0" applyFont="1" applyFill="1" applyBorder="1" applyAlignment="1">
      <alignment horizontal="left" vertical="center"/>
    </xf>
    <xf numFmtId="0" fontId="7" fillId="15" borderId="5" xfId="0" applyFont="1" applyFill="1" applyBorder="1" applyAlignment="1" applyProtection="1">
      <alignment vertical="center"/>
    </xf>
    <xf numFmtId="0" fontId="5" fillId="15" borderId="5" xfId="0" applyFont="1" applyFill="1" applyBorder="1" applyProtection="1"/>
    <xf numFmtId="0" fontId="5" fillId="15" borderId="5" xfId="0" applyFont="1" applyFill="1" applyBorder="1" applyAlignment="1" applyProtection="1">
      <alignment horizontal="center"/>
    </xf>
    <xf numFmtId="0" fontId="7" fillId="3" borderId="0" xfId="0" applyFont="1" applyFill="1" applyBorder="1" applyAlignment="1">
      <alignment horizontal="center" vertical="center" wrapText="1"/>
    </xf>
    <xf numFmtId="0" fontId="7" fillId="14" borderId="5" xfId="0" applyFont="1" applyFill="1" applyBorder="1" applyAlignment="1">
      <alignment horizontal="left" vertical="center"/>
    </xf>
    <xf numFmtId="0" fontId="5" fillId="14" borderId="17" xfId="0" applyFont="1" applyFill="1" applyBorder="1" applyProtection="1"/>
    <xf numFmtId="0" fontId="5" fillId="14" borderId="5" xfId="0" applyFont="1" applyFill="1" applyBorder="1" applyProtection="1"/>
    <xf numFmtId="0" fontId="5" fillId="3" borderId="5" xfId="0" applyFont="1" applyFill="1" applyBorder="1" applyProtection="1"/>
    <xf numFmtId="0" fontId="10" fillId="7" borderId="0"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40" fillId="3" borderId="0" xfId="0" applyFont="1" applyFill="1" applyBorder="1" applyAlignment="1">
      <alignment horizontal="center" vertical="center" wrapText="1"/>
    </xf>
    <xf numFmtId="0" fontId="40" fillId="7" borderId="0" xfId="0" applyFont="1" applyFill="1" applyBorder="1" applyAlignment="1">
      <alignment horizontal="center" vertical="center" wrapText="1"/>
    </xf>
    <xf numFmtId="0" fontId="7" fillId="3" borderId="0" xfId="0" applyFont="1" applyFill="1" applyBorder="1" applyAlignment="1" applyProtection="1">
      <alignment horizontal="center" vertical="center"/>
    </xf>
    <xf numFmtId="0" fontId="7" fillId="3" borderId="3" xfId="0" applyFont="1" applyFill="1" applyBorder="1" applyAlignment="1">
      <alignment horizontal="center" vertical="top"/>
    </xf>
    <xf numFmtId="0" fontId="7" fillId="7" borderId="3" xfId="0" applyFont="1" applyFill="1" applyBorder="1" applyAlignment="1">
      <alignment horizontal="center" vertical="top"/>
    </xf>
    <xf numFmtId="0" fontId="5" fillId="7" borderId="9" xfId="0" applyFont="1" applyFill="1" applyBorder="1" applyAlignment="1">
      <alignment horizontal="left"/>
    </xf>
    <xf numFmtId="190" fontId="7" fillId="3" borderId="9" xfId="0" applyNumberFormat="1" applyFont="1" applyFill="1" applyBorder="1" applyAlignment="1">
      <alignment horizontal="right"/>
    </xf>
    <xf numFmtId="190" fontId="5" fillId="3" borderId="9" xfId="0" applyNumberFormat="1" applyFont="1" applyFill="1" applyBorder="1" applyAlignment="1">
      <alignment horizontal="center"/>
    </xf>
    <xf numFmtId="190" fontId="7" fillId="7" borderId="9" xfId="0" applyNumberFormat="1" applyFont="1" applyFill="1" applyBorder="1" applyAlignment="1">
      <alignment horizontal="right"/>
    </xf>
    <xf numFmtId="190" fontId="40" fillId="3" borderId="9" xfId="0" applyNumberFormat="1" applyFont="1" applyFill="1" applyBorder="1" applyAlignment="1">
      <alignment horizontal="right"/>
    </xf>
    <xf numFmtId="190" fontId="40" fillId="7" borderId="9" xfId="0" applyNumberFormat="1" applyFont="1" applyFill="1" applyBorder="1" applyAlignment="1">
      <alignment horizontal="right"/>
    </xf>
    <xf numFmtId="0" fontId="5" fillId="7" borderId="7" xfId="0" applyFont="1" applyFill="1" applyBorder="1" applyAlignment="1">
      <alignment horizontal="left"/>
    </xf>
    <xf numFmtId="0" fontId="7" fillId="7" borderId="10" xfId="0" applyFont="1" applyFill="1" applyBorder="1" applyAlignment="1">
      <alignment horizontal="left" vertical="center"/>
    </xf>
    <xf numFmtId="190" fontId="5" fillId="7" borderId="9" xfId="0" applyNumberFormat="1" applyFont="1" applyFill="1" applyBorder="1" applyAlignment="1">
      <alignment horizontal="right" vertical="center"/>
    </xf>
    <xf numFmtId="190" fontId="5" fillId="3" borderId="9" xfId="0" applyNumberFormat="1" applyFont="1" applyFill="1" applyBorder="1" applyAlignment="1">
      <alignment horizontal="right" vertical="center"/>
    </xf>
    <xf numFmtId="190" fontId="5" fillId="3" borderId="9" xfId="0" applyNumberFormat="1" applyFont="1" applyFill="1" applyBorder="1" applyAlignment="1">
      <alignment horizontal="center" vertical="center"/>
    </xf>
    <xf numFmtId="190" fontId="7" fillId="7" borderId="9" xfId="0" applyNumberFormat="1" applyFont="1" applyFill="1" applyBorder="1" applyAlignment="1">
      <alignment horizontal="right" vertical="center"/>
    </xf>
    <xf numFmtId="190" fontId="7" fillId="7" borderId="10" xfId="0" applyNumberFormat="1" applyFont="1" applyFill="1" applyBorder="1" applyAlignment="1">
      <alignment horizontal="right" vertical="center"/>
    </xf>
    <xf numFmtId="190" fontId="40" fillId="3" borderId="10" xfId="0" applyNumberFormat="1" applyFont="1" applyFill="1" applyBorder="1" applyAlignment="1">
      <alignment horizontal="right" vertical="center"/>
    </xf>
    <xf numFmtId="190" fontId="40" fillId="7" borderId="10" xfId="0" applyNumberFormat="1" applyFont="1" applyFill="1" applyBorder="1" applyAlignment="1">
      <alignment horizontal="right" vertical="center"/>
    </xf>
    <xf numFmtId="0" fontId="10" fillId="6" borderId="8" xfId="0" applyFont="1" applyFill="1" applyBorder="1"/>
    <xf numFmtId="0" fontId="6" fillId="6" borderId="8" xfId="0" applyFont="1" applyFill="1" applyBorder="1"/>
    <xf numFmtId="0" fontId="10" fillId="6" borderId="8" xfId="0" applyFont="1" applyFill="1" applyBorder="1" applyAlignment="1">
      <alignment horizontal="center"/>
    </xf>
    <xf numFmtId="0" fontId="10" fillId="6" borderId="0" xfId="0" applyFont="1" applyFill="1" applyBorder="1"/>
    <xf numFmtId="0" fontId="10" fillId="6" borderId="0" xfId="0" applyFont="1" applyFill="1" applyBorder="1" applyAlignment="1">
      <alignment horizontal="center"/>
    </xf>
    <xf numFmtId="0" fontId="10" fillId="6" borderId="0" xfId="0" applyFont="1" applyFill="1" applyAlignment="1">
      <alignment horizontal="center"/>
    </xf>
    <xf numFmtId="0" fontId="10" fillId="0" borderId="0" xfId="0" applyFont="1" applyFill="1" applyAlignment="1">
      <alignment horizontal="center"/>
    </xf>
    <xf numFmtId="0" fontId="4" fillId="0" borderId="0" xfId="0" applyFont="1" applyBorder="1" applyAlignment="1">
      <alignment vertical="top" wrapText="1"/>
    </xf>
    <xf numFmtId="0" fontId="0" fillId="0" borderId="0" xfId="0" applyAlignment="1"/>
    <xf numFmtId="0" fontId="20" fillId="0" borderId="3" xfId="0" applyFont="1" applyBorder="1" applyAlignment="1"/>
    <xf numFmtId="0" fontId="0" fillId="0" borderId="0" xfId="0" applyBorder="1" applyAlignment="1">
      <alignment wrapText="1"/>
    </xf>
    <xf numFmtId="0" fontId="7" fillId="3" borderId="5" xfId="0" applyFont="1" applyFill="1" applyBorder="1" applyAlignment="1">
      <alignment horizontal="left"/>
    </xf>
    <xf numFmtId="190" fontId="5" fillId="3" borderId="0" xfId="0" applyNumberFormat="1" applyFont="1" applyFill="1" applyBorder="1" applyAlignment="1">
      <alignment horizontal="right"/>
    </xf>
    <xf numFmtId="190" fontId="5" fillId="3" borderId="6" xfId="0" applyNumberFormat="1" applyFont="1" applyFill="1" applyBorder="1" applyAlignment="1">
      <alignment vertical="center"/>
    </xf>
    <xf numFmtId="190" fontId="7" fillId="3" borderId="0" xfId="0" applyNumberFormat="1" applyFont="1" applyFill="1" applyBorder="1" applyAlignment="1">
      <alignment vertical="center"/>
    </xf>
    <xf numFmtId="190" fontId="6" fillId="0" borderId="8" xfId="0" applyNumberFormat="1" applyFont="1" applyBorder="1"/>
    <xf numFmtId="190" fontId="6" fillId="0" borderId="0" xfId="0" applyNumberFormat="1" applyFont="1" applyBorder="1"/>
    <xf numFmtId="0" fontId="5" fillId="3" borderId="18" xfId="0" applyFont="1" applyFill="1" applyBorder="1" applyAlignment="1">
      <alignment vertical="center"/>
    </xf>
    <xf numFmtId="4" fontId="5" fillId="7" borderId="18" xfId="0" applyNumberFormat="1" applyFont="1" applyFill="1" applyBorder="1" applyAlignment="1">
      <alignment vertical="center"/>
    </xf>
    <xf numFmtId="4" fontId="5" fillId="3" borderId="18" xfId="0" applyNumberFormat="1" applyFont="1" applyFill="1" applyBorder="1" applyAlignment="1">
      <alignment vertical="center"/>
    </xf>
    <xf numFmtId="190" fontId="40" fillId="3" borderId="18" xfId="0" applyNumberFormat="1" applyFont="1" applyFill="1" applyBorder="1" applyAlignment="1">
      <alignment horizontal="right" vertical="center"/>
    </xf>
    <xf numFmtId="0" fontId="4" fillId="0" borderId="0" xfId="0" applyFont="1" applyAlignment="1">
      <alignment wrapText="1"/>
    </xf>
    <xf numFmtId="0" fontId="7" fillId="3" borderId="5" xfId="0" applyFont="1" applyFill="1" applyBorder="1" applyAlignment="1">
      <alignment horizontal="left" vertical="center"/>
    </xf>
    <xf numFmtId="0" fontId="7" fillId="7" borderId="5" xfId="0" applyFont="1" applyFill="1" applyBorder="1" applyAlignment="1">
      <alignment horizontal="right" vertical="center"/>
    </xf>
    <xf numFmtId="0" fontId="7" fillId="3" borderId="5" xfId="0" applyFont="1" applyFill="1" applyBorder="1" applyAlignment="1">
      <alignment horizontal="right" vertical="center"/>
    </xf>
    <xf numFmtId="0" fontId="7" fillId="3" borderId="18" xfId="0" applyFont="1" applyFill="1" applyBorder="1" applyAlignment="1">
      <alignment vertical="center"/>
    </xf>
    <xf numFmtId="3" fontId="5" fillId="7" borderId="18" xfId="0" applyNumberFormat="1" applyFont="1" applyFill="1" applyBorder="1" applyAlignment="1">
      <alignment vertical="center"/>
    </xf>
    <xf numFmtId="3" fontId="5" fillId="3" borderId="18" xfId="0" applyNumberFormat="1" applyFont="1" applyFill="1" applyBorder="1" applyAlignment="1">
      <alignment vertical="center"/>
    </xf>
    <xf numFmtId="3" fontId="7" fillId="3" borderId="18" xfId="0" applyNumberFormat="1" applyFont="1" applyFill="1" applyBorder="1" applyAlignment="1">
      <alignment vertical="center"/>
    </xf>
    <xf numFmtId="0" fontId="61" fillId="3" borderId="7" xfId="0" applyFont="1" applyFill="1" applyBorder="1" applyAlignment="1">
      <alignment horizontal="left" vertical="center"/>
    </xf>
    <xf numFmtId="3" fontId="5" fillId="13" borderId="7" xfId="0" applyNumberFormat="1" applyFont="1" applyFill="1" applyBorder="1" applyAlignment="1">
      <alignment horizontal="left" vertical="center"/>
    </xf>
    <xf numFmtId="3" fontId="5" fillId="13" borderId="9" xfId="0" applyNumberFormat="1" applyFont="1" applyFill="1" applyBorder="1" applyAlignment="1">
      <alignment horizontal="right" vertical="center"/>
    </xf>
    <xf numFmtId="0" fontId="6" fillId="3" borderId="7" xfId="0" applyFont="1" applyFill="1" applyBorder="1" applyAlignment="1">
      <alignment horizontal="left" vertical="center"/>
    </xf>
    <xf numFmtId="3" fontId="5" fillId="13" borderId="11" xfId="0" applyNumberFormat="1" applyFont="1" applyFill="1" applyBorder="1" applyAlignment="1">
      <alignment horizontal="left" vertical="center"/>
    </xf>
    <xf numFmtId="3" fontId="7" fillId="7" borderId="7" xfId="0" applyNumberFormat="1" applyFont="1" applyFill="1" applyBorder="1" applyAlignment="1">
      <alignment horizontal="center" vertical="center"/>
    </xf>
    <xf numFmtId="0" fontId="10" fillId="11" borderId="0" xfId="0" applyFont="1" applyFill="1"/>
    <xf numFmtId="0" fontId="5" fillId="13" borderId="11" xfId="0" applyFont="1" applyFill="1" applyBorder="1" applyAlignment="1">
      <alignment horizontal="left" vertical="center"/>
    </xf>
    <xf numFmtId="189" fontId="7" fillId="3" borderId="7" xfId="0" applyNumberFormat="1" applyFont="1" applyFill="1" applyBorder="1" applyAlignment="1">
      <alignment horizontal="right" vertical="center"/>
    </xf>
    <xf numFmtId="189" fontId="7" fillId="3" borderId="10" xfId="0" applyNumberFormat="1" applyFont="1" applyFill="1" applyBorder="1" applyAlignment="1">
      <alignment horizontal="right" vertical="center"/>
    </xf>
    <xf numFmtId="3" fontId="7" fillId="13" borderId="7" xfId="0" applyNumberFormat="1" applyFont="1" applyFill="1" applyBorder="1" applyAlignment="1">
      <alignment horizontal="left" vertical="center"/>
    </xf>
    <xf numFmtId="0" fontId="5" fillId="13" borderId="3" xfId="0" applyFont="1" applyFill="1" applyBorder="1" applyAlignment="1">
      <alignment horizontal="left"/>
    </xf>
    <xf numFmtId="0" fontId="5" fillId="13" borderId="9" xfId="0" applyFont="1" applyFill="1" applyBorder="1" applyAlignment="1">
      <alignment horizontal="left" vertical="center"/>
    </xf>
    <xf numFmtId="0" fontId="5" fillId="13" borderId="7" xfId="0" applyFont="1" applyFill="1" applyBorder="1" applyAlignment="1">
      <alignment horizontal="left" vertical="center"/>
    </xf>
    <xf numFmtId="0" fontId="5" fillId="13" borderId="7" xfId="0" quotePrefix="1" applyFont="1" applyFill="1" applyBorder="1" applyAlignment="1">
      <alignment horizontal="left" vertical="center"/>
    </xf>
    <xf numFmtId="0" fontId="7" fillId="13" borderId="7" xfId="0" applyFont="1" applyFill="1" applyBorder="1" applyAlignment="1">
      <alignment horizontal="left" vertical="center"/>
    </xf>
    <xf numFmtId="0" fontId="61" fillId="3" borderId="7" xfId="0" applyFont="1" applyFill="1" applyBorder="1" applyAlignment="1">
      <alignment horizontal="left" vertical="center" wrapText="1"/>
    </xf>
    <xf numFmtId="0" fontId="6" fillId="0" borderId="0" xfId="0" quotePrefix="1" applyFont="1" applyAlignment="1">
      <alignment horizontal="left"/>
    </xf>
    <xf numFmtId="0" fontId="5" fillId="0" borderId="0" xfId="0" applyFont="1" applyAlignment="1">
      <alignment horizontal="left"/>
    </xf>
    <xf numFmtId="0" fontId="6" fillId="0" borderId="0" xfId="0" applyFont="1" applyAlignment="1">
      <alignment horizontal="left"/>
    </xf>
    <xf numFmtId="0" fontId="60" fillId="0" borderId="0" xfId="0" applyFont="1" applyAlignment="1">
      <alignment horizontal="left"/>
    </xf>
    <xf numFmtId="0" fontId="5" fillId="3" borderId="7" xfId="11" applyFont="1" applyFill="1" applyBorder="1" applyAlignment="1">
      <alignment horizontal="left" vertical="center"/>
    </xf>
    <xf numFmtId="3" fontId="7" fillId="13" borderId="5" xfId="0" applyNumberFormat="1" applyFont="1" applyFill="1" applyBorder="1" applyAlignment="1">
      <alignment horizontal="right" vertical="center"/>
    </xf>
    <xf numFmtId="3" fontId="7" fillId="13" borderId="44" xfId="0" applyNumberFormat="1" applyFont="1" applyFill="1" applyBorder="1" applyAlignment="1">
      <alignment horizontal="right" vertical="center"/>
    </xf>
    <xf numFmtId="3" fontId="7" fillId="13" borderId="6" xfId="0" applyNumberFormat="1" applyFont="1" applyFill="1" applyBorder="1" applyAlignment="1">
      <alignment horizontal="right" vertical="center"/>
    </xf>
    <xf numFmtId="3" fontId="5" fillId="13" borderId="11" xfId="0" applyNumberFormat="1" applyFont="1" applyFill="1" applyBorder="1" applyAlignment="1">
      <alignment horizontal="center" vertical="center"/>
    </xf>
    <xf numFmtId="0" fontId="6" fillId="0" borderId="7" xfId="0" applyFont="1" applyFill="1" applyBorder="1" applyAlignment="1">
      <alignment horizontal="left" vertical="center"/>
    </xf>
    <xf numFmtId="189" fontId="135" fillId="7" borderId="7" xfId="0" applyNumberFormat="1" applyFont="1" applyFill="1" applyBorder="1" applyAlignment="1">
      <alignment horizontal="right" vertical="center"/>
    </xf>
    <xf numFmtId="190" fontId="135" fillId="7" borderId="7" xfId="0" applyNumberFormat="1" applyFont="1" applyFill="1" applyBorder="1" applyAlignment="1">
      <alignment horizontal="center" vertical="center"/>
    </xf>
    <xf numFmtId="189" fontId="135" fillId="3" borderId="7" xfId="0" applyNumberFormat="1" applyFont="1" applyFill="1" applyBorder="1" applyAlignment="1">
      <alignment horizontal="right" vertical="center"/>
    </xf>
    <xf numFmtId="190" fontId="135" fillId="3" borderId="7" xfId="0" applyNumberFormat="1" applyFont="1" applyFill="1" applyBorder="1" applyAlignment="1">
      <alignment horizontal="center" vertical="center"/>
    </xf>
    <xf numFmtId="190" fontId="135" fillId="7" borderId="10" xfId="0" applyNumberFormat="1" applyFont="1" applyFill="1" applyBorder="1" applyAlignment="1">
      <alignment horizontal="center" vertical="center"/>
    </xf>
    <xf numFmtId="1" fontId="133" fillId="13" borderId="7" xfId="0" applyNumberFormat="1" applyFont="1" applyFill="1" applyBorder="1" applyAlignment="1">
      <alignment horizontal="left" vertical="center"/>
    </xf>
    <xf numFmtId="3" fontId="135" fillId="13" borderId="9" xfId="0" applyNumberFormat="1" applyFont="1" applyFill="1" applyBorder="1" applyAlignment="1">
      <alignment horizontal="right" vertical="center"/>
    </xf>
    <xf numFmtId="0" fontId="4" fillId="0" borderId="0" xfId="6" applyFont="1"/>
    <xf numFmtId="0" fontId="79" fillId="0" borderId="0" xfId="6"/>
    <xf numFmtId="0" fontId="18" fillId="0" borderId="0" xfId="6" applyFont="1"/>
    <xf numFmtId="0" fontId="69" fillId="0" borderId="0" xfId="6" applyFont="1"/>
    <xf numFmtId="0" fontId="21" fillId="0" borderId="0" xfId="6" applyFont="1"/>
    <xf numFmtId="9" fontId="7" fillId="7" borderId="5" xfId="0" applyNumberFormat="1" applyFont="1" applyFill="1" applyBorder="1" applyAlignment="1">
      <alignment horizontal="right" wrapText="1"/>
    </xf>
    <xf numFmtId="9" fontId="7" fillId="3" borderId="5" xfId="0" applyNumberFormat="1" applyFont="1" applyFill="1" applyBorder="1" applyAlignment="1">
      <alignment horizontal="right" wrapText="1"/>
    </xf>
    <xf numFmtId="9" fontId="5" fillId="3" borderId="5" xfId="0" applyNumberFormat="1" applyFont="1" applyFill="1" applyBorder="1" applyAlignment="1">
      <alignment horizontal="center" vertical="center" wrapText="1"/>
    </xf>
    <xf numFmtId="9" fontId="5" fillId="7" borderId="5" xfId="0" applyNumberFormat="1" applyFont="1" applyFill="1" applyBorder="1" applyAlignment="1">
      <alignment horizontal="center" vertical="center" wrapText="1"/>
    </xf>
    <xf numFmtId="9" fontId="5" fillId="7" borderId="0" xfId="0" applyNumberFormat="1" applyFont="1" applyFill="1" applyBorder="1" applyAlignment="1">
      <alignment horizontal="right" wrapText="1"/>
    </xf>
    <xf numFmtId="9" fontId="5" fillId="3" borderId="0" xfId="0" applyNumberFormat="1" applyFont="1" applyFill="1" applyBorder="1" applyAlignment="1">
      <alignment horizontal="right" wrapText="1"/>
    </xf>
    <xf numFmtId="9" fontId="7" fillId="7" borderId="0" xfId="0" applyNumberFormat="1" applyFont="1" applyFill="1" applyBorder="1" applyAlignment="1">
      <alignment horizontal="right" wrapText="1"/>
    </xf>
    <xf numFmtId="9" fontId="5" fillId="3" borderId="0" xfId="0" applyNumberFormat="1" applyFont="1" applyFill="1" applyBorder="1" applyAlignment="1">
      <alignment horizontal="center" vertical="center" wrapText="1"/>
    </xf>
    <xf numFmtId="9" fontId="5" fillId="7" borderId="0" xfId="0" applyNumberFormat="1" applyFont="1" applyFill="1" applyBorder="1" applyAlignment="1">
      <alignment horizontal="center" vertical="center" wrapText="1"/>
    </xf>
    <xf numFmtId="0" fontId="5" fillId="3" borderId="0" xfId="0" applyFont="1" applyFill="1" applyBorder="1" applyAlignment="1">
      <alignment horizontal="center" vertical="center"/>
    </xf>
    <xf numFmtId="3" fontId="5" fillId="7" borderId="0" xfId="0" applyNumberFormat="1" applyFont="1" applyFill="1" applyBorder="1" applyAlignment="1">
      <alignment horizontal="center" vertical="center"/>
    </xf>
    <xf numFmtId="0" fontId="5" fillId="3" borderId="3" xfId="0" applyFont="1" applyFill="1" applyBorder="1" applyAlignment="1">
      <alignment horizontal="center" vertical="center"/>
    </xf>
    <xf numFmtId="3" fontId="5" fillId="7" borderId="3" xfId="0" applyNumberFormat="1" applyFont="1" applyFill="1" applyBorder="1" applyAlignment="1">
      <alignment horizontal="center" vertical="center"/>
    </xf>
    <xf numFmtId="188" fontId="5" fillId="3" borderId="9" xfId="0" applyNumberFormat="1" applyFont="1" applyFill="1" applyBorder="1" applyAlignment="1">
      <alignment horizontal="left"/>
    </xf>
    <xf numFmtId="189" fontId="7" fillId="7" borderId="6" xfId="0" applyNumberFormat="1" applyFont="1" applyFill="1" applyBorder="1" applyAlignment="1">
      <alignment horizontal="right"/>
    </xf>
    <xf numFmtId="188" fontId="5" fillId="3" borderId="7" xfId="0" applyNumberFormat="1" applyFont="1" applyFill="1" applyBorder="1" applyAlignment="1">
      <alignment horizontal="left"/>
    </xf>
    <xf numFmtId="189" fontId="7" fillId="7" borderId="7" xfId="0" applyNumberFormat="1" applyFont="1" applyFill="1" applyBorder="1" applyAlignment="1">
      <alignment horizontal="right"/>
    </xf>
    <xf numFmtId="3" fontId="5" fillId="6" borderId="8" xfId="0" applyNumberFormat="1" applyFont="1" applyFill="1" applyBorder="1" applyAlignment="1">
      <alignment horizontal="right" vertical="top"/>
    </xf>
    <xf numFmtId="0" fontId="5" fillId="3" borderId="0" xfId="0" applyFont="1" applyFill="1" applyBorder="1" applyAlignment="1">
      <alignment horizontal="right" vertical="top"/>
    </xf>
    <xf numFmtId="3" fontId="5" fillId="7" borderId="0" xfId="0" applyNumberFormat="1" applyFont="1" applyFill="1" applyBorder="1" applyAlignment="1">
      <alignment horizontal="right" vertical="top"/>
    </xf>
    <xf numFmtId="190" fontId="5" fillId="7" borderId="0" xfId="0" applyNumberFormat="1" applyFont="1" applyFill="1" applyBorder="1" applyAlignment="1">
      <alignment horizontal="right"/>
    </xf>
    <xf numFmtId="190" fontId="5" fillId="7" borderId="3" xfId="0" applyNumberFormat="1" applyFont="1" applyFill="1" applyBorder="1" applyAlignment="1">
      <alignment horizontal="right" vertical="top"/>
    </xf>
    <xf numFmtId="188" fontId="5" fillId="7" borderId="6" xfId="0" applyNumberFormat="1" applyFont="1" applyFill="1" applyBorder="1" applyAlignment="1">
      <alignment horizontal="right"/>
    </xf>
    <xf numFmtId="188" fontId="5" fillId="7" borderId="7" xfId="0" applyNumberFormat="1" applyFont="1" applyFill="1" applyBorder="1" applyAlignment="1">
      <alignment horizontal="right"/>
    </xf>
    <xf numFmtId="188" fontId="7" fillId="7" borderId="0" xfId="0" applyNumberFormat="1" applyFont="1" applyFill="1" applyBorder="1" applyAlignment="1">
      <alignment horizontal="right" vertical="center"/>
    </xf>
    <xf numFmtId="188" fontId="6" fillId="0" borderId="0" xfId="0" applyNumberFormat="1" applyFont="1"/>
    <xf numFmtId="188" fontId="0" fillId="0" borderId="0" xfId="0" applyNumberFormat="1" applyFont="1"/>
    <xf numFmtId="0" fontId="3" fillId="0" borderId="11" xfId="0" applyFont="1" applyBorder="1"/>
    <xf numFmtId="0" fontId="3" fillId="0" borderId="11" xfId="0" applyFont="1" applyBorder="1" applyAlignment="1">
      <alignment horizontal="center"/>
    </xf>
    <xf numFmtId="0" fontId="4" fillId="0" borderId="11" xfId="0" applyFont="1" applyBorder="1"/>
    <xf numFmtId="0" fontId="6" fillId="3" borderId="0" xfId="0" applyFont="1" applyFill="1" applyBorder="1" applyAlignment="1">
      <alignment horizontal="left"/>
    </xf>
    <xf numFmtId="0" fontId="6" fillId="7" borderId="0" xfId="0" applyFont="1" applyFill="1" applyBorder="1" applyAlignment="1">
      <alignment horizontal="center"/>
    </xf>
    <xf numFmtId="0" fontId="6" fillId="3" borderId="0" xfId="0" applyFont="1" applyFill="1" applyBorder="1" applyAlignment="1">
      <alignment horizontal="center"/>
    </xf>
    <xf numFmtId="3" fontId="10" fillId="7" borderId="0" xfId="0" applyNumberFormat="1" applyFont="1" applyFill="1" applyBorder="1" applyAlignment="1">
      <alignment horizontal="center"/>
    </xf>
    <xf numFmtId="0" fontId="10" fillId="7" borderId="0" xfId="0" applyFont="1" applyFill="1" applyBorder="1" applyAlignment="1">
      <alignment horizontal="center"/>
    </xf>
    <xf numFmtId="0" fontId="6" fillId="3" borderId="3" xfId="0" applyFont="1" applyFill="1" applyBorder="1" applyAlignment="1">
      <alignment horizontal="center"/>
    </xf>
    <xf numFmtId="0" fontId="6" fillId="7" borderId="3" xfId="0" applyFont="1" applyFill="1" applyBorder="1" applyAlignment="1">
      <alignment horizontal="center" vertical="top"/>
    </xf>
    <xf numFmtId="0" fontId="6" fillId="3" borderId="3" xfId="0" applyFont="1" applyFill="1" applyBorder="1" applyAlignment="1">
      <alignment horizontal="center" vertical="top"/>
    </xf>
    <xf numFmtId="0" fontId="10" fillId="7" borderId="3" xfId="0" applyFont="1" applyFill="1" applyBorder="1" applyAlignment="1">
      <alignment horizontal="center" vertical="top"/>
    </xf>
    <xf numFmtId="1" fontId="6" fillId="3" borderId="6" xfId="0" applyNumberFormat="1" applyFont="1" applyFill="1" applyBorder="1" applyAlignment="1">
      <alignment horizontal="center" vertical="center"/>
    </xf>
    <xf numFmtId="1" fontId="6" fillId="3" borderId="6" xfId="0" applyNumberFormat="1" applyFont="1" applyFill="1" applyBorder="1" applyAlignment="1">
      <alignment horizontal="left" vertical="center"/>
    </xf>
    <xf numFmtId="3" fontId="6" fillId="7" borderId="46" xfId="0" applyNumberFormat="1" applyFont="1" applyFill="1" applyBorder="1" applyAlignment="1">
      <alignment horizontal="center" vertical="center"/>
    </xf>
    <xf numFmtId="189" fontId="6" fillId="3" borderId="46" xfId="0" applyNumberFormat="1" applyFont="1" applyFill="1" applyBorder="1" applyAlignment="1">
      <alignment horizontal="right" vertical="center"/>
    </xf>
    <xf numFmtId="189" fontId="10" fillId="7" borderId="46" xfId="0" applyNumberFormat="1" applyFont="1" applyFill="1" applyBorder="1" applyAlignment="1">
      <alignment horizontal="right" vertical="center"/>
    </xf>
    <xf numFmtId="189" fontId="6" fillId="7" borderId="46" xfId="0" applyNumberFormat="1" applyFont="1" applyFill="1" applyBorder="1" applyAlignment="1">
      <alignment horizontal="right" vertical="center"/>
    </xf>
    <xf numFmtId="9" fontId="10" fillId="7" borderId="46" xfId="0" applyNumberFormat="1" applyFont="1" applyFill="1" applyBorder="1" applyAlignment="1">
      <alignment horizontal="right" vertical="center"/>
    </xf>
    <xf numFmtId="1" fontId="6" fillId="15" borderId="46" xfId="0" applyNumberFormat="1" applyFont="1" applyFill="1" applyBorder="1" applyAlignment="1">
      <alignment horizontal="center" vertical="center"/>
    </xf>
    <xf numFmtId="3" fontId="6" fillId="15" borderId="46" xfId="0" applyNumberFormat="1" applyFont="1" applyFill="1" applyBorder="1" applyAlignment="1">
      <alignment horizontal="left" vertical="center"/>
    </xf>
    <xf numFmtId="189" fontId="6" fillId="7" borderId="44" xfId="0" applyNumberFormat="1" applyFont="1" applyFill="1" applyBorder="1" applyAlignment="1">
      <alignment horizontal="right" vertical="center"/>
    </xf>
    <xf numFmtId="189" fontId="6" fillId="3" borderId="44" xfId="0" applyNumberFormat="1" applyFont="1" applyFill="1" applyBorder="1" applyAlignment="1">
      <alignment horizontal="right" vertical="center"/>
    </xf>
    <xf numFmtId="9" fontId="10" fillId="7" borderId="44" xfId="0" applyNumberFormat="1" applyFont="1" applyFill="1" applyBorder="1" applyAlignment="1">
      <alignment horizontal="right" vertical="center"/>
    </xf>
    <xf numFmtId="189" fontId="6" fillId="7" borderId="6" xfId="0" applyNumberFormat="1" applyFont="1" applyFill="1" applyBorder="1" applyAlignment="1">
      <alignment horizontal="right" vertical="center"/>
    </xf>
    <xf numFmtId="189" fontId="6" fillId="3" borderId="6" xfId="0" applyNumberFormat="1" applyFont="1" applyFill="1" applyBorder="1" applyAlignment="1">
      <alignment horizontal="right" vertical="center"/>
    </xf>
    <xf numFmtId="9" fontId="10" fillId="7" borderId="6" xfId="0" applyNumberFormat="1" applyFont="1" applyFill="1" applyBorder="1" applyAlignment="1">
      <alignment horizontal="right" vertical="center"/>
    </xf>
    <xf numFmtId="1" fontId="6" fillId="15" borderId="5" xfId="0" applyNumberFormat="1" applyFont="1" applyFill="1" applyBorder="1" applyAlignment="1">
      <alignment horizontal="center" vertical="center"/>
    </xf>
    <xf numFmtId="3" fontId="6" fillId="15" borderId="5" xfId="0" applyNumberFormat="1" applyFont="1" applyFill="1" applyBorder="1" applyAlignment="1">
      <alignment horizontal="left" vertical="center"/>
    </xf>
    <xf numFmtId="189" fontId="6" fillId="7" borderId="0" xfId="0" applyNumberFormat="1" applyFont="1" applyFill="1" applyBorder="1" applyAlignment="1">
      <alignment horizontal="right" vertical="center"/>
    </xf>
    <xf numFmtId="189" fontId="6" fillId="3" borderId="0" xfId="0" applyNumberFormat="1" applyFont="1" applyFill="1" applyBorder="1" applyAlignment="1">
      <alignment horizontal="right" vertical="center"/>
    </xf>
    <xf numFmtId="9" fontId="10" fillId="7" borderId="0" xfId="0" applyNumberFormat="1" applyFont="1" applyFill="1" applyBorder="1" applyAlignment="1">
      <alignment horizontal="right" vertical="center"/>
    </xf>
    <xf numFmtId="1" fontId="6" fillId="15" borderId="44" xfId="0" applyNumberFormat="1" applyFont="1" applyFill="1" applyBorder="1" applyAlignment="1">
      <alignment horizontal="center" vertical="center"/>
    </xf>
    <xf numFmtId="3" fontId="6" fillId="15" borderId="44" xfId="0" applyNumberFormat="1" applyFont="1" applyFill="1" applyBorder="1" applyAlignment="1">
      <alignment horizontal="left" vertical="center"/>
    </xf>
    <xf numFmtId="189" fontId="6" fillId="7" borderId="45" xfId="0" applyNumberFormat="1" applyFont="1" applyFill="1" applyBorder="1" applyAlignment="1">
      <alignment horizontal="right" vertical="center"/>
    </xf>
    <xf numFmtId="189" fontId="6" fillId="3" borderId="45" xfId="0" applyNumberFormat="1" applyFont="1" applyFill="1" applyBorder="1" applyAlignment="1">
      <alignment horizontal="right" vertical="center"/>
    </xf>
    <xf numFmtId="9" fontId="10" fillId="7" borderId="45" xfId="0" applyNumberFormat="1" applyFont="1" applyFill="1" applyBorder="1" applyAlignment="1">
      <alignment horizontal="right" vertical="center"/>
    </xf>
    <xf numFmtId="1" fontId="6" fillId="15" borderId="47" xfId="0" applyNumberFormat="1" applyFont="1" applyFill="1" applyBorder="1" applyAlignment="1">
      <alignment horizontal="center" vertical="center"/>
    </xf>
    <xf numFmtId="3" fontId="6" fillId="15" borderId="47" xfId="0" applyNumberFormat="1" applyFont="1" applyFill="1" applyBorder="1" applyAlignment="1">
      <alignment horizontal="left" vertical="center"/>
    </xf>
    <xf numFmtId="1" fontId="10" fillId="3" borderId="10" xfId="0" applyNumberFormat="1" applyFont="1" applyFill="1" applyBorder="1" applyAlignment="1">
      <alignment horizontal="right" vertical="center"/>
    </xf>
    <xf numFmtId="0" fontId="10" fillId="3" borderId="10" xfId="0" applyFont="1" applyFill="1" applyBorder="1" applyAlignment="1">
      <alignment horizontal="left" vertical="center"/>
    </xf>
    <xf numFmtId="189" fontId="10" fillId="7" borderId="10" xfId="0" applyNumberFormat="1" applyFont="1" applyFill="1" applyBorder="1" applyAlignment="1">
      <alignment horizontal="right" vertical="center"/>
    </xf>
    <xf numFmtId="189" fontId="10" fillId="3" borderId="10" xfId="0" applyNumberFormat="1" applyFont="1" applyFill="1" applyBorder="1" applyAlignment="1">
      <alignment horizontal="right" vertical="center"/>
    </xf>
    <xf numFmtId="9" fontId="10" fillId="7" borderId="10" xfId="0" applyNumberFormat="1" applyFont="1" applyFill="1" applyBorder="1" applyAlignment="1">
      <alignment horizontal="right" vertical="center"/>
    </xf>
    <xf numFmtId="3" fontId="6" fillId="0" borderId="7" xfId="0" applyNumberFormat="1" applyFont="1" applyFill="1" applyBorder="1" applyAlignment="1">
      <alignment horizontal="center"/>
    </xf>
    <xf numFmtId="189" fontId="6" fillId="0" borderId="7" xfId="0" applyNumberFormat="1" applyFont="1" applyFill="1" applyBorder="1" applyAlignment="1">
      <alignment horizontal="right"/>
    </xf>
    <xf numFmtId="189" fontId="10" fillId="0" borderId="7" xfId="0" applyNumberFormat="1" applyFont="1" applyFill="1" applyBorder="1" applyAlignment="1">
      <alignment horizontal="right"/>
    </xf>
    <xf numFmtId="0" fontId="140" fillId="0" borderId="0" xfId="0" applyFont="1"/>
    <xf numFmtId="0" fontId="81" fillId="0" borderId="0" xfId="0" applyFont="1" applyAlignment="1">
      <alignment horizontal="center"/>
    </xf>
    <xf numFmtId="0" fontId="6" fillId="0" borderId="0" xfId="0" applyNumberFormat="1" applyFont="1" applyAlignment="1">
      <alignment horizontal="left"/>
    </xf>
    <xf numFmtId="0" fontId="3" fillId="0" borderId="0" xfId="0" applyNumberFormat="1" applyFont="1" applyAlignment="1">
      <alignment horizontal="center"/>
    </xf>
    <xf numFmtId="0" fontId="3" fillId="0" borderId="0" xfId="0" applyFont="1" applyFill="1" applyAlignment="1">
      <alignment horizontal="center"/>
    </xf>
    <xf numFmtId="0" fontId="3" fillId="0" borderId="0" xfId="0" applyFont="1" applyFill="1"/>
    <xf numFmtId="0" fontId="4" fillId="0" borderId="0" xfId="0" applyNumberFormat="1" applyFont="1" applyAlignment="1"/>
    <xf numFmtId="0" fontId="4" fillId="0" borderId="0" xfId="0" applyNumberFormat="1" applyFont="1" applyAlignment="1">
      <alignment horizontal="right"/>
    </xf>
    <xf numFmtId="0" fontId="3" fillId="0" borderId="3" xfId="0" applyNumberFormat="1" applyFont="1" applyBorder="1" applyAlignment="1">
      <alignment horizontal="center"/>
    </xf>
    <xf numFmtId="0" fontId="6" fillId="3" borderId="5" xfId="0" applyFont="1" applyFill="1" applyBorder="1" applyAlignment="1">
      <alignment horizontal="left"/>
    </xf>
    <xf numFmtId="0" fontId="6" fillId="7" borderId="5" xfId="0" applyFont="1" applyFill="1" applyBorder="1" applyAlignment="1">
      <alignment horizontal="center"/>
    </xf>
    <xf numFmtId="0" fontId="6" fillId="3" borderId="5" xfId="0" applyFont="1" applyFill="1" applyBorder="1" applyAlignment="1">
      <alignment horizontal="center"/>
    </xf>
    <xf numFmtId="3" fontId="6" fillId="3" borderId="5" xfId="0" applyNumberFormat="1" applyFont="1" applyFill="1" applyBorder="1" applyAlignment="1">
      <alignment horizontal="center"/>
    </xf>
    <xf numFmtId="3" fontId="6" fillId="7" borderId="5" xfId="0" applyNumberFormat="1" applyFont="1" applyFill="1" applyBorder="1" applyAlignment="1">
      <alignment horizontal="center"/>
    </xf>
    <xf numFmtId="0" fontId="6" fillId="7" borderId="0" xfId="0" applyFont="1" applyFill="1"/>
    <xf numFmtId="3" fontId="6" fillId="3" borderId="0" xfId="0" applyNumberFormat="1" applyFont="1" applyFill="1" applyBorder="1" applyAlignment="1">
      <alignment horizontal="center"/>
    </xf>
    <xf numFmtId="3" fontId="6" fillId="7" borderId="0" xfId="0" applyNumberFormat="1" applyFont="1" applyFill="1" applyBorder="1" applyAlignment="1">
      <alignment horizontal="center"/>
    </xf>
    <xf numFmtId="0" fontId="6" fillId="3" borderId="0" xfId="0" applyFont="1" applyFill="1" applyAlignment="1">
      <alignment horizontal="center"/>
    </xf>
    <xf numFmtId="0" fontId="6" fillId="7" borderId="0" xfId="0" applyFont="1" applyFill="1" applyAlignment="1">
      <alignment horizontal="center"/>
    </xf>
    <xf numFmtId="0" fontId="6" fillId="3" borderId="3" xfId="0" applyFont="1" applyFill="1" applyBorder="1" applyAlignment="1">
      <alignment horizontal="center" vertical="center"/>
    </xf>
    <xf numFmtId="0" fontId="6" fillId="7" borderId="3" xfId="0" applyFont="1" applyFill="1" applyBorder="1" applyAlignment="1">
      <alignment horizontal="right" vertical="center"/>
    </xf>
    <xf numFmtId="0" fontId="6" fillId="3" borderId="3" xfId="0" applyFont="1" applyFill="1" applyBorder="1" applyAlignment="1">
      <alignment horizontal="right" vertical="center"/>
    </xf>
    <xf numFmtId="3" fontId="6" fillId="3" borderId="3" xfId="0" applyNumberFormat="1" applyFont="1" applyFill="1" applyBorder="1" applyAlignment="1">
      <alignment horizontal="right" vertical="center"/>
    </xf>
    <xf numFmtId="3" fontId="6" fillId="7" borderId="3" xfId="0" applyNumberFormat="1" applyFont="1" applyFill="1" applyBorder="1" applyAlignment="1">
      <alignment horizontal="right" vertical="center"/>
    </xf>
    <xf numFmtId="3" fontId="6" fillId="7" borderId="6" xfId="0" applyNumberFormat="1" applyFont="1" applyFill="1" applyBorder="1" applyAlignment="1">
      <alignment vertical="center"/>
    </xf>
    <xf numFmtId="3" fontId="6" fillId="3" borderId="6" xfId="0" applyNumberFormat="1" applyFont="1" applyFill="1" applyBorder="1" applyAlignment="1">
      <alignment horizontal="right" vertical="center"/>
    </xf>
    <xf numFmtId="3" fontId="6" fillId="7" borderId="6" xfId="0" applyNumberFormat="1" applyFont="1" applyFill="1" applyBorder="1" applyAlignment="1">
      <alignment horizontal="right" vertical="center"/>
    </xf>
    <xf numFmtId="3" fontId="6" fillId="7" borderId="7" xfId="0" applyNumberFormat="1" applyFont="1" applyFill="1" applyBorder="1" applyAlignment="1">
      <alignment horizontal="right" vertical="center"/>
    </xf>
    <xf numFmtId="3" fontId="6" fillId="3" borderId="7" xfId="0" applyNumberFormat="1" applyFont="1" applyFill="1" applyBorder="1" applyAlignment="1">
      <alignment horizontal="right" vertical="center"/>
    </xf>
    <xf numFmtId="3" fontId="6" fillId="7" borderId="14" xfId="0" applyNumberFormat="1" applyFont="1" applyFill="1" applyBorder="1" applyAlignment="1">
      <alignment horizontal="right" vertical="center"/>
    </xf>
    <xf numFmtId="3" fontId="6" fillId="3" borderId="14" xfId="0" applyNumberFormat="1" applyFont="1" applyFill="1" applyBorder="1" applyAlignment="1">
      <alignment horizontal="right" vertical="center"/>
    </xf>
    <xf numFmtId="1" fontId="35" fillId="3" borderId="10" xfId="0" applyNumberFormat="1" applyFont="1" applyFill="1" applyBorder="1" applyAlignment="1">
      <alignment horizontal="left" vertical="center"/>
    </xf>
    <xf numFmtId="1" fontId="10" fillId="3" borderId="10" xfId="0" applyNumberFormat="1" applyFont="1" applyFill="1" applyBorder="1" applyAlignment="1">
      <alignment horizontal="left" vertical="center"/>
    </xf>
    <xf numFmtId="3" fontId="10" fillId="7" borderId="10" xfId="0" applyNumberFormat="1" applyFont="1" applyFill="1" applyBorder="1" applyAlignment="1">
      <alignment vertical="center"/>
    </xf>
    <xf numFmtId="3" fontId="10" fillId="3" borderId="10" xfId="0" applyNumberFormat="1" applyFont="1" applyFill="1" applyBorder="1" applyAlignment="1">
      <alignment horizontal="right" vertical="center"/>
    </xf>
    <xf numFmtId="3" fontId="10" fillId="7" borderId="10" xfId="0" applyNumberFormat="1" applyFont="1" applyFill="1" applyBorder="1" applyAlignment="1">
      <alignment horizontal="right" vertical="center"/>
    </xf>
    <xf numFmtId="3" fontId="10" fillId="3" borderId="10" xfId="0" quotePrefix="1" applyNumberFormat="1" applyFont="1" applyFill="1" applyBorder="1" applyAlignment="1">
      <alignment horizontal="right" vertical="center"/>
    </xf>
    <xf numFmtId="1" fontId="6" fillId="0" borderId="0" xfId="0" applyNumberFormat="1" applyFont="1" applyAlignment="1">
      <alignment horizontal="left"/>
    </xf>
    <xf numFmtId="190" fontId="6" fillId="0" borderId="7" xfId="0" applyNumberFormat="1" applyFont="1" applyFill="1" applyBorder="1" applyAlignment="1">
      <alignment horizontal="right"/>
    </xf>
    <xf numFmtId="3" fontId="6" fillId="0" borderId="7" xfId="0" applyNumberFormat="1" applyFont="1" applyFill="1" applyBorder="1" applyAlignment="1">
      <alignment horizontal="left"/>
    </xf>
    <xf numFmtId="190" fontId="6" fillId="0" borderId="7" xfId="0" applyNumberFormat="1" applyFont="1" applyFill="1" applyBorder="1" applyAlignment="1"/>
    <xf numFmtId="3" fontId="6" fillId="0" borderId="7" xfId="0" applyNumberFormat="1" applyFont="1" applyFill="1" applyBorder="1" applyAlignment="1">
      <alignment horizontal="right"/>
    </xf>
    <xf numFmtId="189" fontId="6" fillId="0" borderId="0" xfId="0" applyNumberFormat="1" applyFont="1" applyFill="1" applyBorder="1" applyAlignment="1">
      <alignment horizontal="right"/>
    </xf>
    <xf numFmtId="190" fontId="6" fillId="0" borderId="0" xfId="0" applyNumberFormat="1" applyFont="1" applyFill="1" applyBorder="1" applyAlignment="1">
      <alignment horizontal="right"/>
    </xf>
    <xf numFmtId="3" fontId="6" fillId="0" borderId="0" xfId="0" applyNumberFormat="1" applyFont="1" applyFill="1" applyBorder="1" applyAlignment="1">
      <alignment horizontal="left"/>
    </xf>
    <xf numFmtId="190" fontId="6" fillId="0" borderId="0" xfId="0" applyNumberFormat="1" applyFont="1" applyFill="1" applyBorder="1" applyAlignment="1"/>
    <xf numFmtId="0" fontId="6" fillId="0" borderId="0" xfId="0" applyNumberFormat="1" applyFont="1" applyAlignment="1">
      <alignment horizontal="center"/>
    </xf>
    <xf numFmtId="0" fontId="3" fillId="0" borderId="0" xfId="0" applyNumberFormat="1" applyFont="1" applyFill="1"/>
    <xf numFmtId="0" fontId="4" fillId="0" borderId="0" xfId="0" applyFont="1" applyFill="1"/>
    <xf numFmtId="0" fontId="6" fillId="3" borderId="5" xfId="0" applyNumberFormat="1" applyFont="1" applyFill="1" applyBorder="1" applyAlignment="1">
      <alignment horizontal="left"/>
    </xf>
    <xf numFmtId="0" fontId="6" fillId="3" borderId="0" xfId="0" applyNumberFormat="1" applyFont="1" applyFill="1" applyBorder="1" applyAlignment="1">
      <alignment horizontal="left"/>
    </xf>
    <xf numFmtId="0" fontId="6" fillId="3" borderId="0" xfId="0" applyNumberFormat="1" applyFont="1" applyFill="1" applyBorder="1" applyAlignment="1">
      <alignment horizontal="center"/>
    </xf>
    <xf numFmtId="0" fontId="6" fillId="3" borderId="3" xfId="0" applyFont="1" applyFill="1" applyBorder="1" applyAlignment="1">
      <alignment horizontal="left"/>
    </xf>
    <xf numFmtId="3" fontId="6" fillId="7" borderId="3" xfId="0" applyNumberFormat="1" applyFont="1" applyFill="1" applyBorder="1" applyAlignment="1">
      <alignment horizontal="center" vertical="top"/>
    </xf>
    <xf numFmtId="3" fontId="6" fillId="3" borderId="3" xfId="0" applyNumberFormat="1" applyFont="1" applyFill="1" applyBorder="1" applyAlignment="1">
      <alignment horizontal="center" vertical="top"/>
    </xf>
    <xf numFmtId="0" fontId="6" fillId="3" borderId="3" xfId="0" applyNumberFormat="1" applyFont="1" applyFill="1" applyBorder="1" applyAlignment="1">
      <alignment horizontal="center" vertical="top"/>
    </xf>
    <xf numFmtId="14" fontId="6" fillId="7" borderId="6" xfId="0" quotePrefix="1" applyNumberFormat="1" applyFont="1" applyFill="1" applyBorder="1" applyAlignment="1">
      <alignment horizontal="center" vertical="center"/>
    </xf>
    <xf numFmtId="189" fontId="6" fillId="3" borderId="6" xfId="0" applyNumberFormat="1" applyFont="1" applyFill="1" applyBorder="1" applyAlignment="1">
      <alignment horizontal="center" vertical="center" wrapText="1"/>
    </xf>
    <xf numFmtId="189" fontId="6" fillId="7" borderId="6" xfId="0" applyNumberFormat="1" applyFont="1" applyFill="1" applyBorder="1" applyAlignment="1">
      <alignment horizontal="center" vertical="center" wrapText="1"/>
    </xf>
    <xf numFmtId="189" fontId="6" fillId="3" borderId="6" xfId="0" applyNumberFormat="1" applyFont="1" applyFill="1" applyBorder="1" applyAlignment="1">
      <alignment vertical="center" wrapText="1"/>
    </xf>
    <xf numFmtId="1" fontId="6" fillId="3" borderId="6" xfId="0" applyNumberFormat="1" applyFont="1" applyFill="1" applyBorder="1" applyAlignment="1">
      <alignment horizontal="left" vertical="center" wrapText="1"/>
    </xf>
    <xf numFmtId="0" fontId="6" fillId="3" borderId="6" xfId="0" applyNumberFormat="1" applyFont="1" applyFill="1" applyBorder="1" applyAlignment="1">
      <alignment horizontal="center" vertical="center" wrapText="1"/>
    </xf>
    <xf numFmtId="1" fontId="6" fillId="3" borderId="6" xfId="0" applyNumberFormat="1" applyFont="1" applyFill="1" applyBorder="1" applyAlignment="1">
      <alignment vertical="center" wrapText="1"/>
    </xf>
    <xf numFmtId="189" fontId="6" fillId="3" borderId="6" xfId="0" applyNumberFormat="1" applyFont="1" applyFill="1" applyBorder="1" applyAlignment="1">
      <alignment horizontal="left" vertical="center" wrapText="1"/>
    </xf>
    <xf numFmtId="189" fontId="18" fillId="7" borderId="6" xfId="0" applyNumberFormat="1" applyFont="1" applyFill="1" applyBorder="1" applyAlignment="1">
      <alignment horizontal="center" vertical="center" wrapText="1"/>
    </xf>
    <xf numFmtId="0" fontId="10" fillId="0" borderId="0" xfId="0" applyNumberFormat="1" applyFont="1" applyAlignment="1">
      <alignment horizontal="center"/>
    </xf>
    <xf numFmtId="189" fontId="31" fillId="7" borderId="6" xfId="0" applyNumberFormat="1" applyFont="1" applyFill="1" applyBorder="1" applyAlignment="1">
      <alignment horizontal="center" vertical="center" wrapText="1"/>
    </xf>
    <xf numFmtId="14" fontId="6" fillId="7" borderId="6" xfId="0" applyNumberFormat="1" applyFont="1" applyFill="1" applyBorder="1" applyAlignment="1">
      <alignment horizontal="center" vertical="center"/>
    </xf>
    <xf numFmtId="0" fontId="10" fillId="3" borderId="10" xfId="0" applyNumberFormat="1" applyFont="1" applyFill="1" applyBorder="1" applyAlignment="1">
      <alignment horizontal="center" vertical="center"/>
    </xf>
    <xf numFmtId="0" fontId="10" fillId="3" borderId="10" xfId="0" applyNumberFormat="1" applyFont="1" applyFill="1" applyBorder="1" applyAlignment="1">
      <alignment horizontal="left" vertical="center"/>
    </xf>
    <xf numFmtId="0" fontId="10" fillId="7" borderId="10" xfId="0" applyNumberFormat="1" applyFont="1" applyFill="1" applyBorder="1" applyAlignment="1">
      <alignment horizontal="center" vertical="center"/>
    </xf>
    <xf numFmtId="0" fontId="10" fillId="7" borderId="10" xfId="0" quotePrefix="1" applyNumberFormat="1" applyFont="1" applyFill="1" applyBorder="1" applyAlignment="1">
      <alignment horizontal="center" vertical="center"/>
    </xf>
    <xf numFmtId="1" fontId="6" fillId="0" borderId="0" xfId="0" applyNumberFormat="1" applyFont="1" applyFill="1" applyAlignment="1">
      <alignment horizontal="left"/>
    </xf>
    <xf numFmtId="0" fontId="6" fillId="0" borderId="0" xfId="0" applyFont="1" applyFill="1" applyAlignment="1">
      <alignment horizontal="left"/>
    </xf>
    <xf numFmtId="0" fontId="4" fillId="0" borderId="0" xfId="0" applyFont="1" applyFill="1" applyAlignment="1">
      <alignment vertical="top"/>
    </xf>
    <xf numFmtId="3" fontId="3" fillId="0" borderId="11" xfId="0" applyNumberFormat="1" applyFont="1" applyBorder="1"/>
    <xf numFmtId="189" fontId="6" fillId="7" borderId="46" xfId="0" applyNumberFormat="1" applyFont="1" applyFill="1" applyBorder="1" applyAlignment="1">
      <alignment vertical="center"/>
    </xf>
    <xf numFmtId="3" fontId="6" fillId="7" borderId="44" xfId="0" applyNumberFormat="1" applyFont="1" applyFill="1" applyBorder="1" applyAlignment="1">
      <alignment horizontal="center" vertical="center"/>
    </xf>
    <xf numFmtId="189" fontId="6" fillId="7" borderId="44" xfId="0" applyNumberFormat="1" applyFont="1" applyFill="1" applyBorder="1" applyAlignment="1">
      <alignment vertical="center"/>
    </xf>
    <xf numFmtId="3" fontId="6" fillId="7" borderId="6" xfId="0" applyNumberFormat="1" applyFont="1" applyFill="1" applyBorder="1" applyAlignment="1">
      <alignment horizontal="center" vertical="center"/>
    </xf>
    <xf numFmtId="189" fontId="6" fillId="7" borderId="6" xfId="0" applyNumberFormat="1" applyFont="1" applyFill="1" applyBorder="1" applyAlignment="1">
      <alignment vertical="center"/>
    </xf>
    <xf numFmtId="3" fontId="6" fillId="7" borderId="0" xfId="0" applyNumberFormat="1" applyFont="1" applyFill="1" applyBorder="1" applyAlignment="1">
      <alignment horizontal="center" vertical="center"/>
    </xf>
    <xf numFmtId="189" fontId="6" fillId="7" borderId="0" xfId="0" applyNumberFormat="1" applyFont="1" applyFill="1" applyBorder="1" applyAlignment="1">
      <alignment vertical="center"/>
    </xf>
    <xf numFmtId="3" fontId="6" fillId="7" borderId="45" xfId="0" applyNumberFormat="1" applyFont="1" applyFill="1" applyBorder="1" applyAlignment="1">
      <alignment horizontal="center" vertical="center"/>
    </xf>
    <xf numFmtId="189" fontId="6" fillId="7" borderId="45" xfId="0" applyNumberFormat="1" applyFont="1" applyFill="1" applyBorder="1" applyAlignment="1">
      <alignment vertical="center"/>
    </xf>
    <xf numFmtId="3" fontId="10" fillId="7" borderId="10" xfId="0" applyNumberFormat="1" applyFont="1" applyFill="1" applyBorder="1" applyAlignment="1">
      <alignment horizontal="center" vertical="center"/>
    </xf>
    <xf numFmtId="189" fontId="10" fillId="7" borderId="10" xfId="0" applyNumberFormat="1" applyFont="1" applyFill="1" applyBorder="1" applyAlignment="1">
      <alignment vertical="center"/>
    </xf>
    <xf numFmtId="0" fontId="81" fillId="0" borderId="0" xfId="0" applyFont="1" applyAlignment="1">
      <alignment horizontal="left"/>
    </xf>
    <xf numFmtId="0" fontId="0" fillId="0" borderId="0" xfId="0" applyAlignment="1">
      <alignment vertical="top"/>
    </xf>
    <xf numFmtId="0" fontId="20" fillId="0" borderId="0" xfId="0" applyFont="1" applyAlignment="1">
      <alignment vertical="top"/>
    </xf>
    <xf numFmtId="0" fontId="82" fillId="0" borderId="0" xfId="0" applyFont="1" applyAlignment="1"/>
    <xf numFmtId="0" fontId="83" fillId="0" borderId="0" xfId="0" applyFont="1" applyAlignment="1"/>
    <xf numFmtId="0" fontId="84" fillId="0" borderId="0" xfId="0" applyFont="1" applyFill="1" applyAlignment="1">
      <alignment horizontal="left"/>
    </xf>
    <xf numFmtId="0" fontId="84" fillId="0" borderId="0" xfId="0" applyFont="1" applyAlignment="1"/>
    <xf numFmtId="0" fontId="6" fillId="0" borderId="19" xfId="0" applyFont="1" applyBorder="1" applyAlignment="1">
      <alignment horizontal="center" vertical="top" wrapText="1"/>
    </xf>
    <xf numFmtId="0" fontId="84" fillId="0" borderId="20" xfId="0" applyFont="1" applyBorder="1" applyAlignment="1">
      <alignment horizontal="justify" vertical="top" wrapText="1"/>
    </xf>
    <xf numFmtId="0" fontId="84" fillId="0" borderId="19" xfId="0" applyFont="1" applyBorder="1" applyAlignment="1">
      <alignment horizontal="justify" vertical="top" wrapText="1"/>
    </xf>
    <xf numFmtId="0" fontId="85" fillId="0" borderId="21" xfId="0" applyFont="1" applyBorder="1" applyAlignment="1">
      <alignment horizontal="center" vertical="top" wrapText="1"/>
    </xf>
    <xf numFmtId="9" fontId="85" fillId="0" borderId="22" xfId="0" applyNumberFormat="1" applyFont="1" applyBorder="1" applyAlignment="1">
      <alignment horizontal="justify" vertical="top" wrapText="1"/>
    </xf>
    <xf numFmtId="0" fontId="6" fillId="0" borderId="19" xfId="0" applyFont="1" applyBorder="1" applyAlignment="1">
      <alignment horizontal="right" vertical="top" wrapText="1"/>
    </xf>
    <xf numFmtId="0" fontId="23" fillId="0" borderId="19" xfId="0" applyFont="1" applyBorder="1" applyAlignment="1">
      <alignment horizontal="center" vertical="top" wrapText="1"/>
    </xf>
    <xf numFmtId="0" fontId="23" fillId="0" borderId="19" xfId="0" applyFont="1" applyBorder="1" applyAlignment="1">
      <alignment horizontal="right" vertical="top" wrapText="1"/>
    </xf>
    <xf numFmtId="9" fontId="23" fillId="0" borderId="19" xfId="0" applyNumberFormat="1" applyFont="1" applyBorder="1" applyAlignment="1">
      <alignment horizontal="right" vertical="top" wrapText="1"/>
    </xf>
    <xf numFmtId="0" fontId="23" fillId="0" borderId="19" xfId="0" applyFont="1" applyFill="1" applyBorder="1" applyAlignment="1">
      <alignment horizontal="center" vertical="top" wrapText="1"/>
    </xf>
    <xf numFmtId="0" fontId="23" fillId="0" borderId="19" xfId="0" applyFont="1" applyFill="1" applyBorder="1" applyAlignment="1">
      <alignment horizontal="right" vertical="top" wrapText="1"/>
    </xf>
    <xf numFmtId="9" fontId="23" fillId="0" borderId="19" xfId="0" applyNumberFormat="1" applyFont="1" applyFill="1" applyBorder="1" applyAlignment="1">
      <alignment horizontal="right" vertical="top" wrapText="1"/>
    </xf>
    <xf numFmtId="0" fontId="84" fillId="0" borderId="0" xfId="0" applyFont="1"/>
    <xf numFmtId="0" fontId="10" fillId="0" borderId="19" xfId="0" applyFont="1" applyFill="1" applyBorder="1" applyAlignment="1">
      <alignment horizontal="center" vertical="top" wrapText="1"/>
    </xf>
    <xf numFmtId="0" fontId="22" fillId="0" borderId="0" xfId="0" applyFont="1"/>
    <xf numFmtId="0" fontId="10" fillId="0" borderId="0" xfId="0" applyFont="1" applyFill="1" applyBorder="1" applyAlignment="1">
      <alignment horizontal="center" vertical="top" wrapText="1"/>
    </xf>
    <xf numFmtId="0" fontId="84" fillId="0" borderId="0" xfId="0" applyNumberFormat="1" applyFont="1" applyAlignment="1"/>
    <xf numFmtId="0" fontId="6" fillId="0" borderId="0" xfId="0" applyFont="1" applyAlignment="1"/>
    <xf numFmtId="1" fontId="86" fillId="0" borderId="0" xfId="0" applyNumberFormat="1" applyFont="1" applyFill="1" applyBorder="1" applyAlignment="1"/>
    <xf numFmtId="0" fontId="10" fillId="0" borderId="0" xfId="0" applyFont="1" applyFill="1" applyBorder="1" applyAlignment="1">
      <alignment horizontal="center"/>
    </xf>
    <xf numFmtId="0" fontId="18" fillId="0" borderId="0" xfId="0" applyFont="1" applyFill="1" applyBorder="1"/>
    <xf numFmtId="0" fontId="10" fillId="0" borderId="0" xfId="0" quotePrefix="1" applyFont="1" applyFill="1" applyBorder="1" applyAlignment="1">
      <alignment horizontal="center"/>
    </xf>
    <xf numFmtId="0" fontId="18" fillId="0" borderId="0" xfId="0" quotePrefix="1" applyFont="1" applyFill="1" applyBorder="1"/>
    <xf numFmtId="16" fontId="10" fillId="0" borderId="0" xfId="0" quotePrefix="1" applyNumberFormat="1" applyFont="1" applyFill="1" applyBorder="1" applyAlignment="1">
      <alignment horizontal="center"/>
    </xf>
    <xf numFmtId="0" fontId="10" fillId="0" borderId="0" xfId="0" applyFont="1" applyBorder="1" applyAlignment="1">
      <alignment horizontal="center"/>
    </xf>
    <xf numFmtId="0" fontId="18" fillId="0" borderId="0" xfId="0" applyFont="1" applyBorder="1"/>
    <xf numFmtId="18" fontId="10" fillId="0" borderId="0" xfId="0" quotePrefix="1" applyNumberFormat="1" applyFont="1" applyFill="1" applyBorder="1" applyAlignment="1">
      <alignment horizontal="center"/>
    </xf>
    <xf numFmtId="1" fontId="6" fillId="0" borderId="0" xfId="0" applyNumberFormat="1" applyFont="1" applyBorder="1" applyAlignment="1">
      <alignment horizontal="left"/>
    </xf>
    <xf numFmtId="0" fontId="6" fillId="0" borderId="0" xfId="0" applyFont="1" applyBorder="1" applyAlignment="1">
      <alignment horizontal="left"/>
    </xf>
    <xf numFmtId="0" fontId="6" fillId="14" borderId="5" xfId="0" applyFont="1" applyFill="1" applyBorder="1" applyAlignment="1">
      <alignment horizontal="left"/>
    </xf>
    <xf numFmtId="0" fontId="6" fillId="15" borderId="5" xfId="0" applyFont="1" applyFill="1" applyBorder="1" applyAlignment="1">
      <alignment horizontal="center"/>
    </xf>
    <xf numFmtId="0" fontId="6" fillId="14" borderId="5" xfId="0" applyFont="1" applyFill="1" applyBorder="1" applyAlignment="1">
      <alignment horizontal="center"/>
    </xf>
    <xf numFmtId="3" fontId="6" fillId="14" borderId="5" xfId="0" applyNumberFormat="1" applyFont="1" applyFill="1" applyBorder="1" applyAlignment="1">
      <alignment horizontal="center"/>
    </xf>
    <xf numFmtId="3" fontId="6" fillId="15" borderId="5" xfId="0" applyNumberFormat="1" applyFont="1" applyFill="1" applyBorder="1" applyAlignment="1">
      <alignment horizontal="center"/>
    </xf>
    <xf numFmtId="0" fontId="6" fillId="14" borderId="0" xfId="0" applyFont="1" applyFill="1" applyBorder="1" applyAlignment="1">
      <alignment horizontal="center"/>
    </xf>
    <xf numFmtId="0" fontId="6" fillId="14" borderId="0" xfId="0" applyFont="1" applyFill="1" applyAlignment="1">
      <alignment horizontal="center"/>
    </xf>
    <xf numFmtId="0" fontId="6" fillId="15" borderId="0" xfId="0" applyFont="1" applyFill="1" applyAlignment="1">
      <alignment horizontal="center"/>
    </xf>
    <xf numFmtId="0" fontId="6" fillId="14" borderId="0" xfId="0" applyFont="1" applyFill="1" applyBorder="1" applyAlignment="1">
      <alignment horizontal="left"/>
    </xf>
    <xf numFmtId="0" fontId="6" fillId="15" borderId="0" xfId="0" applyFont="1" applyFill="1" applyBorder="1" applyAlignment="1">
      <alignment horizontal="center"/>
    </xf>
    <xf numFmtId="3" fontId="6" fillId="14" borderId="0" xfId="0" applyNumberFormat="1" applyFont="1" applyFill="1" applyBorder="1" applyAlignment="1">
      <alignment horizontal="center"/>
    </xf>
    <xf numFmtId="3" fontId="6" fillId="15" borderId="0" xfId="0" applyNumberFormat="1" applyFont="1" applyFill="1" applyBorder="1" applyAlignment="1">
      <alignment horizontal="center"/>
    </xf>
    <xf numFmtId="0" fontId="18" fillId="15" borderId="0" xfId="0" applyFont="1" applyFill="1" applyBorder="1" applyAlignment="1">
      <alignment horizontal="center"/>
    </xf>
    <xf numFmtId="0" fontId="6" fillId="15" borderId="0" xfId="0" applyFont="1" applyFill="1" applyBorder="1" applyAlignment="1">
      <alignment horizontal="right"/>
    </xf>
    <xf numFmtId="0" fontId="6" fillId="14" borderId="3" xfId="0" applyFont="1" applyFill="1" applyBorder="1" applyAlignment="1">
      <alignment horizontal="center" vertical="center"/>
    </xf>
    <xf numFmtId="0" fontId="6" fillId="15" borderId="3" xfId="0" applyFont="1" applyFill="1" applyBorder="1" applyAlignment="1">
      <alignment horizontal="center" vertical="center"/>
    </xf>
    <xf numFmtId="3" fontId="6" fillId="14" borderId="3" xfId="0" applyNumberFormat="1" applyFont="1" applyFill="1" applyBorder="1" applyAlignment="1">
      <alignment horizontal="center" vertical="center"/>
    </xf>
    <xf numFmtId="3" fontId="6" fillId="15" borderId="3" xfId="0" applyNumberFormat="1" applyFont="1" applyFill="1" applyBorder="1" applyAlignment="1">
      <alignment horizontal="center" vertical="center"/>
    </xf>
    <xf numFmtId="1" fontId="6" fillId="14" borderId="6" xfId="0" applyNumberFormat="1" applyFont="1" applyFill="1" applyBorder="1" applyAlignment="1">
      <alignment horizontal="center" vertical="center"/>
    </xf>
    <xf numFmtId="1" fontId="6" fillId="14" borderId="6" xfId="0" applyNumberFormat="1" applyFont="1" applyFill="1" applyBorder="1" applyAlignment="1">
      <alignment horizontal="left" vertical="center"/>
    </xf>
    <xf numFmtId="3" fontId="6" fillId="15" borderId="6" xfId="0" applyNumberFormat="1" applyFont="1" applyFill="1" applyBorder="1" applyAlignment="1">
      <alignment vertical="center"/>
    </xf>
    <xf numFmtId="3" fontId="6" fillId="14" borderId="6" xfId="0" applyNumberFormat="1" applyFont="1" applyFill="1" applyBorder="1" applyAlignment="1">
      <alignment horizontal="right" vertical="center"/>
    </xf>
    <xf numFmtId="3" fontId="6" fillId="15" borderId="6" xfId="0" applyNumberFormat="1" applyFont="1" applyFill="1" applyBorder="1" applyAlignment="1">
      <alignment horizontal="right" vertical="center"/>
    </xf>
    <xf numFmtId="190" fontId="6" fillId="15" borderId="6" xfId="0" applyNumberFormat="1" applyFont="1" applyFill="1" applyBorder="1" applyAlignment="1">
      <alignment horizontal="right" vertical="center"/>
    </xf>
    <xf numFmtId="190" fontId="6" fillId="14" borderId="6" xfId="0" applyNumberFormat="1" applyFont="1" applyFill="1" applyBorder="1" applyAlignment="1">
      <alignment horizontal="right" vertical="center"/>
    </xf>
    <xf numFmtId="189" fontId="6" fillId="15" borderId="6" xfId="0" applyNumberFormat="1" applyFont="1" applyFill="1" applyBorder="1" applyAlignment="1">
      <alignment horizontal="right" vertical="center"/>
    </xf>
    <xf numFmtId="189" fontId="6" fillId="14" borderId="6" xfId="0" applyNumberFormat="1" applyFont="1" applyFill="1" applyBorder="1" applyAlignment="1">
      <alignment horizontal="right" vertical="center"/>
    </xf>
    <xf numFmtId="189" fontId="6" fillId="15" borderId="7" xfId="0" applyNumberFormat="1" applyFont="1" applyFill="1" applyBorder="1" applyAlignment="1">
      <alignment horizontal="right" vertical="center"/>
    </xf>
    <xf numFmtId="189" fontId="6" fillId="14" borderId="7" xfId="0" applyNumberFormat="1" applyFont="1" applyFill="1" applyBorder="1" applyAlignment="1">
      <alignment horizontal="right" vertical="center"/>
    </xf>
    <xf numFmtId="189" fontId="6" fillId="15" borderId="14" xfId="0" applyNumberFormat="1" applyFont="1" applyFill="1" applyBorder="1" applyAlignment="1">
      <alignment horizontal="right" vertical="center"/>
    </xf>
    <xf numFmtId="189" fontId="6" fillId="14" borderId="14" xfId="0" applyNumberFormat="1" applyFont="1" applyFill="1" applyBorder="1" applyAlignment="1">
      <alignment horizontal="right" vertical="center"/>
    </xf>
    <xf numFmtId="1" fontId="35" fillId="14" borderId="10" xfId="0" applyNumberFormat="1" applyFont="1" applyFill="1" applyBorder="1" applyAlignment="1">
      <alignment horizontal="left" vertical="center"/>
    </xf>
    <xf numFmtId="1" fontId="10" fillId="14" borderId="10" xfId="0" applyNumberFormat="1" applyFont="1" applyFill="1" applyBorder="1" applyAlignment="1">
      <alignment horizontal="left" vertical="center"/>
    </xf>
    <xf numFmtId="3" fontId="10" fillId="15" borderId="10" xfId="0" applyNumberFormat="1" applyFont="1" applyFill="1" applyBorder="1" applyAlignment="1">
      <alignment vertical="center"/>
    </xf>
    <xf numFmtId="3" fontId="10" fillId="14" borderId="10" xfId="0" applyNumberFormat="1" applyFont="1" applyFill="1" applyBorder="1" applyAlignment="1">
      <alignment horizontal="right" vertical="center"/>
    </xf>
    <xf numFmtId="3" fontId="10" fillId="15" borderId="10" xfId="0" applyNumberFormat="1" applyFont="1" applyFill="1" applyBorder="1" applyAlignment="1">
      <alignment horizontal="right" vertical="center"/>
    </xf>
    <xf numFmtId="3" fontId="10" fillId="14" borderId="10" xfId="0" quotePrefix="1" applyNumberFormat="1" applyFont="1" applyFill="1" applyBorder="1" applyAlignment="1">
      <alignment horizontal="right" vertical="center"/>
    </xf>
    <xf numFmtId="190" fontId="10" fillId="15" borderId="10" xfId="0" applyNumberFormat="1" applyFont="1" applyFill="1" applyBorder="1" applyAlignment="1">
      <alignment horizontal="right" vertical="center"/>
    </xf>
    <xf numFmtId="190" fontId="10" fillId="14" borderId="10" xfId="0" applyNumberFormat="1" applyFont="1" applyFill="1" applyBorder="1" applyAlignment="1">
      <alignment horizontal="right" vertical="center"/>
    </xf>
    <xf numFmtId="189" fontId="10" fillId="15" borderId="10" xfId="0" applyNumberFormat="1" applyFont="1" applyFill="1" applyBorder="1" applyAlignment="1">
      <alignment horizontal="right" vertical="center"/>
    </xf>
    <xf numFmtId="189" fontId="10" fillId="14" borderId="10" xfId="0" applyNumberFormat="1" applyFont="1" applyFill="1" applyBorder="1" applyAlignment="1">
      <alignment horizontal="right" vertical="center"/>
    </xf>
    <xf numFmtId="3" fontId="6" fillId="0" borderId="7" xfId="0" applyNumberFormat="1" applyFont="1" applyFill="1" applyBorder="1" applyAlignment="1"/>
    <xf numFmtId="0" fontId="6" fillId="0" borderId="0" xfId="6" applyFont="1"/>
    <xf numFmtId="0" fontId="7" fillId="0" borderId="0" xfId="0" applyFont="1" applyAlignment="1">
      <alignment horizontal="left"/>
    </xf>
    <xf numFmtId="0" fontId="2" fillId="0" borderId="0" xfId="2" applyAlignment="1" applyProtection="1">
      <alignment horizontal="left"/>
    </xf>
    <xf numFmtId="0" fontId="2" fillId="0" borderId="0" xfId="2" applyAlignment="1" applyProtection="1">
      <alignment horizontal="justify"/>
    </xf>
    <xf numFmtId="0" fontId="2" fillId="0" borderId="0" xfId="2" applyAlignment="1" applyProtection="1"/>
    <xf numFmtId="0" fontId="10" fillId="0" borderId="0" xfId="0" applyFont="1" applyAlignment="1">
      <alignment horizontal="left"/>
    </xf>
    <xf numFmtId="0" fontId="87" fillId="0" borderId="0" xfId="0" applyFont="1"/>
    <xf numFmtId="0" fontId="7" fillId="0" borderId="0" xfId="0" applyFont="1"/>
    <xf numFmtId="2" fontId="28" fillId="12" borderId="0" xfId="0" applyNumberFormat="1" applyFont="1" applyFill="1" applyAlignment="1">
      <alignment horizontal="center"/>
    </xf>
    <xf numFmtId="0" fontId="28" fillId="12" borderId="0" xfId="0" applyNumberFormat="1" applyFont="1" applyFill="1" applyAlignment="1">
      <alignment horizontal="center"/>
    </xf>
    <xf numFmtId="0" fontId="134" fillId="3" borderId="0" xfId="0" applyFont="1" applyFill="1" applyBorder="1" applyAlignment="1">
      <alignment horizontal="center"/>
    </xf>
    <xf numFmtId="0" fontId="134" fillId="7" borderId="0" xfId="0" applyFont="1" applyFill="1" applyBorder="1" applyAlignment="1">
      <alignment horizontal="center"/>
    </xf>
    <xf numFmtId="0" fontId="10" fillId="13" borderId="10" xfId="0" applyFont="1" applyFill="1" applyBorder="1" applyAlignment="1">
      <alignment horizontal="left" vertical="center"/>
    </xf>
    <xf numFmtId="1" fontId="10" fillId="13" borderId="10" xfId="0" applyNumberFormat="1" applyFont="1" applyFill="1" applyBorder="1" applyAlignment="1">
      <alignment horizontal="right" vertical="center"/>
    </xf>
    <xf numFmtId="0" fontId="6" fillId="13" borderId="0" xfId="0" applyFont="1" applyFill="1" applyBorder="1" applyAlignment="1">
      <alignment horizontal="left"/>
    </xf>
    <xf numFmtId="0" fontId="6" fillId="13" borderId="3" xfId="0" applyFont="1" applyFill="1" applyBorder="1" applyAlignment="1">
      <alignment horizontal="center"/>
    </xf>
    <xf numFmtId="1" fontId="6" fillId="13" borderId="6" xfId="0" applyNumberFormat="1" applyFont="1" applyFill="1" applyBorder="1" applyAlignment="1">
      <alignment horizontal="center" vertical="center"/>
    </xf>
    <xf numFmtId="1" fontId="6" fillId="13" borderId="6" xfId="0" applyNumberFormat="1" applyFont="1" applyFill="1" applyBorder="1" applyAlignment="1">
      <alignment horizontal="left" vertical="center"/>
    </xf>
    <xf numFmtId="1" fontId="6" fillId="13" borderId="46" xfId="0" applyNumberFormat="1" applyFont="1" applyFill="1" applyBorder="1" applyAlignment="1">
      <alignment horizontal="center" vertical="center"/>
    </xf>
    <xf numFmtId="3" fontId="6" fillId="13" borderId="46" xfId="0" applyNumberFormat="1" applyFont="1" applyFill="1" applyBorder="1" applyAlignment="1">
      <alignment horizontal="left" vertical="center"/>
    </xf>
    <xf numFmtId="1" fontId="6" fillId="13" borderId="5" xfId="0" applyNumberFormat="1" applyFont="1" applyFill="1" applyBorder="1" applyAlignment="1">
      <alignment horizontal="center" vertical="center"/>
    </xf>
    <xf numFmtId="3" fontId="6" fillId="13" borderId="5" xfId="0" applyNumberFormat="1" applyFont="1" applyFill="1" applyBorder="1" applyAlignment="1">
      <alignment horizontal="left" vertical="center"/>
    </xf>
    <xf numFmtId="1" fontId="6" fillId="13" borderId="44" xfId="0" applyNumberFormat="1" applyFont="1" applyFill="1" applyBorder="1" applyAlignment="1">
      <alignment horizontal="center" vertical="center"/>
    </xf>
    <xf numFmtId="3" fontId="6" fillId="13" borderId="44" xfId="0" applyNumberFormat="1" applyFont="1" applyFill="1" applyBorder="1" applyAlignment="1">
      <alignment horizontal="left" vertical="center"/>
    </xf>
    <xf numFmtId="1" fontId="6" fillId="13" borderId="47" xfId="0" applyNumberFormat="1" applyFont="1" applyFill="1" applyBorder="1" applyAlignment="1">
      <alignment horizontal="center" vertical="center"/>
    </xf>
    <xf numFmtId="3" fontId="6" fillId="13" borderId="47" xfId="0" applyNumberFormat="1" applyFont="1" applyFill="1" applyBorder="1" applyAlignment="1">
      <alignment horizontal="left" vertical="center"/>
    </xf>
    <xf numFmtId="0" fontId="4" fillId="0" borderId="0" xfId="0" applyFont="1" applyFill="1" applyBorder="1" applyAlignment="1">
      <alignment horizontal="right" vertical="top"/>
    </xf>
    <xf numFmtId="190" fontId="5" fillId="7" borderId="5" xfId="0" applyNumberFormat="1" applyFont="1" applyFill="1" applyBorder="1" applyAlignment="1">
      <alignment horizontal="right"/>
    </xf>
    <xf numFmtId="190" fontId="7" fillId="3" borderId="7" xfId="0" applyNumberFormat="1" applyFont="1" applyFill="1" applyBorder="1" applyAlignment="1">
      <alignment horizontal="right" vertical="center"/>
    </xf>
    <xf numFmtId="0" fontId="5" fillId="0" borderId="0" xfId="0" applyFont="1" applyFill="1" applyBorder="1" applyAlignment="1">
      <alignment horizontal="right"/>
    </xf>
    <xf numFmtId="0" fontId="5" fillId="0" borderId="0" xfId="0" applyFont="1" applyFill="1" applyBorder="1" applyAlignment="1">
      <alignment horizontal="right" vertical="top"/>
    </xf>
    <xf numFmtId="190" fontId="5" fillId="0" borderId="0" xfId="0" applyNumberFormat="1" applyFont="1" applyFill="1" applyBorder="1" applyAlignment="1">
      <alignment horizontal="right"/>
    </xf>
    <xf numFmtId="190" fontId="7" fillId="0" borderId="0" xfId="0" applyNumberFormat="1" applyFont="1" applyFill="1" applyBorder="1" applyAlignment="1">
      <alignment horizontal="right" vertical="center"/>
    </xf>
    <xf numFmtId="0" fontId="3" fillId="0" borderId="3" xfId="0" applyFont="1" applyBorder="1" applyAlignment="1">
      <alignment horizontal="center"/>
    </xf>
    <xf numFmtId="0" fontId="5" fillId="14" borderId="0" xfId="0" applyFont="1" applyFill="1" applyBorder="1" applyAlignment="1">
      <alignment horizontal="left"/>
    </xf>
    <xf numFmtId="0" fontId="5" fillId="14" borderId="0" xfId="0" applyFont="1" applyFill="1" applyBorder="1" applyAlignment="1">
      <alignment horizontal="center"/>
    </xf>
    <xf numFmtId="0" fontId="5" fillId="7" borderId="6" xfId="0" applyFont="1" applyFill="1" applyBorder="1" applyAlignment="1">
      <alignment horizontal="left"/>
    </xf>
    <xf numFmtId="3" fontId="5" fillId="3" borderId="6" xfId="0" applyNumberFormat="1" applyFont="1" applyFill="1" applyBorder="1" applyAlignment="1">
      <alignment horizontal="center" vertical="center"/>
    </xf>
    <xf numFmtId="3" fontId="5" fillId="7" borderId="6" xfId="0" applyNumberFormat="1" applyFont="1" applyFill="1" applyBorder="1" applyAlignment="1">
      <alignment horizontal="center" vertical="center"/>
    </xf>
    <xf numFmtId="3" fontId="5" fillId="3" borderId="7" xfId="0" applyNumberFormat="1" applyFont="1" applyFill="1" applyBorder="1" applyAlignment="1">
      <alignment horizontal="center" vertical="center"/>
    </xf>
    <xf numFmtId="3" fontId="7" fillId="3" borderId="0" xfId="0" applyNumberFormat="1" applyFont="1" applyFill="1" applyBorder="1" applyAlignment="1">
      <alignment horizontal="center" vertical="center"/>
    </xf>
    <xf numFmtId="3" fontId="7" fillId="3" borderId="6" xfId="0" applyNumberFormat="1" applyFont="1" applyFill="1" applyBorder="1" applyAlignment="1">
      <alignment horizontal="center" vertical="center"/>
    </xf>
    <xf numFmtId="3" fontId="7" fillId="7" borderId="0" xfId="0" applyNumberFormat="1" applyFont="1" applyFill="1" applyBorder="1" applyAlignment="1">
      <alignment horizontal="center" vertical="center"/>
    </xf>
    <xf numFmtId="3" fontId="7" fillId="7" borderId="10" xfId="0" applyNumberFormat="1" applyFont="1" applyFill="1" applyBorder="1" applyAlignment="1">
      <alignment horizontal="center" vertical="center"/>
    </xf>
    <xf numFmtId="0" fontId="5" fillId="8" borderId="5" xfId="0" applyFont="1" applyFill="1" applyBorder="1" applyAlignment="1">
      <alignment horizontal="left"/>
    </xf>
    <xf numFmtId="0" fontId="5" fillId="9" borderId="5" xfId="0" applyFont="1" applyFill="1" applyBorder="1" applyAlignment="1">
      <alignment horizontal="right"/>
    </xf>
    <xf numFmtId="0" fontId="5" fillId="8" borderId="5" xfId="0" applyFont="1" applyFill="1" applyBorder="1" applyAlignment="1">
      <alignment horizontal="right"/>
    </xf>
    <xf numFmtId="0" fontId="5" fillId="8" borderId="5" xfId="0" applyFont="1" applyFill="1" applyBorder="1" applyAlignment="1">
      <alignment horizontal="center"/>
    </xf>
    <xf numFmtId="0" fontId="5" fillId="8" borderId="0" xfId="0" applyFont="1" applyFill="1" applyBorder="1" applyAlignment="1">
      <alignment horizontal="left"/>
    </xf>
    <xf numFmtId="0" fontId="5" fillId="9" borderId="0" xfId="0" applyFont="1" applyFill="1" applyBorder="1" applyAlignment="1">
      <alignment horizontal="right"/>
    </xf>
    <xf numFmtId="3" fontId="5" fillId="8" borderId="0" xfId="0" applyNumberFormat="1" applyFont="1" applyFill="1" applyBorder="1" applyAlignment="1">
      <alignment horizontal="right"/>
    </xf>
    <xf numFmtId="0" fontId="5" fillId="8" borderId="0" xfId="0" applyFont="1" applyFill="1" applyBorder="1" applyAlignment="1">
      <alignment horizontal="center"/>
    </xf>
    <xf numFmtId="0" fontId="5" fillId="8" borderId="0" xfId="0" applyFont="1" applyFill="1" applyBorder="1" applyAlignment="1">
      <alignment horizontal="right"/>
    </xf>
    <xf numFmtId="0" fontId="5" fillId="8" borderId="3" xfId="0" applyFont="1" applyFill="1" applyBorder="1" applyAlignment="1">
      <alignment horizontal="left" vertical="top"/>
    </xf>
    <xf numFmtId="0" fontId="5" fillId="9" borderId="3" xfId="0" applyFont="1" applyFill="1" applyBorder="1" applyAlignment="1">
      <alignment horizontal="right" vertical="top"/>
    </xf>
    <xf numFmtId="0" fontId="5" fillId="8" borderId="3" xfId="0" applyFont="1" applyFill="1" applyBorder="1" applyAlignment="1">
      <alignment horizontal="right" vertical="top"/>
    </xf>
    <xf numFmtId="0" fontId="5" fillId="8" borderId="3" xfId="0" applyFont="1" applyFill="1" applyBorder="1" applyAlignment="1">
      <alignment horizontal="center" vertical="top"/>
    </xf>
    <xf numFmtId="0" fontId="5" fillId="8" borderId="6" xfId="0" quotePrefix="1" applyFont="1" applyFill="1" applyBorder="1" applyAlignment="1">
      <alignment horizontal="left"/>
    </xf>
    <xf numFmtId="3" fontId="5" fillId="9" borderId="6" xfId="0" applyNumberFormat="1" applyFont="1" applyFill="1" applyBorder="1" applyAlignment="1">
      <alignment horizontal="right"/>
    </xf>
    <xf numFmtId="0" fontId="5" fillId="8" borderId="6" xfId="0" quotePrefix="1" applyFont="1" applyFill="1" applyBorder="1" applyAlignment="1">
      <alignment horizontal="right"/>
    </xf>
    <xf numFmtId="190" fontId="5" fillId="8" borderId="6" xfId="0" quotePrefix="1" applyNumberFormat="1" applyFont="1" applyFill="1" applyBorder="1" applyAlignment="1">
      <alignment horizontal="center"/>
    </xf>
    <xf numFmtId="0" fontId="5" fillId="8" borderId="7" xfId="0" quotePrefix="1" applyFont="1" applyFill="1" applyBorder="1" applyAlignment="1">
      <alignment horizontal="left"/>
    </xf>
    <xf numFmtId="3" fontId="5" fillId="9" borderId="7" xfId="0" applyNumberFormat="1" applyFont="1" applyFill="1" applyBorder="1" applyAlignment="1">
      <alignment horizontal="right"/>
    </xf>
    <xf numFmtId="0" fontId="5" fillId="8" borderId="7" xfId="0" quotePrefix="1" applyFont="1" applyFill="1" applyBorder="1" applyAlignment="1">
      <alignment horizontal="right"/>
    </xf>
    <xf numFmtId="190" fontId="5" fillId="8" borderId="7" xfId="0" quotePrefix="1" applyNumberFormat="1" applyFont="1" applyFill="1" applyBorder="1" applyAlignment="1">
      <alignment horizontal="center"/>
    </xf>
    <xf numFmtId="0" fontId="7" fillId="8" borderId="0" xfId="0" quotePrefix="1" applyFont="1" applyFill="1" applyBorder="1" applyAlignment="1">
      <alignment horizontal="left" vertical="center"/>
    </xf>
    <xf numFmtId="3" fontId="7" fillId="9" borderId="0" xfId="0" applyNumberFormat="1" applyFont="1" applyFill="1" applyBorder="1" applyAlignment="1">
      <alignment horizontal="right" vertical="center"/>
    </xf>
    <xf numFmtId="0" fontId="7" fillId="8" borderId="0" xfId="0" quotePrefix="1" applyFont="1" applyFill="1" applyBorder="1" applyAlignment="1">
      <alignment horizontal="right" vertical="center"/>
    </xf>
    <xf numFmtId="190" fontId="7" fillId="8" borderId="7" xfId="0" quotePrefix="1" applyNumberFormat="1" applyFont="1" applyFill="1" applyBorder="1" applyAlignment="1">
      <alignment horizontal="center" vertical="center"/>
    </xf>
    <xf numFmtId="190" fontId="3" fillId="6" borderId="0" xfId="0" applyNumberFormat="1" applyFont="1" applyFill="1" applyAlignment="1">
      <alignment horizontal="center"/>
    </xf>
    <xf numFmtId="0" fontId="4" fillId="6" borderId="0" xfId="0" applyFont="1" applyFill="1" applyBorder="1" applyAlignment="1">
      <alignment vertical="top"/>
    </xf>
    <xf numFmtId="0" fontId="5" fillId="3" borderId="5" xfId="0" applyFont="1" applyFill="1" applyBorder="1" applyAlignment="1">
      <alignment horizontal="left" vertical="center"/>
    </xf>
    <xf numFmtId="0" fontId="18" fillId="3" borderId="0" xfId="0" applyFont="1" applyFill="1" applyBorder="1" applyAlignment="1">
      <alignment horizontal="center"/>
    </xf>
    <xf numFmtId="0" fontId="59" fillId="3" borderId="0" xfId="0" applyFont="1" applyFill="1" applyBorder="1" applyAlignment="1">
      <alignment horizontal="right"/>
    </xf>
    <xf numFmtId="190" fontId="18" fillId="7" borderId="0" xfId="0" applyNumberFormat="1" applyFont="1" applyFill="1" applyBorder="1" applyAlignment="1">
      <alignment horizontal="center"/>
    </xf>
    <xf numFmtId="190" fontId="18" fillId="7" borderId="3" xfId="0" applyNumberFormat="1" applyFont="1" applyFill="1" applyBorder="1" applyAlignment="1">
      <alignment horizontal="center" vertical="top"/>
    </xf>
    <xf numFmtId="0" fontId="18" fillId="7" borderId="3" xfId="0" applyFont="1" applyFill="1" applyBorder="1" applyAlignment="1">
      <alignment horizontal="center" vertical="top"/>
    </xf>
    <xf numFmtId="190" fontId="59" fillId="7" borderId="3" xfId="0" applyNumberFormat="1" applyFont="1" applyFill="1" applyBorder="1" applyAlignment="1">
      <alignment horizontal="center" vertical="top"/>
    </xf>
    <xf numFmtId="0" fontId="40" fillId="3" borderId="3" xfId="0" applyFont="1" applyFill="1" applyBorder="1" applyAlignment="1">
      <alignment horizontal="right" vertical="top"/>
    </xf>
    <xf numFmtId="3" fontId="5" fillId="7" borderId="6" xfId="0" quotePrefix="1" applyNumberFormat="1" applyFont="1" applyFill="1" applyBorder="1" applyAlignment="1">
      <alignment horizontal="right"/>
    </xf>
    <xf numFmtId="3" fontId="5" fillId="3" borderId="6" xfId="0" quotePrefix="1" applyNumberFormat="1" applyFont="1" applyFill="1" applyBorder="1" applyAlignment="1">
      <alignment horizontal="right"/>
    </xf>
    <xf numFmtId="3" fontId="40" fillId="7" borderId="6" xfId="0" quotePrefix="1" applyNumberFormat="1" applyFont="1" applyFill="1" applyBorder="1" applyAlignment="1">
      <alignment horizontal="right"/>
    </xf>
    <xf numFmtId="3" fontId="40" fillId="3" borderId="6" xfId="0" quotePrefix="1" applyNumberFormat="1" applyFont="1" applyFill="1" applyBorder="1" applyAlignment="1">
      <alignment horizontal="right"/>
    </xf>
    <xf numFmtId="3" fontId="5" fillId="7" borderId="7" xfId="0" quotePrefix="1" applyNumberFormat="1" applyFont="1" applyFill="1" applyBorder="1" applyAlignment="1">
      <alignment horizontal="right"/>
    </xf>
    <xf numFmtId="3" fontId="5" fillId="3" borderId="7" xfId="0" quotePrefix="1" applyNumberFormat="1" applyFont="1" applyFill="1" applyBorder="1" applyAlignment="1">
      <alignment horizontal="right"/>
    </xf>
    <xf numFmtId="3" fontId="40" fillId="7" borderId="7" xfId="0" quotePrefix="1" applyNumberFormat="1" applyFont="1" applyFill="1" applyBorder="1" applyAlignment="1">
      <alignment horizontal="right"/>
    </xf>
    <xf numFmtId="3" fontId="40" fillId="3" borderId="7" xfId="0" quotePrefix="1" applyNumberFormat="1" applyFont="1" applyFill="1" applyBorder="1" applyAlignment="1">
      <alignment horizontal="right"/>
    </xf>
    <xf numFmtId="3" fontId="40" fillId="7" borderId="7" xfId="0" applyNumberFormat="1" applyFont="1" applyFill="1" applyBorder="1" applyAlignment="1">
      <alignment horizontal="right"/>
    </xf>
    <xf numFmtId="3" fontId="40" fillId="3" borderId="7" xfId="0" applyNumberFormat="1" applyFont="1" applyFill="1" applyBorder="1" applyAlignment="1">
      <alignment horizontal="right"/>
    </xf>
    <xf numFmtId="3" fontId="7" fillId="7" borderId="0" xfId="0" quotePrefix="1" applyNumberFormat="1" applyFont="1" applyFill="1" applyBorder="1" applyAlignment="1">
      <alignment horizontal="right" vertical="center"/>
    </xf>
    <xf numFmtId="3" fontId="61" fillId="7" borderId="10" xfId="0" applyNumberFormat="1" applyFont="1" applyFill="1" applyBorder="1" applyAlignment="1">
      <alignment horizontal="right" vertical="center"/>
    </xf>
    <xf numFmtId="3" fontId="61" fillId="3" borderId="10" xfId="0" applyNumberFormat="1" applyFont="1" applyFill="1" applyBorder="1" applyAlignment="1">
      <alignment horizontal="right" vertical="center"/>
    </xf>
    <xf numFmtId="190" fontId="6" fillId="6" borderId="8" xfId="0" applyNumberFormat="1" applyFont="1" applyFill="1" applyBorder="1" applyAlignment="1">
      <alignment horizontal="center"/>
    </xf>
    <xf numFmtId="190" fontId="6" fillId="6" borderId="0" xfId="0" applyNumberFormat="1" applyFont="1" applyFill="1" applyBorder="1" applyAlignment="1">
      <alignment horizontal="center"/>
    </xf>
    <xf numFmtId="0" fontId="5" fillId="16" borderId="5" xfId="0" applyFont="1" applyFill="1" applyBorder="1" applyAlignment="1">
      <alignment horizontal="right"/>
    </xf>
    <xf numFmtId="0" fontId="6" fillId="0" borderId="0" xfId="0" applyFont="1" applyFill="1" applyBorder="1" applyAlignment="1">
      <alignment horizontal="center"/>
    </xf>
    <xf numFmtId="0" fontId="5" fillId="7" borderId="0" xfId="0" quotePrefix="1" applyFont="1" applyFill="1" applyBorder="1" applyAlignment="1">
      <alignment horizontal="right"/>
    </xf>
    <xf numFmtId="0" fontId="6" fillId="8" borderId="0" xfId="0" applyFont="1" applyFill="1" applyBorder="1" applyAlignment="1">
      <alignment horizontal="right"/>
    </xf>
    <xf numFmtId="0" fontId="18" fillId="0" borderId="0" xfId="0" applyFont="1" applyFill="1" applyBorder="1" applyAlignment="1">
      <alignment horizontal="center"/>
    </xf>
    <xf numFmtId="190" fontId="5" fillId="9" borderId="6" xfId="0" applyNumberFormat="1" applyFont="1" applyFill="1" applyBorder="1" applyAlignment="1">
      <alignment horizontal="right"/>
    </xf>
    <xf numFmtId="190" fontId="5" fillId="8" borderId="6" xfId="0" quotePrefix="1" applyNumberFormat="1" applyFont="1" applyFill="1" applyBorder="1" applyAlignment="1">
      <alignment horizontal="right"/>
    </xf>
    <xf numFmtId="3" fontId="5" fillId="8" borderId="6" xfId="0" quotePrefix="1" applyNumberFormat="1" applyFont="1" applyFill="1" applyBorder="1" applyAlignment="1">
      <alignment horizontal="right"/>
    </xf>
    <xf numFmtId="190" fontId="5" fillId="9" borderId="7" xfId="0" applyNumberFormat="1" applyFont="1" applyFill="1" applyBorder="1" applyAlignment="1">
      <alignment horizontal="right"/>
    </xf>
    <xf numFmtId="190" fontId="5" fillId="8" borderId="7" xfId="0" quotePrefix="1" applyNumberFormat="1" applyFont="1" applyFill="1" applyBorder="1" applyAlignment="1">
      <alignment horizontal="right"/>
    </xf>
    <xf numFmtId="3" fontId="5" fillId="8" borderId="7" xfId="0" quotePrefix="1" applyNumberFormat="1" applyFont="1" applyFill="1" applyBorder="1" applyAlignment="1">
      <alignment horizontal="right"/>
    </xf>
    <xf numFmtId="190" fontId="7" fillId="9" borderId="0" xfId="0" applyNumberFormat="1" applyFont="1" applyFill="1" applyBorder="1" applyAlignment="1">
      <alignment horizontal="right" vertical="center"/>
    </xf>
    <xf numFmtId="190" fontId="7" fillId="8" borderId="0" xfId="0" quotePrefix="1" applyNumberFormat="1" applyFont="1" applyFill="1" applyBorder="1" applyAlignment="1">
      <alignment horizontal="right" vertical="center"/>
    </xf>
    <xf numFmtId="3" fontId="7" fillId="8" borderId="7" xfId="0" quotePrefix="1" applyNumberFormat="1" applyFont="1" applyFill="1" applyBorder="1" applyAlignment="1">
      <alignment horizontal="right" vertical="center"/>
    </xf>
    <xf numFmtId="0" fontId="40" fillId="3" borderId="0" xfId="0" applyFont="1" applyFill="1" applyBorder="1" applyAlignment="1">
      <alignment horizontal="right"/>
    </xf>
    <xf numFmtId="3" fontId="61" fillId="3" borderId="0" xfId="0" applyNumberFormat="1" applyFont="1" applyFill="1" applyBorder="1" applyAlignment="1">
      <alignment horizontal="right" vertical="center"/>
    </xf>
    <xf numFmtId="3" fontId="7" fillId="7" borderId="10" xfId="0" quotePrefix="1" applyNumberFormat="1" applyFont="1" applyFill="1" applyBorder="1" applyAlignment="1">
      <alignment horizontal="right" vertical="center"/>
    </xf>
    <xf numFmtId="0" fontId="18" fillId="0" borderId="0" xfId="0" applyFont="1" applyAlignment="1"/>
    <xf numFmtId="0" fontId="59" fillId="0" borderId="0" xfId="0" applyFont="1"/>
    <xf numFmtId="0" fontId="6" fillId="0" borderId="0" xfId="0" applyFont="1" applyFill="1" applyBorder="1" applyAlignment="1">
      <alignment vertical="top"/>
    </xf>
    <xf numFmtId="3" fontId="5" fillId="3" borderId="7" xfId="0" applyNumberFormat="1" applyFont="1" applyFill="1" applyBorder="1" applyAlignment="1">
      <alignment horizontal="center"/>
    </xf>
    <xf numFmtId="0" fontId="23" fillId="0" borderId="0" xfId="0" applyFont="1" applyAlignment="1"/>
    <xf numFmtId="0" fontId="7" fillId="0" borderId="0" xfId="0" applyFont="1" applyFill="1"/>
    <xf numFmtId="3" fontId="7" fillId="0" borderId="0" xfId="0" applyNumberFormat="1" applyFont="1" applyFill="1"/>
    <xf numFmtId="190" fontId="7" fillId="7" borderId="0" xfId="0" applyNumberFormat="1" applyFont="1" applyFill="1" applyBorder="1" applyAlignment="1">
      <alignment vertical="center"/>
    </xf>
    <xf numFmtId="0" fontId="5" fillId="3" borderId="0" xfId="0" applyFont="1" applyFill="1" applyBorder="1" applyAlignment="1">
      <alignment horizontal="right" vertical="center" wrapText="1"/>
    </xf>
    <xf numFmtId="0" fontId="93" fillId="0" borderId="0" xfId="7"/>
    <xf numFmtId="0" fontId="29" fillId="0" borderId="0" xfId="7" applyFont="1"/>
    <xf numFmtId="0" fontId="6" fillId="0" borderId="0" xfId="7" applyFont="1"/>
    <xf numFmtId="0" fontId="18" fillId="0" borderId="0" xfId="7" applyFont="1" applyAlignment="1">
      <alignment horizontal="center"/>
    </xf>
    <xf numFmtId="0" fontId="21" fillId="0" borderId="0" xfId="7" applyFont="1" applyAlignment="1">
      <alignment horizontal="center"/>
    </xf>
    <xf numFmtId="0" fontId="93" fillId="0" borderId="3" xfId="7" applyBorder="1"/>
    <xf numFmtId="0" fontId="21" fillId="0" borderId="3" xfId="7" applyFont="1" applyBorder="1"/>
    <xf numFmtId="0" fontId="94" fillId="0" borderId="3" xfId="7" applyFont="1" applyBorder="1"/>
    <xf numFmtId="0" fontId="95" fillId="0" borderId="3" xfId="7" applyFont="1" applyBorder="1" applyAlignment="1">
      <alignment horizontal="center"/>
    </xf>
    <xf numFmtId="0" fontId="21" fillId="0" borderId="3" xfId="7" applyFont="1" applyBorder="1" applyAlignment="1">
      <alignment horizontal="center"/>
    </xf>
    <xf numFmtId="0" fontId="93" fillId="14" borderId="4" xfId="7" applyFill="1" applyBorder="1"/>
    <xf numFmtId="0" fontId="21" fillId="14" borderId="4" xfId="7" applyFont="1" applyFill="1" applyBorder="1"/>
    <xf numFmtId="0" fontId="93" fillId="15" borderId="4" xfId="7" applyFont="1" applyFill="1" applyBorder="1" applyAlignment="1">
      <alignment vertical="center"/>
    </xf>
    <xf numFmtId="0" fontId="93" fillId="14" borderId="4" xfId="7" applyFont="1" applyFill="1" applyBorder="1" applyAlignment="1">
      <alignment vertical="center"/>
    </xf>
    <xf numFmtId="0" fontId="6" fillId="15" borderId="4" xfId="7" applyFont="1" applyFill="1" applyBorder="1" applyAlignment="1">
      <alignment vertical="center"/>
    </xf>
    <xf numFmtId="0" fontId="6" fillId="14" borderId="4" xfId="7" applyFont="1" applyFill="1" applyBorder="1" applyAlignment="1">
      <alignment vertical="center"/>
    </xf>
    <xf numFmtId="0" fontId="6" fillId="15" borderId="4" xfId="7" applyFont="1" applyFill="1" applyBorder="1" applyAlignment="1">
      <alignment horizontal="right" vertical="center"/>
    </xf>
    <xf numFmtId="0" fontId="6" fillId="14" borderId="4" xfId="7" applyFont="1" applyFill="1" applyBorder="1" applyAlignment="1">
      <alignment horizontal="right" vertical="center"/>
    </xf>
    <xf numFmtId="0" fontId="35" fillId="14" borderId="4" xfId="7" applyFont="1" applyFill="1" applyBorder="1" applyAlignment="1">
      <alignment horizontal="center" vertical="center" wrapText="1"/>
    </xf>
    <xf numFmtId="0" fontId="23" fillId="15" borderId="4" xfId="7" applyFont="1" applyFill="1" applyBorder="1" applyAlignment="1">
      <alignment horizontal="right" vertical="center"/>
    </xf>
    <xf numFmtId="0" fontId="23" fillId="14" borderId="4" xfId="7" applyFont="1" applyFill="1" applyBorder="1" applyAlignment="1">
      <alignment horizontal="right" vertical="center"/>
    </xf>
    <xf numFmtId="0" fontId="10" fillId="14" borderId="0" xfId="7" applyFont="1" applyFill="1"/>
    <xf numFmtId="0" fontId="29" fillId="14" borderId="0" xfId="7" applyFont="1" applyFill="1"/>
    <xf numFmtId="3" fontId="18" fillId="15" borderId="0" xfId="7" applyNumberFormat="1" applyFont="1" applyFill="1" applyAlignment="1">
      <alignment horizontal="right"/>
    </xf>
    <xf numFmtId="3" fontId="18" fillId="14" borderId="0" xfId="7" applyNumberFormat="1" applyFont="1" applyFill="1"/>
    <xf numFmtId="3" fontId="18" fillId="15" borderId="0" xfId="7" applyNumberFormat="1" applyFont="1" applyFill="1"/>
    <xf numFmtId="3" fontId="18" fillId="14" borderId="0" xfId="7" applyNumberFormat="1" applyFont="1" applyFill="1" applyAlignment="1">
      <alignment horizontal="right"/>
    </xf>
    <xf numFmtId="10" fontId="18" fillId="14" borderId="0" xfId="7" applyNumberFormat="1" applyFont="1" applyFill="1" applyAlignment="1">
      <alignment horizontal="center"/>
    </xf>
    <xf numFmtId="3" fontId="59" fillId="15" borderId="0" xfId="7" applyNumberFormat="1" applyFont="1" applyFill="1" applyAlignment="1">
      <alignment horizontal="right"/>
    </xf>
    <xf numFmtId="3" fontId="59" fillId="14" borderId="0" xfId="7" applyNumberFormat="1" applyFont="1" applyFill="1" applyAlignment="1">
      <alignment horizontal="right"/>
    </xf>
    <xf numFmtId="0" fontId="93" fillId="14" borderId="44" xfId="7" applyFill="1" applyBorder="1"/>
    <xf numFmtId="0" fontId="69" fillId="14" borderId="44" xfId="7" applyFont="1" applyFill="1" applyBorder="1"/>
    <xf numFmtId="3" fontId="59" fillId="15" borderId="44" xfId="7" applyNumberFormat="1" applyFont="1" applyFill="1" applyBorder="1" applyAlignment="1">
      <alignment horizontal="right"/>
    </xf>
    <xf numFmtId="3" fontId="59" fillId="14" borderId="44" xfId="7" applyNumberFormat="1" applyFont="1" applyFill="1" applyBorder="1"/>
    <xf numFmtId="3" fontId="59" fillId="15" borderId="44" xfId="7" applyNumberFormat="1" applyFont="1" applyFill="1" applyBorder="1"/>
    <xf numFmtId="3" fontId="59" fillId="14" borderId="44" xfId="7" applyNumberFormat="1" applyFont="1" applyFill="1" applyBorder="1" applyAlignment="1">
      <alignment horizontal="right"/>
    </xf>
    <xf numFmtId="10" fontId="59" fillId="14" borderId="44" xfId="7" applyNumberFormat="1" applyFont="1" applyFill="1" applyBorder="1" applyAlignment="1">
      <alignment horizontal="center"/>
    </xf>
    <xf numFmtId="10" fontId="59" fillId="15" borderId="44" xfId="7" applyNumberFormat="1" applyFont="1" applyFill="1" applyBorder="1" applyAlignment="1">
      <alignment horizontal="right"/>
    </xf>
    <xf numFmtId="10" fontId="59" fillId="14" borderId="44" xfId="7" applyNumberFormat="1" applyFont="1" applyFill="1" applyBorder="1"/>
    <xf numFmtId="10" fontId="59" fillId="15" borderId="44" xfId="7" applyNumberFormat="1" applyFont="1" applyFill="1" applyBorder="1"/>
    <xf numFmtId="10" fontId="18" fillId="14" borderId="44" xfId="7" applyNumberFormat="1" applyFont="1" applyFill="1" applyBorder="1" applyAlignment="1">
      <alignment horizontal="center"/>
    </xf>
    <xf numFmtId="0" fontId="93" fillId="15" borderId="44" xfId="7" applyFill="1" applyBorder="1" applyAlignment="1">
      <alignment horizontal="right"/>
    </xf>
    <xf numFmtId="0" fontId="21" fillId="14" borderId="44" xfId="7" applyFont="1" applyFill="1" applyBorder="1"/>
    <xf numFmtId="3" fontId="18" fillId="15" borderId="44" xfId="7" applyNumberFormat="1" applyFont="1" applyFill="1" applyBorder="1" applyAlignment="1">
      <alignment horizontal="right"/>
    </xf>
    <xf numFmtId="3" fontId="18" fillId="14" borderId="44" xfId="7" applyNumberFormat="1" applyFont="1" applyFill="1" applyBorder="1"/>
    <xf numFmtId="3" fontId="18" fillId="15" borderId="44" xfId="7" applyNumberFormat="1" applyFont="1" applyFill="1" applyBorder="1"/>
    <xf numFmtId="0" fontId="10" fillId="14" borderId="44" xfId="7" applyFont="1" applyFill="1" applyBorder="1"/>
    <xf numFmtId="0" fontId="29" fillId="14" borderId="44" xfId="7" applyFont="1" applyFill="1" applyBorder="1"/>
    <xf numFmtId="3" fontId="18" fillId="14" borderId="44" xfId="7" applyNumberFormat="1" applyFont="1" applyFill="1" applyBorder="1" applyAlignment="1">
      <alignment horizontal="right"/>
    </xf>
    <xf numFmtId="10" fontId="18" fillId="14" borderId="44" xfId="7" applyNumberFormat="1" applyFont="1" applyFill="1" applyBorder="1"/>
    <xf numFmtId="0" fontId="93" fillId="15" borderId="44" xfId="7" applyFill="1" applyBorder="1"/>
    <xf numFmtId="0" fontId="93" fillId="14" borderId="11" xfId="7" applyFill="1" applyBorder="1"/>
    <xf numFmtId="0" fontId="69" fillId="14" borderId="11" xfId="7" applyFont="1" applyFill="1" applyBorder="1"/>
    <xf numFmtId="3" fontId="59" fillId="15" borderId="11" xfId="7" applyNumberFormat="1" applyFont="1" applyFill="1" applyBorder="1" applyAlignment="1">
      <alignment horizontal="right"/>
    </xf>
    <xf numFmtId="3" fontId="59" fillId="14" borderId="11" xfId="7" applyNumberFormat="1" applyFont="1" applyFill="1" applyBorder="1"/>
    <xf numFmtId="3" fontId="59" fillId="15" borderId="11" xfId="7" applyNumberFormat="1" applyFont="1" applyFill="1" applyBorder="1"/>
    <xf numFmtId="3" fontId="59" fillId="14" borderId="11" xfId="7" applyNumberFormat="1" applyFont="1" applyFill="1" applyBorder="1" applyAlignment="1">
      <alignment horizontal="right"/>
    </xf>
    <xf numFmtId="10" fontId="59" fillId="14" borderId="11" xfId="7" applyNumberFormat="1" applyFont="1" applyFill="1" applyBorder="1" applyAlignment="1">
      <alignment horizontal="center"/>
    </xf>
    <xf numFmtId="0" fontId="10" fillId="0" borderId="0" xfId="7" applyFont="1"/>
    <xf numFmtId="0" fontId="21" fillId="0" borderId="0" xfId="7" quotePrefix="1" applyFont="1"/>
    <xf numFmtId="0" fontId="21" fillId="0" borderId="0" xfId="7" applyFont="1"/>
    <xf numFmtId="0" fontId="93" fillId="0" borderId="0" xfId="7" applyFont="1"/>
    <xf numFmtId="0" fontId="96" fillId="0" borderId="0" xfId="7" applyFont="1" applyAlignment="1">
      <alignment horizontal="center"/>
    </xf>
    <xf numFmtId="0" fontId="21" fillId="0" borderId="0" xfId="7" applyFont="1" applyAlignment="1">
      <alignment vertical="center"/>
    </xf>
    <xf numFmtId="0" fontId="31" fillId="0" borderId="23" xfId="7" applyFont="1" applyBorder="1"/>
    <xf numFmtId="0" fontId="93" fillId="0" borderId="17" xfId="7" applyFont="1" applyBorder="1"/>
    <xf numFmtId="0" fontId="6" fillId="0" borderId="5" xfId="7" applyFont="1" applyBorder="1"/>
    <xf numFmtId="0" fontId="93" fillId="0" borderId="17" xfId="7" applyBorder="1"/>
    <xf numFmtId="0" fontId="93" fillId="0" borderId="5" xfId="7" applyBorder="1"/>
    <xf numFmtId="0" fontId="6" fillId="0" borderId="19" xfId="7" applyFont="1" applyBorder="1" applyAlignment="1">
      <alignment horizontal="center"/>
    </xf>
    <xf numFmtId="0" fontId="31" fillId="0" borderId="2" xfId="7" applyFont="1" applyBorder="1"/>
    <xf numFmtId="0" fontId="93" fillId="0" borderId="0" xfId="7" applyFont="1" applyBorder="1" applyAlignment="1">
      <alignment horizontal="center"/>
    </xf>
    <xf numFmtId="0" fontId="6" fillId="0" borderId="0" xfId="7" applyFont="1" applyBorder="1"/>
    <xf numFmtId="0" fontId="93" fillId="0" borderId="16" xfId="7" applyBorder="1"/>
    <xf numFmtId="0" fontId="93" fillId="0" borderId="0" xfId="7" applyBorder="1"/>
    <xf numFmtId="0" fontId="30" fillId="0" borderId="24" xfId="7" applyFont="1" applyBorder="1"/>
    <xf numFmtId="0" fontId="10" fillId="0" borderId="3" xfId="7" applyFont="1" applyBorder="1"/>
    <xf numFmtId="0" fontId="93" fillId="0" borderId="22" xfId="7" applyBorder="1"/>
    <xf numFmtId="0" fontId="10" fillId="0" borderId="19" xfId="7" applyFont="1" applyBorder="1" applyAlignment="1">
      <alignment horizontal="center"/>
    </xf>
    <xf numFmtId="0" fontId="21" fillId="0" borderId="7" xfId="7" applyFont="1" applyFill="1" applyBorder="1" applyAlignment="1"/>
    <xf numFmtId="0" fontId="5" fillId="12" borderId="0" xfId="0" applyFont="1" applyFill="1" applyAlignment="1">
      <alignment horizontal="left"/>
    </xf>
    <xf numFmtId="0" fontId="5" fillId="12" borderId="0" xfId="0" applyFont="1" applyFill="1"/>
    <xf numFmtId="0" fontId="18" fillId="0" borderId="0" xfId="9" quotePrefix="1" applyFont="1" applyAlignment="1"/>
    <xf numFmtId="0" fontId="6" fillId="0" borderId="0" xfId="9" applyAlignment="1"/>
    <xf numFmtId="190" fontId="5" fillId="3" borderId="44" xfId="0" applyNumberFormat="1" applyFont="1" applyFill="1" applyBorder="1" applyAlignment="1">
      <alignment horizontal="center"/>
    </xf>
    <xf numFmtId="0" fontId="5" fillId="14" borderId="5" xfId="0" applyFont="1" applyFill="1" applyBorder="1" applyAlignment="1">
      <alignment horizontal="left" vertical="center"/>
    </xf>
    <xf numFmtId="0" fontId="5" fillId="14" borderId="5" xfId="0" applyFont="1" applyFill="1" applyBorder="1" applyAlignment="1">
      <alignment horizontal="right" vertical="center"/>
    </xf>
    <xf numFmtId="0" fontId="5" fillId="15" borderId="5" xfId="0" applyFont="1" applyFill="1" applyBorder="1" applyAlignment="1">
      <alignment horizontal="left" vertical="center"/>
    </xf>
    <xf numFmtId="0" fontId="5" fillId="15" borderId="5" xfId="0" applyFont="1" applyFill="1" applyBorder="1" applyAlignment="1">
      <alignment horizontal="right" vertical="center"/>
    </xf>
    <xf numFmtId="189" fontId="5" fillId="3" borderId="6" xfId="0" applyNumberFormat="1" applyFont="1" applyFill="1" applyBorder="1" applyAlignment="1">
      <alignment horizontal="center"/>
    </xf>
    <xf numFmtId="0" fontId="3" fillId="0" borderId="0" xfId="0" applyFont="1" applyAlignment="1">
      <alignment horizontal="right" vertical="center"/>
    </xf>
    <xf numFmtId="3" fontId="3" fillId="0" borderId="0" xfId="0" applyNumberFormat="1" applyFont="1" applyAlignment="1">
      <alignment horizontal="right" vertical="center"/>
    </xf>
    <xf numFmtId="2" fontId="6" fillId="0" borderId="0" xfId="0" applyNumberFormat="1" applyFont="1"/>
    <xf numFmtId="0" fontId="6" fillId="0" borderId="0" xfId="0" applyFont="1" applyBorder="1" applyAlignment="1">
      <alignment vertical="top"/>
    </xf>
    <xf numFmtId="0" fontId="40" fillId="3" borderId="5" xfId="0" applyFont="1" applyFill="1" applyBorder="1" applyAlignment="1">
      <alignment horizontal="right"/>
    </xf>
    <xf numFmtId="0" fontId="5" fillId="3" borderId="14" xfId="0" applyFont="1" applyFill="1" applyBorder="1" applyAlignment="1">
      <alignment horizontal="left"/>
    </xf>
    <xf numFmtId="0" fontId="5" fillId="3" borderId="6" xfId="0" applyFont="1" applyFill="1" applyBorder="1" applyAlignment="1">
      <alignment horizontal="left"/>
    </xf>
    <xf numFmtId="0" fontId="97" fillId="0" borderId="0" xfId="2" applyFont="1" applyAlignment="1" applyProtection="1"/>
    <xf numFmtId="0" fontId="6" fillId="6" borderId="0" xfId="0" applyNumberFormat="1" applyFont="1" applyFill="1" applyBorder="1" applyProtection="1"/>
    <xf numFmtId="0" fontId="0" fillId="0" borderId="0" xfId="0" applyNumberFormat="1" applyFill="1"/>
    <xf numFmtId="3" fontId="135" fillId="13" borderId="11" xfId="0" applyNumberFormat="1" applyFont="1" applyFill="1" applyBorder="1" applyAlignment="1">
      <alignment horizontal="right" vertical="center"/>
    </xf>
    <xf numFmtId="0" fontId="10" fillId="15" borderId="0" xfId="0" applyFont="1" applyFill="1" applyAlignment="1">
      <alignment horizontal="center" vertical="center"/>
    </xf>
    <xf numFmtId="0" fontId="40" fillId="3" borderId="18" xfId="0" applyFont="1" applyFill="1" applyBorder="1" applyAlignment="1">
      <alignment vertical="center"/>
    </xf>
    <xf numFmtId="3" fontId="40" fillId="7" borderId="18" xfId="0" applyNumberFormat="1" applyFont="1" applyFill="1" applyBorder="1" applyAlignment="1">
      <alignment vertical="center"/>
    </xf>
    <xf numFmtId="3" fontId="40" fillId="3" borderId="18" xfId="0" applyNumberFormat="1" applyFont="1" applyFill="1" applyBorder="1" applyAlignment="1">
      <alignment vertical="center"/>
    </xf>
    <xf numFmtId="190" fontId="40" fillId="0" borderId="0" xfId="0" applyNumberFormat="1" applyFont="1" applyFill="1" applyBorder="1" applyAlignment="1">
      <alignment vertical="center"/>
    </xf>
    <xf numFmtId="0" fontId="10" fillId="0" borderId="0" xfId="0" applyFont="1" applyFill="1" applyAlignment="1">
      <alignment horizontal="center" vertical="center"/>
    </xf>
    <xf numFmtId="0" fontId="7" fillId="3" borderId="11" xfId="0" applyFont="1" applyFill="1" applyBorder="1" applyAlignment="1">
      <alignment vertical="center"/>
    </xf>
    <xf numFmtId="3" fontId="7" fillId="7" borderId="11" xfId="0" applyNumberFormat="1" applyFont="1" applyFill="1" applyBorder="1" applyAlignment="1">
      <alignment vertical="center"/>
    </xf>
    <xf numFmtId="3" fontId="7" fillId="3" borderId="11" xfId="0" applyNumberFormat="1" applyFont="1" applyFill="1" applyBorder="1" applyAlignment="1">
      <alignment vertical="center"/>
    </xf>
    <xf numFmtId="0" fontId="0" fillId="15" borderId="0" xfId="0" applyFill="1"/>
    <xf numFmtId="0" fontId="22" fillId="15" borderId="0" xfId="0" applyFont="1" applyFill="1" applyAlignment="1">
      <alignment horizontal="right"/>
    </xf>
    <xf numFmtId="0" fontId="22" fillId="0" borderId="0" xfId="0" applyFont="1" applyFill="1" applyAlignment="1">
      <alignment horizontal="right"/>
    </xf>
    <xf numFmtId="0" fontId="0" fillId="0" borderId="0" xfId="0" applyFont="1" applyAlignment="1"/>
    <xf numFmtId="190" fontId="5" fillId="13" borderId="5" xfId="0" applyNumberFormat="1" applyFont="1" applyFill="1" applyBorder="1" applyAlignment="1">
      <alignment horizontal="right"/>
    </xf>
    <xf numFmtId="190" fontId="5" fillId="13" borderId="0" xfId="0" applyNumberFormat="1" applyFont="1" applyFill="1" applyBorder="1" applyAlignment="1">
      <alignment horizontal="right"/>
    </xf>
    <xf numFmtId="190" fontId="5" fillId="13" borderId="3" xfId="0" applyNumberFormat="1" applyFont="1" applyFill="1" applyBorder="1" applyAlignment="1">
      <alignment horizontal="right" vertical="top"/>
    </xf>
    <xf numFmtId="190" fontId="5" fillId="13" borderId="6" xfId="0" applyNumberFormat="1" applyFont="1" applyFill="1" applyBorder="1" applyAlignment="1">
      <alignment vertical="center"/>
    </xf>
    <xf numFmtId="190" fontId="7" fillId="13" borderId="10" xfId="0" applyNumberFormat="1" applyFont="1" applyFill="1" applyBorder="1" applyAlignment="1">
      <alignment vertical="center"/>
    </xf>
    <xf numFmtId="190" fontId="5" fillId="13" borderId="18" xfId="0" applyNumberFormat="1" applyFont="1" applyFill="1" applyBorder="1" applyAlignment="1">
      <alignment vertical="center"/>
    </xf>
    <xf numFmtId="190" fontId="40" fillId="13" borderId="18" xfId="0" applyNumberFormat="1" applyFont="1" applyFill="1" applyBorder="1" applyAlignment="1">
      <alignment vertical="center"/>
    </xf>
    <xf numFmtId="0" fontId="5" fillId="13" borderId="5" xfId="0" applyFont="1" applyFill="1" applyBorder="1" applyAlignment="1">
      <alignment horizontal="right" vertical="center"/>
    </xf>
    <xf numFmtId="0" fontId="5" fillId="13" borderId="0" xfId="0" applyFont="1" applyFill="1" applyBorder="1" applyAlignment="1">
      <alignment horizontal="right" vertical="center"/>
    </xf>
    <xf numFmtId="0" fontId="5" fillId="13" borderId="3" xfId="0" applyFont="1" applyFill="1" applyBorder="1" applyAlignment="1">
      <alignment horizontal="right" vertical="top"/>
    </xf>
    <xf numFmtId="3" fontId="5" fillId="13" borderId="7" xfId="0" applyNumberFormat="1" applyFont="1" applyFill="1" applyBorder="1" applyAlignment="1">
      <alignment horizontal="right"/>
    </xf>
    <xf numFmtId="3" fontId="40" fillId="13" borderId="7" xfId="0" applyNumberFormat="1" applyFont="1" applyFill="1" applyBorder="1" applyAlignment="1">
      <alignment horizontal="right"/>
    </xf>
    <xf numFmtId="3" fontId="7" fillId="13" borderId="0" xfId="0" applyNumberFormat="1" applyFont="1" applyFill="1" applyBorder="1" applyAlignment="1">
      <alignment horizontal="right" vertical="center"/>
    </xf>
    <xf numFmtId="3" fontId="5" fillId="7" borderId="5" xfId="0" applyNumberFormat="1" applyFont="1" applyFill="1" applyBorder="1" applyAlignment="1">
      <alignment horizontal="left"/>
    </xf>
    <xf numFmtId="3" fontId="7" fillId="7" borderId="5" xfId="0" applyNumberFormat="1" applyFont="1" applyFill="1" applyBorder="1" applyAlignment="1">
      <alignment horizontal="right" vertical="top"/>
    </xf>
    <xf numFmtId="189" fontId="5" fillId="17" borderId="5" xfId="0" applyNumberFormat="1" applyFont="1" applyFill="1" applyBorder="1" applyAlignment="1">
      <alignment horizontal="center"/>
    </xf>
    <xf numFmtId="1" fontId="5" fillId="3" borderId="0" xfId="0" applyNumberFormat="1" applyFont="1" applyFill="1" applyBorder="1" applyAlignment="1">
      <alignment horizontal="right"/>
    </xf>
    <xf numFmtId="1" fontId="5" fillId="7" borderId="0" xfId="0" applyNumberFormat="1" applyFont="1" applyFill="1" applyBorder="1" applyAlignment="1">
      <alignment horizontal="right"/>
    </xf>
    <xf numFmtId="189" fontId="5" fillId="17" borderId="0" xfId="0" applyNumberFormat="1" applyFont="1" applyFill="1" applyBorder="1" applyAlignment="1">
      <alignment horizontal="center"/>
    </xf>
    <xf numFmtId="0" fontId="5" fillId="7" borderId="3" xfId="0" applyFont="1" applyFill="1" applyBorder="1" applyAlignment="1">
      <alignment horizontal="left"/>
    </xf>
    <xf numFmtId="3" fontId="7" fillId="7" borderId="3" xfId="0" applyNumberFormat="1" applyFont="1" applyFill="1" applyBorder="1" applyAlignment="1">
      <alignment horizontal="right" vertical="top"/>
    </xf>
    <xf numFmtId="189" fontId="5" fillId="17" borderId="3" xfId="0" applyNumberFormat="1" applyFont="1" applyFill="1" applyBorder="1" applyAlignment="1">
      <alignment horizontal="center" vertical="top"/>
    </xf>
    <xf numFmtId="189" fontId="5" fillId="7" borderId="9" xfId="0" applyNumberFormat="1" applyFont="1" applyFill="1" applyBorder="1" applyAlignment="1">
      <alignment horizontal="right"/>
    </xf>
    <xf numFmtId="189" fontId="5" fillId="3" borderId="9" xfId="0" applyNumberFormat="1" applyFont="1" applyFill="1" applyBorder="1" applyAlignment="1">
      <alignment horizontal="right"/>
    </xf>
    <xf numFmtId="190" fontId="5" fillId="17" borderId="9" xfId="0" applyNumberFormat="1" applyFont="1" applyFill="1" applyBorder="1" applyAlignment="1">
      <alignment horizontal="right" indent="3"/>
    </xf>
    <xf numFmtId="189" fontId="5" fillId="7" borderId="7" xfId="0" quotePrefix="1" applyNumberFormat="1" applyFont="1" applyFill="1" applyBorder="1" applyAlignment="1">
      <alignment horizontal="right"/>
    </xf>
    <xf numFmtId="190" fontId="5" fillId="17" borderId="7" xfId="0" quotePrefix="1" applyNumberFormat="1" applyFont="1" applyFill="1" applyBorder="1" applyAlignment="1">
      <alignment horizontal="right" indent="3"/>
    </xf>
    <xf numFmtId="190" fontId="5" fillId="17" borderId="7" xfId="0" applyNumberFormat="1" applyFont="1" applyFill="1" applyBorder="1" applyAlignment="1">
      <alignment horizontal="right" indent="3"/>
    </xf>
    <xf numFmtId="4" fontId="5" fillId="7" borderId="7" xfId="0" applyNumberFormat="1" applyFont="1" applyFill="1" applyBorder="1" applyAlignment="1">
      <alignment horizontal="right"/>
    </xf>
    <xf numFmtId="4" fontId="5" fillId="3" borderId="7" xfId="0" applyNumberFormat="1" applyFont="1" applyFill="1" applyBorder="1" applyAlignment="1">
      <alignment horizontal="right"/>
    </xf>
    <xf numFmtId="0" fontId="141" fillId="0" borderId="0" xfId="0" applyFont="1" applyAlignment="1">
      <alignment horizontal="right"/>
    </xf>
    <xf numFmtId="3" fontId="141" fillId="0" borderId="0" xfId="0" applyNumberFormat="1" applyFont="1" applyAlignment="1">
      <alignment horizontal="right"/>
    </xf>
    <xf numFmtId="0" fontId="5" fillId="0" borderId="0" xfId="0" applyFont="1" applyBorder="1" applyAlignment="1">
      <alignment horizontal="right"/>
    </xf>
    <xf numFmtId="188" fontId="7" fillId="3" borderId="0" xfId="0" applyNumberFormat="1" applyFont="1" applyFill="1" applyBorder="1" applyAlignment="1">
      <alignment horizontal="left" vertical="center"/>
    </xf>
    <xf numFmtId="189" fontId="61" fillId="7" borderId="0" xfId="0" applyNumberFormat="1" applyFont="1" applyFill="1" applyBorder="1" applyAlignment="1">
      <alignment horizontal="right" vertical="center"/>
    </xf>
    <xf numFmtId="189" fontId="61" fillId="3" borderId="0" xfId="0" applyNumberFormat="1" applyFont="1" applyFill="1" applyBorder="1" applyAlignment="1">
      <alignment horizontal="right" vertical="center"/>
    </xf>
    <xf numFmtId="189" fontId="61" fillId="3" borderId="10" xfId="0" applyNumberFormat="1" applyFont="1" applyFill="1" applyBorder="1" applyAlignment="1">
      <alignment horizontal="right" vertical="center"/>
    </xf>
    <xf numFmtId="189" fontId="61" fillId="7" borderId="10" xfId="0" applyNumberFormat="1" applyFont="1" applyFill="1" applyBorder="1" applyAlignment="1">
      <alignment horizontal="right" vertical="center"/>
    </xf>
    <xf numFmtId="190" fontId="61" fillId="17" borderId="0" xfId="0" applyNumberFormat="1" applyFont="1" applyFill="1" applyBorder="1" applyAlignment="1">
      <alignment horizontal="right" vertical="center" indent="3"/>
    </xf>
    <xf numFmtId="2" fontId="6" fillId="0" borderId="8" xfId="0" applyNumberFormat="1" applyFont="1" applyBorder="1"/>
    <xf numFmtId="3" fontId="5" fillId="0" borderId="8" xfId="0" applyNumberFormat="1" applyFont="1" applyBorder="1" applyAlignment="1">
      <alignment horizontal="center" vertical="top"/>
    </xf>
    <xf numFmtId="2" fontId="6" fillId="0" borderId="0" xfId="0" applyNumberFormat="1" applyFont="1" applyBorder="1"/>
    <xf numFmtId="3" fontId="5" fillId="0" borderId="0" xfId="0" applyNumberFormat="1" applyFont="1" applyBorder="1" applyAlignment="1">
      <alignment horizontal="center" vertical="top"/>
    </xf>
    <xf numFmtId="0" fontId="6" fillId="6" borderId="0" xfId="26" applyFont="1" applyFill="1" applyAlignment="1"/>
    <xf numFmtId="0" fontId="1" fillId="6" borderId="0" xfId="26" applyFont="1" applyFill="1"/>
    <xf numFmtId="0" fontId="6" fillId="6" borderId="0" xfId="26" applyFont="1" applyFill="1" applyProtection="1"/>
    <xf numFmtId="0" fontId="3" fillId="0" borderId="0" xfId="0" applyFont="1" applyFill="1" applyBorder="1"/>
    <xf numFmtId="0" fontId="5" fillId="7" borderId="5" xfId="0" applyFont="1" applyFill="1" applyBorder="1" applyAlignment="1">
      <alignment horizontal="right" vertical="top"/>
    </xf>
    <xf numFmtId="3" fontId="5" fillId="3" borderId="0" xfId="0" applyNumberFormat="1" applyFont="1" applyFill="1" applyBorder="1" applyAlignment="1">
      <alignment horizontal="center"/>
    </xf>
    <xf numFmtId="3" fontId="7" fillId="7" borderId="0" xfId="0" applyNumberFormat="1" applyFont="1" applyFill="1" applyBorder="1" applyAlignment="1">
      <alignment horizontal="right"/>
    </xf>
    <xf numFmtId="0" fontId="5" fillId="0" borderId="0" xfId="0" applyFont="1" applyFill="1" applyBorder="1" applyAlignment="1">
      <alignment horizontal="center"/>
    </xf>
    <xf numFmtId="0" fontId="5" fillId="7" borderId="0" xfId="0" quotePrefix="1" applyFont="1" applyFill="1" applyBorder="1" applyAlignment="1">
      <alignment horizontal="right" vertical="top"/>
    </xf>
    <xf numFmtId="0" fontId="5" fillId="3" borderId="0" xfId="0" applyFont="1" applyFill="1" applyBorder="1" applyAlignment="1">
      <alignment horizontal="center" vertical="top"/>
    </xf>
    <xf numFmtId="3" fontId="7" fillId="7" borderId="0" xfId="0" applyNumberFormat="1" applyFont="1" applyFill="1" applyBorder="1" applyAlignment="1">
      <alignment horizontal="center" vertical="top"/>
    </xf>
    <xf numFmtId="0" fontId="5" fillId="0" borderId="0" xfId="0" applyFont="1" applyFill="1" applyBorder="1" applyAlignment="1">
      <alignment horizontal="center" vertical="top"/>
    </xf>
    <xf numFmtId="3" fontId="6" fillId="0" borderId="0" xfId="0" applyNumberFormat="1" applyFont="1" applyAlignment="1">
      <alignment vertical="top"/>
    </xf>
    <xf numFmtId="3" fontId="7" fillId="7" borderId="9" xfId="0" applyNumberFormat="1" applyFont="1" applyFill="1" applyBorder="1" applyAlignment="1">
      <alignment horizontal="right"/>
    </xf>
    <xf numFmtId="190" fontId="5" fillId="0" borderId="0" xfId="0" applyNumberFormat="1" applyFont="1" applyFill="1" applyBorder="1" applyAlignment="1">
      <alignment horizontal="center"/>
    </xf>
    <xf numFmtId="3" fontId="7" fillId="7" borderId="7" xfId="0" quotePrefix="1" applyNumberFormat="1" applyFont="1" applyFill="1" applyBorder="1" applyAlignment="1">
      <alignment horizontal="right"/>
    </xf>
    <xf numFmtId="3" fontId="61" fillId="7" borderId="0" xfId="0" applyNumberFormat="1" applyFont="1" applyFill="1" applyBorder="1" applyAlignment="1">
      <alignment horizontal="right" vertical="center"/>
    </xf>
    <xf numFmtId="190" fontId="61" fillId="3" borderId="0" xfId="0" applyNumberFormat="1" applyFont="1" applyFill="1" applyBorder="1" applyAlignment="1">
      <alignment horizontal="center" vertical="center"/>
    </xf>
    <xf numFmtId="190" fontId="61" fillId="17" borderId="10" xfId="0" applyNumberFormat="1" applyFont="1" applyFill="1" applyBorder="1" applyAlignment="1">
      <alignment horizontal="right" vertical="center" indent="3"/>
    </xf>
    <xf numFmtId="190" fontId="7" fillId="0" borderId="0" xfId="0" applyNumberFormat="1" applyFont="1" applyFill="1" applyBorder="1" applyAlignment="1">
      <alignment horizontal="center" vertical="center"/>
    </xf>
    <xf numFmtId="0" fontId="7" fillId="0" borderId="0" xfId="0" applyFont="1" applyFill="1" applyBorder="1" applyAlignment="1">
      <alignment horizontal="center" vertical="center"/>
    </xf>
    <xf numFmtId="0" fontId="5" fillId="0" borderId="0" xfId="0" applyFont="1" applyFill="1" applyBorder="1" applyAlignment="1">
      <alignment horizontal="right" vertical="center"/>
    </xf>
    <xf numFmtId="0" fontId="7" fillId="7" borderId="0" xfId="0" applyNumberFormat="1" applyFont="1" applyFill="1" applyBorder="1" applyAlignment="1">
      <alignment horizontal="right"/>
    </xf>
    <xf numFmtId="0" fontId="7" fillId="3" borderId="0" xfId="0" applyNumberFormat="1" applyFont="1" applyFill="1" applyBorder="1" applyAlignment="1">
      <alignment horizontal="right"/>
    </xf>
    <xf numFmtId="0" fontId="7" fillId="0" borderId="0" xfId="0" applyNumberFormat="1" applyFont="1" applyFill="1" applyBorder="1" applyAlignment="1">
      <alignment horizontal="right"/>
    </xf>
    <xf numFmtId="3" fontId="5" fillId="0" borderId="0" xfId="0" applyNumberFormat="1" applyFont="1" applyFill="1" applyBorder="1" applyAlignment="1">
      <alignment horizontal="right"/>
    </xf>
    <xf numFmtId="188" fontId="6" fillId="0" borderId="0" xfId="0" applyNumberFormat="1" applyFont="1" applyBorder="1"/>
    <xf numFmtId="0" fontId="40" fillId="7" borderId="5" xfId="0" applyFont="1" applyFill="1" applyBorder="1" applyAlignment="1">
      <alignment horizontal="center"/>
    </xf>
    <xf numFmtId="3" fontId="5" fillId="7" borderId="0" xfId="0" applyNumberFormat="1" applyFont="1" applyFill="1" applyBorder="1" applyAlignment="1">
      <alignment horizontal="center"/>
    </xf>
    <xf numFmtId="3" fontId="7" fillId="7" borderId="0" xfId="0" applyNumberFormat="1" applyFont="1" applyFill="1" applyBorder="1" applyAlignment="1">
      <alignment horizontal="right" vertical="top"/>
    </xf>
    <xf numFmtId="3" fontId="5" fillId="7" borderId="0" xfId="0" applyNumberFormat="1" applyFont="1" applyFill="1" applyBorder="1" applyAlignment="1">
      <alignment horizontal="center" vertical="top"/>
    </xf>
    <xf numFmtId="3" fontId="7" fillId="7" borderId="9" xfId="0" applyNumberFormat="1" applyFont="1" applyFill="1" applyBorder="1"/>
    <xf numFmtId="3" fontId="5" fillId="7" borderId="9" xfId="0" applyNumberFormat="1" applyFont="1" applyFill="1" applyBorder="1" applyAlignment="1">
      <alignment horizontal="center"/>
    </xf>
    <xf numFmtId="3" fontId="5" fillId="3" borderId="9" xfId="0" applyNumberFormat="1" applyFont="1" applyFill="1" applyBorder="1" applyAlignment="1">
      <alignment horizontal="right" indent="3"/>
    </xf>
    <xf numFmtId="3" fontId="7" fillId="7" borderId="7" xfId="0" applyNumberFormat="1" applyFont="1" applyFill="1" applyBorder="1"/>
    <xf numFmtId="3" fontId="5" fillId="7" borderId="7" xfId="0" applyNumberFormat="1" applyFont="1" applyFill="1" applyBorder="1" applyAlignment="1">
      <alignment horizontal="center"/>
    </xf>
    <xf numFmtId="3" fontId="5" fillId="7" borderId="14" xfId="0" applyNumberFormat="1" applyFont="1" applyFill="1" applyBorder="1" applyAlignment="1">
      <alignment horizontal="center"/>
    </xf>
    <xf numFmtId="3" fontId="5" fillId="3" borderId="5" xfId="0" applyNumberFormat="1" applyFont="1" applyFill="1" applyBorder="1" applyAlignment="1">
      <alignment horizontal="right" indent="3"/>
    </xf>
    <xf numFmtId="190" fontId="5" fillId="7" borderId="14" xfId="0" applyNumberFormat="1" applyFont="1" applyFill="1" applyBorder="1" applyAlignment="1">
      <alignment horizontal="center"/>
    </xf>
    <xf numFmtId="3" fontId="5" fillId="7" borderId="44" xfId="0" applyNumberFormat="1" applyFont="1" applyFill="1" applyBorder="1" applyAlignment="1">
      <alignment horizontal="center"/>
    </xf>
    <xf numFmtId="3" fontId="5" fillId="3" borderId="44" xfId="0" applyNumberFormat="1" applyFont="1" applyFill="1" applyBorder="1" applyAlignment="1">
      <alignment horizontal="right" indent="3"/>
    </xf>
    <xf numFmtId="3" fontId="5" fillId="7" borderId="6" xfId="0" applyNumberFormat="1" applyFont="1" applyFill="1" applyBorder="1" applyAlignment="1">
      <alignment horizontal="center"/>
    </xf>
    <xf numFmtId="3" fontId="5" fillId="3" borderId="6" xfId="0" applyNumberFormat="1" applyFont="1" applyFill="1" applyBorder="1" applyAlignment="1">
      <alignment horizontal="right" indent="3"/>
    </xf>
    <xf numFmtId="190" fontId="7" fillId="3" borderId="9" xfId="0" applyNumberFormat="1" applyFont="1" applyFill="1" applyBorder="1" applyAlignment="1">
      <alignment horizontal="right" vertical="center" indent="3"/>
    </xf>
    <xf numFmtId="3" fontId="7" fillId="3" borderId="9" xfId="0" applyNumberFormat="1" applyFont="1" applyFill="1" applyBorder="1" applyAlignment="1">
      <alignment horizontal="right" vertical="center" indent="3"/>
    </xf>
    <xf numFmtId="0" fontId="5" fillId="7" borderId="0" xfId="0" applyFont="1" applyFill="1" applyBorder="1" applyAlignment="1">
      <alignment horizontal="center" vertical="top"/>
    </xf>
    <xf numFmtId="3" fontId="7" fillId="3" borderId="0" xfId="0" applyNumberFormat="1" applyFont="1" applyFill="1" applyBorder="1" applyAlignment="1">
      <alignment horizontal="right" vertical="top"/>
    </xf>
    <xf numFmtId="3" fontId="7" fillId="3" borderId="9" xfId="0" applyNumberFormat="1" applyFont="1" applyFill="1" applyBorder="1"/>
    <xf numFmtId="3" fontId="5" fillId="7" borderId="7" xfId="0" quotePrefix="1" applyNumberFormat="1" applyFont="1" applyFill="1" applyBorder="1"/>
    <xf numFmtId="3" fontId="7" fillId="3" borderId="7" xfId="0" applyNumberFormat="1" applyFont="1" applyFill="1" applyBorder="1"/>
    <xf numFmtId="0" fontId="3" fillId="0" borderId="0" xfId="0" applyFont="1" applyFill="1" applyAlignment="1">
      <alignment horizontal="right"/>
    </xf>
    <xf numFmtId="0" fontId="3" fillId="0" borderId="0" xfId="0" applyFont="1" applyFill="1" applyAlignment="1">
      <alignment horizontal="left"/>
    </xf>
    <xf numFmtId="0" fontId="4" fillId="11" borderId="0" xfId="0" applyFont="1" applyFill="1" applyBorder="1" applyAlignment="1">
      <alignment horizontal="right" vertical="top"/>
    </xf>
    <xf numFmtId="0" fontId="0" fillId="11" borderId="0" xfId="0" applyFill="1" applyBorder="1" applyAlignment="1">
      <alignment horizontal="right"/>
    </xf>
    <xf numFmtId="0" fontId="5" fillId="11" borderId="0" xfId="0" applyFont="1" applyFill="1" applyBorder="1" applyAlignment="1">
      <alignment horizontal="right"/>
    </xf>
    <xf numFmtId="3" fontId="5" fillId="3" borderId="0" xfId="0" applyNumberFormat="1" applyFont="1" applyFill="1" applyBorder="1" applyAlignment="1">
      <alignment horizontal="right" vertical="center"/>
    </xf>
    <xf numFmtId="3" fontId="5" fillId="7" borderId="3" xfId="0" applyNumberFormat="1" applyFont="1" applyFill="1" applyBorder="1" applyAlignment="1">
      <alignment horizontal="right" vertical="center"/>
    </xf>
    <xf numFmtId="3" fontId="5" fillId="3" borderId="0" xfId="0" applyNumberFormat="1" applyFont="1" applyFill="1" applyBorder="1" applyAlignment="1">
      <alignment horizontal="right" vertical="top"/>
    </xf>
    <xf numFmtId="3" fontId="5" fillId="11" borderId="0" xfId="0" applyNumberFormat="1" applyFont="1" applyFill="1" applyBorder="1" applyAlignment="1">
      <alignment horizontal="right" vertical="top"/>
    </xf>
    <xf numFmtId="189" fontId="5" fillId="7" borderId="9" xfId="0" applyNumberFormat="1" applyFont="1" applyFill="1" applyBorder="1"/>
    <xf numFmtId="189" fontId="5" fillId="3" borderId="9" xfId="0" applyNumberFormat="1" applyFont="1" applyFill="1" applyBorder="1"/>
    <xf numFmtId="189" fontId="7" fillId="7" borderId="9" xfId="0" applyNumberFormat="1" applyFont="1" applyFill="1" applyBorder="1" applyAlignment="1">
      <alignment horizontal="right"/>
    </xf>
    <xf numFmtId="189" fontId="5" fillId="11" borderId="0" xfId="0" applyNumberFormat="1" applyFont="1" applyFill="1" applyBorder="1" applyAlignment="1">
      <alignment horizontal="right"/>
    </xf>
    <xf numFmtId="189" fontId="6" fillId="0" borderId="0" xfId="0" applyNumberFormat="1" applyFont="1"/>
    <xf numFmtId="189" fontId="40" fillId="7" borderId="9" xfId="0" applyNumberFormat="1" applyFont="1" applyFill="1" applyBorder="1" applyAlignment="1">
      <alignment vertical="center"/>
    </xf>
    <xf numFmtId="189" fontId="40" fillId="3" borderId="9" xfId="0" applyNumberFormat="1" applyFont="1" applyFill="1" applyBorder="1" applyAlignment="1">
      <alignment vertical="center"/>
    </xf>
    <xf numFmtId="189" fontId="5" fillId="3" borderId="9" xfId="0" applyNumberFormat="1" applyFont="1" applyFill="1" applyBorder="1" applyAlignment="1">
      <alignment horizontal="right" vertical="center"/>
    </xf>
    <xf numFmtId="189" fontId="7" fillId="7" borderId="9" xfId="0" applyNumberFormat="1" applyFont="1" applyFill="1" applyBorder="1" applyAlignment="1">
      <alignment horizontal="right" vertical="center"/>
    </xf>
    <xf numFmtId="189" fontId="40" fillId="3" borderId="9" xfId="0" applyNumberFormat="1" applyFont="1" applyFill="1" applyBorder="1" applyAlignment="1">
      <alignment horizontal="right" vertical="center"/>
    </xf>
    <xf numFmtId="189" fontId="40" fillId="7" borderId="9" xfId="0" applyNumberFormat="1" applyFont="1" applyFill="1" applyBorder="1" applyAlignment="1">
      <alignment horizontal="right" vertical="center"/>
    </xf>
    <xf numFmtId="189" fontId="40" fillId="3" borderId="10" xfId="0" applyNumberFormat="1" applyFont="1" applyFill="1" applyBorder="1" applyAlignment="1">
      <alignment horizontal="right" vertical="center"/>
    </xf>
    <xf numFmtId="189" fontId="7" fillId="11" borderId="0" xfId="0" applyNumberFormat="1" applyFont="1" applyFill="1" applyBorder="1" applyAlignment="1">
      <alignment horizontal="right" vertical="center"/>
    </xf>
    <xf numFmtId="0" fontId="5" fillId="3" borderId="17" xfId="0" applyFont="1" applyFill="1" applyBorder="1" applyAlignment="1">
      <alignment horizontal="left"/>
    </xf>
    <xf numFmtId="0" fontId="5" fillId="7" borderId="5" xfId="0" applyFont="1" applyFill="1" applyBorder="1" applyAlignment="1"/>
    <xf numFmtId="0" fontId="5" fillId="7" borderId="5" xfId="0" applyFont="1" applyFill="1" applyBorder="1" applyAlignment="1">
      <alignment vertical="top"/>
    </xf>
    <xf numFmtId="0" fontId="5" fillId="7" borderId="17" xfId="0" applyFont="1" applyFill="1" applyBorder="1" applyAlignment="1">
      <alignment vertical="top"/>
    </xf>
    <xf numFmtId="3" fontId="7" fillId="3" borderId="0" xfId="0" applyNumberFormat="1" applyFont="1" applyFill="1" applyBorder="1" applyAlignment="1"/>
    <xf numFmtId="0" fontId="5" fillId="7" borderId="0" xfId="0" applyFont="1" applyFill="1" applyAlignment="1">
      <alignment horizontal="center"/>
    </xf>
    <xf numFmtId="0" fontId="5" fillId="3" borderId="16" xfId="0" applyFont="1" applyFill="1" applyBorder="1" applyAlignment="1">
      <alignment horizontal="left"/>
    </xf>
    <xf numFmtId="0" fontId="5" fillId="7" borderId="2" xfId="0" applyFont="1" applyFill="1" applyBorder="1" applyAlignment="1">
      <alignment vertical="top"/>
    </xf>
    <xf numFmtId="0" fontId="5" fillId="7" borderId="0" xfId="0" applyFont="1" applyFill="1" applyBorder="1" applyAlignment="1">
      <alignment vertical="top"/>
    </xf>
    <xf numFmtId="0" fontId="5" fillId="7" borderId="16" xfId="0" applyFont="1" applyFill="1" applyBorder="1" applyAlignment="1">
      <alignment vertical="top"/>
    </xf>
    <xf numFmtId="0" fontId="5" fillId="7" borderId="24" xfId="0" applyFont="1" applyFill="1" applyBorder="1" applyAlignment="1">
      <alignment vertical="top"/>
    </xf>
    <xf numFmtId="0" fontId="5" fillId="7" borderId="3" xfId="0" applyFont="1" applyFill="1" applyBorder="1" applyAlignment="1">
      <alignment vertical="top"/>
    </xf>
    <xf numFmtId="0" fontId="5" fillId="7" borderId="22" xfId="0" applyFont="1" applyFill="1" applyBorder="1" applyAlignment="1">
      <alignment vertical="top"/>
    </xf>
    <xf numFmtId="0" fontId="7" fillId="3" borderId="0" xfId="0" applyFont="1" applyFill="1" applyBorder="1" applyAlignment="1"/>
    <xf numFmtId="0" fontId="5" fillId="7" borderId="23" xfId="0" applyFont="1" applyFill="1" applyBorder="1" applyAlignment="1">
      <alignment horizontal="center"/>
    </xf>
    <xf numFmtId="0" fontId="28" fillId="3" borderId="25" xfId="0" applyFont="1" applyFill="1" applyBorder="1" applyAlignment="1">
      <alignment horizontal="center"/>
    </xf>
    <xf numFmtId="0" fontId="5" fillId="7" borderId="25" xfId="0" applyFont="1" applyFill="1" applyBorder="1" applyAlignment="1">
      <alignment horizontal="center"/>
    </xf>
    <xf numFmtId="0" fontId="5" fillId="7" borderId="2" xfId="0" applyFont="1" applyFill="1" applyBorder="1" applyAlignment="1">
      <alignment horizontal="center"/>
    </xf>
    <xf numFmtId="3" fontId="5" fillId="3" borderId="26" xfId="0" applyNumberFormat="1" applyFont="1" applyFill="1" applyBorder="1" applyAlignment="1">
      <alignment horizontal="center"/>
    </xf>
    <xf numFmtId="0" fontId="5" fillId="7" borderId="26" xfId="0" applyFont="1" applyFill="1" applyBorder="1" applyAlignment="1">
      <alignment horizontal="center"/>
    </xf>
    <xf numFmtId="0" fontId="5" fillId="18" borderId="26" xfId="0" applyFont="1" applyFill="1" applyBorder="1" applyAlignment="1">
      <alignment horizontal="center"/>
    </xf>
    <xf numFmtId="0" fontId="5" fillId="3" borderId="26" xfId="0" applyFont="1" applyFill="1" applyBorder="1" applyAlignment="1">
      <alignment horizontal="center" vertical="top"/>
    </xf>
    <xf numFmtId="0" fontId="5" fillId="3" borderId="26" xfId="0" applyFont="1" applyFill="1" applyBorder="1" applyAlignment="1">
      <alignment horizontal="center"/>
    </xf>
    <xf numFmtId="0" fontId="5" fillId="3" borderId="21" xfId="0" applyFont="1" applyFill="1" applyBorder="1" applyAlignment="1">
      <alignment horizontal="center" vertical="top"/>
    </xf>
    <xf numFmtId="0" fontId="5" fillId="3" borderId="21" xfId="0" applyFont="1" applyFill="1" applyBorder="1" applyAlignment="1">
      <alignment vertical="top"/>
    </xf>
    <xf numFmtId="0" fontId="5" fillId="7" borderId="21" xfId="0" applyFont="1" applyFill="1" applyBorder="1" applyAlignment="1">
      <alignment horizontal="center" vertical="top"/>
    </xf>
    <xf numFmtId="3" fontId="7" fillId="3" borderId="3" xfId="0" applyNumberFormat="1" applyFont="1" applyFill="1" applyBorder="1" applyAlignment="1">
      <alignment vertical="top"/>
    </xf>
    <xf numFmtId="3" fontId="7" fillId="3" borderId="6" xfId="0" applyNumberFormat="1" applyFont="1" applyFill="1" applyBorder="1" applyAlignment="1">
      <alignment horizontal="right"/>
    </xf>
    <xf numFmtId="190" fontId="5" fillId="7" borderId="9" xfId="0" applyNumberFormat="1" applyFont="1" applyFill="1" applyBorder="1" applyAlignment="1">
      <alignment horizontal="right" indent="2"/>
    </xf>
    <xf numFmtId="3" fontId="7" fillId="3" borderId="27" xfId="0" applyNumberFormat="1" applyFont="1" applyFill="1" applyBorder="1" applyAlignment="1">
      <alignment vertical="center"/>
    </xf>
    <xf numFmtId="3" fontId="40" fillId="7" borderId="0" xfId="0" applyNumberFormat="1" applyFont="1" applyFill="1" applyBorder="1" applyAlignment="1">
      <alignment horizontal="right" vertical="center"/>
    </xf>
    <xf numFmtId="3" fontId="40" fillId="3" borderId="0" xfId="0" applyNumberFormat="1" applyFont="1" applyFill="1" applyBorder="1" applyAlignment="1">
      <alignment horizontal="right" vertical="center"/>
    </xf>
    <xf numFmtId="190" fontId="7" fillId="7" borderId="10" xfId="0" applyNumberFormat="1" applyFont="1" applyFill="1" applyBorder="1" applyAlignment="1">
      <alignment horizontal="right" vertical="center" indent="2"/>
    </xf>
    <xf numFmtId="3" fontId="5" fillId="3" borderId="18" xfId="0" applyNumberFormat="1" applyFont="1" applyFill="1" applyBorder="1" applyAlignment="1">
      <alignment vertical="center" wrapText="1"/>
    </xf>
    <xf numFmtId="189" fontId="40" fillId="7" borderId="18" xfId="0" applyNumberFormat="1" applyFont="1" applyFill="1" applyBorder="1" applyAlignment="1">
      <alignment horizontal="right" vertical="center"/>
    </xf>
    <xf numFmtId="189" fontId="7" fillId="7" borderId="18" xfId="0" applyNumberFormat="1" applyFont="1" applyFill="1" applyBorder="1" applyAlignment="1">
      <alignment horizontal="right" vertical="center"/>
    </xf>
    <xf numFmtId="190" fontId="7" fillId="7" borderId="18" xfId="0" applyNumberFormat="1" applyFont="1" applyFill="1" applyBorder="1" applyAlignment="1">
      <alignment horizontal="center" vertical="center"/>
    </xf>
    <xf numFmtId="0" fontId="5" fillId="3" borderId="5" xfId="0" applyFont="1" applyFill="1" applyBorder="1" applyAlignment="1">
      <alignment horizontal="center" vertical="center"/>
    </xf>
    <xf numFmtId="189" fontId="40" fillId="7" borderId="6" xfId="0" applyNumberFormat="1" applyFont="1" applyFill="1" applyBorder="1" applyAlignment="1">
      <alignment horizontal="right"/>
    </xf>
    <xf numFmtId="189" fontId="40" fillId="7" borderId="9" xfId="0" applyNumberFormat="1" applyFont="1" applyFill="1" applyBorder="1" applyAlignment="1">
      <alignment horizontal="right"/>
    </xf>
    <xf numFmtId="189" fontId="5" fillId="0" borderId="0" xfId="0" applyNumberFormat="1" applyFont="1"/>
    <xf numFmtId="10" fontId="6" fillId="0" borderId="0" xfId="0" applyNumberFormat="1" applyFont="1"/>
    <xf numFmtId="3" fontId="5" fillId="3" borderId="5" xfId="0" applyNumberFormat="1" applyFont="1" applyFill="1" applyBorder="1" applyAlignment="1">
      <alignment horizontal="right" vertical="center"/>
    </xf>
    <xf numFmtId="3" fontId="5" fillId="7" borderId="5" xfId="0" applyNumberFormat="1" applyFont="1" applyFill="1" applyBorder="1" applyAlignment="1">
      <alignment horizontal="right" vertical="center"/>
    </xf>
    <xf numFmtId="3" fontId="5" fillId="3" borderId="3" xfId="0" applyNumberFormat="1" applyFont="1" applyFill="1" applyBorder="1" applyAlignment="1">
      <alignment horizontal="right" vertical="center"/>
    </xf>
    <xf numFmtId="190" fontId="5" fillId="3" borderId="43" xfId="0" applyNumberFormat="1" applyFont="1" applyFill="1" applyBorder="1" applyAlignment="1">
      <alignment horizontal="right"/>
    </xf>
    <xf numFmtId="3" fontId="5" fillId="7" borderId="43" xfId="0" applyNumberFormat="1" applyFont="1" applyFill="1" applyBorder="1" applyAlignment="1">
      <alignment horizontal="right"/>
    </xf>
    <xf numFmtId="3" fontId="5" fillId="3" borderId="43" xfId="0" applyNumberFormat="1" applyFont="1" applyFill="1" applyBorder="1" applyAlignment="1">
      <alignment horizontal="right"/>
    </xf>
    <xf numFmtId="3" fontId="7" fillId="7" borderId="9" xfId="0" applyNumberFormat="1" applyFont="1" applyFill="1" applyBorder="1" applyAlignment="1">
      <alignment horizontal="right" vertical="center"/>
    </xf>
    <xf numFmtId="0" fontId="142" fillId="0" borderId="0" xfId="0" applyFont="1"/>
    <xf numFmtId="3" fontId="7" fillId="7" borderId="6" xfId="0" applyNumberFormat="1" applyFont="1" applyFill="1" applyBorder="1" applyAlignment="1">
      <alignment horizontal="right" vertical="center"/>
    </xf>
    <xf numFmtId="0" fontId="99" fillId="0" borderId="0" xfId="0" applyFont="1"/>
    <xf numFmtId="0" fontId="3" fillId="0" borderId="0" xfId="0" applyFont="1" applyAlignment="1"/>
    <xf numFmtId="2" fontId="6" fillId="0" borderId="0" xfId="9" applyNumberFormat="1" applyFont="1"/>
    <xf numFmtId="0" fontId="59" fillId="0" borderId="0" xfId="9" applyFont="1"/>
    <xf numFmtId="190" fontId="135" fillId="3" borderId="9" xfId="0" applyNumberFormat="1" applyFont="1" applyFill="1" applyBorder="1" applyAlignment="1">
      <alignment horizontal="right" vertical="center"/>
    </xf>
    <xf numFmtId="189" fontId="135" fillId="7" borderId="10" xfId="0" applyNumberFormat="1" applyFont="1" applyFill="1" applyBorder="1" applyAlignment="1">
      <alignment horizontal="right" vertical="center"/>
    </xf>
    <xf numFmtId="0" fontId="4" fillId="0" borderId="0" xfId="16" applyFont="1"/>
    <xf numFmtId="0" fontId="47" fillId="0" borderId="0" xfId="16"/>
    <xf numFmtId="0" fontId="101" fillId="0" borderId="0" xfId="16" applyFont="1" applyFill="1"/>
    <xf numFmtId="0" fontId="102" fillId="0" borderId="0" xfId="16" applyFont="1" applyFill="1"/>
    <xf numFmtId="0" fontId="102" fillId="0" borderId="0" xfId="16" applyFont="1"/>
    <xf numFmtId="0" fontId="47" fillId="0" borderId="0" xfId="16" applyFont="1"/>
    <xf numFmtId="0" fontId="47" fillId="0" borderId="11" xfId="16" applyBorder="1"/>
    <xf numFmtId="0" fontId="47" fillId="0" borderId="0" xfId="16" applyFill="1"/>
    <xf numFmtId="0" fontId="47" fillId="11" borderId="0" xfId="16" applyFill="1" applyBorder="1"/>
    <xf numFmtId="0" fontId="47" fillId="11" borderId="0" xfId="16" applyFont="1" applyFill="1" applyBorder="1"/>
    <xf numFmtId="0" fontId="10" fillId="11" borderId="0" xfId="16" applyFont="1" applyFill="1" applyBorder="1"/>
    <xf numFmtId="0" fontId="6" fillId="7" borderId="0" xfId="16" applyFont="1" applyFill="1" applyAlignment="1">
      <alignment horizontal="right"/>
    </xf>
    <xf numFmtId="0" fontId="6" fillId="3" borderId="0" xfId="16" applyFont="1" applyFill="1" applyAlignment="1">
      <alignment horizontal="right"/>
    </xf>
    <xf numFmtId="190" fontId="21" fillId="3" borderId="0" xfId="16" applyNumberFormat="1" applyFont="1" applyFill="1" applyBorder="1" applyAlignment="1">
      <alignment horizontal="center"/>
    </xf>
    <xf numFmtId="190" fontId="21" fillId="7" borderId="0" xfId="16" applyNumberFormat="1" applyFont="1" applyFill="1" applyBorder="1" applyAlignment="1">
      <alignment horizontal="center"/>
    </xf>
    <xf numFmtId="0" fontId="47" fillId="0" borderId="0" xfId="16" applyAlignment="1">
      <alignment horizontal="right"/>
    </xf>
    <xf numFmtId="2" fontId="47" fillId="11" borderId="0" xfId="16" applyNumberFormat="1" applyFill="1" applyBorder="1"/>
    <xf numFmtId="189" fontId="47" fillId="11" borderId="0" xfId="16" applyNumberFormat="1" applyFill="1" applyBorder="1" applyAlignment="1">
      <alignment horizontal="right"/>
    </xf>
    <xf numFmtId="0" fontId="6" fillId="11" borderId="0" xfId="16" applyFont="1" applyFill="1" applyBorder="1" applyAlignment="1">
      <alignment horizontal="right"/>
    </xf>
    <xf numFmtId="2" fontId="47" fillId="11" borderId="0" xfId="16" applyNumberFormat="1" applyFill="1" applyBorder="1" applyAlignment="1">
      <alignment horizontal="right"/>
    </xf>
    <xf numFmtId="2" fontId="47" fillId="0" borderId="0" xfId="16" applyNumberFormat="1" applyAlignment="1">
      <alignment horizontal="right"/>
    </xf>
    <xf numFmtId="0" fontId="10" fillId="7" borderId="0" xfId="16" applyFont="1" applyFill="1" applyBorder="1" applyAlignment="1">
      <alignment horizontal="left"/>
    </xf>
    <xf numFmtId="0" fontId="6" fillId="7" borderId="0" xfId="16" applyFont="1" applyFill="1" applyBorder="1" applyAlignment="1">
      <alignment horizontal="right"/>
    </xf>
    <xf numFmtId="0" fontId="10" fillId="3" borderId="0" xfId="16" applyFont="1" applyFill="1" applyAlignment="1">
      <alignment horizontal="center"/>
    </xf>
    <xf numFmtId="0" fontId="10" fillId="7" borderId="0" xfId="16" applyFont="1" applyFill="1" applyAlignment="1">
      <alignment horizontal="center"/>
    </xf>
    <xf numFmtId="0" fontId="10" fillId="13" borderId="0" xfId="16" applyFont="1" applyFill="1" applyAlignment="1">
      <alignment horizontal="center"/>
    </xf>
    <xf numFmtId="189" fontId="47" fillId="11" borderId="0" xfId="16" applyNumberFormat="1" applyFill="1" applyBorder="1"/>
    <xf numFmtId="0" fontId="10" fillId="11" borderId="0" xfId="16" applyFont="1" applyFill="1" applyBorder="1" applyAlignment="1">
      <alignment horizontal="center"/>
    </xf>
    <xf numFmtId="0" fontId="10" fillId="7" borderId="0" xfId="16" applyFont="1" applyFill="1" applyBorder="1"/>
    <xf numFmtId="0" fontId="6" fillId="3" borderId="0" xfId="16" applyFont="1" applyFill="1" applyBorder="1" applyAlignment="1">
      <alignment horizontal="center"/>
    </xf>
    <xf numFmtId="0" fontId="6" fillId="7" borderId="0" xfId="16" applyFont="1" applyFill="1" applyBorder="1" applyAlignment="1">
      <alignment horizontal="center"/>
    </xf>
    <xf numFmtId="190" fontId="21" fillId="3" borderId="0" xfId="16" applyNumberFormat="1" applyFont="1" applyFill="1" applyBorder="1" applyAlignment="1">
      <alignment horizontal="center" vertical="top"/>
    </xf>
    <xf numFmtId="190" fontId="21" fillId="7" borderId="0" xfId="16" applyNumberFormat="1" applyFont="1" applyFill="1" applyBorder="1" applyAlignment="1">
      <alignment horizontal="center" vertical="top"/>
    </xf>
    <xf numFmtId="0" fontId="103" fillId="11" borderId="0" xfId="16" applyFont="1" applyFill="1" applyBorder="1"/>
    <xf numFmtId="189" fontId="102" fillId="11" borderId="0" xfId="16" applyNumberFormat="1" applyFont="1" applyFill="1" applyBorder="1"/>
    <xf numFmtId="0" fontId="6" fillId="11" borderId="0" xfId="16" applyFont="1" applyFill="1" applyBorder="1" applyAlignment="1">
      <alignment horizontal="center"/>
    </xf>
    <xf numFmtId="189" fontId="102" fillId="0" borderId="0" xfId="16" applyNumberFormat="1" applyFont="1"/>
    <xf numFmtId="0" fontId="10" fillId="7" borderId="3" xfId="16" applyFont="1" applyFill="1" applyBorder="1"/>
    <xf numFmtId="0" fontId="6" fillId="7" borderId="3" xfId="16" applyFont="1" applyFill="1" applyBorder="1"/>
    <xf numFmtId="0" fontId="6" fillId="3" borderId="3" xfId="16" applyFont="1" applyFill="1" applyBorder="1"/>
    <xf numFmtId="0" fontId="6" fillId="11" borderId="0" xfId="16" applyFont="1" applyFill="1" applyBorder="1"/>
    <xf numFmtId="0" fontId="10" fillId="11" borderId="6" xfId="16" applyFont="1" applyFill="1" applyBorder="1"/>
    <xf numFmtId="0" fontId="6" fillId="11" borderId="6" xfId="16" applyFont="1" applyFill="1" applyBorder="1"/>
    <xf numFmtId="189" fontId="10" fillId="11" borderId="6" xfId="16" applyNumberFormat="1" applyFont="1" applyFill="1" applyBorder="1" applyAlignment="1">
      <alignment horizontal="left"/>
    </xf>
    <xf numFmtId="189" fontId="60" fillId="11" borderId="6" xfId="16" applyNumberFormat="1" applyFont="1" applyFill="1" applyBorder="1" applyAlignment="1">
      <alignment horizontal="left"/>
    </xf>
    <xf numFmtId="190" fontId="10" fillId="11" borderId="6" xfId="16" applyNumberFormat="1" applyFont="1" applyFill="1" applyBorder="1" applyAlignment="1">
      <alignment horizontal="left"/>
    </xf>
    <xf numFmtId="0" fontId="104" fillId="11" borderId="0" xfId="16" applyFont="1" applyFill="1" applyBorder="1"/>
    <xf numFmtId="2" fontId="104" fillId="11" borderId="0" xfId="16" applyNumberFormat="1" applyFont="1" applyFill="1" applyBorder="1"/>
    <xf numFmtId="190" fontId="10" fillId="11" borderId="0" xfId="16" applyNumberFormat="1" applyFont="1" applyFill="1" applyBorder="1" applyAlignment="1">
      <alignment horizontal="left"/>
    </xf>
    <xf numFmtId="0" fontId="60" fillId="7" borderId="7" xfId="16" applyFont="1" applyFill="1" applyBorder="1"/>
    <xf numFmtId="0" fontId="6" fillId="7" borderId="6" xfId="16" applyFont="1" applyFill="1" applyBorder="1"/>
    <xf numFmtId="0" fontId="10" fillId="7" borderId="6" xfId="16" applyFont="1" applyFill="1" applyBorder="1"/>
    <xf numFmtId="0" fontId="106" fillId="7" borderId="7" xfId="16" applyFont="1" applyFill="1" applyBorder="1"/>
    <xf numFmtId="189" fontId="10" fillId="3" borderId="7" xfId="16" applyNumberFormat="1" applyFont="1" applyFill="1" applyBorder="1"/>
    <xf numFmtId="189" fontId="10" fillId="7" borderId="7" xfId="16" applyNumberFormat="1" applyFont="1" applyFill="1" applyBorder="1"/>
    <xf numFmtId="189" fontId="60" fillId="7" borderId="7" xfId="16" applyNumberFormat="1" applyFont="1" applyFill="1" applyBorder="1"/>
    <xf numFmtId="189" fontId="10" fillId="7" borderId="7" xfId="16" applyNumberFormat="1" applyFont="1" applyFill="1" applyBorder="1" applyAlignment="1">
      <alignment horizontal="right"/>
    </xf>
    <xf numFmtId="189" fontId="10" fillId="3" borderId="7" xfId="16" applyNumberFormat="1" applyFont="1" applyFill="1" applyBorder="1" applyAlignment="1">
      <alignment horizontal="right"/>
    </xf>
    <xf numFmtId="2" fontId="104" fillId="0" borderId="0" xfId="16" applyNumberFormat="1" applyFont="1"/>
    <xf numFmtId="2" fontId="47" fillId="0" borderId="0" xfId="16" applyNumberFormat="1" applyFill="1" applyBorder="1"/>
    <xf numFmtId="190" fontId="6" fillId="11" borderId="0" xfId="16" applyNumberFormat="1" applyFont="1" applyFill="1" applyBorder="1"/>
    <xf numFmtId="0" fontId="104" fillId="0" borderId="0" xfId="16" applyFont="1"/>
    <xf numFmtId="0" fontId="10" fillId="7" borderId="7" xfId="16" applyFont="1" applyFill="1" applyBorder="1"/>
    <xf numFmtId="0" fontId="6" fillId="7" borderId="7" xfId="16" applyFont="1" applyFill="1" applyBorder="1"/>
    <xf numFmtId="189" fontId="10" fillId="3" borderId="7" xfId="16" applyNumberFormat="1" applyFont="1" applyFill="1" applyBorder="1" applyAlignment="1">
      <alignment horizontal="left"/>
    </xf>
    <xf numFmtId="189" fontId="10" fillId="7" borderId="7" xfId="16" applyNumberFormat="1" applyFont="1" applyFill="1" applyBorder="1" applyAlignment="1">
      <alignment horizontal="left"/>
    </xf>
    <xf numFmtId="0" fontId="47" fillId="0" borderId="0" xfId="16" applyFill="1" applyBorder="1"/>
    <xf numFmtId="2" fontId="104" fillId="0" borderId="0" xfId="16" applyNumberFormat="1" applyFont="1" applyFill="1" applyBorder="1"/>
    <xf numFmtId="0" fontId="10" fillId="7" borderId="9" xfId="16" applyFont="1" applyFill="1" applyBorder="1"/>
    <xf numFmtId="189" fontId="10" fillId="3" borderId="6" xfId="16" applyNumberFormat="1" applyFont="1" applyFill="1" applyBorder="1" applyAlignment="1">
      <alignment horizontal="center"/>
    </xf>
    <xf numFmtId="189" fontId="10" fillId="7" borderId="6" xfId="16" applyNumberFormat="1" applyFont="1" applyFill="1" applyBorder="1" applyAlignment="1">
      <alignment horizontal="center"/>
    </xf>
    <xf numFmtId="189" fontId="10" fillId="13" borderId="6" xfId="16" applyNumberFormat="1" applyFont="1" applyFill="1" applyBorder="1" applyAlignment="1">
      <alignment horizontal="center"/>
    </xf>
    <xf numFmtId="0" fontId="104" fillId="0" borderId="0" xfId="16" applyFont="1" applyFill="1"/>
    <xf numFmtId="0" fontId="18" fillId="7" borderId="7" xfId="16" applyFont="1" applyFill="1" applyBorder="1"/>
    <xf numFmtId="189" fontId="18" fillId="3" borderId="7" xfId="16" applyNumberFormat="1" applyFont="1" applyFill="1" applyBorder="1" applyAlignment="1">
      <alignment horizontal="right"/>
    </xf>
    <xf numFmtId="189" fontId="18" fillId="7" borderId="7" xfId="16" applyNumberFormat="1" applyFont="1" applyFill="1" applyBorder="1" applyAlignment="1">
      <alignment horizontal="right"/>
    </xf>
    <xf numFmtId="190" fontId="18" fillId="11" borderId="0" xfId="16" applyNumberFormat="1" applyFont="1" applyFill="1" applyBorder="1" applyAlignment="1">
      <alignment horizontal="center"/>
    </xf>
    <xf numFmtId="189" fontId="18" fillId="13" borderId="7" xfId="16" applyNumberFormat="1" applyFont="1" applyFill="1" applyBorder="1" applyAlignment="1">
      <alignment horizontal="right"/>
    </xf>
    <xf numFmtId="189" fontId="18" fillId="3" borderId="7" xfId="16" applyNumberFormat="1" applyFont="1" applyFill="1" applyBorder="1" applyAlignment="1">
      <alignment horizontal="center"/>
    </xf>
    <xf numFmtId="189" fontId="18" fillId="7" borderId="7" xfId="16" applyNumberFormat="1" applyFont="1" applyFill="1" applyBorder="1" applyAlignment="1">
      <alignment horizontal="center"/>
    </xf>
    <xf numFmtId="0" fontId="104" fillId="0" borderId="0" xfId="16" applyFont="1" applyFill="1" applyBorder="1"/>
    <xf numFmtId="189" fontId="47" fillId="0" borderId="0" xfId="16" applyNumberFormat="1" applyFill="1" applyBorder="1"/>
    <xf numFmtId="189" fontId="10" fillId="3" borderId="7" xfId="16" applyNumberFormat="1" applyFont="1" applyFill="1" applyBorder="1" applyAlignment="1">
      <alignment horizontal="center"/>
    </xf>
    <xf numFmtId="189" fontId="10" fillId="7" borderId="7" xfId="16" applyNumberFormat="1" applyFont="1" applyFill="1" applyBorder="1" applyAlignment="1">
      <alignment horizontal="center"/>
    </xf>
    <xf numFmtId="190" fontId="6" fillId="11" borderId="0" xfId="16" applyNumberFormat="1" applyFont="1" applyFill="1" applyBorder="1" applyAlignment="1">
      <alignment horizontal="center"/>
    </xf>
    <xf numFmtId="0" fontId="21" fillId="7" borderId="7" xfId="16" applyFont="1" applyFill="1" applyBorder="1"/>
    <xf numFmtId="189" fontId="6" fillId="3" borderId="7" xfId="16" applyNumberFormat="1" applyFont="1" applyFill="1" applyBorder="1"/>
    <xf numFmtId="189" fontId="6" fillId="7" borderId="7" xfId="16" applyNumberFormat="1" applyFont="1" applyFill="1" applyBorder="1"/>
    <xf numFmtId="189" fontId="60" fillId="3" borderId="7" xfId="16" applyNumberFormat="1" applyFont="1" applyFill="1" applyBorder="1" applyAlignment="1">
      <alignment horizontal="right"/>
    </xf>
    <xf numFmtId="189" fontId="60" fillId="7" borderId="7" xfId="16" applyNumberFormat="1" applyFont="1" applyFill="1" applyBorder="1" applyAlignment="1">
      <alignment horizontal="right"/>
    </xf>
    <xf numFmtId="0" fontId="35" fillId="7" borderId="7" xfId="16" applyFont="1" applyFill="1" applyBorder="1"/>
    <xf numFmtId="189" fontId="35" fillId="7" borderId="7" xfId="16" applyNumberFormat="1" applyFont="1" applyFill="1" applyBorder="1" applyAlignment="1">
      <alignment horizontal="center"/>
    </xf>
    <xf numFmtId="189" fontId="35" fillId="3" borderId="7" xfId="16" applyNumberFormat="1" applyFont="1" applyFill="1" applyBorder="1" applyAlignment="1">
      <alignment horizontal="center"/>
    </xf>
    <xf numFmtId="0" fontId="108" fillId="0" borderId="0" xfId="16" applyFont="1" applyFill="1"/>
    <xf numFmtId="0" fontId="102" fillId="0" borderId="0" xfId="16" applyFont="1" applyFill="1" applyBorder="1"/>
    <xf numFmtId="0" fontId="108" fillId="0" borderId="0" xfId="16" applyFont="1" applyFill="1" applyBorder="1"/>
    <xf numFmtId="0" fontId="102" fillId="11" borderId="0" xfId="16" applyFont="1" applyFill="1" applyBorder="1"/>
    <xf numFmtId="190" fontId="10" fillId="11" borderId="0" xfId="16" applyNumberFormat="1" applyFont="1" applyFill="1" applyBorder="1" applyAlignment="1">
      <alignment horizontal="center"/>
    </xf>
    <xf numFmtId="189" fontId="21" fillId="3" borderId="7" xfId="16" applyNumberFormat="1" applyFont="1" applyFill="1" applyBorder="1" applyAlignment="1">
      <alignment horizontal="right"/>
    </xf>
    <xf numFmtId="189" fontId="21" fillId="7" borderId="7" xfId="16" applyNumberFormat="1" applyFont="1" applyFill="1" applyBorder="1" applyAlignment="1">
      <alignment horizontal="right"/>
    </xf>
    <xf numFmtId="190" fontId="21" fillId="11" borderId="0" xfId="16" applyNumberFormat="1" applyFont="1" applyFill="1" applyBorder="1" applyAlignment="1">
      <alignment horizontal="right"/>
    </xf>
    <xf numFmtId="190" fontId="47" fillId="11" borderId="0" xfId="16" applyNumberFormat="1" applyFill="1" applyBorder="1"/>
    <xf numFmtId="189" fontId="21" fillId="15" borderId="7" xfId="16" applyNumberFormat="1" applyFont="1" applyFill="1" applyBorder="1" applyAlignment="1">
      <alignment horizontal="right"/>
    </xf>
    <xf numFmtId="189" fontId="102" fillId="0" borderId="0" xfId="16" applyNumberFormat="1" applyFont="1" applyFill="1" applyBorder="1"/>
    <xf numFmtId="189" fontId="21" fillId="3" borderId="7" xfId="16" applyNumberFormat="1" applyFont="1" applyFill="1" applyBorder="1"/>
    <xf numFmtId="189" fontId="21" fillId="7" borderId="7" xfId="16" applyNumberFormat="1" applyFont="1" applyFill="1" applyBorder="1"/>
    <xf numFmtId="189" fontId="21" fillId="15" borderId="7" xfId="16" applyNumberFormat="1" applyFont="1" applyFill="1" applyBorder="1"/>
    <xf numFmtId="190" fontId="21" fillId="11" borderId="0" xfId="16" applyNumberFormat="1" applyFont="1" applyFill="1" applyBorder="1"/>
    <xf numFmtId="212" fontId="21" fillId="0" borderId="7" xfId="16" applyNumberFormat="1" applyFont="1" applyFill="1" applyBorder="1"/>
    <xf numFmtId="189" fontId="6" fillId="3" borderId="7" xfId="16" applyNumberFormat="1" applyFont="1" applyFill="1" applyBorder="1" applyAlignment="1">
      <alignment horizontal="center"/>
    </xf>
    <xf numFmtId="189" fontId="6" fillId="7" borderId="7" xfId="16" applyNumberFormat="1" applyFont="1" applyFill="1" applyBorder="1" applyAlignment="1">
      <alignment horizontal="center"/>
    </xf>
    <xf numFmtId="189" fontId="59" fillId="13" borderId="7" xfId="16" applyNumberFormat="1" applyFont="1" applyFill="1" applyBorder="1" applyAlignment="1">
      <alignment horizontal="center"/>
    </xf>
    <xf numFmtId="189" fontId="35" fillId="3" borderId="7" xfId="16" applyNumberFormat="1" applyFont="1" applyFill="1" applyBorder="1" applyAlignment="1">
      <alignment horizontal="right"/>
    </xf>
    <xf numFmtId="189" fontId="35" fillId="7" borderId="7" xfId="16" applyNumberFormat="1" applyFont="1" applyFill="1" applyBorder="1" applyAlignment="1">
      <alignment horizontal="right"/>
    </xf>
    <xf numFmtId="0" fontId="108" fillId="0" borderId="0" xfId="16" applyFont="1"/>
    <xf numFmtId="2" fontId="108" fillId="0" borderId="0" xfId="16" applyNumberFormat="1" applyFont="1" applyFill="1" applyBorder="1"/>
    <xf numFmtId="0" fontId="108" fillId="11" borderId="0" xfId="16" applyFont="1" applyFill="1" applyBorder="1"/>
    <xf numFmtId="0" fontId="10" fillId="7" borderId="10" xfId="16" applyFont="1" applyFill="1" applyBorder="1"/>
    <xf numFmtId="0" fontId="21" fillId="7" borderId="10" xfId="16" applyFont="1" applyFill="1" applyBorder="1"/>
    <xf numFmtId="189" fontId="10" fillId="3" borderId="10" xfId="16" applyNumberFormat="1" applyFont="1" applyFill="1" applyBorder="1" applyAlignment="1">
      <alignment horizontal="left"/>
    </xf>
    <xf numFmtId="189" fontId="10" fillId="7" borderId="10" xfId="16" applyNumberFormat="1" applyFont="1" applyFill="1" applyBorder="1" applyAlignment="1">
      <alignment horizontal="left"/>
    </xf>
    <xf numFmtId="189" fontId="60" fillId="13" borderId="10" xfId="16" applyNumberFormat="1" applyFont="1" applyFill="1" applyBorder="1" applyAlignment="1">
      <alignment horizontal="left"/>
    </xf>
    <xf numFmtId="189" fontId="10" fillId="11" borderId="0" xfId="16" applyNumberFormat="1" applyFont="1" applyFill="1" applyBorder="1" applyAlignment="1">
      <alignment horizontal="left"/>
    </xf>
    <xf numFmtId="189" fontId="60" fillId="11" borderId="0" xfId="16" applyNumberFormat="1" applyFont="1" applyFill="1" applyBorder="1" applyAlignment="1">
      <alignment horizontal="left"/>
    </xf>
    <xf numFmtId="2" fontId="47" fillId="0" borderId="0" xfId="16" applyNumberFormat="1" applyFill="1" applyAlignment="1">
      <alignment horizontal="right"/>
    </xf>
    <xf numFmtId="0" fontId="18" fillId="7" borderId="9" xfId="16" applyFont="1" applyFill="1" applyBorder="1"/>
    <xf numFmtId="0" fontId="6" fillId="7" borderId="9" xfId="16" applyFont="1" applyFill="1" applyBorder="1"/>
    <xf numFmtId="189" fontId="6" fillId="3" borderId="9" xfId="16" applyNumberFormat="1" applyFont="1" applyFill="1" applyBorder="1" applyAlignment="1">
      <alignment horizontal="center"/>
    </xf>
    <xf numFmtId="189" fontId="6" fillId="7" borderId="9" xfId="16" applyNumberFormat="1" applyFont="1" applyFill="1" applyBorder="1" applyAlignment="1">
      <alignment horizontal="center"/>
    </xf>
    <xf numFmtId="189" fontId="18" fillId="7" borderId="9" xfId="16" applyNumberFormat="1" applyFont="1" applyFill="1" applyBorder="1" applyAlignment="1">
      <alignment horizontal="center"/>
    </xf>
    <xf numFmtId="189" fontId="18" fillId="3" borderId="9" xfId="16" applyNumberFormat="1" applyFont="1" applyFill="1" applyBorder="1" applyAlignment="1">
      <alignment horizontal="center"/>
    </xf>
    <xf numFmtId="189" fontId="59" fillId="13" borderId="9" xfId="16" applyNumberFormat="1" applyFont="1" applyFill="1" applyBorder="1" applyAlignment="1">
      <alignment horizontal="center"/>
    </xf>
    <xf numFmtId="0" fontId="18" fillId="0" borderId="0" xfId="16" applyFont="1" applyBorder="1"/>
    <xf numFmtId="0" fontId="47" fillId="0" borderId="0" xfId="16" applyBorder="1"/>
    <xf numFmtId="0" fontId="6" fillId="0" borderId="0" xfId="16" applyFont="1"/>
    <xf numFmtId="0" fontId="6" fillId="0" borderId="0" xfId="16" applyFont="1" applyBorder="1"/>
    <xf numFmtId="189" fontId="47" fillId="0" borderId="0" xfId="16" applyNumberFormat="1"/>
    <xf numFmtId="189" fontId="47" fillId="0" borderId="0" xfId="16" applyNumberFormat="1" applyFont="1"/>
    <xf numFmtId="0" fontId="6" fillId="0" borderId="0" xfId="16" applyFont="1" applyFill="1"/>
    <xf numFmtId="1" fontId="6" fillId="0" borderId="0" xfId="16" applyNumberFormat="1" applyFont="1" applyFill="1" applyBorder="1" applyAlignment="1">
      <alignment horizontal="left"/>
    </xf>
    <xf numFmtId="189" fontId="5" fillId="6" borderId="0" xfId="16" applyNumberFormat="1" applyFont="1" applyFill="1" applyBorder="1" applyAlignment="1">
      <alignment horizontal="right"/>
    </xf>
    <xf numFmtId="0" fontId="6" fillId="0" borderId="0" xfId="16" applyFont="1" applyFill="1" applyBorder="1"/>
    <xf numFmtId="1" fontId="6" fillId="6" borderId="0" xfId="16" applyNumberFormat="1" applyFont="1" applyFill="1" applyBorder="1" applyAlignment="1">
      <alignment horizontal="left"/>
    </xf>
    <xf numFmtId="0" fontId="110" fillId="0" borderId="0" xfId="16" applyFont="1" applyBorder="1"/>
    <xf numFmtId="0" fontId="111" fillId="0" borderId="0" xfId="16" applyFont="1" applyBorder="1"/>
    <xf numFmtId="0" fontId="112" fillId="0" borderId="0" xfId="16" applyFont="1" applyBorder="1"/>
    <xf numFmtId="0" fontId="47" fillId="0" borderId="0" xfId="16" applyFont="1" applyFill="1"/>
    <xf numFmtId="0" fontId="113" fillId="0" borderId="0" xfId="16" applyFont="1" applyFill="1" applyBorder="1"/>
    <xf numFmtId="0" fontId="10" fillId="0" borderId="0" xfId="16" applyFont="1" applyFill="1"/>
    <xf numFmtId="0" fontId="6" fillId="0" borderId="0" xfId="16" applyFont="1" applyFill="1" applyAlignment="1">
      <alignment horizontal="right"/>
    </xf>
    <xf numFmtId="0" fontId="7" fillId="0" borderId="0" xfId="16" applyFont="1" applyFill="1"/>
    <xf numFmtId="0" fontId="47" fillId="0" borderId="0" xfId="16" applyFill="1" applyAlignment="1">
      <alignment horizontal="center"/>
    </xf>
    <xf numFmtId="0" fontId="47" fillId="0" borderId="0" xfId="16" applyFill="1" applyAlignment="1">
      <alignment wrapText="1"/>
    </xf>
    <xf numFmtId="0" fontId="4" fillId="0" borderId="0" xfId="16" applyFont="1" applyFill="1"/>
    <xf numFmtId="3" fontId="6" fillId="0" borderId="0" xfId="16" applyNumberFormat="1" applyFont="1" applyFill="1"/>
    <xf numFmtId="190" fontId="5" fillId="0" borderId="0" xfId="16" applyNumberFormat="1" applyFont="1" applyFill="1"/>
    <xf numFmtId="9" fontId="102" fillId="0" borderId="0" xfId="16" applyNumberFormat="1" applyFont="1" applyFill="1" applyAlignment="1">
      <alignment horizontal="center"/>
    </xf>
    <xf numFmtId="0" fontId="102" fillId="0" borderId="0" xfId="16" quotePrefix="1" applyFont="1" applyFill="1"/>
    <xf numFmtId="3" fontId="47" fillId="0" borderId="0" xfId="16" applyNumberFormat="1" applyFill="1"/>
    <xf numFmtId="3" fontId="5" fillId="0" borderId="0" xfId="16" applyNumberFormat="1" applyFont="1" applyFill="1"/>
    <xf numFmtId="3" fontId="102" fillId="0" borderId="0" xfId="16" applyNumberFormat="1" applyFont="1" applyFill="1" applyAlignment="1">
      <alignment horizontal="center"/>
    </xf>
    <xf numFmtId="3" fontId="47" fillId="0" borderId="0" xfId="16" applyNumberFormat="1" applyFill="1" applyAlignment="1">
      <alignment horizontal="right"/>
    </xf>
    <xf numFmtId="0" fontId="47" fillId="11" borderId="0" xfId="16" applyFill="1"/>
    <xf numFmtId="2" fontId="47" fillId="0" borderId="0" xfId="16" applyNumberFormat="1" applyFill="1"/>
    <xf numFmtId="189" fontId="47" fillId="0" borderId="0" xfId="16" applyNumberFormat="1" applyFill="1"/>
    <xf numFmtId="189" fontId="5" fillId="0" borderId="0" xfId="16" applyNumberFormat="1" applyFont="1" applyFill="1"/>
    <xf numFmtId="0" fontId="114" fillId="0" borderId="0" xfId="16" applyFont="1" applyFill="1"/>
    <xf numFmtId="1" fontId="47" fillId="0" borderId="0" xfId="16" applyNumberFormat="1" applyFill="1"/>
    <xf numFmtId="190" fontId="47" fillId="0" borderId="0" xfId="16" applyNumberFormat="1" applyFill="1"/>
    <xf numFmtId="0" fontId="114" fillId="0" borderId="0" xfId="16" applyFont="1"/>
    <xf numFmtId="0" fontId="3" fillId="6" borderId="0" xfId="0" applyFont="1" applyFill="1" applyAlignment="1">
      <alignment horizontal="right"/>
    </xf>
    <xf numFmtId="189" fontId="40" fillId="7" borderId="7" xfId="0" applyNumberFormat="1" applyFont="1" applyFill="1" applyBorder="1" applyAlignment="1">
      <alignment horizontal="right"/>
    </xf>
    <xf numFmtId="1" fontId="7" fillId="3" borderId="7" xfId="0" applyNumberFormat="1" applyFont="1" applyFill="1" applyBorder="1" applyAlignment="1">
      <alignment horizontal="left"/>
    </xf>
    <xf numFmtId="189" fontId="7" fillId="3" borderId="7" xfId="0" applyNumberFormat="1" applyFont="1" applyFill="1" applyBorder="1" applyAlignment="1">
      <alignment horizontal="right"/>
    </xf>
    <xf numFmtId="1" fontId="5" fillId="3" borderId="0" xfId="0" applyNumberFormat="1" applyFont="1" applyFill="1" applyBorder="1" applyAlignment="1">
      <alignment horizontal="left" vertical="center"/>
    </xf>
    <xf numFmtId="189" fontId="5" fillId="7" borderId="7" xfId="0" applyNumberFormat="1" applyFont="1" applyFill="1" applyBorder="1" applyAlignment="1">
      <alignment horizontal="right" vertical="center"/>
    </xf>
    <xf numFmtId="189" fontId="5" fillId="3" borderId="7" xfId="0" applyNumberFormat="1" applyFont="1" applyFill="1" applyBorder="1" applyAlignment="1">
      <alignment horizontal="right" vertical="center"/>
    </xf>
    <xf numFmtId="0" fontId="60" fillId="0" borderId="0" xfId="0" applyFont="1" applyAlignment="1">
      <alignment vertical="center"/>
    </xf>
    <xf numFmtId="1" fontId="6" fillId="6" borderId="8" xfId="0" applyNumberFormat="1" applyFont="1" applyFill="1" applyBorder="1" applyAlignment="1">
      <alignment horizontal="left"/>
    </xf>
    <xf numFmtId="189" fontId="5" fillId="6" borderId="8" xfId="0" applyNumberFormat="1" applyFont="1" applyFill="1" applyBorder="1" applyAlignment="1">
      <alignment horizontal="right"/>
    </xf>
    <xf numFmtId="1" fontId="6" fillId="6" borderId="0" xfId="0" applyNumberFormat="1" applyFont="1" applyFill="1" applyBorder="1" applyAlignment="1">
      <alignment horizontal="left"/>
    </xf>
    <xf numFmtId="1" fontId="6" fillId="0" borderId="0" xfId="0" applyNumberFormat="1" applyFont="1" applyFill="1" applyBorder="1" applyAlignment="1">
      <alignment horizontal="left"/>
    </xf>
    <xf numFmtId="0" fontId="5" fillId="3" borderId="6" xfId="0" applyNumberFormat="1" applyFont="1" applyFill="1" applyBorder="1" applyAlignment="1">
      <alignment horizontal="left"/>
    </xf>
    <xf numFmtId="0" fontId="5" fillId="3" borderId="7" xfId="0" applyNumberFormat="1" applyFont="1" applyFill="1" applyBorder="1" applyAlignment="1">
      <alignment horizontal="left"/>
    </xf>
    <xf numFmtId="189" fontId="40" fillId="3" borderId="7" xfId="0" applyNumberFormat="1" applyFont="1" applyFill="1" applyBorder="1" applyAlignment="1">
      <alignment horizontal="right"/>
    </xf>
    <xf numFmtId="0" fontId="7" fillId="3" borderId="7" xfId="0" applyNumberFormat="1" applyFont="1" applyFill="1" applyBorder="1" applyAlignment="1">
      <alignment horizontal="left"/>
    </xf>
    <xf numFmtId="189" fontId="5" fillId="7" borderId="0" xfId="0" applyNumberFormat="1" applyFont="1" applyFill="1" applyBorder="1" applyAlignment="1">
      <alignment horizontal="right" vertical="center"/>
    </xf>
    <xf numFmtId="189" fontId="5" fillId="3" borderId="0" xfId="0" applyNumberFormat="1" applyFont="1" applyFill="1" applyBorder="1" applyAlignment="1">
      <alignment horizontal="right" vertical="center"/>
    </xf>
    <xf numFmtId="1" fontId="6" fillId="0" borderId="8" xfId="0" applyNumberFormat="1" applyFont="1" applyFill="1" applyBorder="1" applyAlignment="1">
      <alignment horizontal="left"/>
    </xf>
    <xf numFmtId="189" fontId="5" fillId="0" borderId="8" xfId="0" applyNumberFormat="1" applyFont="1" applyFill="1" applyBorder="1" applyAlignment="1">
      <alignment horizontal="right"/>
    </xf>
    <xf numFmtId="189" fontId="5" fillId="0" borderId="0" xfId="0" applyNumberFormat="1" applyFont="1" applyFill="1" applyBorder="1" applyAlignment="1">
      <alignment horizontal="right"/>
    </xf>
    <xf numFmtId="0" fontId="6" fillId="0" borderId="0" xfId="0" applyFont="1" applyFill="1" applyAlignment="1">
      <alignment horizontal="right"/>
    </xf>
    <xf numFmtId="0" fontId="4" fillId="0" borderId="0" xfId="0" applyFont="1" applyFill="1" applyAlignment="1">
      <alignment vertical="center"/>
    </xf>
    <xf numFmtId="0" fontId="18" fillId="0" borderId="0" xfId="9" applyFont="1" applyFill="1" applyAlignment="1"/>
    <xf numFmtId="0" fontId="3" fillId="6" borderId="3" xfId="0" applyFont="1" applyFill="1" applyBorder="1" applyAlignment="1">
      <alignment horizontal="right"/>
    </xf>
    <xf numFmtId="0" fontId="7" fillId="7" borderId="0" xfId="0" applyFont="1" applyFill="1" applyBorder="1" applyAlignment="1">
      <alignment horizontal="left"/>
    </xf>
    <xf numFmtId="0" fontId="7" fillId="7" borderId="28" xfId="0" applyFont="1" applyFill="1" applyBorder="1" applyAlignment="1">
      <alignment horizontal="left"/>
    </xf>
    <xf numFmtId="0" fontId="7" fillId="3" borderId="3" xfId="0" applyFont="1" applyFill="1" applyBorder="1" applyAlignment="1">
      <alignment horizontal="right"/>
    </xf>
    <xf numFmtId="0" fontId="7" fillId="7" borderId="0" xfId="0" applyFont="1" applyFill="1" applyBorder="1" applyAlignment="1">
      <alignment horizontal="right" wrapText="1"/>
    </xf>
    <xf numFmtId="0" fontId="7" fillId="3" borderId="0" xfId="0" applyFont="1" applyFill="1" applyBorder="1" applyAlignment="1">
      <alignment horizontal="right" wrapText="1"/>
    </xf>
    <xf numFmtId="0" fontId="7" fillId="7" borderId="29" xfId="0" applyFont="1" applyFill="1" applyBorder="1" applyAlignment="1">
      <alignment horizontal="left"/>
    </xf>
    <xf numFmtId="0" fontId="5" fillId="7" borderId="28" xfId="0" applyFont="1" applyFill="1" applyBorder="1" applyAlignment="1">
      <alignment horizontal="right" vertical="top"/>
    </xf>
    <xf numFmtId="0" fontId="5" fillId="7" borderId="29" xfId="0" applyFont="1" applyFill="1" applyBorder="1" applyAlignment="1">
      <alignment horizontal="right" vertical="top"/>
    </xf>
    <xf numFmtId="189" fontId="5" fillId="7" borderId="6" xfId="0" quotePrefix="1" applyNumberFormat="1" applyFont="1" applyFill="1" applyBorder="1" applyAlignment="1">
      <alignment horizontal="right"/>
    </xf>
    <xf numFmtId="189" fontId="5" fillId="3" borderId="6" xfId="0" quotePrefix="1" applyNumberFormat="1" applyFont="1" applyFill="1" applyBorder="1" applyAlignment="1">
      <alignment horizontal="right"/>
    </xf>
    <xf numFmtId="189" fontId="5" fillId="7" borderId="30" xfId="0" quotePrefix="1" applyNumberFormat="1" applyFont="1" applyFill="1" applyBorder="1" applyAlignment="1">
      <alignment horizontal="right"/>
    </xf>
    <xf numFmtId="189" fontId="5" fillId="7" borderId="9" xfId="0" quotePrefix="1" applyNumberFormat="1" applyFont="1" applyFill="1" applyBorder="1" applyAlignment="1">
      <alignment horizontal="right"/>
    </xf>
    <xf numFmtId="189" fontId="40" fillId="3" borderId="9" xfId="0" quotePrefix="1" applyNumberFormat="1" applyFont="1" applyFill="1" applyBorder="1" applyAlignment="1">
      <alignment horizontal="right"/>
    </xf>
    <xf numFmtId="189" fontId="40" fillId="7" borderId="9" xfId="0" quotePrefix="1" applyNumberFormat="1" applyFont="1" applyFill="1" applyBorder="1" applyAlignment="1">
      <alignment horizontal="right"/>
    </xf>
    <xf numFmtId="189" fontId="40" fillId="3" borderId="6" xfId="0" applyNumberFormat="1" applyFont="1" applyFill="1" applyBorder="1" applyAlignment="1">
      <alignment horizontal="right"/>
    </xf>
    <xf numFmtId="189" fontId="5" fillId="7" borderId="31" xfId="0" quotePrefix="1" applyNumberFormat="1" applyFont="1" applyFill="1" applyBorder="1" applyAlignment="1">
      <alignment horizontal="right"/>
    </xf>
    <xf numFmtId="189" fontId="5" fillId="7" borderId="32" xfId="0" applyNumberFormat="1" applyFont="1" applyFill="1" applyBorder="1" applyAlignment="1">
      <alignment horizontal="right"/>
    </xf>
    <xf numFmtId="189" fontId="7" fillId="7" borderId="33" xfId="0" applyNumberFormat="1" applyFont="1" applyFill="1" applyBorder="1" applyAlignment="1">
      <alignment horizontal="right" vertical="center"/>
    </xf>
    <xf numFmtId="0" fontId="3" fillId="6" borderId="0" xfId="0" applyFont="1" applyFill="1" applyBorder="1" applyAlignment="1">
      <alignment horizontal="right"/>
    </xf>
    <xf numFmtId="0" fontId="7" fillId="14" borderId="0" xfId="0" applyFont="1" applyFill="1" applyBorder="1" applyAlignment="1">
      <alignment horizontal="left" vertical="center"/>
    </xf>
    <xf numFmtId="0" fontId="5" fillId="14" borderId="0" xfId="0" applyFont="1" applyFill="1" applyBorder="1" applyAlignment="1">
      <alignment horizontal="right" vertical="center"/>
    </xf>
    <xf numFmtId="0" fontId="5" fillId="14" borderId="0" xfId="0" applyFont="1" applyFill="1" applyBorder="1" applyAlignment="1">
      <alignment horizontal="left" vertical="center"/>
    </xf>
    <xf numFmtId="0" fontId="7" fillId="14" borderId="0" xfId="0" applyFont="1" applyFill="1" applyBorder="1" applyAlignment="1">
      <alignment horizontal="right" vertical="center"/>
    </xf>
    <xf numFmtId="0" fontId="7" fillId="15" borderId="34" xfId="0" applyFont="1" applyFill="1" applyBorder="1" applyAlignment="1">
      <alignment horizontal="left" vertical="center"/>
    </xf>
    <xf numFmtId="0" fontId="5" fillId="15" borderId="0" xfId="0" applyFont="1" applyFill="1" applyBorder="1" applyAlignment="1">
      <alignment horizontal="left" vertical="center"/>
    </xf>
    <xf numFmtId="0" fontId="5" fillId="15" borderId="0" xfId="0" applyFont="1" applyFill="1" applyBorder="1" applyAlignment="1">
      <alignment horizontal="center" vertical="center"/>
    </xf>
    <xf numFmtId="0" fontId="7" fillId="15" borderId="0" xfId="0" applyFont="1" applyFill="1" applyBorder="1" applyAlignment="1">
      <alignment horizontal="right" vertical="center"/>
    </xf>
    <xf numFmtId="0" fontId="7" fillId="19" borderId="0" xfId="0" applyFont="1" applyFill="1" applyBorder="1" applyAlignment="1">
      <alignment horizontal="left" vertical="center"/>
    </xf>
    <xf numFmtId="0" fontId="7" fillId="19" borderId="0" xfId="0" applyFont="1" applyFill="1" applyBorder="1" applyAlignment="1">
      <alignment horizontal="right" vertical="center"/>
    </xf>
    <xf numFmtId="0" fontId="7" fillId="7" borderId="0" xfId="0" applyFont="1" applyFill="1" applyBorder="1" applyAlignment="1">
      <alignment horizontal="right" vertical="center" wrapText="1"/>
    </xf>
    <xf numFmtId="0" fontId="7" fillId="3" borderId="0" xfId="0" applyFont="1" applyFill="1" applyBorder="1" applyAlignment="1">
      <alignment horizontal="right" vertical="center"/>
    </xf>
    <xf numFmtId="0" fontId="7" fillId="19" borderId="28" xfId="0" applyFont="1" applyFill="1" applyBorder="1" applyAlignment="1">
      <alignment horizontal="left" vertical="center"/>
    </xf>
    <xf numFmtId="0" fontId="5" fillId="7" borderId="28" xfId="0" applyFont="1" applyFill="1" applyBorder="1" applyAlignment="1">
      <alignment horizontal="right"/>
    </xf>
    <xf numFmtId="189" fontId="40" fillId="3" borderId="6" xfId="0" quotePrefix="1" applyNumberFormat="1" applyFont="1" applyFill="1" applyBorder="1" applyAlignment="1">
      <alignment horizontal="right"/>
    </xf>
    <xf numFmtId="189" fontId="5" fillId="7" borderId="5" xfId="0" quotePrefix="1" applyNumberFormat="1" applyFont="1" applyFill="1" applyBorder="1" applyAlignment="1">
      <alignment horizontal="right"/>
    </xf>
    <xf numFmtId="189" fontId="5" fillId="3" borderId="14" xfId="0" applyNumberFormat="1" applyFont="1" applyFill="1" applyBorder="1" applyAlignment="1">
      <alignment horizontal="right"/>
    </xf>
    <xf numFmtId="189" fontId="5" fillId="7" borderId="14" xfId="0" applyNumberFormat="1" applyFont="1" applyFill="1" applyBorder="1" applyAlignment="1">
      <alignment horizontal="right"/>
    </xf>
    <xf numFmtId="189" fontId="5" fillId="3" borderId="0" xfId="0" quotePrefix="1" applyNumberFormat="1" applyFont="1" applyFill="1" applyBorder="1" applyAlignment="1">
      <alignment horizontal="right"/>
    </xf>
    <xf numFmtId="189" fontId="5" fillId="7" borderId="34" xfId="0" quotePrefix="1" applyNumberFormat="1" applyFont="1" applyFill="1" applyBorder="1" applyAlignment="1">
      <alignment horizontal="right"/>
    </xf>
    <xf numFmtId="189" fontId="5" fillId="7" borderId="44" xfId="0" quotePrefix="1" applyNumberFormat="1" applyFont="1" applyFill="1" applyBorder="1" applyAlignment="1">
      <alignment horizontal="right"/>
    </xf>
    <xf numFmtId="189" fontId="5" fillId="3" borderId="44" xfId="0" applyNumberFormat="1" applyFont="1" applyFill="1" applyBorder="1" applyAlignment="1">
      <alignment horizontal="right"/>
    </xf>
    <xf numFmtId="189" fontId="5" fillId="7" borderId="44" xfId="0" applyNumberFormat="1" applyFont="1" applyFill="1" applyBorder="1" applyAlignment="1">
      <alignment horizontal="right"/>
    </xf>
    <xf numFmtId="189" fontId="5" fillId="3" borderId="44" xfId="0" quotePrefix="1" applyNumberFormat="1" applyFont="1" applyFill="1" applyBorder="1" applyAlignment="1">
      <alignment horizontal="right"/>
    </xf>
    <xf numFmtId="189" fontId="5" fillId="7" borderId="48" xfId="0" quotePrefix="1" applyNumberFormat="1" applyFont="1" applyFill="1" applyBorder="1" applyAlignment="1">
      <alignment horizontal="right"/>
    </xf>
    <xf numFmtId="189" fontId="7" fillId="7" borderId="6" xfId="0" quotePrefix="1" applyNumberFormat="1" applyFont="1" applyFill="1" applyBorder="1" applyAlignment="1">
      <alignment horizontal="right" vertical="center"/>
    </xf>
    <xf numFmtId="189" fontId="7" fillId="3" borderId="6" xfId="0" applyNumberFormat="1" applyFont="1" applyFill="1" applyBorder="1" applyAlignment="1">
      <alignment horizontal="right" vertical="center"/>
    </xf>
    <xf numFmtId="189" fontId="7" fillId="7" borderId="33" xfId="0" quotePrefix="1" applyNumberFormat="1" applyFont="1" applyFill="1" applyBorder="1" applyAlignment="1">
      <alignment horizontal="right" vertical="center"/>
    </xf>
    <xf numFmtId="0" fontId="15" fillId="0" borderId="0" xfId="0" applyFont="1" applyBorder="1" applyAlignment="1">
      <alignment vertical="center"/>
    </xf>
    <xf numFmtId="0" fontId="10" fillId="0" borderId="0" xfId="0" applyFont="1" applyBorder="1" applyAlignment="1">
      <alignment vertical="center"/>
    </xf>
    <xf numFmtId="1" fontId="100" fillId="0" borderId="0" xfId="0" applyNumberFormat="1" applyFont="1" applyFill="1" applyBorder="1" applyAlignment="1">
      <alignment horizontal="left"/>
    </xf>
    <xf numFmtId="0" fontId="6" fillId="6" borderId="0" xfId="0" applyFont="1" applyFill="1" applyBorder="1" applyAlignment="1" applyProtection="1">
      <alignment vertical="center"/>
    </xf>
    <xf numFmtId="0" fontId="4" fillId="0" borderId="0" xfId="0" applyFont="1" applyFill="1" applyAlignment="1">
      <alignment horizontal="center" vertical="top"/>
    </xf>
    <xf numFmtId="190" fontId="40" fillId="3" borderId="7" xfId="0" applyNumberFormat="1" applyFont="1" applyFill="1" applyBorder="1" applyAlignment="1">
      <alignment horizontal="center"/>
    </xf>
    <xf numFmtId="0" fontId="23" fillId="0" borderId="0" xfId="0" applyFont="1" applyBorder="1"/>
    <xf numFmtId="0" fontId="4" fillId="0" borderId="3" xfId="0" applyFont="1" applyFill="1" applyBorder="1" applyAlignment="1">
      <alignment vertical="top"/>
    </xf>
    <xf numFmtId="0" fontId="4" fillId="0" borderId="0" xfId="0" applyFont="1" applyFill="1" applyBorder="1" applyAlignment="1">
      <alignment vertical="top"/>
    </xf>
    <xf numFmtId="0" fontId="5" fillId="14" borderId="5" xfId="0" applyFont="1" applyFill="1" applyBorder="1" applyAlignment="1">
      <alignment vertical="center"/>
    </xf>
    <xf numFmtId="0" fontId="6" fillId="15" borderId="0" xfId="0" applyFont="1" applyFill="1" applyAlignment="1">
      <alignment vertical="center"/>
    </xf>
    <xf numFmtId="0" fontId="5" fillId="7" borderId="28" xfId="0" applyFont="1" applyFill="1" applyBorder="1" applyAlignment="1">
      <alignment horizontal="right" vertical="center"/>
    </xf>
    <xf numFmtId="1" fontId="5" fillId="3" borderId="9" xfId="0" applyNumberFormat="1" applyFont="1" applyFill="1" applyBorder="1" applyAlignment="1">
      <alignment horizontal="left"/>
    </xf>
    <xf numFmtId="189" fontId="5" fillId="7" borderId="31" xfId="0" applyNumberFormat="1" applyFont="1" applyFill="1" applyBorder="1" applyAlignment="1">
      <alignment horizontal="right"/>
    </xf>
    <xf numFmtId="1" fontId="5" fillId="3" borderId="14" xfId="0" applyNumberFormat="1" applyFont="1" applyFill="1" applyBorder="1" applyAlignment="1">
      <alignment horizontal="left"/>
    </xf>
    <xf numFmtId="189" fontId="5" fillId="7" borderId="30" xfId="0" applyNumberFormat="1" applyFont="1" applyFill="1" applyBorder="1" applyAlignment="1">
      <alignment horizontal="right"/>
    </xf>
    <xf numFmtId="189" fontId="5" fillId="7" borderId="35" xfId="0" applyNumberFormat="1" applyFont="1" applyFill="1" applyBorder="1" applyAlignment="1">
      <alignment horizontal="right"/>
    </xf>
    <xf numFmtId="1" fontId="7" fillId="3" borderId="14" xfId="0" applyNumberFormat="1" applyFont="1" applyFill="1" applyBorder="1" applyAlignment="1">
      <alignment horizontal="left"/>
    </xf>
    <xf numFmtId="189" fontId="7" fillId="7" borderId="14" xfId="0" applyNumberFormat="1" applyFont="1" applyFill="1" applyBorder="1" applyAlignment="1">
      <alignment horizontal="right"/>
    </xf>
    <xf numFmtId="189" fontId="7" fillId="3" borderId="14" xfId="0" applyNumberFormat="1" applyFont="1" applyFill="1" applyBorder="1" applyAlignment="1">
      <alignment horizontal="right"/>
    </xf>
    <xf numFmtId="189" fontId="7" fillId="7" borderId="35" xfId="0" applyNumberFormat="1" applyFont="1" applyFill="1" applyBorder="1" applyAlignment="1">
      <alignment horizontal="right"/>
    </xf>
    <xf numFmtId="189" fontId="7" fillId="0" borderId="0" xfId="0" applyNumberFormat="1" applyFont="1" applyFill="1" applyBorder="1" applyAlignment="1">
      <alignment horizontal="right"/>
    </xf>
    <xf numFmtId="1" fontId="5" fillId="3" borderId="10" xfId="0" applyNumberFormat="1" applyFont="1" applyFill="1" applyBorder="1" applyAlignment="1">
      <alignment horizontal="left" vertical="center"/>
    </xf>
    <xf numFmtId="189" fontId="40" fillId="7" borderId="10" xfId="0" applyNumberFormat="1" applyFont="1" applyFill="1" applyBorder="1" applyAlignment="1">
      <alignment horizontal="right" vertical="center"/>
    </xf>
    <xf numFmtId="189" fontId="5" fillId="3" borderId="10" xfId="0" applyNumberFormat="1" applyFont="1" applyFill="1" applyBorder="1" applyAlignment="1">
      <alignment horizontal="right" vertical="center"/>
    </xf>
    <xf numFmtId="189" fontId="5" fillId="7" borderId="10" xfId="0" applyNumberFormat="1" applyFont="1" applyFill="1" applyBorder="1" applyAlignment="1">
      <alignment horizontal="right" vertical="center"/>
    </xf>
    <xf numFmtId="189" fontId="5" fillId="7" borderId="36" xfId="0" applyNumberFormat="1" applyFont="1" applyFill="1" applyBorder="1" applyAlignment="1">
      <alignment horizontal="right" vertical="center"/>
    </xf>
    <xf numFmtId="189" fontId="5" fillId="0" borderId="0" xfId="0" applyNumberFormat="1" applyFont="1" applyFill="1" applyBorder="1" applyAlignment="1">
      <alignment horizontal="right" vertical="center"/>
    </xf>
    <xf numFmtId="1" fontId="5" fillId="0" borderId="0" xfId="0" applyNumberFormat="1" applyFont="1" applyFill="1" applyBorder="1" applyAlignment="1">
      <alignment horizontal="left"/>
    </xf>
    <xf numFmtId="1" fontId="4" fillId="0" borderId="0" xfId="0" applyNumberFormat="1" applyFont="1" applyFill="1" applyBorder="1" applyAlignment="1">
      <alignment horizontal="left"/>
    </xf>
    <xf numFmtId="1" fontId="5" fillId="0" borderId="3" xfId="0" applyNumberFormat="1" applyFont="1" applyFill="1" applyBorder="1" applyAlignment="1">
      <alignment horizontal="left"/>
    </xf>
    <xf numFmtId="189" fontId="5" fillId="0" borderId="3" xfId="0" applyNumberFormat="1" applyFont="1" applyFill="1" applyBorder="1" applyAlignment="1">
      <alignment horizontal="right"/>
    </xf>
    <xf numFmtId="190" fontId="5" fillId="0" borderId="3" xfId="0" applyNumberFormat="1" applyFont="1" applyFill="1" applyBorder="1" applyAlignment="1">
      <alignment horizontal="right"/>
    </xf>
    <xf numFmtId="0" fontId="6" fillId="7" borderId="0" xfId="0" applyFont="1" applyFill="1" applyAlignment="1">
      <alignment horizontal="right"/>
    </xf>
    <xf numFmtId="0" fontId="6" fillId="7" borderId="0" xfId="0" applyFont="1" applyFill="1" applyBorder="1" applyAlignment="1">
      <alignment horizontal="right" vertical="center"/>
    </xf>
    <xf numFmtId="0" fontId="5" fillId="7" borderId="29" xfId="0" applyFont="1" applyFill="1" applyBorder="1" applyAlignment="1">
      <alignment horizontal="right" vertical="center"/>
    </xf>
    <xf numFmtId="0" fontId="6" fillId="7" borderId="3" xfId="0" applyFont="1" applyFill="1" applyBorder="1" applyAlignment="1">
      <alignment horizontal="right" vertical="top"/>
    </xf>
    <xf numFmtId="190" fontId="5" fillId="7" borderId="30" xfId="0" applyNumberFormat="1" applyFont="1" applyFill="1" applyBorder="1" applyAlignment="1">
      <alignment horizontal="right"/>
    </xf>
    <xf numFmtId="190" fontId="5" fillId="7" borderId="32" xfId="0" applyNumberFormat="1" applyFont="1" applyFill="1" applyBorder="1" applyAlignment="1">
      <alignment horizontal="right"/>
    </xf>
    <xf numFmtId="190" fontId="5" fillId="7" borderId="14" xfId="0" applyNumberFormat="1" applyFont="1" applyFill="1" applyBorder="1" applyAlignment="1">
      <alignment horizontal="right"/>
    </xf>
    <xf numFmtId="0" fontId="34" fillId="0" borderId="0" xfId="0" applyFont="1" applyBorder="1"/>
    <xf numFmtId="190" fontId="7" fillId="7" borderId="6" xfId="0" applyNumberFormat="1" applyFont="1" applyFill="1" applyBorder="1" applyAlignment="1">
      <alignment horizontal="right"/>
    </xf>
    <xf numFmtId="190" fontId="7" fillId="3" borderId="7" xfId="0" applyNumberFormat="1" applyFont="1" applyFill="1" applyBorder="1" applyAlignment="1">
      <alignment horizontal="right"/>
    </xf>
    <xf numFmtId="190" fontId="7" fillId="7" borderId="7" xfId="0" applyNumberFormat="1" applyFont="1" applyFill="1" applyBorder="1" applyAlignment="1">
      <alignment horizontal="right"/>
    </xf>
    <xf numFmtId="190" fontId="7" fillId="7" borderId="32" xfId="0" applyNumberFormat="1" applyFont="1" applyFill="1" applyBorder="1" applyAlignment="1">
      <alignment horizontal="right"/>
    </xf>
    <xf numFmtId="0" fontId="15" fillId="0" borderId="0" xfId="0" applyFont="1" applyBorder="1"/>
    <xf numFmtId="190" fontId="7" fillId="7" borderId="14" xfId="0" applyNumberFormat="1" applyFont="1" applyFill="1" applyBorder="1" applyAlignment="1">
      <alignment horizontal="right"/>
    </xf>
    <xf numFmtId="190" fontId="40" fillId="7" borderId="7" xfId="0" applyNumberFormat="1" applyFont="1" applyFill="1" applyBorder="1" applyAlignment="1">
      <alignment horizontal="right" vertical="center"/>
    </xf>
    <xf numFmtId="190" fontId="5" fillId="3" borderId="7" xfId="0" applyNumberFormat="1" applyFont="1" applyFill="1" applyBorder="1" applyAlignment="1">
      <alignment horizontal="right" vertical="center"/>
    </xf>
    <xf numFmtId="190" fontId="5" fillId="7" borderId="7" xfId="0" applyNumberFormat="1" applyFont="1" applyFill="1" applyBorder="1" applyAlignment="1">
      <alignment horizontal="right" vertical="center"/>
    </xf>
    <xf numFmtId="190" fontId="5" fillId="7" borderId="32" xfId="0" applyNumberFormat="1" applyFont="1" applyFill="1" applyBorder="1" applyAlignment="1">
      <alignment horizontal="right" vertical="center"/>
    </xf>
    <xf numFmtId="188" fontId="0" fillId="0" borderId="0" xfId="0" applyNumberFormat="1" applyFill="1"/>
    <xf numFmtId="0" fontId="5" fillId="3" borderId="0" xfId="0" applyFont="1" applyFill="1" applyBorder="1" applyAlignment="1">
      <alignment horizontal="left" vertical="top" wrapText="1"/>
    </xf>
    <xf numFmtId="0" fontId="5" fillId="7" borderId="0" xfId="0" applyFont="1" applyFill="1" applyBorder="1" applyAlignment="1">
      <alignment horizontal="right" vertical="top" wrapText="1"/>
    </xf>
    <xf numFmtId="0" fontId="5" fillId="3" borderId="0" xfId="0" applyFont="1" applyFill="1" applyBorder="1" applyAlignment="1">
      <alignment horizontal="right" vertical="top" wrapText="1"/>
    </xf>
    <xf numFmtId="0" fontId="6" fillId="0" borderId="0" xfId="0" applyFont="1" applyAlignment="1">
      <alignment vertical="top" wrapText="1"/>
    </xf>
    <xf numFmtId="1" fontId="4" fillId="6" borderId="0" xfId="0" applyNumberFormat="1" applyFont="1" applyFill="1" applyBorder="1" applyAlignment="1">
      <alignment horizontal="left" vertical="center"/>
    </xf>
    <xf numFmtId="189" fontId="5" fillId="6" borderId="3" xfId="0" applyNumberFormat="1" applyFont="1" applyFill="1" applyBorder="1" applyAlignment="1">
      <alignment horizontal="right"/>
    </xf>
    <xf numFmtId="0" fontId="5" fillId="3" borderId="5" xfId="0" applyFont="1" applyFill="1" applyBorder="1" applyAlignment="1">
      <alignment horizontal="left" vertical="top" wrapText="1"/>
    </xf>
    <xf numFmtId="0" fontId="5" fillId="7" borderId="5" xfId="0" applyFont="1" applyFill="1" applyBorder="1" applyAlignment="1">
      <alignment horizontal="right" vertical="top" wrapText="1"/>
    </xf>
    <xf numFmtId="0" fontId="5" fillId="3" borderId="5" xfId="0" applyFont="1" applyFill="1" applyBorder="1" applyAlignment="1">
      <alignment horizontal="right" vertical="top" wrapText="1"/>
    </xf>
    <xf numFmtId="1" fontId="7" fillId="3" borderId="10" xfId="0" applyNumberFormat="1" applyFont="1" applyFill="1" applyBorder="1" applyAlignment="1">
      <alignment horizontal="left" vertical="center"/>
    </xf>
    <xf numFmtId="0" fontId="6" fillId="0" borderId="0" xfId="0" quotePrefix="1" applyFont="1"/>
    <xf numFmtId="0" fontId="0" fillId="0" borderId="3" xfId="0" applyFill="1" applyBorder="1" applyAlignment="1"/>
    <xf numFmtId="0" fontId="0" fillId="0" borderId="0" xfId="0" applyFill="1" applyBorder="1" applyAlignment="1"/>
    <xf numFmtId="0" fontId="7" fillId="14" borderId="28" xfId="0" applyFont="1" applyFill="1" applyBorder="1" applyAlignment="1">
      <alignment horizontal="left" vertical="top"/>
    </xf>
    <xf numFmtId="0" fontId="5" fillId="14" borderId="0" xfId="0" applyFont="1" applyFill="1" applyBorder="1" applyAlignment="1">
      <alignment horizontal="right" vertical="top"/>
    </xf>
    <xf numFmtId="0" fontId="5" fillId="14" borderId="0" xfId="0" applyFont="1" applyFill="1" applyBorder="1" applyAlignment="1">
      <alignment horizontal="right"/>
    </xf>
    <xf numFmtId="0" fontId="7" fillId="15" borderId="28" xfId="0" applyFont="1" applyFill="1" applyBorder="1" applyAlignment="1">
      <alignment horizontal="left" vertical="top"/>
    </xf>
    <xf numFmtId="0" fontId="5" fillId="15" borderId="0" xfId="0" applyFont="1" applyFill="1" applyBorder="1" applyAlignment="1">
      <alignment horizontal="right" vertical="top"/>
    </xf>
    <xf numFmtId="0" fontId="5" fillId="15" borderId="0" xfId="0" applyFont="1" applyFill="1" applyBorder="1" applyAlignment="1">
      <alignment horizontal="right"/>
    </xf>
    <xf numFmtId="0" fontId="7" fillId="3" borderId="28" xfId="0" applyFont="1" applyFill="1" applyBorder="1" applyAlignment="1">
      <alignment horizontal="left" vertical="top"/>
    </xf>
    <xf numFmtId="0" fontId="5" fillId="3" borderId="0" xfId="0" applyFont="1" applyFill="1" applyBorder="1" applyAlignment="1">
      <alignment horizontal="left" vertical="center"/>
    </xf>
    <xf numFmtId="0" fontId="5" fillId="3" borderId="28" xfId="0" applyFont="1" applyFill="1" applyBorder="1" applyAlignment="1">
      <alignment horizontal="right" vertical="center"/>
    </xf>
    <xf numFmtId="0" fontId="5" fillId="7" borderId="0" xfId="0" quotePrefix="1" applyFont="1" applyFill="1" applyBorder="1" applyAlignment="1">
      <alignment horizontal="right" vertical="center"/>
    </xf>
    <xf numFmtId="0" fontId="18" fillId="7" borderId="0" xfId="0" applyFont="1" applyFill="1" applyBorder="1" applyAlignment="1">
      <alignment horizontal="right" vertical="center"/>
    </xf>
    <xf numFmtId="0" fontId="18" fillId="3" borderId="0" xfId="0" applyFont="1" applyFill="1" applyBorder="1" applyAlignment="1">
      <alignment horizontal="right" vertical="center"/>
    </xf>
    <xf numFmtId="0" fontId="18" fillId="3" borderId="28" xfId="0" applyFont="1" applyFill="1" applyBorder="1" applyAlignment="1">
      <alignment horizontal="left" vertical="center"/>
    </xf>
    <xf numFmtId="1" fontId="5" fillId="3" borderId="37" xfId="0" applyNumberFormat="1" applyFont="1" applyFill="1" applyBorder="1" applyAlignment="1">
      <alignment horizontal="left"/>
    </xf>
    <xf numFmtId="3" fontId="5" fillId="7" borderId="37" xfId="0" applyNumberFormat="1" applyFont="1" applyFill="1" applyBorder="1" applyAlignment="1">
      <alignment horizontal="right"/>
    </xf>
    <xf numFmtId="190" fontId="5" fillId="3" borderId="38" xfId="0" applyNumberFormat="1" applyFont="1" applyFill="1" applyBorder="1" applyAlignment="1">
      <alignment horizontal="right"/>
    </xf>
    <xf numFmtId="190" fontId="5" fillId="7" borderId="37" xfId="0" applyNumberFormat="1" applyFont="1" applyFill="1" applyBorder="1" applyAlignment="1">
      <alignment horizontal="right"/>
    </xf>
    <xf numFmtId="190" fontId="5" fillId="3" borderId="37" xfId="0" applyNumberFormat="1" applyFont="1" applyFill="1" applyBorder="1" applyAlignment="1">
      <alignment horizontal="right"/>
    </xf>
    <xf numFmtId="190" fontId="5" fillId="3" borderId="39" xfId="0" applyNumberFormat="1" applyFont="1" applyFill="1" applyBorder="1" applyAlignment="1">
      <alignment horizontal="right"/>
    </xf>
    <xf numFmtId="190" fontId="5" fillId="7" borderId="40" xfId="0" applyNumberFormat="1" applyFont="1" applyFill="1" applyBorder="1" applyAlignment="1">
      <alignment horizontal="right"/>
    </xf>
    <xf numFmtId="190" fontId="5" fillId="3" borderId="40" xfId="0" applyNumberFormat="1" applyFont="1" applyFill="1" applyBorder="1" applyAlignment="1">
      <alignment horizontal="right"/>
    </xf>
    <xf numFmtId="190" fontId="5" fillId="3" borderId="48" xfId="0" applyNumberFormat="1" applyFont="1" applyFill="1" applyBorder="1" applyAlignment="1">
      <alignment horizontal="right"/>
    </xf>
    <xf numFmtId="190" fontId="5" fillId="7" borderId="44" xfId="0" applyNumberFormat="1" applyFont="1" applyFill="1" applyBorder="1" applyAlignment="1">
      <alignment horizontal="right"/>
    </xf>
    <xf numFmtId="190" fontId="5" fillId="3" borderId="44" xfId="0" applyNumberFormat="1" applyFont="1" applyFill="1" applyBorder="1" applyAlignment="1">
      <alignment horizontal="right"/>
    </xf>
    <xf numFmtId="190" fontId="7" fillId="3" borderId="33" xfId="0" applyNumberFormat="1" applyFont="1" applyFill="1" applyBorder="1" applyAlignment="1">
      <alignment horizontal="right" vertical="center"/>
    </xf>
    <xf numFmtId="190" fontId="7" fillId="7" borderId="6" xfId="0" applyNumberFormat="1" applyFont="1" applyFill="1" applyBorder="1" applyAlignment="1">
      <alignment horizontal="right" vertical="center"/>
    </xf>
    <xf numFmtId="190" fontId="7" fillId="3" borderId="6" xfId="0" applyNumberFormat="1" applyFont="1" applyFill="1" applyBorder="1" applyAlignment="1">
      <alignment horizontal="right" vertical="center"/>
    </xf>
    <xf numFmtId="190" fontId="7" fillId="3" borderId="11" xfId="0" applyNumberFormat="1" applyFont="1" applyFill="1" applyBorder="1" applyAlignment="1">
      <alignment horizontal="right" vertical="center"/>
    </xf>
    <xf numFmtId="1" fontId="10" fillId="0" borderId="0" xfId="0" applyNumberFormat="1" applyFont="1" applyFill="1" applyBorder="1" applyAlignment="1">
      <alignment horizontal="left"/>
    </xf>
    <xf numFmtId="0" fontId="6" fillId="0" borderId="0" xfId="0" quotePrefix="1" applyFont="1" applyAlignment="1"/>
    <xf numFmtId="0" fontId="5" fillId="7" borderId="5" xfId="0" applyFont="1" applyFill="1" applyBorder="1" applyAlignment="1">
      <alignment horizontal="center" vertical="center"/>
    </xf>
    <xf numFmtId="3" fontId="6" fillId="0" borderId="0" xfId="0" applyNumberFormat="1" applyFont="1" applyProtection="1">
      <protection locked="0"/>
    </xf>
    <xf numFmtId="0" fontId="6" fillId="0" borderId="0" xfId="0" applyFont="1" applyProtection="1">
      <protection locked="0"/>
    </xf>
    <xf numFmtId="0" fontId="6" fillId="0" borderId="0" xfId="0" applyFont="1" applyFill="1" applyBorder="1" applyProtection="1">
      <protection locked="0"/>
    </xf>
    <xf numFmtId="0" fontId="3" fillId="0" borderId="0" xfId="0" applyFont="1" applyBorder="1" applyProtection="1"/>
    <xf numFmtId="3" fontId="6" fillId="0" borderId="0" xfId="0" applyNumberFormat="1" applyFont="1" applyProtection="1"/>
    <xf numFmtId="0" fontId="6" fillId="0" borderId="0" xfId="0" applyFont="1" applyProtection="1"/>
    <xf numFmtId="0" fontId="4" fillId="0" borderId="0" xfId="0" applyFont="1" applyBorder="1" applyAlignment="1" applyProtection="1">
      <alignment vertical="top"/>
    </xf>
    <xf numFmtId="0" fontId="4" fillId="0" borderId="0" xfId="0" applyFont="1" applyFill="1" applyAlignment="1" applyProtection="1">
      <alignment horizontal="right" vertical="top"/>
    </xf>
    <xf numFmtId="3" fontId="5" fillId="7" borderId="5" xfId="0" applyNumberFormat="1" applyFont="1" applyFill="1" applyBorder="1" applyAlignment="1" applyProtection="1">
      <alignment horizontal="right"/>
    </xf>
    <xf numFmtId="3" fontId="5" fillId="3" borderId="5" xfId="0" applyNumberFormat="1" applyFont="1" applyFill="1" applyBorder="1" applyAlignment="1" applyProtection="1">
      <alignment horizontal="right"/>
    </xf>
    <xf numFmtId="0" fontId="5" fillId="3" borderId="5" xfId="0" applyFont="1" applyFill="1" applyBorder="1" applyAlignment="1" applyProtection="1">
      <alignment horizontal="right"/>
    </xf>
    <xf numFmtId="0" fontId="7" fillId="7" borderId="5" xfId="0" applyFont="1" applyFill="1" applyBorder="1" applyAlignment="1" applyProtection="1">
      <alignment horizontal="right"/>
    </xf>
    <xf numFmtId="0" fontId="5" fillId="3" borderId="5" xfId="0" applyFont="1" applyFill="1" applyBorder="1" applyAlignment="1" applyProtection="1">
      <alignment horizontal="center"/>
    </xf>
    <xf numFmtId="0" fontId="5" fillId="3" borderId="0" xfId="0" applyFont="1" applyFill="1" applyBorder="1" applyProtection="1"/>
    <xf numFmtId="3" fontId="5" fillId="7" borderId="0" xfId="0" applyNumberFormat="1" applyFont="1" applyFill="1" applyBorder="1" applyAlignment="1" applyProtection="1">
      <alignment horizontal="right"/>
    </xf>
    <xf numFmtId="3" fontId="5" fillId="3" borderId="0" xfId="0" applyNumberFormat="1" applyFont="1" applyFill="1" applyBorder="1" applyAlignment="1" applyProtection="1">
      <alignment horizontal="right"/>
    </xf>
    <xf numFmtId="0" fontId="5" fillId="7" borderId="0" xfId="0" applyFont="1" applyFill="1" applyBorder="1" applyAlignment="1" applyProtection="1">
      <alignment horizontal="right"/>
    </xf>
    <xf numFmtId="0" fontId="5" fillId="3" borderId="0" xfId="0" applyFont="1" applyFill="1" applyBorder="1" applyAlignment="1" applyProtection="1">
      <alignment horizontal="center"/>
    </xf>
    <xf numFmtId="0" fontId="5" fillId="3" borderId="3" xfId="0" applyFont="1" applyFill="1" applyBorder="1" applyProtection="1"/>
    <xf numFmtId="3" fontId="5" fillId="7" borderId="3" xfId="0" applyNumberFormat="1" applyFont="1" applyFill="1" applyBorder="1" applyAlignment="1" applyProtection="1">
      <alignment horizontal="right"/>
    </xf>
    <xf numFmtId="3" fontId="5" fillId="3" borderId="3" xfId="0" applyNumberFormat="1" applyFont="1" applyFill="1" applyBorder="1" applyAlignment="1" applyProtection="1">
      <alignment horizontal="right"/>
    </xf>
    <xf numFmtId="0" fontId="5" fillId="7" borderId="3" xfId="0" applyFont="1" applyFill="1" applyBorder="1" applyAlignment="1" applyProtection="1">
      <alignment horizontal="right"/>
    </xf>
    <xf numFmtId="0" fontId="5" fillId="3" borderId="3" xfId="0" applyFont="1" applyFill="1" applyBorder="1" applyAlignment="1" applyProtection="1">
      <alignment horizontal="center" vertical="top"/>
    </xf>
    <xf numFmtId="0" fontId="5" fillId="3" borderId="9" xfId="0" applyFont="1" applyFill="1" applyBorder="1" applyProtection="1"/>
    <xf numFmtId="3" fontId="5" fillId="7" borderId="9" xfId="0" applyNumberFormat="1" applyFont="1" applyFill="1" applyBorder="1" applyAlignment="1" applyProtection="1">
      <alignment horizontal="right"/>
    </xf>
    <xf numFmtId="3" fontId="5" fillId="3" borderId="9" xfId="0" applyNumberFormat="1" applyFont="1" applyFill="1" applyBorder="1" applyAlignment="1" applyProtection="1">
      <alignment horizontal="right"/>
    </xf>
    <xf numFmtId="3" fontId="7" fillId="7" borderId="9" xfId="0" applyNumberFormat="1" applyFont="1" applyFill="1" applyBorder="1" applyAlignment="1" applyProtection="1">
      <alignment horizontal="right"/>
    </xf>
    <xf numFmtId="190" fontId="5" fillId="3" borderId="9" xfId="0" applyNumberFormat="1" applyFont="1" applyFill="1" applyBorder="1" applyAlignment="1" applyProtection="1">
      <alignment horizontal="center"/>
    </xf>
    <xf numFmtId="0" fontId="5" fillId="3" borderId="7" xfId="0" applyFont="1" applyFill="1" applyBorder="1" applyProtection="1"/>
    <xf numFmtId="3" fontId="5" fillId="7" borderId="7" xfId="0" applyNumberFormat="1" applyFont="1" applyFill="1" applyBorder="1" applyAlignment="1" applyProtection="1">
      <alignment horizontal="right"/>
    </xf>
    <xf numFmtId="3" fontId="5" fillId="3" borderId="7" xfId="0" applyNumberFormat="1" applyFont="1" applyFill="1" applyBorder="1" applyAlignment="1" applyProtection="1">
      <alignment horizontal="right"/>
    </xf>
    <xf numFmtId="3" fontId="7" fillId="7" borderId="7" xfId="0" applyNumberFormat="1" applyFont="1" applyFill="1" applyBorder="1" applyAlignment="1" applyProtection="1">
      <alignment horizontal="right"/>
    </xf>
    <xf numFmtId="189" fontId="5" fillId="7" borderId="7" xfId="0" applyNumberFormat="1" applyFont="1" applyFill="1" applyBorder="1" applyAlignment="1" applyProtection="1">
      <alignment horizontal="right"/>
    </xf>
    <xf numFmtId="189" fontId="5" fillId="3" borderId="7" xfId="0" applyNumberFormat="1" applyFont="1" applyFill="1" applyBorder="1" applyAlignment="1" applyProtection="1">
      <alignment horizontal="right"/>
    </xf>
    <xf numFmtId="189" fontId="7" fillId="7" borderId="7" xfId="0" applyNumberFormat="1" applyFont="1" applyFill="1" applyBorder="1" applyAlignment="1" applyProtection="1">
      <alignment horizontal="right"/>
    </xf>
    <xf numFmtId="0" fontId="40" fillId="3" borderId="7" xfId="0" applyFont="1" applyFill="1" applyBorder="1" applyProtection="1"/>
    <xf numFmtId="3" fontId="40" fillId="7" borderId="7" xfId="0" applyNumberFormat="1" applyFont="1" applyFill="1" applyBorder="1" applyAlignment="1" applyProtection="1">
      <alignment horizontal="right"/>
    </xf>
    <xf numFmtId="3" fontId="40" fillId="3" borderId="7" xfId="0" applyNumberFormat="1" applyFont="1" applyFill="1" applyBorder="1" applyAlignment="1" applyProtection="1">
      <alignment horizontal="right"/>
    </xf>
    <xf numFmtId="3" fontId="61" fillId="7" borderId="44" xfId="0" applyNumberFormat="1" applyFont="1" applyFill="1" applyBorder="1" applyAlignment="1" applyProtection="1">
      <alignment horizontal="right"/>
    </xf>
    <xf numFmtId="190" fontId="40" fillId="3" borderId="9" xfId="0" applyNumberFormat="1" applyFont="1" applyFill="1" applyBorder="1" applyAlignment="1" applyProtection="1">
      <alignment horizontal="center"/>
    </xf>
    <xf numFmtId="188" fontId="40" fillId="7" borderId="7" xfId="0" applyNumberFormat="1" applyFont="1" applyFill="1" applyBorder="1" applyAlignment="1" applyProtection="1">
      <alignment horizontal="right"/>
    </xf>
    <xf numFmtId="0" fontId="5" fillId="3" borderId="0" xfId="0" applyFont="1" applyFill="1" applyBorder="1" applyAlignment="1" applyProtection="1">
      <alignment vertical="center"/>
    </xf>
    <xf numFmtId="189" fontId="5" fillId="7" borderId="0" xfId="0" applyNumberFormat="1" applyFont="1" applyFill="1" applyBorder="1" applyAlignment="1" applyProtection="1">
      <alignment horizontal="right" vertical="center"/>
    </xf>
    <xf numFmtId="189" fontId="5" fillId="3" borderId="0" xfId="0" applyNumberFormat="1" applyFont="1" applyFill="1" applyBorder="1" applyAlignment="1" applyProtection="1">
      <alignment horizontal="right" vertical="center"/>
    </xf>
    <xf numFmtId="189" fontId="7" fillId="7" borderId="0" xfId="0" applyNumberFormat="1" applyFont="1" applyFill="1" applyBorder="1" applyAlignment="1" applyProtection="1">
      <alignment horizontal="right" vertical="center"/>
    </xf>
    <xf numFmtId="190" fontId="5" fillId="3" borderId="9" xfId="0" applyNumberFormat="1" applyFont="1" applyFill="1" applyBorder="1" applyAlignment="1" applyProtection="1">
      <alignment horizontal="center" vertical="center"/>
    </xf>
    <xf numFmtId="0" fontId="6" fillId="0" borderId="8" xfId="0" applyFont="1" applyBorder="1" applyProtection="1"/>
    <xf numFmtId="3" fontId="6" fillId="0" borderId="8" xfId="0" applyNumberFormat="1" applyFont="1" applyBorder="1" applyProtection="1"/>
    <xf numFmtId="0" fontId="6" fillId="0" borderId="0" xfId="0" applyFont="1" applyBorder="1" applyProtection="1"/>
    <xf numFmtId="3" fontId="6" fillId="0" borderId="0" xfId="0" applyNumberFormat="1" applyFont="1" applyBorder="1" applyProtection="1"/>
    <xf numFmtId="0" fontId="5" fillId="3" borderId="4" xfId="0" applyFont="1" applyFill="1" applyBorder="1" applyAlignment="1">
      <alignment horizontal="left" vertical="center"/>
    </xf>
    <xf numFmtId="0" fontId="5" fillId="7" borderId="4" xfId="0" applyFont="1" applyFill="1" applyBorder="1" applyAlignment="1">
      <alignment vertical="center"/>
    </xf>
    <xf numFmtId="0" fontId="5" fillId="3" borderId="4" xfId="0" applyFont="1" applyFill="1" applyBorder="1" applyAlignment="1">
      <alignment vertical="center"/>
    </xf>
    <xf numFmtId="190" fontId="61" fillId="7" borderId="10" xfId="0" applyNumberFormat="1" applyFont="1" applyFill="1" applyBorder="1" applyAlignment="1">
      <alignment horizontal="right" vertical="center"/>
    </xf>
    <xf numFmtId="1" fontId="5" fillId="6" borderId="41" xfId="0" applyNumberFormat="1" applyFont="1" applyFill="1" applyBorder="1" applyAlignment="1">
      <alignment horizontal="left"/>
    </xf>
    <xf numFmtId="0" fontId="6" fillId="6" borderId="41" xfId="0" applyFont="1" applyFill="1" applyBorder="1"/>
    <xf numFmtId="0" fontId="6" fillId="0" borderId="41" xfId="0" applyFont="1" applyBorder="1"/>
    <xf numFmtId="1" fontId="7" fillId="3" borderId="6" xfId="0" applyNumberFormat="1" applyFont="1" applyFill="1" applyBorder="1" applyAlignment="1">
      <alignment horizontal="left" vertical="center"/>
    </xf>
    <xf numFmtId="190" fontId="7" fillId="7" borderId="11" xfId="0" applyNumberFormat="1" applyFont="1" applyFill="1" applyBorder="1" applyAlignment="1">
      <alignment horizontal="right" vertical="center"/>
    </xf>
    <xf numFmtId="1" fontId="5" fillId="6" borderId="8" xfId="0" applyNumberFormat="1" applyFont="1" applyFill="1" applyBorder="1" applyAlignment="1">
      <alignment horizontal="left"/>
    </xf>
    <xf numFmtId="1" fontId="5" fillId="6" borderId="0" xfId="0" applyNumberFormat="1" applyFont="1" applyFill="1" applyBorder="1" applyAlignment="1">
      <alignment horizontal="left"/>
    </xf>
    <xf numFmtId="3" fontId="6" fillId="6" borderId="41" xfId="0" applyNumberFormat="1" applyFont="1" applyFill="1" applyBorder="1"/>
    <xf numFmtId="3" fontId="6" fillId="0" borderId="41" xfId="0" applyNumberFormat="1" applyFont="1" applyBorder="1"/>
    <xf numFmtId="1" fontId="7" fillId="3" borderId="18" xfId="0" applyNumberFormat="1" applyFont="1" applyFill="1" applyBorder="1" applyAlignment="1">
      <alignment horizontal="left" vertical="center"/>
    </xf>
    <xf numFmtId="3" fontId="7" fillId="7" borderId="18" xfId="0" applyNumberFormat="1" applyFont="1" applyFill="1" applyBorder="1" applyAlignment="1">
      <alignment horizontal="right" vertical="center"/>
    </xf>
    <xf numFmtId="3" fontId="7" fillId="3" borderId="18" xfId="0" applyNumberFormat="1" applyFont="1" applyFill="1" applyBorder="1" applyAlignment="1">
      <alignment horizontal="right" vertical="center"/>
    </xf>
    <xf numFmtId="3" fontId="7" fillId="7" borderId="11" xfId="0" applyNumberFormat="1" applyFont="1" applyFill="1" applyBorder="1" applyAlignment="1">
      <alignment horizontal="right" vertical="center"/>
    </xf>
    <xf numFmtId="0" fontId="5" fillId="13" borderId="5" xfId="0" applyFont="1" applyFill="1" applyBorder="1" applyAlignment="1">
      <alignment horizontal="right"/>
    </xf>
    <xf numFmtId="4" fontId="5" fillId="3" borderId="6" xfId="0" applyNumberFormat="1" applyFont="1" applyFill="1" applyBorder="1" applyAlignment="1">
      <alignment horizontal="right"/>
    </xf>
    <xf numFmtId="4" fontId="5" fillId="7" borderId="6" xfId="0" applyNumberFormat="1" applyFont="1" applyFill="1" applyBorder="1" applyAlignment="1">
      <alignment horizontal="right"/>
    </xf>
    <xf numFmtId="4" fontId="5" fillId="7" borderId="9" xfId="0" applyNumberFormat="1" applyFont="1" applyFill="1" applyBorder="1" applyAlignment="1">
      <alignment horizontal="right"/>
    </xf>
    <xf numFmtId="2" fontId="7" fillId="3" borderId="0" xfId="0" applyNumberFormat="1" applyFont="1" applyFill="1" applyBorder="1" applyAlignment="1">
      <alignment horizontal="right" vertical="center"/>
    </xf>
    <xf numFmtId="190" fontId="7" fillId="7" borderId="0" xfId="0" applyNumberFormat="1" applyFont="1" applyFill="1" applyBorder="1" applyAlignment="1">
      <alignment horizontal="center" vertical="center"/>
    </xf>
    <xf numFmtId="2" fontId="7" fillId="7" borderId="0" xfId="0" applyNumberFormat="1" applyFont="1" applyFill="1" applyBorder="1" applyAlignment="1">
      <alignment horizontal="right" vertical="center"/>
    </xf>
    <xf numFmtId="0" fontId="3" fillId="6" borderId="0" xfId="0" applyFont="1" applyFill="1" applyAlignment="1">
      <alignment horizontal="center"/>
    </xf>
    <xf numFmtId="4" fontId="5" fillId="7" borderId="5" xfId="0" applyNumberFormat="1" applyFont="1" applyFill="1" applyBorder="1" applyAlignment="1">
      <alignment horizontal="right"/>
    </xf>
    <xf numFmtId="0" fontId="5" fillId="7" borderId="5" xfId="0" applyNumberFormat="1" applyFont="1" applyFill="1" applyBorder="1" applyAlignment="1">
      <alignment horizontal="center"/>
    </xf>
    <xf numFmtId="4" fontId="5" fillId="3" borderId="5" xfId="0" applyNumberFormat="1" applyFont="1" applyFill="1" applyBorder="1" applyAlignment="1">
      <alignment horizontal="right"/>
    </xf>
    <xf numFmtId="4" fontId="5" fillId="7" borderId="44" xfId="0" applyNumberFormat="1" applyFont="1" applyFill="1" applyBorder="1" applyAlignment="1">
      <alignment horizontal="right"/>
    </xf>
    <xf numFmtId="3" fontId="5" fillId="3" borderId="44" xfId="0" applyNumberFormat="1" applyFont="1" applyFill="1" applyBorder="1" applyAlignment="1">
      <alignment horizontal="right"/>
    </xf>
    <xf numFmtId="0" fontId="5" fillId="7" borderId="44" xfId="0" applyNumberFormat="1" applyFont="1" applyFill="1" applyBorder="1" applyAlignment="1">
      <alignment horizontal="center"/>
    </xf>
    <xf numFmtId="4" fontId="5" fillId="3" borderId="44" xfId="0" applyNumberFormat="1" applyFont="1" applyFill="1" applyBorder="1" applyAlignment="1">
      <alignment horizontal="right"/>
    </xf>
    <xf numFmtId="4" fontId="7" fillId="7" borderId="6" xfId="0" applyNumberFormat="1" applyFont="1" applyFill="1" applyBorder="1" applyAlignment="1">
      <alignment horizontal="right" vertical="center"/>
    </xf>
    <xf numFmtId="4" fontId="7" fillId="7" borderId="11" xfId="0" applyNumberFormat="1" applyFont="1" applyFill="1" applyBorder="1" applyAlignment="1">
      <alignment horizontal="center" vertical="center"/>
    </xf>
    <xf numFmtId="4" fontId="7" fillId="3" borderId="11" xfId="0" applyNumberFormat="1" applyFont="1" applyFill="1" applyBorder="1" applyAlignment="1">
      <alignment horizontal="right" vertical="center"/>
    </xf>
    <xf numFmtId="189" fontId="5" fillId="6" borderId="8" xfId="0" applyNumberFormat="1" applyFont="1" applyFill="1" applyBorder="1" applyAlignment="1">
      <alignment horizontal="center"/>
    </xf>
    <xf numFmtId="189" fontId="5" fillId="6" borderId="0" xfId="0" applyNumberFormat="1" applyFont="1" applyFill="1" applyBorder="1" applyAlignment="1">
      <alignment horizontal="center"/>
    </xf>
    <xf numFmtId="189" fontId="5" fillId="0" borderId="0" xfId="0" applyNumberFormat="1" applyFont="1" applyFill="1" applyBorder="1" applyAlignment="1">
      <alignment horizontal="center"/>
    </xf>
    <xf numFmtId="0" fontId="116" fillId="0" borderId="0" xfId="0" applyFont="1" applyAlignment="1">
      <alignment wrapText="1"/>
    </xf>
    <xf numFmtId="0" fontId="10" fillId="0" borderId="0" xfId="0" applyFont="1" applyAlignment="1">
      <alignment wrapText="1"/>
    </xf>
    <xf numFmtId="0" fontId="117" fillId="0" borderId="0" xfId="0" applyFont="1" applyAlignment="1">
      <alignment wrapText="1"/>
    </xf>
    <xf numFmtId="0" fontId="6" fillId="0" borderId="0" xfId="0" applyFont="1" applyAlignment="1">
      <alignment wrapText="1"/>
    </xf>
    <xf numFmtId="0" fontId="60" fillId="0" borderId="19" xfId="0" applyFont="1" applyBorder="1" applyAlignment="1">
      <alignment horizontal="justify" vertical="top" wrapText="1"/>
    </xf>
    <xf numFmtId="0" fontId="118" fillId="7" borderId="19" xfId="0" applyFont="1" applyFill="1" applyBorder="1" applyAlignment="1">
      <alignment vertical="top" wrapText="1"/>
    </xf>
    <xf numFmtId="0" fontId="118" fillId="3" borderId="19" xfId="0" applyFont="1" applyFill="1" applyBorder="1" applyAlignment="1">
      <alignment vertical="top" wrapText="1"/>
    </xf>
    <xf numFmtId="0" fontId="118" fillId="3" borderId="21" xfId="0" applyFont="1" applyFill="1" applyBorder="1" applyAlignment="1">
      <alignment vertical="top" wrapText="1"/>
    </xf>
    <xf numFmtId="0" fontId="35" fillId="10" borderId="21" xfId="0" applyFont="1" applyFill="1" applyBorder="1" applyAlignment="1">
      <alignment horizontal="justify" vertical="top" wrapText="1"/>
    </xf>
    <xf numFmtId="190" fontId="35" fillId="10" borderId="22" xfId="0" applyNumberFormat="1" applyFont="1" applyFill="1" applyBorder="1" applyAlignment="1">
      <alignment horizontal="justify" vertical="top" wrapText="1"/>
    </xf>
    <xf numFmtId="190" fontId="18" fillId="3" borderId="22" xfId="0" applyNumberFormat="1" applyFont="1" applyFill="1" applyBorder="1" applyAlignment="1">
      <alignment horizontal="justify" vertical="top" wrapText="1"/>
    </xf>
    <xf numFmtId="3" fontId="18" fillId="7" borderId="22" xfId="0" applyNumberFormat="1" applyFont="1" applyFill="1" applyBorder="1" applyAlignment="1">
      <alignment horizontal="justify" vertical="top" wrapText="1"/>
    </xf>
    <xf numFmtId="3" fontId="18" fillId="3" borderId="22" xfId="0" applyNumberFormat="1" applyFont="1" applyFill="1" applyBorder="1" applyAlignment="1">
      <alignment horizontal="justify" vertical="top" wrapText="1"/>
    </xf>
    <xf numFmtId="0" fontId="18" fillId="0" borderId="21" xfId="0" applyFont="1" applyBorder="1" applyAlignment="1">
      <alignment horizontal="justify" vertical="top" wrapText="1"/>
    </xf>
    <xf numFmtId="190" fontId="18" fillId="7" borderId="22" xfId="0" applyNumberFormat="1" applyFont="1" applyFill="1" applyBorder="1" applyAlignment="1">
      <alignment horizontal="justify" vertical="top" wrapText="1"/>
    </xf>
    <xf numFmtId="0" fontId="119" fillId="0" borderId="0" xfId="0" applyFont="1" applyBorder="1" applyAlignment="1">
      <alignment horizontal="justify" vertical="top" wrapText="1"/>
    </xf>
    <xf numFmtId="190" fontId="119" fillId="0" borderId="0" xfId="0" applyNumberFormat="1" applyFont="1" applyBorder="1" applyAlignment="1">
      <alignment horizontal="justify" vertical="top" wrapText="1"/>
    </xf>
    <xf numFmtId="3" fontId="119" fillId="0" borderId="0" xfId="0" applyNumberFormat="1" applyFont="1" applyBorder="1" applyAlignment="1">
      <alignment horizontal="justify" vertical="top" wrapText="1"/>
    </xf>
    <xf numFmtId="0" fontId="21" fillId="0" borderId="0" xfId="0" applyFont="1" applyFill="1" applyBorder="1" applyAlignment="1">
      <alignment vertical="top"/>
    </xf>
    <xf numFmtId="0" fontId="120" fillId="0" borderId="0" xfId="0" applyFont="1" applyFill="1" applyBorder="1" applyAlignment="1">
      <alignment horizontal="justify" vertical="top"/>
    </xf>
    <xf numFmtId="0" fontId="21" fillId="0" borderId="0" xfId="0" quotePrefix="1" applyFont="1"/>
    <xf numFmtId="0" fontId="21" fillId="6" borderId="0" xfId="0" applyFont="1" applyFill="1"/>
    <xf numFmtId="0" fontId="10" fillId="2" borderId="0" xfId="0" applyFont="1" applyFill="1"/>
    <xf numFmtId="0" fontId="7" fillId="0" borderId="0" xfId="9" applyFont="1"/>
    <xf numFmtId="0" fontId="5" fillId="0" borderId="0" xfId="9" applyFont="1"/>
    <xf numFmtId="0" fontId="60" fillId="0" borderId="42" xfId="9" applyFont="1" applyBorder="1" applyAlignment="1">
      <alignment vertical="top" wrapText="1"/>
    </xf>
    <xf numFmtId="0" fontId="60" fillId="0" borderId="20" xfId="9" applyFont="1" applyBorder="1" applyAlignment="1">
      <alignment vertical="top" wrapText="1"/>
    </xf>
    <xf numFmtId="0" fontId="60" fillId="0" borderId="21" xfId="9" applyFont="1" applyBorder="1" applyAlignment="1">
      <alignment horizontal="right" vertical="top" wrapText="1"/>
    </xf>
    <xf numFmtId="0" fontId="6" fillId="0" borderId="22" xfId="9" applyFont="1" applyBorder="1" applyAlignment="1">
      <alignment vertical="top" wrapText="1"/>
    </xf>
    <xf numFmtId="0" fontId="60" fillId="0" borderId="21" xfId="9" applyFont="1" applyBorder="1" applyAlignment="1">
      <alignment horizontal="justify" vertical="top" wrapText="1"/>
    </xf>
    <xf numFmtId="0" fontId="60" fillId="0" borderId="22" xfId="9" applyFont="1" applyBorder="1" applyAlignment="1">
      <alignment vertical="top" wrapText="1"/>
    </xf>
    <xf numFmtId="0" fontId="6" fillId="0" borderId="21" xfId="9" applyFont="1" applyBorder="1" applyAlignment="1">
      <alignment horizontal="justify" vertical="top" wrapText="1"/>
    </xf>
    <xf numFmtId="0" fontId="6" fillId="0" borderId="22" xfId="9" applyFont="1" applyBorder="1" applyAlignment="1">
      <alignment horizontal="justify" vertical="top" wrapText="1"/>
    </xf>
    <xf numFmtId="9" fontId="6" fillId="0" borderId="22" xfId="9" applyNumberFormat="1" applyFont="1" applyBorder="1" applyAlignment="1">
      <alignment horizontal="justify" vertical="top" wrapText="1"/>
    </xf>
    <xf numFmtId="0" fontId="6" fillId="0" borderId="0" xfId="9" applyFont="1" applyAlignment="1">
      <alignment horizontal="justify"/>
    </xf>
    <xf numFmtId="0" fontId="60" fillId="0" borderId="17" xfId="9" applyFont="1" applyBorder="1" applyAlignment="1">
      <alignment vertical="top" wrapText="1"/>
    </xf>
    <xf numFmtId="0" fontId="60" fillId="0" borderId="19" xfId="9" applyFont="1" applyBorder="1" applyAlignment="1">
      <alignment horizontal="right" vertical="top" wrapText="1"/>
    </xf>
    <xf numFmtId="0" fontId="6" fillId="0" borderId="20" xfId="9" applyFont="1" applyBorder="1" applyAlignment="1">
      <alignment vertical="top" wrapText="1"/>
    </xf>
    <xf numFmtId="9" fontId="60" fillId="3" borderId="22" xfId="9" applyNumberFormat="1" applyFont="1" applyFill="1" applyBorder="1" applyAlignment="1">
      <alignment horizontal="justify" vertical="top" wrapText="1"/>
    </xf>
    <xf numFmtId="0" fontId="6" fillId="0" borderId="2" xfId="9" applyFont="1" applyBorder="1" applyAlignment="1">
      <alignment vertical="top" wrapText="1"/>
    </xf>
    <xf numFmtId="0" fontId="6" fillId="0" borderId="24" xfId="9" applyFont="1" applyBorder="1" applyAlignment="1">
      <alignment vertical="top" wrapText="1"/>
    </xf>
    <xf numFmtId="0" fontId="60" fillId="3" borderId="16" xfId="9" applyFont="1" applyFill="1" applyBorder="1" applyAlignment="1">
      <alignment vertical="top" wrapText="1"/>
    </xf>
    <xf numFmtId="0" fontId="23" fillId="3" borderId="22" xfId="9" applyFont="1" applyFill="1" applyBorder="1" applyAlignment="1">
      <alignment vertical="top" wrapText="1"/>
    </xf>
    <xf numFmtId="0" fontId="6" fillId="0" borderId="22" xfId="9" applyFont="1" applyFill="1" applyBorder="1" applyAlignment="1">
      <alignment horizontal="right" vertical="top" wrapText="1"/>
    </xf>
    <xf numFmtId="0" fontId="60" fillId="3" borderId="22" xfId="9" applyFont="1" applyFill="1" applyBorder="1" applyAlignment="1">
      <alignment horizontal="right" vertical="top" wrapText="1"/>
    </xf>
    <xf numFmtId="0" fontId="60" fillId="0" borderId="17" xfId="9" applyFont="1" applyBorder="1" applyAlignment="1">
      <alignment horizontal="left" vertical="top" wrapText="1"/>
    </xf>
    <xf numFmtId="0" fontId="6" fillId="3" borderId="20" xfId="9" applyFont="1" applyFill="1" applyBorder="1" applyAlignment="1">
      <alignment vertical="top" wrapText="1"/>
    </xf>
    <xf numFmtId="0" fontId="60" fillId="0" borderId="16" xfId="9" applyFont="1" applyBorder="1" applyAlignment="1">
      <alignment vertical="top" wrapText="1"/>
    </xf>
    <xf numFmtId="0" fontId="6" fillId="0" borderId="22" xfId="9" applyFont="1" applyBorder="1" applyAlignment="1">
      <alignment horizontal="right" vertical="top" wrapText="1"/>
    </xf>
    <xf numFmtId="9" fontId="10" fillId="3" borderId="22" xfId="9" applyNumberFormat="1" applyFont="1" applyFill="1" applyBorder="1" applyAlignment="1">
      <alignment horizontal="justify" vertical="top" wrapText="1"/>
    </xf>
    <xf numFmtId="0" fontId="23" fillId="0" borderId="22" xfId="9" applyFont="1" applyBorder="1" applyAlignment="1">
      <alignment vertical="top" wrapText="1"/>
    </xf>
    <xf numFmtId="0" fontId="60" fillId="3" borderId="21" xfId="9" applyFont="1" applyFill="1" applyBorder="1" applyAlignment="1">
      <alignment horizontal="justify" vertical="top" wrapText="1"/>
    </xf>
    <xf numFmtId="0" fontId="60" fillId="3" borderId="20" xfId="9" applyFont="1" applyFill="1" applyBorder="1" applyAlignment="1">
      <alignment vertical="top" wrapText="1"/>
    </xf>
    <xf numFmtId="0" fontId="6" fillId="0" borderId="21" xfId="9" applyFont="1" applyFill="1" applyBorder="1" applyAlignment="1">
      <alignment horizontal="justify" vertical="top" wrapText="1"/>
    </xf>
    <xf numFmtId="9" fontId="6" fillId="0" borderId="22" xfId="9" applyNumberFormat="1" applyFont="1" applyFill="1" applyBorder="1" applyAlignment="1">
      <alignment horizontal="justify" vertical="top" wrapText="1"/>
    </xf>
    <xf numFmtId="0" fontId="23" fillId="0" borderId="20" xfId="9" applyFont="1" applyFill="1" applyBorder="1" applyAlignment="1">
      <alignment vertical="top" wrapText="1"/>
    </xf>
    <xf numFmtId="0" fontId="60" fillId="3" borderId="22" xfId="9" applyFont="1" applyFill="1" applyBorder="1" applyAlignment="1">
      <alignment vertical="top" wrapText="1"/>
    </xf>
    <xf numFmtId="0" fontId="60" fillId="0" borderId="22" xfId="9" applyFont="1" applyFill="1" applyBorder="1" applyAlignment="1">
      <alignment horizontal="right" vertical="top" wrapText="1"/>
    </xf>
    <xf numFmtId="0" fontId="18" fillId="0" borderId="0" xfId="9" applyFont="1" applyAlignment="1">
      <alignment horizontal="justify"/>
    </xf>
    <xf numFmtId="0" fontId="118" fillId="3" borderId="0" xfId="9" applyFont="1" applyFill="1"/>
    <xf numFmtId="0" fontId="3" fillId="0" borderId="0" xfId="9" applyFont="1"/>
    <xf numFmtId="0" fontId="118" fillId="0" borderId="42" xfId="9" applyFont="1" applyBorder="1" applyAlignment="1">
      <alignment horizontal="justify" vertical="top" wrapText="1"/>
    </xf>
    <xf numFmtId="0" fontId="10" fillId="3" borderId="21" xfId="9" applyFont="1" applyFill="1" applyBorder="1" applyAlignment="1">
      <alignment horizontal="justify" vertical="top" wrapText="1"/>
    </xf>
    <xf numFmtId="0" fontId="6" fillId="3" borderId="21" xfId="9" applyFont="1" applyFill="1" applyBorder="1" applyAlignment="1">
      <alignment horizontal="justify" vertical="top" wrapText="1"/>
    </xf>
    <xf numFmtId="0" fontId="10" fillId="0" borderId="22" xfId="9" applyFont="1" applyBorder="1" applyAlignment="1">
      <alignment horizontal="right" vertical="top" wrapText="1"/>
    </xf>
    <xf numFmtId="0" fontId="21" fillId="0" borderId="0" xfId="9" applyFont="1" applyAlignment="1">
      <alignment horizontal="justify"/>
    </xf>
    <xf numFmtId="0" fontId="6" fillId="0" borderId="0" xfId="9" applyAlignment="1">
      <alignment horizontal="center"/>
    </xf>
    <xf numFmtId="0" fontId="29" fillId="0" borderId="3" xfId="9" applyFont="1" applyBorder="1" applyAlignment="1">
      <alignment horizontal="center" wrapText="1" shrinkToFit="1"/>
    </xf>
    <xf numFmtId="0" fontId="6" fillId="0" borderId="3" xfId="9" applyBorder="1" applyAlignment="1">
      <alignment horizontal="center"/>
    </xf>
    <xf numFmtId="0" fontId="6" fillId="0" borderId="3" xfId="9" applyBorder="1"/>
    <xf numFmtId="2" fontId="6" fillId="0" borderId="3" xfId="9" applyNumberFormat="1" applyFont="1" applyFill="1" applyBorder="1" applyAlignment="1">
      <alignment horizontal="center"/>
    </xf>
    <xf numFmtId="0" fontId="6" fillId="0" borderId="0" xfId="9" applyFill="1"/>
    <xf numFmtId="0" fontId="6" fillId="0" borderId="4" xfId="9" applyFont="1" applyFill="1" applyBorder="1" applyAlignment="1">
      <alignment horizontal="center"/>
    </xf>
    <xf numFmtId="2" fontId="6" fillId="20" borderId="3" xfId="9" applyNumberFormat="1" applyFont="1" applyFill="1" applyBorder="1" applyAlignment="1">
      <alignment horizontal="center"/>
    </xf>
    <xf numFmtId="2" fontId="6" fillId="11" borderId="3" xfId="9" applyNumberFormat="1" applyFont="1" applyFill="1" applyBorder="1" applyAlignment="1">
      <alignment horizontal="center"/>
    </xf>
    <xf numFmtId="0" fontId="6" fillId="0" borderId="3" xfId="9" applyFont="1" applyFill="1" applyBorder="1" applyAlignment="1">
      <alignment horizontal="center"/>
    </xf>
    <xf numFmtId="0" fontId="6" fillId="11" borderId="4" xfId="9" applyFont="1" applyFill="1" applyBorder="1" applyAlignment="1">
      <alignment horizontal="center"/>
    </xf>
    <xf numFmtId="2" fontId="6" fillId="0" borderId="4" xfId="9" applyNumberFormat="1" applyFont="1" applyFill="1" applyBorder="1" applyAlignment="1">
      <alignment horizontal="center"/>
    </xf>
    <xf numFmtId="0" fontId="6" fillId="0" borderId="4" xfId="9" quotePrefix="1" applyFont="1" applyFill="1" applyBorder="1" applyAlignment="1">
      <alignment horizontal="center"/>
    </xf>
    <xf numFmtId="2" fontId="6" fillId="20" borderId="4" xfId="9" applyNumberFormat="1" applyFont="1" applyFill="1" applyBorder="1" applyAlignment="1">
      <alignment horizontal="center"/>
    </xf>
    <xf numFmtId="2" fontId="6" fillId="11" borderId="4" xfId="9" applyNumberFormat="1" applyFont="1" applyFill="1" applyBorder="1" applyAlignment="1">
      <alignment horizontal="center"/>
    </xf>
    <xf numFmtId="0" fontId="60" fillId="21" borderId="4" xfId="9" applyFont="1" applyFill="1" applyBorder="1" applyAlignment="1">
      <alignment horizontal="center"/>
    </xf>
    <xf numFmtId="0" fontId="6" fillId="11" borderId="4" xfId="9" quotePrefix="1" applyFont="1" applyFill="1" applyBorder="1" applyAlignment="1">
      <alignment horizontal="center"/>
    </xf>
    <xf numFmtId="0" fontId="6" fillId="0" borderId="3" xfId="9" quotePrefix="1" applyFont="1" applyFill="1" applyBorder="1" applyAlignment="1">
      <alignment horizontal="center"/>
    </xf>
    <xf numFmtId="0" fontId="6" fillId="0" borderId="3" xfId="9" applyFill="1" applyBorder="1" applyAlignment="1">
      <alignment horizontal="center"/>
    </xf>
    <xf numFmtId="0" fontId="6" fillId="0" borderId="0" xfId="9" applyFont="1" applyFill="1"/>
    <xf numFmtId="0" fontId="6" fillId="21" borderId="3" xfId="9" quotePrefix="1" applyFont="1" applyFill="1" applyBorder="1" applyAlignment="1">
      <alignment horizontal="center"/>
    </xf>
    <xf numFmtId="0" fontId="60" fillId="21" borderId="3" xfId="9" quotePrefix="1" applyFont="1" applyFill="1" applyBorder="1" applyAlignment="1">
      <alignment horizontal="center"/>
    </xf>
    <xf numFmtId="2" fontId="6" fillId="0" borderId="3" xfId="9" quotePrefix="1" applyNumberFormat="1" applyFont="1" applyFill="1" applyBorder="1" applyAlignment="1">
      <alignment horizontal="center"/>
    </xf>
    <xf numFmtId="0" fontId="6" fillId="0" borderId="5" xfId="9" quotePrefix="1" applyFont="1" applyFill="1" applyBorder="1" applyAlignment="1">
      <alignment horizontal="center"/>
    </xf>
    <xf numFmtId="2" fontId="6" fillId="0" borderId="0" xfId="9" applyNumberFormat="1" applyFont="1" applyFill="1" applyBorder="1" applyAlignment="1">
      <alignment horizontal="center"/>
    </xf>
    <xf numFmtId="0" fontId="6" fillId="0" borderId="0" xfId="9" quotePrefix="1" applyFont="1" applyFill="1" applyBorder="1" applyAlignment="1">
      <alignment horizontal="center"/>
    </xf>
    <xf numFmtId="2" fontId="6" fillId="0" borderId="4" xfId="9" applyNumberFormat="1" applyFill="1" applyBorder="1" applyAlignment="1">
      <alignment horizontal="center"/>
    </xf>
    <xf numFmtId="0" fontId="6" fillId="0" borderId="0" xfId="9" applyFont="1" applyFill="1" applyBorder="1" applyAlignment="1">
      <alignment horizontal="center"/>
    </xf>
    <xf numFmtId="0" fontId="69" fillId="0" borderId="0" xfId="9" applyFont="1" applyFill="1"/>
    <xf numFmtId="0" fontId="6" fillId="11" borderId="3" xfId="9" quotePrefix="1" applyFont="1" applyFill="1" applyBorder="1" applyAlignment="1">
      <alignment horizontal="center"/>
    </xf>
    <xf numFmtId="0" fontId="6" fillId="0" borderId="5" xfId="9" applyFont="1" applyFill="1" applyBorder="1" applyAlignment="1">
      <alignment horizontal="center"/>
    </xf>
    <xf numFmtId="0" fontId="21" fillId="0" borderId="0" xfId="9" applyFont="1" applyFill="1"/>
    <xf numFmtId="2" fontId="6" fillId="0" borderId="0" xfId="9" applyNumberFormat="1" applyBorder="1" applyAlignment="1">
      <alignment horizontal="center"/>
    </xf>
    <xf numFmtId="0" fontId="6" fillId="0" borderId="0" xfId="9" applyBorder="1"/>
    <xf numFmtId="2" fontId="6" fillId="0" borderId="3" xfId="9" applyNumberFormat="1" applyBorder="1" applyAlignment="1">
      <alignment horizontal="center"/>
    </xf>
    <xf numFmtId="0" fontId="6" fillId="10" borderId="3" xfId="9" applyFill="1" applyBorder="1"/>
    <xf numFmtId="0" fontId="21" fillId="0" borderId="0" xfId="9" applyFont="1" applyAlignment="1">
      <alignment horizontal="left"/>
    </xf>
    <xf numFmtId="0" fontId="6" fillId="0" borderId="4" xfId="9" quotePrefix="1" applyBorder="1" applyAlignment="1">
      <alignment horizontal="center"/>
    </xf>
    <xf numFmtId="0" fontId="69" fillId="0" borderId="0" xfId="9" applyFont="1" applyAlignment="1">
      <alignment horizontal="left"/>
    </xf>
    <xf numFmtId="0" fontId="6" fillId="0" borderId="4" xfId="9" applyBorder="1" applyAlignment="1">
      <alignment horizontal="center"/>
    </xf>
    <xf numFmtId="0" fontId="122" fillId="0" borderId="0" xfId="9" applyFont="1" applyAlignment="1">
      <alignment horizontal="left"/>
    </xf>
    <xf numFmtId="0" fontId="6" fillId="0" borderId="0" xfId="9" applyBorder="1" applyAlignment="1">
      <alignment horizontal="center"/>
    </xf>
    <xf numFmtId="0" fontId="4" fillId="0" borderId="0" xfId="9" applyFont="1" applyAlignment="1">
      <alignment textRotation="180"/>
    </xf>
    <xf numFmtId="0" fontId="83" fillId="0" borderId="0" xfId="9" applyFont="1" applyAlignment="1">
      <alignment horizontal="left" indent="3"/>
    </xf>
    <xf numFmtId="0" fontId="57" fillId="0" borderId="0" xfId="23" applyFont="1"/>
    <xf numFmtId="0" fontId="6" fillId="0" borderId="0" xfId="23"/>
    <xf numFmtId="0" fontId="6" fillId="0" borderId="0" xfId="23" applyBorder="1"/>
    <xf numFmtId="0" fontId="10" fillId="0" borderId="0" xfId="23" applyFont="1" applyBorder="1"/>
    <xf numFmtId="0" fontId="10" fillId="0" borderId="11" xfId="23" applyFont="1" applyBorder="1"/>
    <xf numFmtId="0" fontId="6" fillId="0" borderId="11" xfId="23" applyBorder="1"/>
    <xf numFmtId="0" fontId="6" fillId="0" borderId="0" xfId="23" applyAlignment="1">
      <alignment vertical="center"/>
    </xf>
    <xf numFmtId="0" fontId="6" fillId="0" borderId="0" xfId="9" applyAlignment="1">
      <alignment vertical="center"/>
    </xf>
    <xf numFmtId="0" fontId="6" fillId="0" borderId="0" xfId="23" applyAlignment="1">
      <alignment horizontal="center"/>
    </xf>
    <xf numFmtId="0" fontId="6" fillId="0" borderId="3" xfId="23" applyBorder="1"/>
    <xf numFmtId="0" fontId="6" fillId="0" borderId="3" xfId="23" applyBorder="1" applyAlignment="1">
      <alignment horizontal="center"/>
    </xf>
    <xf numFmtId="49" fontId="6" fillId="0" borderId="0" xfId="23" applyNumberFormat="1" applyBorder="1" applyAlignment="1">
      <alignment horizontal="center"/>
    </xf>
    <xf numFmtId="0" fontId="6" fillId="0" borderId="0" xfId="23" applyBorder="1" applyAlignment="1">
      <alignment horizontal="center"/>
    </xf>
    <xf numFmtId="0" fontId="6" fillId="11" borderId="0" xfId="23" applyFill="1" applyBorder="1" applyAlignment="1">
      <alignment horizontal="center"/>
    </xf>
    <xf numFmtId="49" fontId="6" fillId="0" borderId="0" xfId="23" applyNumberFormat="1" applyAlignment="1">
      <alignment horizontal="center"/>
    </xf>
    <xf numFmtId="49" fontId="6" fillId="0" borderId="3" xfId="23" applyNumberFormat="1" applyBorder="1" applyAlignment="1">
      <alignment horizontal="center"/>
    </xf>
    <xf numFmtId="49" fontId="23" fillId="0" borderId="11" xfId="23" applyNumberFormat="1" applyFont="1" applyBorder="1" applyAlignment="1">
      <alignment horizontal="center"/>
    </xf>
    <xf numFmtId="49" fontId="6" fillId="0" borderId="11" xfId="23" applyNumberFormat="1" applyBorder="1" applyAlignment="1">
      <alignment horizontal="center"/>
    </xf>
    <xf numFmtId="0" fontId="6" fillId="0" borderId="11" xfId="23" applyBorder="1" applyAlignment="1">
      <alignment horizontal="center"/>
    </xf>
    <xf numFmtId="0" fontId="60" fillId="0" borderId="0" xfId="23" applyFont="1"/>
    <xf numFmtId="0" fontId="6" fillId="0" borderId="0" xfId="23" applyAlignment="1">
      <alignment horizontal="left"/>
    </xf>
    <xf numFmtId="0" fontId="6" fillId="0" borderId="0" xfId="23" applyFont="1"/>
    <xf numFmtId="0" fontId="6" fillId="0" borderId="0" xfId="23" quotePrefix="1" applyAlignment="1">
      <alignment horizontal="left"/>
    </xf>
    <xf numFmtId="14" fontId="6" fillId="0" borderId="0" xfId="23" quotePrefix="1" applyNumberFormat="1" applyAlignment="1">
      <alignment horizontal="left"/>
    </xf>
    <xf numFmtId="3" fontId="135" fillId="3" borderId="0" xfId="0" applyNumberFormat="1" applyFont="1" applyFill="1" applyBorder="1" applyAlignment="1">
      <alignment horizontal="right" vertical="center"/>
    </xf>
    <xf numFmtId="3" fontId="133" fillId="7" borderId="6" xfId="0" applyNumberFormat="1" applyFont="1" applyFill="1" applyBorder="1"/>
    <xf numFmtId="3" fontId="133" fillId="3" borderId="6" xfId="0" applyNumberFormat="1" applyFont="1" applyFill="1" applyBorder="1"/>
    <xf numFmtId="3" fontId="133" fillId="7" borderId="45" xfId="0" applyNumberFormat="1" applyFont="1" applyFill="1" applyBorder="1"/>
    <xf numFmtId="3" fontId="133" fillId="3" borderId="45" xfId="0" applyNumberFormat="1" applyFont="1" applyFill="1" applyBorder="1"/>
    <xf numFmtId="3" fontId="135" fillId="7" borderId="7" xfId="0" applyNumberFormat="1" applyFont="1" applyFill="1" applyBorder="1" applyAlignment="1">
      <alignment vertical="center"/>
    </xf>
    <xf numFmtId="3" fontId="135" fillId="3" borderId="7" xfId="0" applyNumberFormat="1" applyFont="1" applyFill="1" applyBorder="1" applyAlignment="1">
      <alignment vertical="center"/>
    </xf>
    <xf numFmtId="3" fontId="133" fillId="7" borderId="9" xfId="0" applyNumberFormat="1" applyFont="1" applyFill="1" applyBorder="1"/>
    <xf numFmtId="3" fontId="133" fillId="3" borderId="9" xfId="0" applyNumberFormat="1" applyFont="1" applyFill="1" applyBorder="1"/>
    <xf numFmtId="3" fontId="143" fillId="3" borderId="9" xfId="0" applyNumberFormat="1" applyFont="1" applyFill="1" applyBorder="1"/>
    <xf numFmtId="3" fontId="133" fillId="7" borderId="5" xfId="0" applyNumberFormat="1" applyFont="1" applyFill="1" applyBorder="1"/>
    <xf numFmtId="3" fontId="133" fillId="3" borderId="5" xfId="0" applyNumberFormat="1" applyFont="1" applyFill="1" applyBorder="1"/>
    <xf numFmtId="3" fontId="143" fillId="3" borderId="5" xfId="0" applyNumberFormat="1" applyFont="1" applyFill="1" applyBorder="1"/>
    <xf numFmtId="3" fontId="133" fillId="7" borderId="44" xfId="0" applyNumberFormat="1" applyFont="1" applyFill="1" applyBorder="1"/>
    <xf numFmtId="3" fontId="133" fillId="3" borderId="44" xfId="0" applyNumberFormat="1" applyFont="1" applyFill="1" applyBorder="1"/>
    <xf numFmtId="3" fontId="143" fillId="3" borderId="44" xfId="0" applyNumberFormat="1" applyFont="1" applyFill="1" applyBorder="1"/>
    <xf numFmtId="3" fontId="143" fillId="3" borderId="6" xfId="0" applyNumberFormat="1" applyFont="1" applyFill="1" applyBorder="1"/>
    <xf numFmtId="3" fontId="135" fillId="7" borderId="9" xfId="0" applyNumberFormat="1" applyFont="1" applyFill="1" applyBorder="1" applyAlignment="1">
      <alignment vertical="center"/>
    </xf>
    <xf numFmtId="3" fontId="135" fillId="3" borderId="9" xfId="0" applyNumberFormat="1" applyFont="1" applyFill="1" applyBorder="1" applyAlignment="1">
      <alignment vertical="center"/>
    </xf>
    <xf numFmtId="3" fontId="144" fillId="3" borderId="10" xfId="0" applyNumberFormat="1" applyFont="1" applyFill="1" applyBorder="1" applyAlignment="1">
      <alignment vertical="center"/>
    </xf>
    <xf numFmtId="3" fontId="133" fillId="7" borderId="14" xfId="0" applyNumberFormat="1" applyFont="1" applyFill="1" applyBorder="1" applyAlignment="1">
      <alignment horizontal="right"/>
    </xf>
    <xf numFmtId="1" fontId="133" fillId="3" borderId="5" xfId="0" quotePrefix="1" applyNumberFormat="1" applyFont="1" applyFill="1" applyBorder="1" applyAlignment="1">
      <alignment horizontal="right"/>
    </xf>
    <xf numFmtId="3" fontId="133" fillId="7" borderId="5" xfId="0" applyNumberFormat="1" applyFont="1" applyFill="1" applyBorder="1" applyAlignment="1">
      <alignment horizontal="right"/>
    </xf>
    <xf numFmtId="3" fontId="133" fillId="7" borderId="44" xfId="0" applyNumberFormat="1" applyFont="1" applyFill="1" applyBorder="1" applyAlignment="1">
      <alignment horizontal="right"/>
    </xf>
    <xf numFmtId="1" fontId="133" fillId="3" borderId="44" xfId="0" quotePrefix="1" applyNumberFormat="1" applyFont="1" applyFill="1" applyBorder="1" applyAlignment="1">
      <alignment horizontal="right"/>
    </xf>
    <xf numFmtId="3" fontId="133" fillId="7" borderId="6" xfId="0" applyNumberFormat="1" applyFont="1" applyFill="1" applyBorder="1" applyAlignment="1">
      <alignment horizontal="right"/>
    </xf>
    <xf numFmtId="1" fontId="133" fillId="3" borderId="6" xfId="0" quotePrefix="1" applyNumberFormat="1" applyFont="1" applyFill="1" applyBorder="1" applyAlignment="1">
      <alignment horizontal="right"/>
    </xf>
    <xf numFmtId="3" fontId="133" fillId="7" borderId="7" xfId="0" applyNumberFormat="1" applyFont="1" applyFill="1" applyBorder="1" applyAlignment="1">
      <alignment horizontal="right"/>
    </xf>
    <xf numFmtId="1" fontId="133" fillId="3" borderId="9" xfId="0" quotePrefix="1" applyNumberFormat="1" applyFont="1" applyFill="1" applyBorder="1" applyAlignment="1">
      <alignment horizontal="right"/>
    </xf>
    <xf numFmtId="3" fontId="133" fillId="7" borderId="9" xfId="0" applyNumberFormat="1" applyFont="1" applyFill="1" applyBorder="1" applyAlignment="1">
      <alignment horizontal="right"/>
    </xf>
    <xf numFmtId="3" fontId="133" fillId="7" borderId="7" xfId="0" applyNumberFormat="1" applyFont="1" applyFill="1" applyBorder="1" applyAlignment="1">
      <alignment horizontal="right" vertical="center"/>
    </xf>
    <xf numFmtId="1" fontId="133" fillId="3" borderId="9" xfId="0" quotePrefix="1" applyNumberFormat="1" applyFont="1" applyFill="1" applyBorder="1" applyAlignment="1">
      <alignment horizontal="right" vertical="center"/>
    </xf>
    <xf numFmtId="3" fontId="133" fillId="7" borderId="9" xfId="0" applyNumberFormat="1" applyFont="1" applyFill="1" applyBorder="1" applyAlignment="1">
      <alignment horizontal="right" vertical="center"/>
    </xf>
    <xf numFmtId="3" fontId="135" fillId="7" borderId="7" xfId="0" applyNumberFormat="1" applyFont="1" applyFill="1" applyBorder="1" applyAlignment="1">
      <alignment horizontal="right" vertical="center"/>
    </xf>
    <xf numFmtId="190" fontId="135" fillId="3" borderId="7" xfId="0" applyNumberFormat="1" applyFont="1" applyFill="1" applyBorder="1" applyAlignment="1">
      <alignment horizontal="right" vertical="center"/>
    </xf>
    <xf numFmtId="190" fontId="61" fillId="3" borderId="7" xfId="0" applyNumberFormat="1" applyFont="1" applyFill="1" applyBorder="1" applyAlignment="1"/>
    <xf numFmtId="190" fontId="61" fillId="3" borderId="7" xfId="0" applyNumberFormat="1" applyFont="1" applyFill="1" applyBorder="1" applyAlignment="1">
      <alignment horizontal="center" vertical="center"/>
    </xf>
    <xf numFmtId="190" fontId="61" fillId="3" borderId="7" xfId="0" applyNumberFormat="1" applyFont="1" applyFill="1" applyBorder="1" applyAlignment="1">
      <alignment horizontal="right" vertical="center"/>
    </xf>
    <xf numFmtId="190" fontId="61" fillId="7" borderId="0" xfId="0" applyNumberFormat="1" applyFont="1" applyFill="1" applyBorder="1" applyAlignment="1">
      <alignment horizontal="right" vertical="center"/>
    </xf>
    <xf numFmtId="0" fontId="136" fillId="0" borderId="0" xfId="0" applyFont="1" applyBorder="1"/>
    <xf numFmtId="0" fontId="133" fillId="3" borderId="7" xfId="0" applyFont="1" applyFill="1" applyBorder="1" applyAlignment="1">
      <alignment horizontal="left" vertical="center"/>
    </xf>
    <xf numFmtId="0" fontId="144" fillId="3" borderId="7" xfId="0" applyFont="1" applyFill="1" applyBorder="1" applyAlignment="1">
      <alignment horizontal="left" vertical="center"/>
    </xf>
    <xf numFmtId="0" fontId="144" fillId="3" borderId="9" xfId="0" applyFont="1" applyFill="1" applyBorder="1" applyAlignment="1">
      <alignment horizontal="left" vertical="center"/>
    </xf>
    <xf numFmtId="190" fontId="133" fillId="3" borderId="7" xfId="0" applyNumberFormat="1" applyFont="1" applyFill="1" applyBorder="1" applyAlignment="1">
      <alignment horizontal="center"/>
    </xf>
    <xf numFmtId="0" fontId="134" fillId="0" borderId="0" xfId="0" applyFont="1" applyFill="1" applyBorder="1" applyAlignment="1">
      <alignment horizontal="left" vertical="center"/>
    </xf>
    <xf numFmtId="3" fontId="133" fillId="0" borderId="0" xfId="0" applyNumberFormat="1" applyFont="1" applyFill="1" applyBorder="1" applyAlignment="1">
      <alignment horizontal="center" vertical="center"/>
    </xf>
    <xf numFmtId="3" fontId="135" fillId="0" borderId="0" xfId="0" applyNumberFormat="1" applyFont="1" applyFill="1" applyBorder="1" applyAlignment="1">
      <alignment horizontal="right" vertical="center"/>
    </xf>
    <xf numFmtId="0" fontId="145" fillId="15" borderId="0" xfId="0" applyFont="1" applyFill="1" applyBorder="1"/>
    <xf numFmtId="0" fontId="134" fillId="15" borderId="0" xfId="0" applyFont="1" applyFill="1" applyAlignment="1">
      <alignment horizontal="center"/>
    </xf>
    <xf numFmtId="3" fontId="146" fillId="15" borderId="0" xfId="0" applyNumberFormat="1" applyFont="1" applyFill="1"/>
    <xf numFmtId="0" fontId="136" fillId="15" borderId="0" xfId="0" applyFont="1" applyFill="1" applyAlignment="1">
      <alignment horizontal="center"/>
    </xf>
    <xf numFmtId="3" fontId="147" fillId="15" borderId="0" xfId="0" applyNumberFormat="1" applyFont="1" applyFill="1"/>
    <xf numFmtId="189" fontId="6" fillId="14" borderId="6" xfId="0" quotePrefix="1" applyNumberFormat="1" applyFont="1" applyFill="1" applyBorder="1" applyAlignment="1">
      <alignment horizontal="right" vertical="center"/>
    </xf>
    <xf numFmtId="3" fontId="6" fillId="14" borderId="7" xfId="0" applyNumberFormat="1" applyFont="1" applyFill="1" applyBorder="1" applyAlignment="1">
      <alignment horizontal="right" vertical="center"/>
    </xf>
    <xf numFmtId="3" fontId="6" fillId="14" borderId="14" xfId="0" applyNumberFormat="1" applyFont="1" applyFill="1" applyBorder="1" applyAlignment="1">
      <alignment horizontal="right" vertical="center"/>
    </xf>
    <xf numFmtId="0" fontId="6" fillId="15" borderId="0" xfId="0" quotePrefix="1" applyFont="1" applyFill="1" applyAlignment="1">
      <alignment horizontal="center"/>
    </xf>
    <xf numFmtId="190" fontId="6" fillId="15" borderId="7" xfId="0" applyNumberFormat="1" applyFont="1" applyFill="1" applyBorder="1" applyAlignment="1">
      <alignment horizontal="right" vertical="center"/>
    </xf>
    <xf numFmtId="190" fontId="6" fillId="15" borderId="14" xfId="0" applyNumberFormat="1" applyFont="1" applyFill="1" applyBorder="1" applyAlignment="1">
      <alignment horizontal="right" vertical="center"/>
    </xf>
    <xf numFmtId="0" fontId="3" fillId="0" borderId="49" xfId="0" applyFont="1" applyBorder="1"/>
    <xf numFmtId="0" fontId="6" fillId="15" borderId="49" xfId="0" applyFont="1" applyFill="1" applyBorder="1" applyAlignment="1">
      <alignment horizontal="center" vertical="center"/>
    </xf>
    <xf numFmtId="0" fontId="6" fillId="14" borderId="49" xfId="0" applyFont="1" applyFill="1" applyBorder="1" applyAlignment="1">
      <alignment horizontal="center" vertical="center"/>
    </xf>
    <xf numFmtId="0" fontId="136" fillId="0" borderId="0" xfId="0" applyFont="1"/>
    <xf numFmtId="0" fontId="136" fillId="0" borderId="0" xfId="0" applyFont="1" applyAlignment="1"/>
    <xf numFmtId="0" fontId="134" fillId="0" borderId="0" xfId="0" applyFont="1" applyFill="1"/>
    <xf numFmtId="0" fontId="148" fillId="6" borderId="0" xfId="2" applyFont="1" applyFill="1" applyAlignment="1" applyProtection="1"/>
    <xf numFmtId="0" fontId="10" fillId="0" borderId="0" xfId="16" applyFont="1" applyFill="1" applyAlignment="1">
      <alignment wrapText="1"/>
    </xf>
    <xf numFmtId="0" fontId="6" fillId="0" borderId="0" xfId="16" applyFont="1" applyFill="1" applyAlignment="1">
      <alignment horizontal="center"/>
    </xf>
    <xf numFmtId="0" fontId="0" fillId="22" borderId="0" xfId="0" applyFont="1" applyFill="1" applyAlignment="1">
      <alignment horizontal="center"/>
    </xf>
    <xf numFmtId="0" fontId="10" fillId="0" borderId="3" xfId="23" applyFont="1" applyBorder="1" applyAlignment="1">
      <alignment horizontal="center" vertical="center"/>
    </xf>
    <xf numFmtId="0" fontId="10" fillId="0" borderId="41" xfId="23" applyFont="1" applyBorder="1" applyAlignment="1">
      <alignment horizontal="center" vertical="center"/>
    </xf>
    <xf numFmtId="0" fontId="60" fillId="0" borderId="25" xfId="9" applyFont="1" applyBorder="1" applyAlignment="1">
      <alignment horizontal="justify" vertical="top" wrapText="1"/>
    </xf>
    <xf numFmtId="0" fontId="60" fillId="0" borderId="21" xfId="9" applyFont="1" applyBorder="1" applyAlignment="1">
      <alignment horizontal="justify" vertical="top" wrapText="1"/>
    </xf>
    <xf numFmtId="0" fontId="60" fillId="0" borderId="25" xfId="9" applyFont="1" applyBorder="1" applyAlignment="1">
      <alignment vertical="top" wrapText="1"/>
    </xf>
    <xf numFmtId="0" fontId="60" fillId="0" borderId="21" xfId="9" applyFont="1" applyBorder="1" applyAlignment="1">
      <alignment vertical="top" wrapText="1"/>
    </xf>
    <xf numFmtId="0" fontId="7" fillId="0" borderId="0" xfId="0" applyFont="1" applyAlignment="1">
      <alignment wrapText="1"/>
    </xf>
    <xf numFmtId="0" fontId="60" fillId="0" borderId="42" xfId="0" applyFont="1" applyFill="1" applyBorder="1" applyAlignment="1">
      <alignment horizontal="justify" vertical="top" wrapText="1"/>
    </xf>
    <xf numFmtId="0" fontId="6" fillId="0" borderId="4" xfId="0" applyFont="1" applyFill="1" applyBorder="1" applyAlignment="1">
      <alignment vertical="top" wrapText="1"/>
    </xf>
    <xf numFmtId="0" fontId="6" fillId="0" borderId="20" xfId="0" applyFont="1" applyFill="1" applyBorder="1" applyAlignment="1">
      <alignment vertical="top" wrapText="1"/>
    </xf>
    <xf numFmtId="0" fontId="60" fillId="0" borderId="42" xfId="0" applyFont="1" applyBorder="1" applyAlignment="1">
      <alignment horizontal="justify" vertical="top" wrapText="1"/>
    </xf>
    <xf numFmtId="0" fontId="6" fillId="0" borderId="4" xfId="0" applyFont="1" applyBorder="1" applyAlignment="1">
      <alignment vertical="top" wrapText="1"/>
    </xf>
    <xf numFmtId="0" fontId="118" fillId="0" borderId="42" xfId="0" applyFont="1" applyBorder="1" applyAlignment="1">
      <alignment horizontal="justify" vertical="top" wrapText="1"/>
    </xf>
    <xf numFmtId="0" fontId="18" fillId="0" borderId="20" xfId="0" applyFont="1" applyBorder="1" applyAlignment="1">
      <alignment vertical="top" wrapText="1"/>
    </xf>
    <xf numFmtId="0" fontId="18" fillId="0" borderId="4" xfId="0" applyFont="1" applyBorder="1" applyAlignment="1">
      <alignment vertical="top" wrapText="1"/>
    </xf>
    <xf numFmtId="0" fontId="118" fillId="7" borderId="42" xfId="0" applyFont="1" applyFill="1" applyBorder="1" applyAlignment="1">
      <alignment vertical="top" wrapText="1"/>
    </xf>
    <xf numFmtId="0" fontId="18" fillId="7" borderId="20" xfId="0" applyFont="1" applyFill="1" applyBorder="1" applyAlignment="1">
      <alignment vertical="top" wrapText="1"/>
    </xf>
    <xf numFmtId="0" fontId="118" fillId="3" borderId="42" xfId="0" applyFont="1" applyFill="1" applyBorder="1" applyAlignment="1">
      <alignment vertical="top" wrapText="1"/>
    </xf>
    <xf numFmtId="0" fontId="18" fillId="3" borderId="20" xfId="0" applyFont="1" applyFill="1" applyBorder="1" applyAlignment="1">
      <alignment vertical="top" wrapText="1"/>
    </xf>
    <xf numFmtId="0" fontId="4" fillId="0" borderId="3" xfId="0" applyFont="1" applyBorder="1" applyAlignment="1">
      <alignment vertical="top" wrapText="1"/>
    </xf>
    <xf numFmtId="0" fontId="0" fillId="0" borderId="3" xfId="0" applyBorder="1" applyAlignment="1">
      <alignment wrapText="1"/>
    </xf>
    <xf numFmtId="0" fontId="4" fillId="6" borderId="3" xfId="0" applyFont="1" applyFill="1" applyBorder="1" applyAlignment="1">
      <alignment vertical="top" wrapText="1"/>
    </xf>
    <xf numFmtId="3" fontId="5" fillId="14" borderId="5" xfId="0" applyNumberFormat="1" applyFont="1" applyFill="1" applyBorder="1" applyAlignment="1">
      <alignment horizontal="center" vertical="center"/>
    </xf>
    <xf numFmtId="0" fontId="0" fillId="0" borderId="5" xfId="0" applyBorder="1" applyAlignment="1">
      <alignment horizontal="center" vertical="center"/>
    </xf>
    <xf numFmtId="3" fontId="5" fillId="15" borderId="5" xfId="0" applyNumberFormat="1" applyFont="1" applyFill="1" applyBorder="1" applyAlignment="1">
      <alignment horizontal="center" vertical="center"/>
    </xf>
    <xf numFmtId="0" fontId="0" fillId="0" borderId="3" xfId="0" applyBorder="1" applyAlignment="1"/>
    <xf numFmtId="0" fontId="140" fillId="0" borderId="0" xfId="0" applyFont="1" applyAlignment="1">
      <alignment wrapText="1"/>
    </xf>
    <xf numFmtId="0" fontId="0" fillId="0" borderId="0" xfId="0" applyAlignment="1">
      <alignment wrapText="1"/>
    </xf>
    <xf numFmtId="0" fontId="5" fillId="7" borderId="5" xfId="0" applyFont="1" applyFill="1" applyBorder="1" applyAlignment="1">
      <alignment horizontal="center" vertical="center"/>
    </xf>
    <xf numFmtId="0" fontId="0" fillId="0" borderId="0" xfId="0" applyBorder="1" applyAlignment="1">
      <alignment wrapText="1"/>
    </xf>
    <xf numFmtId="0" fontId="7" fillId="7" borderId="5" xfId="0" applyNumberFormat="1" applyFont="1" applyFill="1" applyBorder="1" applyAlignment="1">
      <alignment horizontal="left" vertical="center"/>
    </xf>
    <xf numFmtId="0" fontId="7" fillId="7" borderId="0" xfId="0" applyFont="1" applyFill="1" applyBorder="1" applyAlignment="1">
      <alignment horizontal="left" vertical="center"/>
    </xf>
    <xf numFmtId="0" fontId="4" fillId="0" borderId="0" xfId="0" applyFont="1" applyBorder="1" applyAlignment="1">
      <alignment horizontal="left" vertical="top" wrapText="1"/>
    </xf>
    <xf numFmtId="0" fontId="6" fillId="0" borderId="0" xfId="0" applyFont="1" applyAlignment="1">
      <alignment horizontal="left" wrapText="1"/>
    </xf>
    <xf numFmtId="0" fontId="82" fillId="0" borderId="0" xfId="0" applyFont="1" applyAlignment="1">
      <alignment horizontal="left" vertical="top" wrapText="1"/>
    </xf>
    <xf numFmtId="0" fontId="0" fillId="0" borderId="0" xfId="0" applyAlignment="1">
      <alignment vertical="top" wrapText="1"/>
    </xf>
    <xf numFmtId="0" fontId="137" fillId="0" borderId="0" xfId="0" applyFont="1" applyAlignment="1">
      <alignment horizontal="left" wrapText="1"/>
    </xf>
    <xf numFmtId="0" fontId="149" fillId="0" borderId="0" xfId="0" applyFont="1" applyAlignment="1">
      <alignment wrapText="1"/>
    </xf>
    <xf numFmtId="0" fontId="18" fillId="14" borderId="5" xfId="0" applyFont="1" applyFill="1" applyBorder="1" applyAlignment="1">
      <alignment horizontal="center" vertical="center"/>
    </xf>
    <xf numFmtId="0" fontId="18" fillId="15" borderId="5" xfId="0" applyFont="1" applyFill="1" applyBorder="1" applyAlignment="1">
      <alignment horizontal="center" vertical="center"/>
    </xf>
    <xf numFmtId="0" fontId="0" fillId="15" borderId="5" xfId="0" applyFont="1" applyFill="1" applyBorder="1" applyAlignment="1">
      <alignment horizontal="center" vertical="center"/>
    </xf>
    <xf numFmtId="0" fontId="0" fillId="14" borderId="5" xfId="0" applyFont="1" applyFill="1" applyBorder="1" applyAlignment="1">
      <alignment horizontal="center" vertical="center"/>
    </xf>
    <xf numFmtId="3" fontId="4" fillId="0" borderId="3" xfId="0" applyNumberFormat="1" applyFont="1" applyBorder="1" applyAlignment="1">
      <alignment horizontal="left" vertical="top" wrapText="1"/>
    </xf>
    <xf numFmtId="0" fontId="3" fillId="0" borderId="3" xfId="0" applyFont="1" applyBorder="1" applyAlignment="1">
      <alignment wrapText="1"/>
    </xf>
    <xf numFmtId="0" fontId="0" fillId="0" borderId="0" xfId="0" applyFont="1" applyAlignment="1">
      <alignment wrapText="1"/>
    </xf>
    <xf numFmtId="0" fontId="4" fillId="0" borderId="0" xfId="0" applyFont="1" applyBorder="1" applyAlignment="1">
      <alignment vertical="top" wrapText="1"/>
    </xf>
    <xf numFmtId="0" fontId="20" fillId="0" borderId="0" xfId="0" applyFont="1" applyBorder="1" applyAlignment="1">
      <alignment vertical="top" wrapText="1"/>
    </xf>
    <xf numFmtId="0" fontId="4" fillId="0" borderId="0" xfId="0" applyFont="1" applyAlignment="1">
      <alignment wrapText="1"/>
    </xf>
    <xf numFmtId="3" fontId="4" fillId="6" borderId="3" xfId="0" applyNumberFormat="1" applyFont="1" applyFill="1" applyBorder="1" applyAlignment="1">
      <alignment horizontal="left" vertical="top" wrapText="1"/>
    </xf>
    <xf numFmtId="0" fontId="5" fillId="23" borderId="5" xfId="0" applyFont="1" applyFill="1" applyBorder="1" applyAlignment="1">
      <alignment horizontal="left"/>
    </xf>
    <xf numFmtId="0" fontId="0" fillId="0" borderId="5" xfId="0" applyBorder="1" applyAlignment="1"/>
  </cellXfs>
  <cellStyles count="28">
    <cellStyle name="Hyperlink" xfId="1" xr:uid="{D191C403-2B18-4B42-A7AD-D296DB628BB8}"/>
    <cellStyle name="Link" xfId="2" builtinId="8"/>
    <cellStyle name="Normal 10" xfId="3" xr:uid="{6C29C398-7502-3945-A633-C9E282E23171}"/>
    <cellStyle name="Normal 11" xfId="4" xr:uid="{A85F482F-3015-4A45-BE21-A016B8E23314}"/>
    <cellStyle name="Normal 12" xfId="5" xr:uid="{1168F1F3-E3C2-4045-A58E-01AAB4B2DBC0}"/>
    <cellStyle name="Normal 13" xfId="6" xr:uid="{23E4766B-5D0B-8E46-BC10-15FC7CEB5318}"/>
    <cellStyle name="Normal 14" xfId="7" xr:uid="{7664D2A0-0887-C541-B86D-5EF42C5270ED}"/>
    <cellStyle name="Normal 2" xfId="8" xr:uid="{7C6705B8-BD37-CC4E-8083-C24A2BBA1C77}"/>
    <cellStyle name="Normal 2 2" xfId="9" xr:uid="{883AC2FB-9D18-D249-8CAC-2853BC72F1B1}"/>
    <cellStyle name="Normal 2 3" xfId="10" xr:uid="{936E7794-C0FA-4046-AF90-DA1B64FFF99A}"/>
    <cellStyle name="Normal 2 4" xfId="11" xr:uid="{129BB335-1883-6E46-8B5C-B26E8548F742}"/>
    <cellStyle name="Normal 3" xfId="12" xr:uid="{5C1E4FF3-0CDF-094F-9DBA-AA4C7329B2FC}"/>
    <cellStyle name="Normal 4" xfId="13" xr:uid="{A03F696A-C017-C443-BD38-2B956E0381EE}"/>
    <cellStyle name="Normal 5" xfId="14" xr:uid="{B4CEB489-D177-3047-A7E0-192A4647C863}"/>
    <cellStyle name="Normal 6" xfId="15" xr:uid="{4B5F196B-3503-2F40-B25F-9372BC4EA5BB}"/>
    <cellStyle name="Normal 7" xfId="16" xr:uid="{FFA65DC7-C920-F145-A536-976883344470}"/>
    <cellStyle name="Normal 8" xfId="17" xr:uid="{297FAEFD-C407-8544-B0F2-3307DC958D7D}"/>
    <cellStyle name="Normal 9" xfId="18" xr:uid="{14BD288F-F52A-8141-996F-0561E345E024}"/>
    <cellStyle name="Normal 9 2" xfId="19" xr:uid="{6ACD71DE-B939-AE46-85DC-EFECE5E5F659}"/>
    <cellStyle name="Normal_KV_liste T11" xfId="20" xr:uid="{5DB38A67-D262-E34C-840C-4BEFA1962245}"/>
    <cellStyle name="Normal_KV_liste T8" xfId="21" xr:uid="{86E2D1EF-8D3D-8148-A558-EB64AA2DFCBE}"/>
    <cellStyle name="Normal_KV_T_2006_all_220807_d_sans liaisons" xfId="22" xr:uid="{8C95ED32-91D8-684F-984B-AE88344705EF}"/>
    <cellStyle name="Normal_KV0_5 annexe A_09fd" xfId="23" xr:uid="{84A55702-2E4E-8545-8429-362CCD8B2D34}"/>
    <cellStyle name="Normal_KV5_Aufsichtsdaten_2004_formate_310505" xfId="24" xr:uid="{0337CF96-FF5D-D24A-8AC9-C348A7143A20}"/>
    <cellStyle name="Normal_modif EF1_112_d_241104" xfId="25" xr:uid="{A8AF6ED9-B27E-5C4A-AED3-B4291F51E313}"/>
    <cellStyle name="Normal_PV1_2002_f" xfId="26" xr:uid="{A41373F6-B330-C04F-9851-BEC7458815B3}"/>
    <cellStyle name="Standard" xfId="0" builtinId="0"/>
    <cellStyle name="xxx" xfId="27" xr:uid="{7440465D-B7F1-264F-B671-B35414C571A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FMH 3</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2245</c:v>
                </c:pt>
                <c:pt idx="1">
                  <c:v>1196</c:v>
                </c:pt>
                <c:pt idx="2">
                  <c:v>314</c:v>
                </c:pt>
                <c:pt idx="3">
                  <c:v>12</c:v>
                </c:pt>
                <c:pt idx="4">
                  <c:v>92</c:v>
                </c:pt>
                <c:pt idx="5">
                  <c:v>13</c:v>
                </c:pt>
                <c:pt idx="6">
                  <c:v>26</c:v>
                </c:pt>
                <c:pt idx="7">
                  <c:v>25</c:v>
                </c:pt>
                <c:pt idx="8">
                  <c:v>134</c:v>
                </c:pt>
                <c:pt idx="9">
                  <c:v>223</c:v>
                </c:pt>
                <c:pt idx="10">
                  <c:v>199</c:v>
                </c:pt>
                <c:pt idx="11">
                  <c:v>540</c:v>
                </c:pt>
                <c:pt idx="12">
                  <c:v>370</c:v>
                </c:pt>
                <c:pt idx="13">
                  <c:v>79</c:v>
                </c:pt>
                <c:pt idx="14">
                  <c:v>38</c:v>
                </c:pt>
                <c:pt idx="15">
                  <c:v>6</c:v>
                </c:pt>
                <c:pt idx="16">
                  <c:v>470</c:v>
                </c:pt>
                <c:pt idx="17">
                  <c:v>148</c:v>
                </c:pt>
                <c:pt idx="18">
                  <c:v>582</c:v>
                </c:pt>
                <c:pt idx="19">
                  <c:v>190</c:v>
                </c:pt>
                <c:pt idx="20">
                  <c:v>386</c:v>
                </c:pt>
                <c:pt idx="21">
                  <c:v>1122</c:v>
                </c:pt>
                <c:pt idx="22">
                  <c:v>253</c:v>
                </c:pt>
                <c:pt idx="23">
                  <c:v>197</c:v>
                </c:pt>
                <c:pt idx="24">
                  <c:v>1166</c:v>
                </c:pt>
                <c:pt idx="25">
                  <c:v>55</c:v>
                </c:pt>
                <c:pt idx="26">
                  <c:v>10081</c:v>
                </c:pt>
              </c:numCache>
            </c:numRef>
          </c:val>
          <c:smooth val="0"/>
          <c:extLst>
            <c:ext xmlns:c16="http://schemas.microsoft.com/office/drawing/2014/chart" uri="{C3380CC4-5D6E-409C-BE32-E72D297353CC}">
              <c16:uniqueId val="{00000000-EF1C-EC40-BF93-A1B6BD7A60FF}"/>
            </c:ext>
          </c:extLst>
        </c:ser>
        <c:dLbls>
          <c:showLegendKey val="0"/>
          <c:showVal val="0"/>
          <c:showCatName val="0"/>
          <c:showSerName val="0"/>
          <c:showPercent val="0"/>
          <c:showBubbleSize val="0"/>
        </c:dLbls>
        <c:marker val="1"/>
        <c:smooth val="0"/>
        <c:axId val="359854511"/>
        <c:axId val="1"/>
      </c:lineChart>
      <c:lineChart>
        <c:grouping val="standard"/>
        <c:varyColors val="0"/>
        <c:ser>
          <c:idx val="0"/>
          <c:order val="1"/>
          <c:tx>
            <c:strRef>
              <c:f>'901d'!$G$5</c:f>
              <c:strCache>
                <c:ptCount val="1"/>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228</c:v>
                </c:pt>
                <c:pt idx="1">
                  <c:v>171</c:v>
                </c:pt>
                <c:pt idx="2">
                  <c:v>35</c:v>
                </c:pt>
                <c:pt idx="3">
                  <c:v>3</c:v>
                </c:pt>
                <c:pt idx="4">
                  <c:v>12</c:v>
                </c:pt>
                <c:pt idx="5">
                  <c:v>3</c:v>
                </c:pt>
                <c:pt idx="6">
                  <c:v>3</c:v>
                </c:pt>
                <c:pt idx="7">
                  <c:v>2</c:v>
                </c:pt>
                <c:pt idx="8">
                  <c:v>14</c:v>
                </c:pt>
                <c:pt idx="9">
                  <c:v>70</c:v>
                </c:pt>
                <c:pt idx="10">
                  <c:v>28</c:v>
                </c:pt>
                <c:pt idx="11">
                  <c:v>74</c:v>
                </c:pt>
                <c:pt idx="12">
                  <c:v>44</c:v>
                </c:pt>
                <c:pt idx="13">
                  <c:v>13</c:v>
                </c:pt>
                <c:pt idx="14">
                  <c:v>5</c:v>
                </c:pt>
                <c:pt idx="15">
                  <c:v>1</c:v>
                </c:pt>
                <c:pt idx="16">
                  <c:v>52</c:v>
                </c:pt>
                <c:pt idx="17">
                  <c:v>43</c:v>
                </c:pt>
                <c:pt idx="18">
                  <c:v>117</c:v>
                </c:pt>
                <c:pt idx="19">
                  <c:v>25</c:v>
                </c:pt>
                <c:pt idx="20">
                  <c:v>190</c:v>
                </c:pt>
                <c:pt idx="21">
                  <c:v>247</c:v>
                </c:pt>
                <c:pt idx="22">
                  <c:v>115</c:v>
                </c:pt>
                <c:pt idx="23">
                  <c:v>55</c:v>
                </c:pt>
                <c:pt idx="24">
                  <c:v>170</c:v>
                </c:pt>
                <c:pt idx="25">
                  <c:v>20</c:v>
                </c:pt>
                <c:pt idx="26">
                  <c:v>1740</c:v>
                </c:pt>
              </c:numCache>
            </c:numRef>
          </c:val>
          <c:smooth val="0"/>
          <c:extLst>
            <c:ext xmlns:c16="http://schemas.microsoft.com/office/drawing/2014/chart" uri="{C3380CC4-5D6E-409C-BE32-E72D297353CC}">
              <c16:uniqueId val="{00000001-EF1C-EC40-BF93-A1B6BD7A60FF}"/>
            </c:ext>
          </c:extLst>
        </c:ser>
        <c:dLbls>
          <c:showLegendKey val="0"/>
          <c:showVal val="0"/>
          <c:showCatName val="0"/>
          <c:showSerName val="0"/>
          <c:showPercent val="0"/>
          <c:showBubbleSize val="0"/>
        </c:dLbls>
        <c:marker val="1"/>
        <c:smooth val="0"/>
        <c:axId val="3"/>
        <c:axId val="4"/>
      </c:lineChart>
      <c:catAx>
        <c:axId val="359854511"/>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1"/>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59854511"/>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899999978" l="0.78740157499999996" r="0.78740157499999996" t="0.98425196899999978"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'901d'!$D$5</c:f>
              <c:strCache>
                <c:ptCount val="1"/>
                <c:pt idx="0">
                  <c:v>FMH 3</c:v>
                </c:pt>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'901d'!$D$8:$D$34</c:f>
              <c:numCache>
                <c:formatCode>#,##0</c:formatCode>
                <c:ptCount val="27"/>
                <c:pt idx="0">
                  <c:v>2245</c:v>
                </c:pt>
                <c:pt idx="1">
                  <c:v>1196</c:v>
                </c:pt>
                <c:pt idx="2">
                  <c:v>314</c:v>
                </c:pt>
                <c:pt idx="3">
                  <c:v>12</c:v>
                </c:pt>
                <c:pt idx="4">
                  <c:v>92</c:v>
                </c:pt>
                <c:pt idx="5">
                  <c:v>13</c:v>
                </c:pt>
                <c:pt idx="6">
                  <c:v>26</c:v>
                </c:pt>
                <c:pt idx="7">
                  <c:v>25</c:v>
                </c:pt>
                <c:pt idx="8">
                  <c:v>134</c:v>
                </c:pt>
                <c:pt idx="9">
                  <c:v>223</c:v>
                </c:pt>
                <c:pt idx="10">
                  <c:v>199</c:v>
                </c:pt>
                <c:pt idx="11">
                  <c:v>540</c:v>
                </c:pt>
                <c:pt idx="12">
                  <c:v>370</c:v>
                </c:pt>
                <c:pt idx="13">
                  <c:v>79</c:v>
                </c:pt>
                <c:pt idx="14">
                  <c:v>38</c:v>
                </c:pt>
                <c:pt idx="15">
                  <c:v>6</c:v>
                </c:pt>
                <c:pt idx="16">
                  <c:v>470</c:v>
                </c:pt>
                <c:pt idx="17">
                  <c:v>148</c:v>
                </c:pt>
                <c:pt idx="18">
                  <c:v>582</c:v>
                </c:pt>
                <c:pt idx="19">
                  <c:v>190</c:v>
                </c:pt>
                <c:pt idx="20">
                  <c:v>386</c:v>
                </c:pt>
                <c:pt idx="21">
                  <c:v>1122</c:v>
                </c:pt>
                <c:pt idx="22">
                  <c:v>253</c:v>
                </c:pt>
                <c:pt idx="23">
                  <c:v>197</c:v>
                </c:pt>
                <c:pt idx="24">
                  <c:v>1166</c:v>
                </c:pt>
                <c:pt idx="25">
                  <c:v>55</c:v>
                </c:pt>
                <c:pt idx="26">
                  <c:v>10081</c:v>
                </c:pt>
              </c:numCache>
            </c:numRef>
          </c:val>
          <c:smooth val="0"/>
          <c:extLst>
            <c:ext xmlns:c16="http://schemas.microsoft.com/office/drawing/2014/chart" uri="{C3380CC4-5D6E-409C-BE32-E72D297353CC}">
              <c16:uniqueId val="{00000000-1460-BB44-9808-45194853E998}"/>
            </c:ext>
          </c:extLst>
        </c:ser>
        <c:dLbls>
          <c:showLegendKey val="0"/>
          <c:showVal val="0"/>
          <c:showCatName val="0"/>
          <c:showSerName val="0"/>
          <c:showPercent val="0"/>
          <c:showBubbleSize val="0"/>
        </c:dLbls>
        <c:marker val="1"/>
        <c:smooth val="0"/>
        <c:axId val="273062800"/>
        <c:axId val="1"/>
      </c:lineChart>
      <c:lineChart>
        <c:grouping val="standard"/>
        <c:varyColors val="0"/>
        <c:ser>
          <c:idx val="0"/>
          <c:order val="1"/>
          <c:tx>
            <c:strRef>
              <c:f>'901d'!$G$5</c:f>
              <c:strCache>
                <c:ptCount val="1"/>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'901d'!$A$8:$A$34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'901d'!$G$8:$G$34</c:f>
              <c:numCache>
                <c:formatCode>#,##0</c:formatCode>
                <c:ptCount val="27"/>
                <c:pt idx="0">
                  <c:v>228</c:v>
                </c:pt>
                <c:pt idx="1">
                  <c:v>171</c:v>
                </c:pt>
                <c:pt idx="2">
                  <c:v>35</c:v>
                </c:pt>
                <c:pt idx="3">
                  <c:v>3</c:v>
                </c:pt>
                <c:pt idx="4">
                  <c:v>12</c:v>
                </c:pt>
                <c:pt idx="5">
                  <c:v>3</c:v>
                </c:pt>
                <c:pt idx="6">
                  <c:v>3</c:v>
                </c:pt>
                <c:pt idx="7">
                  <c:v>2</c:v>
                </c:pt>
                <c:pt idx="8">
                  <c:v>14</c:v>
                </c:pt>
                <c:pt idx="9">
                  <c:v>70</c:v>
                </c:pt>
                <c:pt idx="10">
                  <c:v>28</c:v>
                </c:pt>
                <c:pt idx="11">
                  <c:v>74</c:v>
                </c:pt>
                <c:pt idx="12">
                  <c:v>44</c:v>
                </c:pt>
                <c:pt idx="13">
                  <c:v>13</c:v>
                </c:pt>
                <c:pt idx="14">
                  <c:v>5</c:v>
                </c:pt>
                <c:pt idx="15">
                  <c:v>1</c:v>
                </c:pt>
                <c:pt idx="16">
                  <c:v>52</c:v>
                </c:pt>
                <c:pt idx="17">
                  <c:v>43</c:v>
                </c:pt>
                <c:pt idx="18">
                  <c:v>117</c:v>
                </c:pt>
                <c:pt idx="19">
                  <c:v>25</c:v>
                </c:pt>
                <c:pt idx="20">
                  <c:v>190</c:v>
                </c:pt>
                <c:pt idx="21">
                  <c:v>247</c:v>
                </c:pt>
                <c:pt idx="22">
                  <c:v>115</c:v>
                </c:pt>
                <c:pt idx="23">
                  <c:v>55</c:v>
                </c:pt>
                <c:pt idx="24">
                  <c:v>170</c:v>
                </c:pt>
                <c:pt idx="25">
                  <c:v>20</c:v>
                </c:pt>
                <c:pt idx="26">
                  <c:v>1740</c:v>
                </c:pt>
              </c:numCache>
            </c:numRef>
          </c:val>
          <c:smooth val="0"/>
          <c:extLst>
            <c:ext xmlns:c16="http://schemas.microsoft.com/office/drawing/2014/chart" uri="{C3380CC4-5D6E-409C-BE32-E72D297353CC}">
              <c16:uniqueId val="{00000001-1460-BB44-9808-45194853E998}"/>
            </c:ext>
          </c:extLst>
        </c:ser>
        <c:dLbls>
          <c:showLegendKey val="0"/>
          <c:showVal val="0"/>
          <c:showCatName val="0"/>
          <c:showSerName val="0"/>
          <c:showPercent val="0"/>
          <c:showBubbleSize val="0"/>
        </c:dLbls>
        <c:marker val="1"/>
        <c:smooth val="0"/>
        <c:axId val="3"/>
        <c:axId val="4"/>
      </c:lineChart>
      <c:catAx>
        <c:axId val="27306280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27306280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845"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899999978" l="0.78740157499999996" r="0.78740157499999996" t="0.98425196899999978" header="0.49212598450000011" footer="0.49212598450000011"/>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631825</xdr:colOff>
      <xdr:row>2</xdr:row>
      <xdr:rowOff>304800</xdr:rowOff>
    </xdr:from>
    <xdr:to>
      <xdr:col>7</xdr:col>
      <xdr:colOff>130295</xdr:colOff>
      <xdr:row>7</xdr:row>
      <xdr:rowOff>274320</xdr:rowOff>
    </xdr:to>
    <xdr:sp macro="" textlink="">
      <xdr:nvSpPr>
        <xdr:cNvPr id="6145" name="AutoShape 1">
          <a:extLst>
            <a:ext uri="{FF2B5EF4-FFF2-40B4-BE49-F238E27FC236}">
              <a16:creationId xmlns:a16="http://schemas.microsoft.com/office/drawing/2014/main" id="{C9445464-59AB-24D7-9380-5638FAF28194}"/>
            </a:ext>
          </a:extLst>
        </xdr:cNvPr>
        <xdr:cNvSpPr>
          <a:spLocks noChangeArrowheads="1"/>
        </xdr:cNvSpPr>
      </xdr:nvSpPr>
      <xdr:spPr bwMode="auto">
        <a:xfrm>
          <a:off x="3634740" y="845820"/>
          <a:ext cx="2834640" cy="1036320"/>
        </a:xfrm>
        <a:prstGeom prst="wedgeRectCallout">
          <a:avLst>
            <a:gd name="adj1" fmla="val -96905"/>
            <a:gd name="adj2" fmla="val 157906"/>
          </a:avLst>
        </a:prstGeom>
        <a:solidFill>
          <a:srgbClr val="E3E3E3"/>
        </a:solidFill>
        <a:ln w="9525">
          <a:solidFill>
            <a:srgbClr val="000000"/>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55 Helvetica Roman"/>
            </a:rPr>
            <a:t>La partie tableaux sous forme Excel n'est disponible qu'en allemand.</a:t>
          </a:r>
        </a:p>
        <a:p>
          <a:pPr algn="l" rtl="0">
            <a:defRPr sz="1000"/>
          </a:pPr>
          <a:r>
            <a:rPr lang="en-US" sz="900" b="0" i="0" u="none" strike="noStrike" baseline="0">
              <a:solidFill>
                <a:srgbClr val="000000"/>
              </a:solidFill>
              <a:latin typeface="55 Helvetica Roman"/>
            </a:rPr>
            <a:t>La version française est disponible dans la version complète 2012 sous forme PDF publiée ultérieurement (~ juillet 2014). Il est aussi possible de se référer à la publication PDF 2011 contenant tous les tableaux en français .</a:t>
          </a:r>
        </a:p>
      </xdr:txBody>
    </xdr:sp>
    <xdr:clientData/>
  </xdr:twoCellAnchor>
  <xdr:twoCellAnchor>
    <xdr:from>
      <xdr:col>0</xdr:col>
      <xdr:colOff>215900</xdr:colOff>
      <xdr:row>68</xdr:row>
      <xdr:rowOff>114300</xdr:rowOff>
    </xdr:from>
    <xdr:to>
      <xdr:col>2</xdr:col>
      <xdr:colOff>558800</xdr:colOff>
      <xdr:row>72</xdr:row>
      <xdr:rowOff>101600</xdr:rowOff>
    </xdr:to>
    <xdr:pic>
      <xdr:nvPicPr>
        <xdr:cNvPr id="308081" name="Picture 3" descr="Logo_CMYK_pos">
          <a:extLst>
            <a:ext uri="{FF2B5EF4-FFF2-40B4-BE49-F238E27FC236}">
              <a16:creationId xmlns:a16="http://schemas.microsoft.com/office/drawing/2014/main" id="{CAA46DEE-6805-9B91-DE14-29D24F72A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12979400"/>
          <a:ext cx="21463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300355</xdr:colOff>
      <xdr:row>2</xdr:row>
      <xdr:rowOff>220980</xdr:rowOff>
    </xdr:from>
    <xdr:to>
      <xdr:col>10</xdr:col>
      <xdr:colOff>753101</xdr:colOff>
      <xdr:row>9</xdr:row>
      <xdr:rowOff>30480</xdr:rowOff>
    </xdr:to>
    <xdr:sp macro="" textlink="">
      <xdr:nvSpPr>
        <xdr:cNvPr id="4" name="AutoShape 1">
          <a:extLst>
            <a:ext uri="{FF2B5EF4-FFF2-40B4-BE49-F238E27FC236}">
              <a16:creationId xmlns:a16="http://schemas.microsoft.com/office/drawing/2014/main" id="{418A4DAF-BB38-F1BB-33A7-880C4B804AEF}"/>
            </a:ext>
          </a:extLst>
        </xdr:cNvPr>
        <xdr:cNvSpPr>
          <a:spLocks noChangeArrowheads="1"/>
        </xdr:cNvSpPr>
      </xdr:nvSpPr>
      <xdr:spPr bwMode="auto">
        <a:xfrm>
          <a:off x="7452360" y="762000"/>
          <a:ext cx="1981200" cy="14097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fr-CH" sz="800">
              <a:latin typeface="+mn-lt"/>
              <a:ea typeface="+mn-ea"/>
              <a:cs typeface="+mn-cs"/>
            </a:rPr>
            <a:t>Document réalisé avec Excel 2007, enregistré dans le format XLS compatible aussi selon l’éditeur du logiciel avec Excel 97-2003. Dans la pratique on constate cependant qu’une pleine compatibilité d’affichage à l’écran ou lors de l’impression n’est pas toujours garantie en cas d’utilisation d’une version de tableur autre que celle utilisée pour la création du document. L</a:t>
          </a:r>
          <a:r>
            <a:rPr lang="en-US" sz="800" b="0" i="0" u="none" strike="noStrike">
              <a:latin typeface="+mn-lt"/>
              <a:ea typeface="+mn-ea"/>
              <a:cs typeface="+mn-cs"/>
            </a:rPr>
            <a:t>’éditeur du logiciel n’apporte pas de solution.</a:t>
          </a:r>
          <a:endParaRPr lang="en-US" sz="800">
            <a:latin typeface="+mn-lt"/>
            <a:ea typeface="+mn-ea"/>
            <a:cs typeface="+mn-cs"/>
          </a:endParaRPr>
        </a:p>
      </xdr:txBody>
    </xdr:sp>
    <xdr:clientData/>
  </xdr:twoCellAnchor>
  <xdr:twoCellAnchor>
    <xdr:from>
      <xdr:col>8</xdr:col>
      <xdr:colOff>277495</xdr:colOff>
      <xdr:row>10</xdr:row>
      <xdr:rowOff>7620</xdr:rowOff>
    </xdr:from>
    <xdr:to>
      <xdr:col>11</xdr:col>
      <xdr:colOff>5169</xdr:colOff>
      <xdr:row>17</xdr:row>
      <xdr:rowOff>60960</xdr:rowOff>
    </xdr:to>
    <xdr:sp macro="" textlink="">
      <xdr:nvSpPr>
        <xdr:cNvPr id="5" name="AutoShape 1">
          <a:extLst>
            <a:ext uri="{FF2B5EF4-FFF2-40B4-BE49-F238E27FC236}">
              <a16:creationId xmlns:a16="http://schemas.microsoft.com/office/drawing/2014/main" id="{44501030-A67E-EE5C-CDAB-7456D95A939C}"/>
            </a:ext>
          </a:extLst>
        </xdr:cNvPr>
        <xdr:cNvSpPr>
          <a:spLocks noChangeArrowheads="1"/>
        </xdr:cNvSpPr>
      </xdr:nvSpPr>
      <xdr:spPr bwMode="auto">
        <a:xfrm>
          <a:off x="7437120" y="2400300"/>
          <a:ext cx="2019300" cy="1485900"/>
        </a:xfrm>
        <a:prstGeom prst="wedgeRectCallout">
          <a:avLst>
            <a:gd name="adj1" fmla="val 206"/>
            <a:gd name="adj2" fmla="val 50318"/>
          </a:avLst>
        </a:prstGeom>
        <a:solidFill>
          <a:srgbClr val="FFC000"/>
        </a:solidFill>
        <a:ln w="9525">
          <a:solidFill>
            <a:srgbClr val="000000"/>
          </a:solidFill>
          <a:miter lim="800000"/>
          <a:headEnd/>
          <a:tailEnd/>
        </a:ln>
      </xdr:spPr>
      <xdr:txBody>
        <a:bodyPr vertOverflow="clip" wrap="square" lIns="36576" tIns="27432" rIns="0" bIns="0" anchor="t" upright="1"/>
        <a:lstStyle/>
        <a:p>
          <a:r>
            <a:rPr lang="de-CH" sz="800">
              <a:latin typeface="+mn-lt"/>
              <a:ea typeface="+mn-ea"/>
              <a:cs typeface="+mn-cs"/>
            </a:rPr>
            <a:t>Das Dokument wurde erstellt mit Excel 2007 und im Format XLS gespeichert, das gemäss Angaben des Softwareherstellers kompatibel mit Excel 97-2003 ist. Die Praxis zeigt allerdings, dass eine volle Kompatibilität bei der Bildschirmdarstellung oder dem Druck nicht immer gewährleistet ist, falls die Version des Tabellenprogramms von derjenigen des zum Aufbau verwendeten abweicht. Der Softwarehersteller bietet hierzu keine Lösung an.</a:t>
          </a:r>
          <a:endParaRPr lang="en-US" sz="800" b="0" i="0" u="none" strike="noStrike" baseline="0">
            <a:solidFill>
              <a:srgbClr val="000000"/>
            </a:solidFill>
            <a:latin typeface="55 Helvetica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53</xdr:row>
      <xdr:rowOff>0</xdr:rowOff>
    </xdr:from>
    <xdr:to>
      <xdr:col>11</xdr:col>
      <xdr:colOff>0</xdr:colOff>
      <xdr:row>53</xdr:row>
      <xdr:rowOff>0</xdr:rowOff>
    </xdr:to>
    <xdr:graphicFrame macro="">
      <xdr:nvGraphicFramePr>
        <xdr:cNvPr id="348317" name="Chart 1">
          <a:extLst>
            <a:ext uri="{FF2B5EF4-FFF2-40B4-BE49-F238E27FC236}">
              <a16:creationId xmlns:a16="http://schemas.microsoft.com/office/drawing/2014/main" id="{BDBC332F-20BB-A1C9-8ACD-439A4CBEF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53</xdr:row>
      <xdr:rowOff>0</xdr:rowOff>
    </xdr:from>
    <xdr:to>
      <xdr:col>12</xdr:col>
      <xdr:colOff>0</xdr:colOff>
      <xdr:row>53</xdr:row>
      <xdr:rowOff>0</xdr:rowOff>
    </xdr:to>
    <xdr:graphicFrame macro="">
      <xdr:nvGraphicFramePr>
        <xdr:cNvPr id="348318" name="Chart 2">
          <a:extLst>
            <a:ext uri="{FF2B5EF4-FFF2-40B4-BE49-F238E27FC236}">
              <a16:creationId xmlns:a16="http://schemas.microsoft.com/office/drawing/2014/main" id="{41A05821-0FCB-DB3C-11B2-BE94725D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6.xml.rels><?xml version="1.0" encoding="UTF-8" standalone="yes"?>
<Relationships xmlns="http://schemas.openxmlformats.org/package/2006/relationships"><Relationship Id="rId1" Type="http://schemas.openxmlformats.org/officeDocument/2006/relationships/hyperlink" Target="http://www.versichererreport.finma.ch/reportportal/%20%20Rubrik%20Schadenversicherer%20/%20Direktes%20Schweizergesch&#228;ft%20/%20Krankenversicherung." TargetMode="Externa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0.xml.rels><?xml version="1.0" encoding="UTF-8" standalone="yes"?>
<Relationships xmlns="http://schemas.openxmlformats.org/package/2006/relationships"><Relationship Id="rId1" Type="http://schemas.openxmlformats.org/officeDocument/2006/relationships/hyperlink" Target="http://www.kvg.org/ra/defaul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37B6-DBC1-8D49-AA31-FC6E7DD0B2C3}">
  <sheetPr>
    <pageSetUpPr fitToPage="1"/>
  </sheetPr>
  <dimension ref="A1:M79"/>
  <sheetViews>
    <sheetView tabSelected="1" zoomScaleNormal="100" workbookViewId="0">
      <selection activeCell="A3" sqref="A3"/>
    </sheetView>
  </sheetViews>
  <sheetFormatPr baseColWidth="10" defaultColWidth="11.3984375" defaultRowHeight="13"/>
  <cols>
    <col min="1" max="1" width="16.59765625" style="3" customWidth="1"/>
    <col min="2" max="2" width="11.796875" style="3" customWidth="1"/>
    <col min="3" max="3" width="14.3984375" style="3" customWidth="1"/>
    <col min="4" max="6" width="11.796875" style="3" customWidth="1"/>
    <col min="7" max="7" width="14.19921875" style="3" customWidth="1"/>
    <col min="8" max="9" width="11.796875" style="3" customWidth="1"/>
    <col min="10" max="10" width="9.796875" style="3" customWidth="1"/>
    <col min="11" max="11" width="12.19921875" style="3" customWidth="1"/>
    <col min="12" max="16384" width="11.3984375" style="3"/>
  </cols>
  <sheetData>
    <row r="1" spans="1:13" s="2" customFormat="1" ht="7.25" customHeight="1">
      <c r="A1"/>
      <c r="B1"/>
      <c r="C1"/>
      <c r="D1"/>
      <c r="E1"/>
      <c r="F1"/>
      <c r="G1"/>
      <c r="H1"/>
      <c r="I1"/>
    </row>
    <row r="2" spans="1:13" ht="27" customHeight="1">
      <c r="A2" s="5" t="s">
        <v>1508</v>
      </c>
      <c r="B2"/>
      <c r="C2"/>
      <c r="D2"/>
      <c r="E2"/>
      <c r="F2"/>
      <c r="G2"/>
      <c r="H2"/>
      <c r="I2"/>
    </row>
    <row r="3" spans="1:13" ht="27" customHeight="1">
      <c r="A3" s="6"/>
      <c r="B3"/>
      <c r="C3"/>
      <c r="D3"/>
      <c r="E3"/>
      <c r="F3"/>
      <c r="G3"/>
      <c r="H3"/>
      <c r="I3"/>
    </row>
    <row r="4" spans="1:13" ht="15" customHeight="1">
      <c r="A4" s="7" t="s">
        <v>74</v>
      </c>
      <c r="B4"/>
      <c r="C4"/>
      <c r="D4"/>
      <c r="E4"/>
      <c r="F4"/>
      <c r="G4"/>
      <c r="H4"/>
      <c r="I4"/>
    </row>
    <row r="5" spans="1:13" ht="17.25" customHeight="1">
      <c r="A5"/>
      <c r="B5"/>
      <c r="C5"/>
      <c r="D5"/>
      <c r="E5"/>
      <c r="F5"/>
      <c r="G5"/>
      <c r="H5"/>
      <c r="I5"/>
    </row>
    <row r="6" spans="1:13" ht="15.75" customHeight="1">
      <c r="B6"/>
      <c r="C6"/>
      <c r="D6"/>
      <c r="E6"/>
      <c r="F6"/>
      <c r="G6"/>
      <c r="H6"/>
      <c r="I6"/>
      <c r="J6" s="8"/>
    </row>
    <row r="7" spans="1:13" ht="9.75" customHeight="1">
      <c r="A7"/>
      <c r="B7"/>
      <c r="C7"/>
      <c r="D7"/>
      <c r="E7"/>
      <c r="F7"/>
      <c r="G7"/>
      <c r="H7"/>
      <c r="I7"/>
      <c r="J7" s="8"/>
    </row>
    <row r="8" spans="1:13" ht="31.5" customHeight="1">
      <c r="A8" s="74" t="s">
        <v>209</v>
      </c>
      <c r="B8"/>
      <c r="C8"/>
      <c r="D8"/>
      <c r="E8"/>
      <c r="F8"/>
      <c r="G8"/>
      <c r="H8"/>
      <c r="I8"/>
    </row>
    <row r="9" spans="1:13" ht="11.25" customHeight="1">
      <c r="B9"/>
      <c r="C9"/>
      <c r="D9"/>
      <c r="E9"/>
      <c r="F9"/>
      <c r="G9"/>
      <c r="H9"/>
      <c r="I9"/>
      <c r="K9" s="9"/>
      <c r="L9" s="9"/>
      <c r="M9" s="9"/>
    </row>
    <row r="10" spans="1:13" ht="20" customHeight="1">
      <c r="A10" s="7" t="s">
        <v>180</v>
      </c>
      <c r="B10"/>
      <c r="C10"/>
      <c r="D10"/>
      <c r="E10"/>
      <c r="F10"/>
      <c r="G10"/>
      <c r="H10"/>
      <c r="I10"/>
    </row>
    <row r="11" spans="1:13" ht="20" customHeight="1">
      <c r="A11" s="7"/>
      <c r="B11"/>
      <c r="C11"/>
      <c r="D11"/>
      <c r="E11"/>
      <c r="F11"/>
      <c r="G11" s="19" t="s">
        <v>3</v>
      </c>
      <c r="H11" s="18"/>
      <c r="I11"/>
    </row>
    <row r="12" spans="1:13" ht="20" customHeight="1">
      <c r="A12"/>
      <c r="B12"/>
      <c r="C12"/>
      <c r="D12"/>
      <c r="E12"/>
      <c r="F12"/>
      <c r="G12"/>
      <c r="H12"/>
      <c r="I12"/>
    </row>
    <row r="13" spans="1:13" ht="20.25" customHeight="1">
      <c r="A13"/>
      <c r="B13"/>
      <c r="C13"/>
      <c r="D13"/>
      <c r="E13"/>
      <c r="I13"/>
    </row>
    <row r="14" spans="1:13" ht="26.25" customHeight="1">
      <c r="A14" s="10" t="s">
        <v>27</v>
      </c>
      <c r="B14" s="11"/>
      <c r="C14" s="11"/>
      <c r="D14" s="12"/>
      <c r="E14" s="12"/>
      <c r="G14" s="38" t="s">
        <v>2599</v>
      </c>
      <c r="H14" s="11"/>
      <c r="I14"/>
    </row>
    <row r="15" spans="1:13" s="4" customFormat="1" ht="8.25" customHeight="1">
      <c r="A15" s="26"/>
      <c r="B15" s="23"/>
      <c r="C15" s="23"/>
      <c r="G15" s="27"/>
      <c r="H15" s="23"/>
      <c r="I15" s="23"/>
    </row>
    <row r="16" spans="1:13" ht="15" customHeight="1">
      <c r="A16" s="28" t="s">
        <v>73</v>
      </c>
      <c r="B16"/>
      <c r="C16"/>
      <c r="D16"/>
      <c r="E16"/>
      <c r="F16"/>
      <c r="G16"/>
      <c r="H16"/>
      <c r="I16"/>
    </row>
    <row r="17" spans="1:13" s="4" customFormat="1" ht="5.25" customHeight="1">
      <c r="A17" s="23"/>
      <c r="B17" s="23"/>
      <c r="C17" s="23"/>
      <c r="D17" s="23"/>
      <c r="E17" s="23"/>
      <c r="F17" s="23"/>
      <c r="G17" s="23"/>
      <c r="H17" s="23"/>
      <c r="I17" s="23"/>
    </row>
    <row r="18" spans="1:13" ht="17.25" customHeight="1">
      <c r="A18" s="51" t="s">
        <v>1517</v>
      </c>
      <c r="B18" s="29"/>
      <c r="C18" s="40"/>
      <c r="D18" s="41"/>
      <c r="E18" s="51" t="s">
        <v>2306</v>
      </c>
      <c r="F18" s="29"/>
      <c r="G18" s="29"/>
      <c r="H18" s="4"/>
      <c r="I18" s="44"/>
      <c r="J18" s="4"/>
      <c r="K18" s="4"/>
    </row>
    <row r="19" spans="1:13" ht="15" customHeight="1">
      <c r="A19" s="51" t="s">
        <v>1514</v>
      </c>
      <c r="B19" s="29"/>
      <c r="C19" s="29"/>
      <c r="D19" s="35"/>
      <c r="E19" s="51"/>
      <c r="F19" s="29"/>
      <c r="G19" s="29"/>
      <c r="H19" s="4"/>
      <c r="I19" s="45"/>
      <c r="J19" s="4"/>
      <c r="K19" s="4"/>
    </row>
    <row r="20" spans="1:13" ht="15" customHeight="1">
      <c r="A20" s="51" t="s">
        <v>1515</v>
      </c>
      <c r="B20" s="30"/>
      <c r="C20" s="30"/>
      <c r="D20" s="36"/>
      <c r="E20" s="51"/>
      <c r="F20" s="29"/>
      <c r="G20" s="29"/>
      <c r="H20" s="4"/>
      <c r="I20" s="45"/>
      <c r="J20" s="4"/>
      <c r="K20" s="4"/>
    </row>
    <row r="21" spans="1:13">
      <c r="A21" s="51" t="s">
        <v>1518</v>
      </c>
      <c r="B21" s="29"/>
      <c r="C21" s="30"/>
      <c r="D21" s="36"/>
      <c r="E21" s="51"/>
      <c r="F21" s="30"/>
      <c r="G21" s="30"/>
      <c r="H21" s="4"/>
      <c r="I21" s="52" t="s">
        <v>7</v>
      </c>
      <c r="J21" s="53"/>
      <c r="K21" s="53"/>
    </row>
    <row r="22" spans="1:13">
      <c r="A22" s="51" t="s">
        <v>1516</v>
      </c>
      <c r="B22" s="29"/>
      <c r="C22" s="30"/>
      <c r="D22" s="36"/>
      <c r="E22" s="51"/>
      <c r="F22" s="30"/>
      <c r="G22" s="30"/>
      <c r="H22" s="4"/>
      <c r="I22" s="53" t="s">
        <v>8</v>
      </c>
      <c r="J22" s="53"/>
      <c r="K22" s="53"/>
    </row>
    <row r="23" spans="1:13">
      <c r="A23" s="51" t="s">
        <v>1707</v>
      </c>
      <c r="B23" s="29"/>
      <c r="C23" s="30"/>
      <c r="D23" s="36"/>
      <c r="E23" s="51"/>
      <c r="F23" s="30"/>
      <c r="G23" s="30"/>
      <c r="H23" s="4"/>
      <c r="I23" s="69" t="s">
        <v>213</v>
      </c>
      <c r="J23" s="61"/>
      <c r="K23" s="61"/>
    </row>
    <row r="24" spans="1:13">
      <c r="A24" s="51" t="s">
        <v>1708</v>
      </c>
      <c r="B24" s="29"/>
      <c r="C24" s="30"/>
      <c r="D24" s="36"/>
      <c r="E24" s="51"/>
      <c r="F24" s="39"/>
      <c r="G24" s="30"/>
      <c r="H24" s="4"/>
    </row>
    <row r="25" spans="1:13">
      <c r="A25" s="51" t="s">
        <v>1709</v>
      </c>
      <c r="B25" s="29"/>
      <c r="C25" s="30"/>
      <c r="D25" s="36"/>
      <c r="E25" s="51"/>
      <c r="F25" s="30"/>
      <c r="G25" s="30"/>
      <c r="H25" s="4"/>
    </row>
    <row r="26" spans="1:13">
      <c r="A26" s="51" t="s">
        <v>1790</v>
      </c>
      <c r="B26" s="29"/>
      <c r="C26" s="30"/>
      <c r="D26" s="36"/>
      <c r="E26" s="51"/>
      <c r="F26" s="30"/>
      <c r="G26" s="30"/>
      <c r="H26" s="4"/>
    </row>
    <row r="27" spans="1:13">
      <c r="A27" s="51" t="s">
        <v>2048</v>
      </c>
      <c r="B27" s="29"/>
      <c r="C27" s="39"/>
      <c r="D27" s="36"/>
      <c r="E27" s="39"/>
      <c r="F27" s="30"/>
      <c r="G27" s="30"/>
      <c r="H27" s="4"/>
    </row>
    <row r="28" spans="1:13" ht="16">
      <c r="A28" s="14"/>
      <c r="B28" s="21"/>
      <c r="C28" s="13"/>
      <c r="I28" s="49" t="s">
        <v>2307</v>
      </c>
      <c r="J28" s="54"/>
      <c r="K28" s="54"/>
    </row>
    <row r="29" spans="1:13" ht="16">
      <c r="A29" s="14"/>
      <c r="I29" s="105"/>
      <c r="J29" s="106"/>
      <c r="K29" s="107"/>
      <c r="L29" s="4"/>
      <c r="M29" s="4"/>
    </row>
    <row r="30" spans="1:13" ht="16">
      <c r="A30" s="14"/>
      <c r="I30" s="62"/>
      <c r="J30" s="60"/>
      <c r="K30" s="60"/>
    </row>
    <row r="31" spans="1:13" ht="15">
      <c r="A31" s="42" t="s">
        <v>117</v>
      </c>
      <c r="B31" s="20"/>
      <c r="C31" s="4"/>
      <c r="D31" s="4"/>
      <c r="E31" s="4"/>
      <c r="F31" s="4"/>
      <c r="G31" s="48"/>
    </row>
    <row r="32" spans="1:13">
      <c r="A32" s="56" t="s">
        <v>1513</v>
      </c>
      <c r="B32" s="57"/>
      <c r="C32" s="55"/>
      <c r="D32" s="56" t="s">
        <v>1510</v>
      </c>
      <c r="E32" s="58"/>
      <c r="F32" s="55"/>
      <c r="G32" s="56" t="s">
        <v>2547</v>
      </c>
      <c r="H32" s="25"/>
      <c r="I32" s="4"/>
      <c r="J32" s="56" t="s">
        <v>2580</v>
      </c>
      <c r="K32" s="22"/>
    </row>
    <row r="33" spans="1:11">
      <c r="A33" s="56" t="s">
        <v>1512</v>
      </c>
      <c r="B33" s="57"/>
      <c r="C33" s="55"/>
      <c r="D33" s="56" t="s">
        <v>1509</v>
      </c>
      <c r="E33" s="57"/>
      <c r="F33" s="55"/>
      <c r="G33" s="56" t="s">
        <v>2548</v>
      </c>
      <c r="H33" s="22"/>
      <c r="I33" s="4"/>
      <c r="J33" s="56" t="s">
        <v>2581</v>
      </c>
      <c r="K33" s="22"/>
    </row>
    <row r="34" spans="1:11">
      <c r="A34" s="56" t="s">
        <v>1511</v>
      </c>
      <c r="B34" s="57"/>
      <c r="C34" s="55"/>
      <c r="D34" s="56" t="s">
        <v>1791</v>
      </c>
      <c r="E34" s="57"/>
      <c r="F34" s="55"/>
      <c r="G34" s="56" t="s">
        <v>2555</v>
      </c>
      <c r="H34" s="22"/>
      <c r="I34" s="4"/>
      <c r="J34" s="56" t="s">
        <v>2585</v>
      </c>
      <c r="K34" s="22"/>
    </row>
    <row r="35" spans="1:11">
      <c r="A35" s="32"/>
      <c r="B35" s="31"/>
      <c r="C35" s="4"/>
      <c r="D35" s="32"/>
      <c r="E35" s="31"/>
      <c r="G35" s="59"/>
      <c r="H35" s="32"/>
      <c r="I35" s="4"/>
      <c r="J35" s="56" t="s">
        <v>2590</v>
      </c>
      <c r="K35" s="22"/>
    </row>
    <row r="36" spans="1:11" ht="16">
      <c r="A36" s="14"/>
    </row>
    <row r="37" spans="1:11" ht="16">
      <c r="A37" s="14" t="s">
        <v>1507</v>
      </c>
      <c r="B37" s="34" t="s">
        <v>75</v>
      </c>
      <c r="C37" s="1" t="s">
        <v>4</v>
      </c>
      <c r="D37" s="2034"/>
      <c r="J37" s="24"/>
    </row>
    <row r="38" spans="1:11" ht="16">
      <c r="A38" s="15"/>
      <c r="B38" s="13"/>
      <c r="C38" s="13"/>
    </row>
    <row r="39" spans="1:11" ht="14">
      <c r="A39" s="431" t="s">
        <v>76</v>
      </c>
      <c r="B39" s="1009" t="s">
        <v>188</v>
      </c>
      <c r="C39" s="432" t="s">
        <v>94</v>
      </c>
      <c r="D39" s="433"/>
      <c r="E39" s="433"/>
      <c r="F39" s="433"/>
      <c r="G39" s="433"/>
      <c r="H39" s="433"/>
      <c r="I39" s="433"/>
      <c r="J39" s="433"/>
      <c r="K39" s="33"/>
    </row>
    <row r="40" spans="1:11" ht="14">
      <c r="A40" s="431" t="s">
        <v>77</v>
      </c>
      <c r="B40" s="1009" t="s">
        <v>193</v>
      </c>
      <c r="C40" s="432" t="s">
        <v>78</v>
      </c>
      <c r="D40" s="433"/>
      <c r="E40" s="433"/>
      <c r="F40" s="433"/>
      <c r="G40" s="433"/>
      <c r="H40" s="433"/>
      <c r="I40" s="433"/>
      <c r="J40" s="433"/>
      <c r="K40" s="33"/>
    </row>
    <row r="41" spans="1:11" ht="14">
      <c r="A41" s="431" t="s">
        <v>79</v>
      </c>
      <c r="B41" s="1009" t="s">
        <v>195</v>
      </c>
      <c r="C41" s="432" t="s">
        <v>198</v>
      </c>
      <c r="D41" s="433"/>
      <c r="E41" s="433"/>
      <c r="F41" s="433"/>
      <c r="G41" s="433"/>
      <c r="H41" s="433"/>
      <c r="I41" s="433"/>
      <c r="J41" s="433"/>
      <c r="K41" s="33"/>
    </row>
    <row r="42" spans="1:11" ht="14">
      <c r="A42" s="431" t="s">
        <v>80</v>
      </c>
      <c r="B42" s="1009" t="s">
        <v>210</v>
      </c>
      <c r="C42" s="432" t="s">
        <v>81</v>
      </c>
      <c r="D42" s="433"/>
      <c r="E42" s="433"/>
      <c r="F42" s="433"/>
      <c r="G42" s="433"/>
      <c r="H42" s="433"/>
      <c r="I42" s="433"/>
      <c r="J42" s="433"/>
      <c r="K42" s="33"/>
    </row>
    <row r="43" spans="1:11" ht="14">
      <c r="A43" s="431" t="s">
        <v>82</v>
      </c>
      <c r="B43" s="1010" t="s">
        <v>1105</v>
      </c>
      <c r="C43" s="432" t="s">
        <v>83</v>
      </c>
      <c r="D43" s="433"/>
      <c r="E43" s="433"/>
      <c r="F43" s="433"/>
      <c r="G43" s="433"/>
      <c r="H43" s="433"/>
      <c r="I43" s="433"/>
      <c r="J43" s="433"/>
      <c r="K43" s="33"/>
    </row>
    <row r="44" spans="1:11" ht="14">
      <c r="A44" s="431" t="s">
        <v>84</v>
      </c>
      <c r="B44" s="1009" t="s">
        <v>85</v>
      </c>
      <c r="C44" s="432" t="s">
        <v>86</v>
      </c>
      <c r="D44" s="433"/>
      <c r="E44" s="433"/>
      <c r="F44" s="433"/>
      <c r="G44" s="433"/>
      <c r="H44" s="433"/>
      <c r="I44" s="433"/>
      <c r="J44" s="433"/>
      <c r="K44" s="33"/>
    </row>
    <row r="45" spans="1:11" ht="14">
      <c r="A45" s="431" t="s">
        <v>87</v>
      </c>
      <c r="B45" s="1009" t="s">
        <v>713</v>
      </c>
      <c r="C45" s="432" t="s">
        <v>91</v>
      </c>
      <c r="D45" s="433"/>
      <c r="E45" s="433"/>
      <c r="F45" s="433"/>
      <c r="G45" s="433"/>
      <c r="H45" s="433"/>
      <c r="I45" s="433"/>
      <c r="J45" s="433"/>
      <c r="K45" s="33"/>
    </row>
    <row r="46" spans="1:11" ht="14">
      <c r="A46" s="431" t="s">
        <v>88</v>
      </c>
      <c r="B46" s="1009" t="s">
        <v>717</v>
      </c>
      <c r="C46" s="432" t="s">
        <v>5</v>
      </c>
      <c r="D46" s="433"/>
      <c r="E46" s="433"/>
      <c r="F46" s="433"/>
      <c r="G46" s="433"/>
      <c r="H46" s="433"/>
      <c r="I46" s="433"/>
      <c r="J46" s="433"/>
      <c r="K46" s="33"/>
    </row>
    <row r="47" spans="1:11" ht="14">
      <c r="A47" s="431" t="s">
        <v>89</v>
      </c>
      <c r="B47" s="1009" t="s">
        <v>211</v>
      </c>
      <c r="C47" s="432" t="s">
        <v>90</v>
      </c>
      <c r="D47" s="433"/>
      <c r="E47" s="433"/>
      <c r="F47" s="433"/>
      <c r="G47" s="433"/>
      <c r="H47" s="433"/>
      <c r="I47" s="433"/>
      <c r="J47" s="433"/>
      <c r="K47" s="33"/>
    </row>
    <row r="48" spans="1:11" ht="14">
      <c r="A48" s="431" t="s">
        <v>6</v>
      </c>
      <c r="B48" s="1009" t="s">
        <v>189</v>
      </c>
      <c r="C48" s="432" t="s">
        <v>13</v>
      </c>
      <c r="D48" s="433"/>
      <c r="E48" s="433"/>
      <c r="F48" s="433"/>
      <c r="G48" s="433"/>
      <c r="H48" s="433"/>
      <c r="I48" s="433"/>
      <c r="J48" s="433"/>
      <c r="K48" s="33"/>
    </row>
    <row r="49" spans="1:11" ht="14">
      <c r="A49" s="431" t="s">
        <v>35</v>
      </c>
      <c r="B49" s="1009" t="s">
        <v>200</v>
      </c>
      <c r="C49" s="432" t="s">
        <v>36</v>
      </c>
      <c r="D49" s="433"/>
      <c r="E49" s="433"/>
      <c r="F49" s="433"/>
      <c r="G49" s="433"/>
      <c r="H49" s="433"/>
      <c r="I49" s="433"/>
      <c r="J49" s="433"/>
      <c r="K49" s="33"/>
    </row>
    <row r="50" spans="1:11" ht="14">
      <c r="A50" s="431" t="s">
        <v>196</v>
      </c>
      <c r="B50" s="1009" t="s">
        <v>197</v>
      </c>
      <c r="C50" s="432" t="s">
        <v>208</v>
      </c>
      <c r="D50" s="433"/>
      <c r="E50" s="433"/>
      <c r="F50" s="433"/>
      <c r="G50" s="433"/>
      <c r="H50" s="433"/>
      <c r="I50" s="433"/>
      <c r="J50" s="433"/>
      <c r="K50" s="33"/>
    </row>
    <row r="51" spans="1:11" ht="16.25" customHeight="1">
      <c r="A51" s="1201" t="s">
        <v>190</v>
      </c>
      <c r="B51" s="1202" t="s">
        <v>191</v>
      </c>
      <c r="C51" s="1202"/>
      <c r="D51" s="1202"/>
      <c r="E51" s="433"/>
      <c r="F51" s="433"/>
      <c r="G51" s="433"/>
      <c r="H51" s="433"/>
      <c r="I51" s="433"/>
      <c r="J51" s="433"/>
      <c r="K51" s="33"/>
    </row>
    <row r="52" spans="1:11" ht="15.5" customHeight="1">
      <c r="A52" s="1201" t="s">
        <v>92</v>
      </c>
      <c r="B52" s="1202" t="s">
        <v>214</v>
      </c>
      <c r="C52" s="1202"/>
      <c r="D52" s="1202"/>
      <c r="E52" s="433"/>
      <c r="F52" s="433"/>
      <c r="G52" s="433"/>
      <c r="H52" s="433"/>
      <c r="I52" s="433"/>
      <c r="J52" s="433"/>
      <c r="K52" s="33"/>
    </row>
    <row r="53" spans="1:11" s="43" customFormat="1" ht="14.5" customHeight="1">
      <c r="A53" s="1201" t="s">
        <v>34</v>
      </c>
      <c r="B53" s="1202" t="s">
        <v>215</v>
      </c>
      <c r="C53" s="72"/>
      <c r="D53" s="72"/>
      <c r="E53" s="73"/>
      <c r="F53" s="73"/>
      <c r="G53" s="73"/>
      <c r="H53" s="73"/>
      <c r="I53" s="73"/>
      <c r="J53" s="73"/>
      <c r="K53" s="50"/>
    </row>
    <row r="54" spans="1:11" s="43" customFormat="1" ht="14.5" hidden="1" customHeight="1">
      <c r="A54" s="71" t="s">
        <v>1</v>
      </c>
      <c r="B54" s="72" t="s">
        <v>199</v>
      </c>
      <c r="C54" s="72"/>
      <c r="D54" s="72"/>
      <c r="E54" s="73"/>
      <c r="F54" s="73"/>
      <c r="G54" s="73"/>
      <c r="H54" s="73"/>
      <c r="I54" s="73"/>
      <c r="J54" s="73"/>
      <c r="K54" s="50"/>
    </row>
    <row r="55" spans="1:11" s="43" customFormat="1" ht="14">
      <c r="A55" s="1201" t="s">
        <v>184</v>
      </c>
      <c r="B55" s="1202" t="s">
        <v>185</v>
      </c>
      <c r="C55" s="72"/>
      <c r="D55" s="72"/>
      <c r="E55" s="73"/>
      <c r="F55" s="73"/>
      <c r="G55" s="73"/>
      <c r="H55" s="73"/>
      <c r="I55" s="73"/>
      <c r="J55" s="73"/>
      <c r="K55" s="50"/>
    </row>
    <row r="56" spans="1:11" ht="14">
      <c r="A56" s="1201" t="s">
        <v>192</v>
      </c>
      <c r="B56" s="1202" t="s">
        <v>216</v>
      </c>
      <c r="C56" s="1202"/>
      <c r="D56" s="1202"/>
      <c r="E56" s="433"/>
      <c r="F56" s="433"/>
      <c r="G56" s="433"/>
      <c r="H56" s="433"/>
      <c r="I56" s="433"/>
      <c r="J56" s="433"/>
      <c r="K56" s="33"/>
    </row>
    <row r="57" spans="1:11" ht="21" customHeight="1"/>
    <row r="58" spans="1:11">
      <c r="A58" s="16"/>
      <c r="B58" s="16"/>
      <c r="C58" s="16"/>
      <c r="D58" s="16"/>
      <c r="E58" s="16"/>
      <c r="F58" s="16"/>
      <c r="G58" s="16"/>
      <c r="H58" s="16"/>
      <c r="I58" s="16"/>
      <c r="J58" s="16"/>
    </row>
    <row r="59" spans="1:11" ht="15.5" customHeight="1"/>
    <row r="60" spans="1:11" ht="14.25" customHeight="1">
      <c r="A60" s="47" t="s">
        <v>1506</v>
      </c>
      <c r="B60"/>
      <c r="C60"/>
      <c r="D60"/>
      <c r="E60"/>
      <c r="F60"/>
      <c r="G60"/>
      <c r="H60"/>
      <c r="I60"/>
    </row>
    <row r="61" spans="1:11" ht="17.5" customHeight="1">
      <c r="A61" s="2"/>
      <c r="B61"/>
      <c r="C61"/>
      <c r="D61"/>
      <c r="E61"/>
      <c r="F61"/>
      <c r="G61"/>
      <c r="H61"/>
      <c r="I61"/>
    </row>
    <row r="62" spans="1:11">
      <c r="A62" s="16"/>
      <c r="B62" s="16"/>
      <c r="C62" s="16"/>
      <c r="D62" s="16"/>
      <c r="E62" s="16"/>
      <c r="F62" s="16"/>
      <c r="G62" s="16"/>
      <c r="H62" s="16"/>
      <c r="I62" s="16"/>
      <c r="J62" s="16"/>
    </row>
    <row r="63" spans="1:11" ht="14.5" customHeight="1"/>
    <row r="64" spans="1:11" ht="14">
      <c r="A64" s="1007" t="s">
        <v>186</v>
      </c>
    </row>
    <row r="65" spans="1:12" ht="16">
      <c r="A65" s="37"/>
    </row>
    <row r="67" spans="1:12" ht="14">
      <c r="A67" s="1008" t="s">
        <v>1504</v>
      </c>
      <c r="D67" s="1006" t="s">
        <v>2603</v>
      </c>
    </row>
    <row r="68" spans="1:12" ht="14">
      <c r="D68" s="280" t="s">
        <v>2600</v>
      </c>
      <c r="L68" s="1002"/>
    </row>
    <row r="69" spans="1:12">
      <c r="D69" s="280" t="s">
        <v>2601</v>
      </c>
      <c r="L69" s="742"/>
    </row>
    <row r="70" spans="1:12">
      <c r="J70" s="46"/>
      <c r="L70" s="1003"/>
    </row>
    <row r="71" spans="1:12">
      <c r="D71" s="1006" t="s">
        <v>1505</v>
      </c>
      <c r="L71" s="1003"/>
    </row>
    <row r="72" spans="1:12">
      <c r="D72" s="280" t="s">
        <v>2602</v>
      </c>
    </row>
    <row r="73" spans="1:12">
      <c r="D73" s="280" t="s">
        <v>2604</v>
      </c>
    </row>
    <row r="75" spans="1:12" ht="14">
      <c r="L75" s="1002"/>
    </row>
    <row r="76" spans="1:12">
      <c r="L76" s="742"/>
    </row>
    <row r="77" spans="1:12">
      <c r="L77" s="1004"/>
    </row>
    <row r="78" spans="1:12">
      <c r="L78" s="1005"/>
    </row>
    <row r="79" spans="1:12">
      <c r="L79" s="1005"/>
    </row>
  </sheetData>
  <mergeCells count="1">
    <mergeCell ref="C37:D37"/>
  </mergeCells>
  <phoneticPr fontId="0" type="noConversion"/>
  <pageMargins left="0.24" right="0.17" top="0.35" bottom="0.27559055118110237" header="0.2" footer="0.19685039370078741"/>
  <pageSetup paperSize="9" scale="74"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518B-E98C-9347-81E1-62FBCFAA7920}">
  <sheetPr>
    <pageSetUpPr fitToPage="1"/>
  </sheetPr>
  <dimension ref="A1:N48"/>
  <sheetViews>
    <sheetView workbookViewId="0">
      <selection activeCell="B39" sqref="B39"/>
    </sheetView>
  </sheetViews>
  <sheetFormatPr baseColWidth="10" defaultColWidth="11.59765625" defaultRowHeight="13"/>
  <cols>
    <col min="1" max="1" width="28" style="65" customWidth="1"/>
    <col min="2" max="2" width="15.796875" style="65" customWidth="1"/>
    <col min="3" max="16384" width="11.59765625" style="65"/>
  </cols>
  <sheetData>
    <row r="1" spans="1:14" ht="69">
      <c r="N1" s="1941" t="s">
        <v>2480</v>
      </c>
    </row>
    <row r="3" spans="1:14">
      <c r="A3" s="1942"/>
      <c r="B3" s="602"/>
    </row>
    <row r="9" spans="1:14" ht="18">
      <c r="A9" s="1943"/>
      <c r="B9" s="1944"/>
      <c r="C9" s="1944"/>
      <c r="D9" s="1944"/>
      <c r="E9" s="1944"/>
      <c r="F9" s="1944"/>
      <c r="G9" s="1944"/>
      <c r="H9" s="1944"/>
      <c r="I9" s="1944"/>
      <c r="J9" s="1944"/>
      <c r="K9" s="1944"/>
    </row>
    <row r="10" spans="1:14">
      <c r="A10" s="1945"/>
      <c r="B10" s="1945"/>
      <c r="C10" s="1945"/>
      <c r="D10" s="1945"/>
      <c r="E10" s="1945"/>
      <c r="F10" s="1945"/>
      <c r="G10" s="1945"/>
      <c r="H10" s="1945"/>
      <c r="I10" s="1945"/>
      <c r="J10" s="1945"/>
      <c r="K10" s="1945"/>
    </row>
    <row r="11" spans="1:14">
      <c r="A11" s="1946" t="s">
        <v>2481</v>
      </c>
      <c r="B11" s="1945"/>
      <c r="C11" s="1945"/>
      <c r="D11" s="1945"/>
      <c r="E11" s="1945"/>
      <c r="F11" s="1945"/>
      <c r="G11" s="1945"/>
      <c r="H11" s="1945"/>
      <c r="I11" s="1945"/>
      <c r="J11" s="1945"/>
      <c r="K11" s="1945"/>
    </row>
    <row r="12" spans="1:14" ht="21.5" customHeight="1" thickBot="1">
      <c r="A12" s="1947"/>
      <c r="B12" s="1948"/>
      <c r="C12" s="1948"/>
      <c r="D12" s="1948"/>
      <c r="E12" s="1948"/>
      <c r="F12" s="1948"/>
      <c r="G12" s="1948"/>
      <c r="H12" s="1948"/>
      <c r="I12" s="1948"/>
      <c r="J12" s="1948"/>
      <c r="K12" s="1948"/>
    </row>
    <row r="13" spans="1:14" s="1950" customFormat="1" ht="23.5" customHeight="1">
      <c r="A13" s="1949"/>
      <c r="B13" s="1949"/>
      <c r="C13" s="2035" t="s">
        <v>2482</v>
      </c>
      <c r="D13" s="2035"/>
      <c r="E13" s="2035"/>
      <c r="F13" s="2035"/>
      <c r="G13" s="2035"/>
      <c r="H13" s="1949"/>
      <c r="I13" s="2036" t="s">
        <v>2483</v>
      </c>
      <c r="J13" s="2036"/>
      <c r="K13" s="2036"/>
    </row>
    <row r="14" spans="1:14">
      <c r="A14" s="1944"/>
      <c r="B14" s="1944" t="s">
        <v>2484</v>
      </c>
      <c r="C14" s="1951" t="s">
        <v>2485</v>
      </c>
      <c r="D14" s="1951" t="s">
        <v>426</v>
      </c>
      <c r="E14" s="1951" t="s">
        <v>2486</v>
      </c>
      <c r="F14" s="1951" t="s">
        <v>2486</v>
      </c>
      <c r="G14" s="1951" t="s">
        <v>481</v>
      </c>
      <c r="H14" s="1951"/>
      <c r="I14" s="1951" t="s">
        <v>2486</v>
      </c>
      <c r="J14" s="1951" t="s">
        <v>426</v>
      </c>
      <c r="K14" s="1951" t="s">
        <v>481</v>
      </c>
    </row>
    <row r="15" spans="1:14">
      <c r="A15" s="1952"/>
      <c r="B15" s="1952"/>
      <c r="C15" s="1953"/>
      <c r="D15" s="1953"/>
      <c r="E15" s="1953"/>
      <c r="F15" s="1953" t="s">
        <v>426</v>
      </c>
      <c r="G15" s="1953"/>
      <c r="H15" s="1953"/>
      <c r="I15" s="1953"/>
      <c r="J15" s="1953"/>
      <c r="K15" s="1953"/>
    </row>
    <row r="16" spans="1:14">
      <c r="A16" s="1945" t="s">
        <v>1683</v>
      </c>
      <c r="B16" s="1945" t="s">
        <v>2487</v>
      </c>
      <c r="C16" s="1954">
        <v>2.06</v>
      </c>
      <c r="D16" s="1954">
        <v>2.04</v>
      </c>
      <c r="E16" s="1954" t="s">
        <v>2488</v>
      </c>
      <c r="F16" s="1954"/>
      <c r="G16" s="1954" t="s">
        <v>2489</v>
      </c>
      <c r="H16" s="1954"/>
      <c r="I16" s="1954" t="s">
        <v>2490</v>
      </c>
      <c r="J16" s="1955"/>
      <c r="K16" s="1955">
        <v>2.16</v>
      </c>
    </row>
    <row r="17" spans="1:11">
      <c r="A17" s="1945"/>
      <c r="B17" s="1945" t="s">
        <v>2491</v>
      </c>
      <c r="C17" s="1945"/>
      <c r="D17" s="1954">
        <v>2.0499999999999998</v>
      </c>
      <c r="E17" s="1954" t="s">
        <v>2492</v>
      </c>
      <c r="F17" s="1954"/>
      <c r="G17" s="1954" t="s">
        <v>2493</v>
      </c>
      <c r="H17" s="1954"/>
      <c r="I17" s="1954" t="s">
        <v>2494</v>
      </c>
      <c r="J17" s="1956">
        <v>2.25</v>
      </c>
      <c r="K17" s="1955">
        <v>2.1800000000000002</v>
      </c>
    </row>
    <row r="18" spans="1:11">
      <c r="A18" s="1944" t="s">
        <v>1681</v>
      </c>
      <c r="B18" s="1944" t="s">
        <v>2487</v>
      </c>
      <c r="C18" s="1957">
        <v>2.11</v>
      </c>
      <c r="D18" s="1957" t="s">
        <v>47</v>
      </c>
      <c r="E18" s="1957"/>
      <c r="F18" s="1957"/>
      <c r="G18" s="1957"/>
      <c r="H18" s="1957"/>
      <c r="I18" s="1957" t="s">
        <v>2495</v>
      </c>
      <c r="J18" s="1951"/>
      <c r="K18" s="1951"/>
    </row>
    <row r="19" spans="1:11">
      <c r="A19" s="1945"/>
      <c r="B19" s="1945" t="s">
        <v>2491</v>
      </c>
      <c r="C19" s="1945"/>
      <c r="D19" s="1954" t="s">
        <v>2496</v>
      </c>
      <c r="E19" s="1954" t="s">
        <v>2497</v>
      </c>
      <c r="F19" s="1954"/>
      <c r="G19" s="1954"/>
      <c r="H19" s="1954"/>
      <c r="I19" s="1954" t="s">
        <v>2498</v>
      </c>
      <c r="J19" s="1956">
        <v>2.2599999999999998</v>
      </c>
      <c r="K19" s="1955"/>
    </row>
    <row r="20" spans="1:11">
      <c r="A20" s="1945" t="s">
        <v>298</v>
      </c>
      <c r="B20" s="1945" t="s">
        <v>2487</v>
      </c>
      <c r="C20" s="1954">
        <v>2.09</v>
      </c>
      <c r="D20" s="1954" t="s">
        <v>2499</v>
      </c>
      <c r="E20" s="1954"/>
      <c r="F20" s="1954"/>
      <c r="G20" s="1945"/>
      <c r="H20" s="1945"/>
      <c r="I20" s="1954" t="s">
        <v>39</v>
      </c>
      <c r="J20" s="1955"/>
      <c r="K20" s="1945"/>
    </row>
    <row r="21" spans="1:11">
      <c r="A21" s="1952"/>
      <c r="B21" s="1952" t="s">
        <v>2491</v>
      </c>
      <c r="C21" s="1952"/>
      <c r="D21" s="1958" t="s">
        <v>2500</v>
      </c>
      <c r="E21" s="1958" t="s">
        <v>2501</v>
      </c>
      <c r="F21" s="1958"/>
      <c r="G21" s="1952"/>
      <c r="H21" s="1952"/>
      <c r="I21" s="1958" t="s">
        <v>2502</v>
      </c>
      <c r="J21" s="1953">
        <v>2.0299999999999998</v>
      </c>
      <c r="K21" s="1952"/>
    </row>
    <row r="22" spans="1:11">
      <c r="A22" s="1944" t="s">
        <v>752</v>
      </c>
      <c r="B22" s="1944" t="s">
        <v>2487</v>
      </c>
      <c r="C22" s="1957" t="s">
        <v>2503</v>
      </c>
      <c r="D22" s="1957" t="s">
        <v>2504</v>
      </c>
      <c r="E22" s="1957" t="s">
        <v>567</v>
      </c>
      <c r="F22" s="1957"/>
      <c r="G22" s="1957"/>
      <c r="H22" s="1957"/>
      <c r="I22" s="1957" t="s">
        <v>2505</v>
      </c>
      <c r="J22" s="1951"/>
      <c r="K22" s="1951"/>
    </row>
    <row r="23" spans="1:11">
      <c r="A23" s="1944"/>
      <c r="B23" s="1944" t="s">
        <v>2491</v>
      </c>
      <c r="C23" s="1957"/>
      <c r="D23" s="1957" t="s">
        <v>2506</v>
      </c>
      <c r="E23" s="1957" t="s">
        <v>2507</v>
      </c>
      <c r="F23" s="1957"/>
      <c r="G23" s="1957"/>
      <c r="H23" s="1957"/>
      <c r="I23" s="1957" t="s">
        <v>2508</v>
      </c>
      <c r="J23" s="1951">
        <v>3.08</v>
      </c>
      <c r="K23" s="1951"/>
    </row>
    <row r="24" spans="1:11">
      <c r="A24" s="1952" t="s">
        <v>2509</v>
      </c>
      <c r="B24" s="1952" t="s">
        <v>2510</v>
      </c>
      <c r="C24" s="1958"/>
      <c r="D24" s="1958" t="s">
        <v>2511</v>
      </c>
      <c r="E24" s="1958"/>
      <c r="F24" s="1958"/>
      <c r="G24" s="1958"/>
      <c r="H24" s="1958"/>
      <c r="I24" s="1958" t="s">
        <v>383</v>
      </c>
      <c r="J24" s="1953"/>
      <c r="K24" s="1953"/>
    </row>
    <row r="25" spans="1:11">
      <c r="A25" s="1944" t="s">
        <v>1828</v>
      </c>
      <c r="B25" s="1944" t="s">
        <v>1892</v>
      </c>
      <c r="C25" s="1957" t="s">
        <v>2512</v>
      </c>
      <c r="D25" s="1957" t="s">
        <v>2513</v>
      </c>
      <c r="E25" s="1957" t="s">
        <v>2514</v>
      </c>
      <c r="F25" s="1957" t="s">
        <v>2515</v>
      </c>
      <c r="G25" s="1957"/>
      <c r="H25" s="1957"/>
      <c r="I25" s="1957"/>
      <c r="J25" s="1951"/>
      <c r="K25" s="1951"/>
    </row>
    <row r="26" spans="1:11" ht="14" thickBot="1">
      <c r="A26" s="1948"/>
      <c r="B26" s="1948" t="s">
        <v>2516</v>
      </c>
      <c r="C26" s="1959"/>
      <c r="D26" s="1960" t="s">
        <v>2517</v>
      </c>
      <c r="E26" s="1960" t="s">
        <v>2518</v>
      </c>
      <c r="F26" s="1960"/>
      <c r="G26" s="1960"/>
      <c r="H26" s="1960"/>
      <c r="I26" s="1960" t="s">
        <v>2519</v>
      </c>
      <c r="J26" s="1961">
        <v>11.18</v>
      </c>
      <c r="K26" s="1961"/>
    </row>
    <row r="27" spans="1:11">
      <c r="A27" s="1944"/>
      <c r="B27" s="1944"/>
      <c r="C27" s="1944"/>
      <c r="D27" s="1944"/>
      <c r="E27" s="1944"/>
      <c r="F27" s="1944"/>
      <c r="G27" s="1944"/>
      <c r="H27" s="1944"/>
      <c r="I27" s="1944"/>
      <c r="J27" s="1944"/>
      <c r="K27" s="1944"/>
    </row>
    <row r="28" spans="1:11">
      <c r="A28" s="1962" t="s">
        <v>2520</v>
      </c>
      <c r="B28" s="1944"/>
      <c r="C28" s="1944"/>
      <c r="D28" s="1944"/>
      <c r="E28" s="1944"/>
      <c r="F28" s="1944"/>
      <c r="G28" s="1944"/>
      <c r="H28" s="1944"/>
      <c r="I28" s="1944"/>
      <c r="J28" s="1944"/>
      <c r="K28" s="1944"/>
    </row>
    <row r="29" spans="1:11">
      <c r="A29" s="1944" t="s">
        <v>1683</v>
      </c>
      <c r="B29" s="1944" t="s">
        <v>2521</v>
      </c>
      <c r="C29" s="1944"/>
      <c r="D29" s="1944"/>
      <c r="E29" s="1944"/>
      <c r="F29" s="1944"/>
      <c r="G29" s="1944"/>
      <c r="H29" s="1944"/>
      <c r="I29" s="1944"/>
      <c r="J29" s="1944"/>
      <c r="K29" s="1944"/>
    </row>
    <row r="30" spans="1:11">
      <c r="A30" s="1944" t="s">
        <v>1681</v>
      </c>
      <c r="B30" s="1944" t="s">
        <v>2522</v>
      </c>
      <c r="C30" s="1944"/>
      <c r="D30" s="1944"/>
      <c r="E30" s="1944"/>
      <c r="F30" s="1944"/>
      <c r="G30" s="1944"/>
      <c r="H30" s="1944"/>
      <c r="I30" s="1944"/>
      <c r="J30" s="1944"/>
      <c r="K30" s="1944"/>
    </row>
    <row r="31" spans="1:11">
      <c r="A31" s="1944"/>
      <c r="B31" s="1944" t="s">
        <v>2523</v>
      </c>
      <c r="C31" s="1944"/>
      <c r="D31" s="1944"/>
      <c r="E31" s="1944"/>
      <c r="F31" s="1944"/>
      <c r="G31" s="1944"/>
      <c r="H31" s="1944"/>
      <c r="I31" s="1944"/>
      <c r="J31" s="1944"/>
      <c r="K31" s="1944"/>
    </row>
    <row r="32" spans="1:11">
      <c r="A32" s="1944" t="s">
        <v>752</v>
      </c>
      <c r="B32" s="1944" t="s">
        <v>2524</v>
      </c>
      <c r="C32" s="1944"/>
      <c r="D32" s="1944"/>
      <c r="E32" s="1944"/>
      <c r="F32" s="1944"/>
      <c r="G32" s="1944"/>
      <c r="H32" s="1944"/>
      <c r="I32" s="1944"/>
      <c r="J32" s="1944"/>
      <c r="K32" s="1944"/>
    </row>
    <row r="33" spans="1:11">
      <c r="A33" s="1944" t="s">
        <v>2509</v>
      </c>
      <c r="B33" s="1944" t="s">
        <v>2525</v>
      </c>
      <c r="C33" s="1944"/>
      <c r="D33" s="1944"/>
      <c r="E33" s="1944"/>
      <c r="F33" s="1944"/>
      <c r="G33" s="1944"/>
      <c r="H33" s="1944"/>
      <c r="I33" s="1944"/>
      <c r="J33" s="1944"/>
      <c r="K33" s="1944"/>
    </row>
    <row r="34" spans="1:11">
      <c r="A34" s="1944"/>
      <c r="B34" s="1944"/>
      <c r="C34" s="1944"/>
      <c r="D34" s="1944"/>
      <c r="E34" s="1944"/>
      <c r="F34" s="1944"/>
      <c r="G34" s="1944"/>
      <c r="H34" s="1944"/>
      <c r="I34" s="1944"/>
      <c r="J34" s="1944"/>
      <c r="K34" s="1944"/>
    </row>
    <row r="35" spans="1:11">
      <c r="A35" s="1962" t="s">
        <v>2526</v>
      </c>
      <c r="B35" s="1944"/>
      <c r="C35" s="1944"/>
      <c r="D35" s="1944"/>
      <c r="E35" s="1944"/>
      <c r="F35" s="1944"/>
      <c r="G35" s="1944"/>
      <c r="H35" s="1944"/>
      <c r="I35" s="1944"/>
      <c r="J35" s="1944"/>
      <c r="K35" s="1944"/>
    </row>
    <row r="36" spans="1:11">
      <c r="A36" s="1944" t="s">
        <v>2527</v>
      </c>
      <c r="B36" s="1944" t="s">
        <v>2528</v>
      </c>
      <c r="C36" s="1944"/>
      <c r="D36" s="1944"/>
      <c r="E36" s="1944"/>
      <c r="F36" s="1944"/>
      <c r="G36" s="1944"/>
      <c r="H36" s="1944"/>
      <c r="I36" s="1944"/>
      <c r="J36" s="1944"/>
      <c r="K36" s="1944"/>
    </row>
    <row r="37" spans="1:11">
      <c r="A37" s="1944" t="s">
        <v>2529</v>
      </c>
      <c r="B37" s="1944" t="s">
        <v>2530</v>
      </c>
      <c r="C37" s="1944"/>
      <c r="D37" s="1944"/>
      <c r="E37" s="1944"/>
      <c r="F37" s="1944"/>
      <c r="G37" s="1944"/>
      <c r="H37" s="1944"/>
      <c r="I37" s="1944"/>
      <c r="J37" s="1944"/>
      <c r="K37" s="1944"/>
    </row>
    <row r="38" spans="1:11">
      <c r="A38" s="1944" t="s">
        <v>481</v>
      </c>
      <c r="B38" s="1944" t="s">
        <v>2531</v>
      </c>
      <c r="C38" s="1944"/>
      <c r="D38" s="1944"/>
      <c r="E38" s="1944"/>
      <c r="F38" s="1944"/>
      <c r="G38" s="1944"/>
      <c r="H38" s="1944"/>
      <c r="I38" s="1944"/>
      <c r="J38" s="1944"/>
      <c r="K38" s="1944"/>
    </row>
    <row r="39" spans="1:11">
      <c r="A39" s="1944"/>
      <c r="B39" s="1944"/>
      <c r="C39" s="1944"/>
      <c r="D39" s="1944"/>
      <c r="E39" s="1944"/>
      <c r="F39" s="1944"/>
      <c r="G39" s="1944"/>
      <c r="H39" s="1944"/>
      <c r="I39" s="1944"/>
      <c r="J39" s="1944"/>
      <c r="K39" s="1944"/>
    </row>
    <row r="40" spans="1:11">
      <c r="A40" s="1962" t="s">
        <v>2532</v>
      </c>
      <c r="B40" s="1944"/>
      <c r="C40" s="1944"/>
      <c r="D40" s="1944"/>
      <c r="E40" s="1944"/>
      <c r="F40" s="1944"/>
      <c r="G40" s="1944"/>
      <c r="H40" s="1944"/>
      <c r="I40" s="1944"/>
      <c r="J40" s="1944"/>
      <c r="K40" s="1944"/>
    </row>
    <row r="41" spans="1:11">
      <c r="A41" s="1963" t="s">
        <v>2533</v>
      </c>
      <c r="B41" s="1964" t="s">
        <v>2534</v>
      </c>
      <c r="C41" s="1944"/>
      <c r="D41" s="1944"/>
      <c r="E41" s="1944"/>
      <c r="F41" s="1944"/>
      <c r="G41" s="1944"/>
      <c r="H41" s="1944"/>
      <c r="I41" s="1944"/>
      <c r="J41" s="1944"/>
      <c r="K41" s="1944"/>
    </row>
    <row r="42" spans="1:11">
      <c r="A42" s="1963">
        <v>1.02</v>
      </c>
      <c r="B42" s="1964" t="s">
        <v>2535</v>
      </c>
      <c r="C42" s="1944"/>
      <c r="D42" s="1944"/>
      <c r="E42" s="1944"/>
      <c r="F42" s="1944"/>
      <c r="G42" s="1944"/>
      <c r="H42" s="1944"/>
      <c r="I42" s="1944"/>
      <c r="J42" s="1944"/>
      <c r="K42" s="1944"/>
    </row>
    <row r="43" spans="1:11">
      <c r="A43" s="1965" t="s">
        <v>2536</v>
      </c>
      <c r="B43" s="1964" t="s">
        <v>2537</v>
      </c>
      <c r="C43" s="1944"/>
      <c r="D43" s="1944"/>
      <c r="E43" s="1944"/>
      <c r="F43" s="1944"/>
      <c r="G43" s="1944"/>
      <c r="H43" s="1944"/>
      <c r="I43" s="1944"/>
      <c r="J43" s="1944"/>
      <c r="K43" s="1944"/>
    </row>
    <row r="44" spans="1:11">
      <c r="A44" s="1966" t="s">
        <v>2538</v>
      </c>
      <c r="B44" s="1964" t="s">
        <v>2539</v>
      </c>
      <c r="C44" s="1944"/>
      <c r="D44" s="1944"/>
      <c r="E44" s="1944"/>
      <c r="F44" s="1944"/>
      <c r="G44" s="1944"/>
      <c r="H44" s="1944"/>
      <c r="I44" s="1944"/>
      <c r="J44" s="1944"/>
      <c r="K44" s="1944"/>
    </row>
    <row r="45" spans="1:11">
      <c r="A45" s="1963" t="s">
        <v>2540</v>
      </c>
      <c r="B45" s="1964" t="s">
        <v>2541</v>
      </c>
      <c r="C45" s="1944"/>
      <c r="D45" s="1944"/>
      <c r="E45" s="1944"/>
      <c r="F45" s="1944"/>
      <c r="G45" s="1944"/>
      <c r="H45" s="1944"/>
      <c r="I45" s="1944"/>
      <c r="J45" s="1944"/>
      <c r="K45" s="1944"/>
    </row>
    <row r="46" spans="1:11">
      <c r="A46" s="1963" t="s">
        <v>2542</v>
      </c>
      <c r="B46" s="1964" t="s">
        <v>2543</v>
      </c>
      <c r="C46" s="1944"/>
      <c r="D46" s="1944"/>
      <c r="E46" s="1944"/>
      <c r="F46" s="1944"/>
      <c r="G46" s="1944"/>
      <c r="H46" s="1944"/>
      <c r="I46" s="1944"/>
      <c r="J46" s="1944"/>
      <c r="K46" s="1944"/>
    </row>
    <row r="47" spans="1:11">
      <c r="A47" s="1963" t="s">
        <v>2544</v>
      </c>
      <c r="B47" s="1964" t="s">
        <v>2545</v>
      </c>
      <c r="C47" s="1944"/>
      <c r="D47" s="1944"/>
      <c r="E47" s="1944"/>
      <c r="F47" s="1944"/>
      <c r="G47" s="1944"/>
      <c r="H47" s="1944"/>
      <c r="I47" s="1944"/>
      <c r="J47" s="1944"/>
      <c r="K47" s="1944"/>
    </row>
    <row r="48" spans="1:11">
      <c r="A48" s="1965" t="s">
        <v>42</v>
      </c>
      <c r="B48" s="1964" t="s">
        <v>2546</v>
      </c>
      <c r="C48" s="1944"/>
      <c r="D48" s="1944"/>
      <c r="E48" s="1944"/>
      <c r="F48" s="1944"/>
      <c r="G48" s="1944"/>
      <c r="H48" s="1944"/>
      <c r="I48" s="1944"/>
      <c r="J48" s="1944"/>
      <c r="K48" s="1944"/>
    </row>
  </sheetData>
  <mergeCells count="2">
    <mergeCell ref="C13:G13"/>
    <mergeCell ref="I13:K13"/>
  </mergeCells>
  <pageMargins left="0.42" right="0.53" top="0.49" bottom="0.52" header="0.35" footer="0.33"/>
  <pageSetup paperSize="9" scale="75"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9F161-18AB-934A-9838-CB6EDAEBAB11}">
  <sheetPr>
    <pageSetUpPr fitToPage="1"/>
  </sheetPr>
  <dimension ref="A1:M82"/>
  <sheetViews>
    <sheetView topLeftCell="A50" workbookViewId="0">
      <selection activeCell="J82" sqref="J82"/>
    </sheetView>
  </sheetViews>
  <sheetFormatPr baseColWidth="10" defaultColWidth="11.59765625" defaultRowHeight="13"/>
  <cols>
    <col min="1" max="1" width="11.59765625" style="65"/>
    <col min="2" max="2" width="10.3984375" style="1899" customWidth="1"/>
    <col min="3" max="3" width="4.3984375" style="65" customWidth="1"/>
    <col min="4" max="4" width="11.59765625" style="65"/>
    <col min="5" max="5" width="11.3984375" style="1899" customWidth="1"/>
    <col min="6" max="7" width="11.59765625" style="65"/>
    <col min="8" max="8" width="3.59765625" style="65" customWidth="1"/>
    <col min="9" max="9" width="11.59765625" style="65"/>
    <col min="10" max="10" width="3.796875" style="65" customWidth="1"/>
    <col min="11" max="11" width="11.59765625" style="65"/>
    <col min="12" max="12" width="3.796875" style="65" customWidth="1"/>
    <col min="13" max="16384" width="11.59765625" style="65"/>
  </cols>
  <sheetData>
    <row r="1" spans="1:13" ht="16">
      <c r="A1" s="75" t="s">
        <v>2470</v>
      </c>
    </row>
    <row r="2" spans="1:13" ht="18" customHeight="1"/>
    <row r="3" spans="1:13" ht="30" customHeight="1">
      <c r="A3" s="81" t="s">
        <v>212</v>
      </c>
      <c r="B3" s="81" t="s">
        <v>2471</v>
      </c>
      <c r="C3" s="1899"/>
      <c r="D3" s="81" t="str">
        <f>A3</f>
        <v>Publikation 2011</v>
      </c>
      <c r="E3" s="81" t="str">
        <f>B3</f>
        <v>Publikation 2012</v>
      </c>
      <c r="G3" s="81" t="str">
        <f>E3</f>
        <v>Publikation 2012</v>
      </c>
      <c r="H3" s="81"/>
      <c r="I3" s="81" t="str">
        <f>D3</f>
        <v>Publikation 2011</v>
      </c>
      <c r="K3" s="81" t="str">
        <f>G3</f>
        <v>Publikation 2012</v>
      </c>
      <c r="L3" s="81"/>
      <c r="M3" s="81" t="str">
        <f>I3</f>
        <v>Publikation 2011</v>
      </c>
    </row>
    <row r="4" spans="1:13" ht="13.5" customHeight="1">
      <c r="A4" s="1900"/>
      <c r="B4" s="1900"/>
      <c r="D4" s="1901"/>
      <c r="E4" s="1901"/>
      <c r="G4" s="1902"/>
      <c r="H4" s="1902"/>
      <c r="I4" s="1902"/>
      <c r="K4" s="1902"/>
      <c r="L4" s="1902"/>
      <c r="M4" s="1902"/>
    </row>
    <row r="5" spans="1:13">
      <c r="A5" s="1903">
        <v>1.01</v>
      </c>
      <c r="B5" s="1903">
        <v>1.01</v>
      </c>
      <c r="C5" s="1904"/>
      <c r="D5" s="1905">
        <v>7.01</v>
      </c>
      <c r="E5" s="1905">
        <v>7.01</v>
      </c>
      <c r="G5" s="1906">
        <v>1.01</v>
      </c>
      <c r="H5" s="1903"/>
      <c r="I5" s="1907">
        <v>1.01</v>
      </c>
      <c r="K5" s="1905">
        <v>7.01</v>
      </c>
      <c r="L5" s="1908"/>
      <c r="M5" s="1909">
        <v>7.01</v>
      </c>
    </row>
    <row r="6" spans="1:13">
      <c r="A6" s="1910">
        <v>1.02</v>
      </c>
      <c r="B6" s="1910">
        <v>1.02</v>
      </c>
      <c r="C6" s="1904"/>
      <c r="D6" s="1905">
        <v>7.02</v>
      </c>
      <c r="E6" s="1911" t="s">
        <v>29</v>
      </c>
      <c r="G6" s="1912">
        <v>1.02</v>
      </c>
      <c r="H6" s="1903"/>
      <c r="I6" s="1913">
        <v>1.02</v>
      </c>
      <c r="K6" s="1914">
        <v>7.02</v>
      </c>
      <c r="L6" s="1908"/>
      <c r="M6" s="1915" t="s">
        <v>29</v>
      </c>
    </row>
    <row r="7" spans="1:13">
      <c r="A7" s="1910">
        <v>1.03</v>
      </c>
      <c r="B7" s="1910">
        <v>1.03</v>
      </c>
      <c r="C7" s="1904"/>
      <c r="D7" s="1905">
        <v>7.03</v>
      </c>
      <c r="E7" s="1911" t="s">
        <v>29</v>
      </c>
      <c r="G7" s="1912">
        <v>1.03</v>
      </c>
      <c r="H7" s="1903"/>
      <c r="I7" s="1913">
        <v>1.03</v>
      </c>
      <c r="K7" s="1905">
        <v>8.01</v>
      </c>
      <c r="L7" s="1908"/>
      <c r="M7" s="1905">
        <v>8.01</v>
      </c>
    </row>
    <row r="8" spans="1:13">
      <c r="A8" s="1910">
        <v>1.04</v>
      </c>
      <c r="B8" s="1910">
        <v>1.04</v>
      </c>
      <c r="C8" s="1904"/>
      <c r="D8" s="1916">
        <v>7.04</v>
      </c>
      <c r="E8" s="1911" t="s">
        <v>29</v>
      </c>
      <c r="G8" s="1912">
        <v>1.04</v>
      </c>
      <c r="H8" s="1903"/>
      <c r="I8" s="1913">
        <v>1.04</v>
      </c>
      <c r="K8" s="1905">
        <v>8.02</v>
      </c>
      <c r="L8" s="1905"/>
      <c r="M8" s="1905">
        <v>8.02</v>
      </c>
    </row>
    <row r="9" spans="1:13">
      <c r="A9" s="1910">
        <v>1.05</v>
      </c>
      <c r="B9" s="1910">
        <v>1.05</v>
      </c>
      <c r="C9" s="1904"/>
      <c r="D9" s="1916">
        <v>7.05</v>
      </c>
      <c r="E9" s="1911" t="s">
        <v>29</v>
      </c>
      <c r="G9" s="1912">
        <v>1.05</v>
      </c>
      <c r="H9" s="1903"/>
      <c r="I9" s="1913">
        <v>1.05</v>
      </c>
      <c r="K9" s="1905">
        <v>8.0299999999999994</v>
      </c>
      <c r="L9" s="1917"/>
      <c r="M9" s="1905">
        <v>8.0299999999999994</v>
      </c>
    </row>
    <row r="10" spans="1:13">
      <c r="A10" s="1910">
        <v>1.06</v>
      </c>
      <c r="B10" s="1910">
        <v>1.06</v>
      </c>
      <c r="C10" s="1904"/>
      <c r="D10" s="1916">
        <v>8.01</v>
      </c>
      <c r="E10" s="1916">
        <v>8.01</v>
      </c>
      <c r="G10" s="1912">
        <v>1.06</v>
      </c>
      <c r="H10" s="1903"/>
      <c r="I10" s="1913">
        <v>1.06</v>
      </c>
      <c r="K10" s="1905">
        <v>8.0399999999999991</v>
      </c>
      <c r="L10" s="1917"/>
      <c r="M10" s="1905">
        <v>8.0399999999999991</v>
      </c>
    </row>
    <row r="11" spans="1:13">
      <c r="A11" s="1910">
        <v>1.07</v>
      </c>
      <c r="B11" s="1910">
        <v>1.07</v>
      </c>
      <c r="C11" s="1904"/>
      <c r="D11" s="1916">
        <v>8.02</v>
      </c>
      <c r="E11" s="1916">
        <v>8.02</v>
      </c>
      <c r="G11" s="1912">
        <v>1.07</v>
      </c>
      <c r="H11" s="1903"/>
      <c r="I11" s="1913">
        <v>1.07</v>
      </c>
      <c r="J11" s="1918"/>
      <c r="K11" s="1914">
        <v>8.0500000000000007</v>
      </c>
      <c r="L11" s="1917"/>
      <c r="M11" s="1911" t="s">
        <v>29</v>
      </c>
    </row>
    <row r="12" spans="1:13">
      <c r="A12" s="1910">
        <v>1.08</v>
      </c>
      <c r="B12" s="1910">
        <v>1.08</v>
      </c>
      <c r="C12" s="1904"/>
      <c r="D12" s="1916">
        <v>8.0299999999999994</v>
      </c>
      <c r="E12" s="1916">
        <v>8.0299999999999994</v>
      </c>
      <c r="G12" s="1910">
        <v>1.08</v>
      </c>
      <c r="H12" s="1903"/>
      <c r="I12" s="1913">
        <v>1.08</v>
      </c>
      <c r="J12" s="1918"/>
      <c r="K12" s="1914">
        <v>8.06</v>
      </c>
      <c r="L12" s="1908"/>
      <c r="M12" s="1911" t="s">
        <v>29</v>
      </c>
    </row>
    <row r="13" spans="1:13">
      <c r="A13" s="1910">
        <v>1.0900000000000001</v>
      </c>
      <c r="B13" s="1910">
        <v>1.0900000000000001</v>
      </c>
      <c r="C13" s="1904"/>
      <c r="D13" s="1916">
        <v>8.0399999999999991</v>
      </c>
      <c r="E13" s="1916">
        <v>8.0399999999999991</v>
      </c>
      <c r="G13" s="1910">
        <v>1.0900000000000001</v>
      </c>
      <c r="H13" s="1903"/>
      <c r="I13" s="1910">
        <v>1.0900000000000001</v>
      </c>
      <c r="J13" s="1918"/>
      <c r="K13" s="1905">
        <v>8.07</v>
      </c>
      <c r="L13" s="1908"/>
      <c r="M13" s="1905">
        <v>8.07</v>
      </c>
    </row>
    <row r="14" spans="1:13">
      <c r="A14" s="1910">
        <v>1.1000000000000001</v>
      </c>
      <c r="B14" s="1910">
        <v>1.1000000000000001</v>
      </c>
      <c r="C14" s="1904"/>
      <c r="D14" s="1916">
        <v>8.0500000000000007</v>
      </c>
      <c r="E14" s="1916" t="s">
        <v>29</v>
      </c>
      <c r="G14" s="1910">
        <v>1.1000000000000001</v>
      </c>
      <c r="H14" s="1903"/>
      <c r="I14" s="1910">
        <v>1.1000000000000001</v>
      </c>
      <c r="J14" s="1918"/>
      <c r="K14" s="1916">
        <v>8.08</v>
      </c>
      <c r="L14" s="1903"/>
      <c r="M14" s="1916">
        <v>8.08</v>
      </c>
    </row>
    <row r="15" spans="1:13">
      <c r="A15" s="1910">
        <v>1.1100000000000001</v>
      </c>
      <c r="B15" s="1910">
        <v>1.1100000000000001</v>
      </c>
      <c r="C15" s="1904"/>
      <c r="D15" s="1916">
        <v>8.06</v>
      </c>
      <c r="E15" s="1916" t="s">
        <v>29</v>
      </c>
      <c r="G15" s="1910">
        <v>1.1100000000000001</v>
      </c>
      <c r="H15" s="1903"/>
      <c r="I15" s="1910">
        <v>1.1100000000000001</v>
      </c>
      <c r="J15" s="1918"/>
      <c r="K15" s="1919">
        <v>8.09</v>
      </c>
      <c r="L15" s="1903"/>
      <c r="M15" s="1916">
        <v>8.09</v>
      </c>
    </row>
    <row r="16" spans="1:13">
      <c r="A16" s="1910">
        <v>1.1200000000000001</v>
      </c>
      <c r="B16" s="1910">
        <v>1.1200000000000001</v>
      </c>
      <c r="C16" s="1904"/>
      <c r="D16" s="1916">
        <v>8.07</v>
      </c>
      <c r="E16" s="1916">
        <v>8.07</v>
      </c>
      <c r="G16" s="1912">
        <v>1.1200000000000001</v>
      </c>
      <c r="H16" s="1903"/>
      <c r="I16" s="1910">
        <v>1.1200000000000001</v>
      </c>
      <c r="J16" s="1918"/>
      <c r="K16" s="1919" t="s">
        <v>40</v>
      </c>
      <c r="L16" s="1903"/>
      <c r="M16" s="1916" t="s">
        <v>40</v>
      </c>
    </row>
    <row r="17" spans="1:13">
      <c r="A17" s="1910">
        <v>1.1299999999999999</v>
      </c>
      <c r="B17" s="1910">
        <v>1.1299999999999999</v>
      </c>
      <c r="C17" s="1904"/>
      <c r="D17" s="1916">
        <v>8.08</v>
      </c>
      <c r="E17" s="1916">
        <v>8.08</v>
      </c>
      <c r="G17" s="1910">
        <v>1.1299999999999999</v>
      </c>
      <c r="H17" s="1903"/>
      <c r="I17" s="1910">
        <v>1.1299999999999999</v>
      </c>
      <c r="J17" s="1918"/>
      <c r="K17" s="1920" t="s">
        <v>41</v>
      </c>
      <c r="L17" s="1903"/>
      <c r="M17" s="1911" t="s">
        <v>29</v>
      </c>
    </row>
    <row r="18" spans="1:13">
      <c r="A18" s="1905">
        <v>2.0099999999999998</v>
      </c>
      <c r="B18" s="1905">
        <v>2.0099999999999998</v>
      </c>
      <c r="C18" s="1904"/>
      <c r="D18" s="1916">
        <v>8.09</v>
      </c>
      <c r="E18" s="1916">
        <v>8.09</v>
      </c>
      <c r="G18" s="1905">
        <v>2.0099999999999998</v>
      </c>
      <c r="H18" s="1903"/>
      <c r="I18" s="1905">
        <v>2.0099999999999998</v>
      </c>
      <c r="J18" s="1918"/>
      <c r="K18" s="1916">
        <v>9.01</v>
      </c>
      <c r="L18" s="1903" t="s">
        <v>1389</v>
      </c>
      <c r="M18" s="1916">
        <v>9.01</v>
      </c>
    </row>
    <row r="19" spans="1:13">
      <c r="A19" s="1905">
        <v>2.02</v>
      </c>
      <c r="B19" s="1905">
        <v>2.02</v>
      </c>
      <c r="C19" s="1904"/>
      <c r="D19" s="1905" t="s">
        <v>40</v>
      </c>
      <c r="E19" s="1905" t="s">
        <v>40</v>
      </c>
      <c r="G19" s="1905">
        <v>2.02</v>
      </c>
      <c r="H19" s="1903"/>
      <c r="I19" s="1905">
        <v>2.02</v>
      </c>
      <c r="J19" s="1918"/>
      <c r="K19" s="1916">
        <v>9.02</v>
      </c>
      <c r="L19" s="1903"/>
      <c r="M19" s="1916">
        <v>9.02</v>
      </c>
    </row>
    <row r="20" spans="1:13">
      <c r="A20" s="1905">
        <v>2.0299999999999998</v>
      </c>
      <c r="B20" s="1905">
        <v>2.0299999999999998</v>
      </c>
      <c r="C20" s="1904"/>
      <c r="D20" s="1905" t="s">
        <v>41</v>
      </c>
      <c r="E20" s="1911" t="s">
        <v>29</v>
      </c>
      <c r="G20" s="1905">
        <v>2.0299999999999998</v>
      </c>
      <c r="H20" s="1903"/>
      <c r="I20" s="1905">
        <v>2.0299999999999998</v>
      </c>
      <c r="J20" s="1918"/>
      <c r="K20" s="1916">
        <v>9.0299999999999994</v>
      </c>
      <c r="L20" s="1903"/>
      <c r="M20" s="1916">
        <v>9.0299999999999994</v>
      </c>
    </row>
    <row r="21" spans="1:13">
      <c r="A21" s="1905">
        <v>2.04</v>
      </c>
      <c r="B21" s="1905">
        <v>2.04</v>
      </c>
      <c r="C21" s="1904"/>
      <c r="D21" s="1916">
        <v>8.1199999999999992</v>
      </c>
      <c r="E21" s="1916" t="s">
        <v>29</v>
      </c>
      <c r="G21" s="1905">
        <v>2.04</v>
      </c>
      <c r="H21" s="1903" t="s">
        <v>1389</v>
      </c>
      <c r="I21" s="1905">
        <v>2.04</v>
      </c>
      <c r="J21" s="1918"/>
      <c r="K21" s="1916">
        <v>9.0399999999999991</v>
      </c>
      <c r="L21" s="1903"/>
      <c r="M21" s="1916">
        <v>9.0399999999999991</v>
      </c>
    </row>
    <row r="22" spans="1:13">
      <c r="A22" s="1905">
        <v>2.0499999999999998</v>
      </c>
      <c r="B22" s="1905">
        <v>2.0499999999999998</v>
      </c>
      <c r="C22" s="1904"/>
      <c r="D22" s="1916">
        <v>9.01</v>
      </c>
      <c r="E22" s="1916">
        <v>9.01</v>
      </c>
      <c r="G22" s="1905">
        <v>2.0499999999999998</v>
      </c>
      <c r="H22" s="1903" t="s">
        <v>1389</v>
      </c>
      <c r="I22" s="1905">
        <v>2.0499999999999998</v>
      </c>
      <c r="J22" s="1918"/>
      <c r="K22" s="1916">
        <v>9.0500000000000007</v>
      </c>
      <c r="L22" s="1903"/>
      <c r="M22" s="1916">
        <v>9.0500000000000007</v>
      </c>
    </row>
    <row r="23" spans="1:13">
      <c r="A23" s="1905">
        <v>2.06</v>
      </c>
      <c r="B23" s="1905">
        <v>2.06</v>
      </c>
      <c r="C23" s="1904"/>
      <c r="D23" s="1916">
        <v>9.02</v>
      </c>
      <c r="E23" s="1916">
        <v>9.02</v>
      </c>
      <c r="G23" s="1905">
        <v>2.06</v>
      </c>
      <c r="H23" s="1903"/>
      <c r="I23" s="1905">
        <v>2.06</v>
      </c>
      <c r="J23" s="1918"/>
      <c r="K23" s="1905">
        <v>9.06</v>
      </c>
      <c r="L23" s="1908"/>
      <c r="M23" s="1905">
        <v>9.06</v>
      </c>
    </row>
    <row r="24" spans="1:13">
      <c r="A24" s="1905">
        <v>2.0699999999999998</v>
      </c>
      <c r="B24" s="1905">
        <v>2.0699999999999998</v>
      </c>
      <c r="C24" s="1904"/>
      <c r="D24" s="1916">
        <v>9.0299999999999994</v>
      </c>
      <c r="E24" s="1916">
        <v>9.0299999999999994</v>
      </c>
      <c r="G24" s="1905">
        <v>2.0699999999999998</v>
      </c>
      <c r="H24" s="1903" t="s">
        <v>1389</v>
      </c>
      <c r="I24" s="1905">
        <v>2.0699999999999998</v>
      </c>
      <c r="J24" s="1918"/>
      <c r="K24" s="1905">
        <v>9.07</v>
      </c>
      <c r="L24" s="1903"/>
      <c r="M24" s="1905">
        <v>9.07</v>
      </c>
    </row>
    <row r="25" spans="1:13">
      <c r="A25" s="1905">
        <v>2.08</v>
      </c>
      <c r="B25" s="1905">
        <v>2.08</v>
      </c>
      <c r="C25" s="1904"/>
      <c r="D25" s="1916">
        <v>9.0399999999999991</v>
      </c>
      <c r="E25" s="1916">
        <v>9.0399999999999991</v>
      </c>
      <c r="G25" s="1905">
        <v>2.08</v>
      </c>
      <c r="H25" s="1903"/>
      <c r="I25" s="1905">
        <v>2.08</v>
      </c>
      <c r="J25" s="1918"/>
      <c r="K25" s="1916">
        <v>9.08</v>
      </c>
      <c r="L25" s="1903"/>
      <c r="M25" s="1916">
        <v>9.08</v>
      </c>
    </row>
    <row r="26" spans="1:13">
      <c r="A26" s="1905">
        <v>2.09</v>
      </c>
      <c r="B26" s="1905">
        <v>2.09</v>
      </c>
      <c r="C26" s="1904"/>
      <c r="D26" s="1916">
        <v>9.0500000000000007</v>
      </c>
      <c r="E26" s="1916">
        <v>9.0500000000000007</v>
      </c>
      <c r="G26" s="1905">
        <v>2.09</v>
      </c>
      <c r="H26" s="1903"/>
      <c r="I26" s="1905">
        <v>2.09</v>
      </c>
      <c r="J26" s="1918"/>
      <c r="K26" s="1919">
        <v>9.09</v>
      </c>
      <c r="L26" s="1903"/>
      <c r="M26" s="1916">
        <v>9.09</v>
      </c>
    </row>
    <row r="27" spans="1:13">
      <c r="A27" s="1905" t="s">
        <v>47</v>
      </c>
      <c r="B27" s="1905" t="s">
        <v>47</v>
      </c>
      <c r="C27" s="1904"/>
      <c r="D27" s="1916">
        <v>9.06</v>
      </c>
      <c r="E27" s="1916">
        <v>9.06</v>
      </c>
      <c r="G27" s="1905" t="s">
        <v>47</v>
      </c>
      <c r="H27" s="1903" t="s">
        <v>1389</v>
      </c>
      <c r="I27" s="1905" t="s">
        <v>47</v>
      </c>
      <c r="J27" s="1918"/>
      <c r="K27" s="1916" t="s">
        <v>22</v>
      </c>
      <c r="L27" s="1903"/>
      <c r="M27" s="1916" t="s">
        <v>22</v>
      </c>
    </row>
    <row r="28" spans="1:13">
      <c r="A28" s="1905">
        <v>2.11</v>
      </c>
      <c r="B28" s="1905">
        <v>2.11</v>
      </c>
      <c r="C28" s="1904"/>
      <c r="D28" s="1916">
        <v>9.07</v>
      </c>
      <c r="E28" s="1916">
        <v>9.07</v>
      </c>
      <c r="G28" s="1905">
        <v>2.11</v>
      </c>
      <c r="H28" s="1903"/>
      <c r="I28" s="1905">
        <v>2.11</v>
      </c>
      <c r="J28" s="1918"/>
      <c r="K28" s="1916">
        <v>9.11</v>
      </c>
      <c r="L28" s="1903"/>
      <c r="M28" s="1916">
        <v>9.11</v>
      </c>
    </row>
    <row r="29" spans="1:13">
      <c r="A29" s="1905">
        <v>2.12</v>
      </c>
      <c r="B29" s="1905">
        <v>2.12</v>
      </c>
      <c r="C29" s="1904"/>
      <c r="D29" s="1916">
        <v>9.08</v>
      </c>
      <c r="E29" s="1916">
        <v>9.08</v>
      </c>
      <c r="G29" s="1905">
        <v>2.12</v>
      </c>
      <c r="H29" s="1903" t="s">
        <v>1389</v>
      </c>
      <c r="I29" s="1905">
        <v>2.12</v>
      </c>
      <c r="J29" s="1918"/>
      <c r="K29" s="1916">
        <v>9.1199999999999992</v>
      </c>
      <c r="L29" s="1903"/>
      <c r="M29" s="1916">
        <v>9.1199999999999992</v>
      </c>
    </row>
    <row r="30" spans="1:13">
      <c r="A30" s="1905">
        <v>2.13</v>
      </c>
      <c r="B30" s="1905">
        <v>2.13</v>
      </c>
      <c r="C30" s="1904"/>
      <c r="D30" s="1916">
        <v>9.09</v>
      </c>
      <c r="E30" s="1916">
        <v>9.09</v>
      </c>
      <c r="G30" s="1905">
        <v>2.13</v>
      </c>
      <c r="H30" s="1903" t="s">
        <v>1389</v>
      </c>
      <c r="I30" s="1905">
        <v>2.13</v>
      </c>
      <c r="J30" s="1918"/>
      <c r="K30" s="1916">
        <v>9.1300000000000008</v>
      </c>
      <c r="L30" s="1903"/>
      <c r="M30" s="1916">
        <v>9.1300000000000008</v>
      </c>
    </row>
    <row r="31" spans="1:13">
      <c r="A31" s="1905">
        <v>2.14</v>
      </c>
      <c r="B31" s="1905">
        <v>2.14</v>
      </c>
      <c r="C31" s="1904"/>
      <c r="D31" s="1916" t="s">
        <v>22</v>
      </c>
      <c r="E31" s="1916" t="s">
        <v>22</v>
      </c>
      <c r="G31" s="1905">
        <v>2.14</v>
      </c>
      <c r="H31" s="1903"/>
      <c r="I31" s="1905">
        <v>2.14</v>
      </c>
      <c r="J31" s="1918"/>
      <c r="K31" s="1916">
        <v>9.14</v>
      </c>
      <c r="L31" s="1903"/>
      <c r="M31" s="1916">
        <v>9.14</v>
      </c>
    </row>
    <row r="32" spans="1:13">
      <c r="A32" s="1905">
        <v>2.15</v>
      </c>
      <c r="B32" s="1905">
        <v>2.15</v>
      </c>
      <c r="C32" s="1904"/>
      <c r="D32" s="1916">
        <v>9.11</v>
      </c>
      <c r="E32" s="1916">
        <v>9.11</v>
      </c>
      <c r="G32" s="1905">
        <v>2.15</v>
      </c>
      <c r="H32" s="1903"/>
      <c r="I32" s="1905">
        <v>2.15</v>
      </c>
      <c r="J32" s="1918"/>
      <c r="K32" s="1916">
        <v>9.15</v>
      </c>
      <c r="L32" s="1903"/>
      <c r="M32" s="1916">
        <v>9.15</v>
      </c>
    </row>
    <row r="33" spans="1:13">
      <c r="A33" s="1905">
        <v>2.16</v>
      </c>
      <c r="B33" s="1905">
        <v>2.16</v>
      </c>
      <c r="C33" s="1904"/>
      <c r="D33" s="1916">
        <v>9.1199999999999992</v>
      </c>
      <c r="E33" s="1916">
        <v>9.1199999999999992</v>
      </c>
      <c r="G33" s="1905">
        <v>2.16</v>
      </c>
      <c r="H33" s="1903"/>
      <c r="I33" s="1905">
        <v>2.16</v>
      </c>
      <c r="J33" s="1918"/>
      <c r="K33" s="1916" t="s">
        <v>31</v>
      </c>
      <c r="L33" s="1921"/>
      <c r="M33" s="1916" t="s">
        <v>31</v>
      </c>
    </row>
    <row r="34" spans="1:13">
      <c r="A34" s="1905">
        <v>2.17</v>
      </c>
      <c r="B34" s="1905">
        <v>2.17</v>
      </c>
      <c r="C34" s="1904"/>
      <c r="D34" s="1916">
        <v>9.1300000000000008</v>
      </c>
      <c r="E34" s="1916">
        <v>9.1300000000000008</v>
      </c>
      <c r="G34" s="1905">
        <v>2.17</v>
      </c>
      <c r="H34" s="1903"/>
      <c r="I34" s="1905">
        <v>2.17</v>
      </c>
      <c r="J34" s="1918"/>
      <c r="K34" s="1919" t="s">
        <v>32</v>
      </c>
      <c r="L34" s="1903"/>
      <c r="M34" s="1916" t="s">
        <v>32</v>
      </c>
    </row>
    <row r="35" spans="1:13">
      <c r="A35" s="1905">
        <v>2.1800000000000002</v>
      </c>
      <c r="B35" s="1905">
        <v>2.1800000000000002</v>
      </c>
      <c r="C35" s="1904"/>
      <c r="D35" s="1916">
        <v>9.14</v>
      </c>
      <c r="E35" s="1916">
        <v>9.14</v>
      </c>
      <c r="G35" s="1905">
        <v>2.1800000000000002</v>
      </c>
      <c r="H35" s="1903"/>
      <c r="I35" s="1905">
        <v>2.1800000000000002</v>
      </c>
      <c r="J35" s="1918"/>
      <c r="K35" s="1916" t="s">
        <v>33</v>
      </c>
      <c r="L35" s="1921"/>
      <c r="M35" s="1916" t="s">
        <v>33</v>
      </c>
    </row>
    <row r="36" spans="1:13">
      <c r="A36" s="1905">
        <v>2.19</v>
      </c>
      <c r="B36" s="1905">
        <v>2.19</v>
      </c>
      <c r="C36" s="1904"/>
      <c r="D36" s="1916">
        <v>9.15</v>
      </c>
      <c r="E36" s="1916">
        <v>9.15</v>
      </c>
      <c r="G36" s="1905">
        <v>2.19</v>
      </c>
      <c r="H36" s="1903"/>
      <c r="I36" s="1905">
        <v>2.19</v>
      </c>
      <c r="J36" s="1918"/>
      <c r="K36" s="1916" t="s">
        <v>1714</v>
      </c>
      <c r="L36" s="1921" t="s">
        <v>1389</v>
      </c>
      <c r="M36" s="1916" t="s">
        <v>1714</v>
      </c>
    </row>
    <row r="37" spans="1:13">
      <c r="A37" s="1911" t="s">
        <v>39</v>
      </c>
      <c r="B37" s="1911" t="s">
        <v>39</v>
      </c>
      <c r="C37" s="1904"/>
      <c r="D37" s="1916" t="s">
        <v>31</v>
      </c>
      <c r="E37" s="1916" t="s">
        <v>31</v>
      </c>
      <c r="G37" s="1911" t="s">
        <v>39</v>
      </c>
      <c r="H37" s="1903"/>
      <c r="I37" s="1911" t="s">
        <v>39</v>
      </c>
      <c r="J37" s="1918"/>
      <c r="K37" s="1919" t="s">
        <v>1716</v>
      </c>
      <c r="L37" s="1921" t="s">
        <v>1389</v>
      </c>
      <c r="M37" s="1916" t="s">
        <v>1716</v>
      </c>
    </row>
    <row r="38" spans="1:13">
      <c r="A38" s="1905">
        <v>2.21</v>
      </c>
      <c r="B38" s="1905">
        <v>2.21</v>
      </c>
      <c r="C38" s="1904"/>
      <c r="D38" s="1916" t="s">
        <v>32</v>
      </c>
      <c r="E38" s="1916" t="s">
        <v>32</v>
      </c>
      <c r="G38" s="1905">
        <v>2.21</v>
      </c>
      <c r="H38" s="1903"/>
      <c r="I38" s="1905">
        <v>2.21</v>
      </c>
      <c r="J38" s="1918"/>
      <c r="K38" s="1916">
        <v>11.01</v>
      </c>
      <c r="L38" s="1921"/>
      <c r="M38" s="1916">
        <v>11.01</v>
      </c>
    </row>
    <row r="39" spans="1:13">
      <c r="A39" s="1905">
        <v>2.2200000000000002</v>
      </c>
      <c r="B39" s="1905">
        <v>2.2200000000000002</v>
      </c>
      <c r="C39" s="1904"/>
      <c r="D39" s="1916" t="s">
        <v>33</v>
      </c>
      <c r="E39" s="1916" t="s">
        <v>33</v>
      </c>
      <c r="G39" s="1905">
        <v>2.2200000000000002</v>
      </c>
      <c r="H39" s="1903"/>
      <c r="I39" s="1905">
        <v>2.2200000000000002</v>
      </c>
      <c r="J39" s="1918"/>
      <c r="K39" s="1916">
        <v>11.02</v>
      </c>
      <c r="L39" s="1921"/>
      <c r="M39" s="1916">
        <v>11.02</v>
      </c>
    </row>
    <row r="40" spans="1:13">
      <c r="A40" s="1905">
        <v>2.23</v>
      </c>
      <c r="B40" s="1905">
        <v>2.23</v>
      </c>
      <c r="C40" s="1904"/>
      <c r="D40" s="1916" t="s">
        <v>1714</v>
      </c>
      <c r="E40" s="1916" t="s">
        <v>1714</v>
      </c>
      <c r="G40" s="1905">
        <v>2.23</v>
      </c>
      <c r="H40" s="1903"/>
      <c r="I40" s="1905">
        <v>2.23</v>
      </c>
      <c r="J40" s="1918"/>
      <c r="K40" s="1916">
        <v>11.03</v>
      </c>
      <c r="L40" s="1921" t="s">
        <v>1389</v>
      </c>
      <c r="M40" s="1916">
        <v>11.03</v>
      </c>
    </row>
    <row r="41" spans="1:13">
      <c r="A41" s="1905">
        <v>2.2400000000000002</v>
      </c>
      <c r="B41" s="1905">
        <v>2.2400000000000002</v>
      </c>
      <c r="C41" s="1904"/>
      <c r="D41" s="1916" t="s">
        <v>1716</v>
      </c>
      <c r="E41" s="1916" t="s">
        <v>1716</v>
      </c>
      <c r="G41" s="1905">
        <v>2.2400000000000002</v>
      </c>
      <c r="H41" s="1903"/>
      <c r="I41" s="1905">
        <v>2.2400000000000002</v>
      </c>
      <c r="J41" s="1918"/>
      <c r="K41" s="1916">
        <v>11.04</v>
      </c>
      <c r="L41" s="1921"/>
      <c r="M41" s="1916">
        <v>11.04</v>
      </c>
    </row>
    <row r="42" spans="1:13">
      <c r="A42" s="1905">
        <v>2.25</v>
      </c>
      <c r="B42" s="1905">
        <v>2.25</v>
      </c>
      <c r="C42" s="1904"/>
      <c r="D42" s="1916">
        <v>11.01</v>
      </c>
      <c r="E42" s="1916">
        <v>11.01</v>
      </c>
      <c r="G42" s="1905">
        <v>2.25</v>
      </c>
      <c r="H42" s="1903" t="s">
        <v>1389</v>
      </c>
      <c r="I42" s="1905">
        <v>2.25</v>
      </c>
      <c r="J42" s="1918"/>
      <c r="K42" s="1916">
        <v>11.05</v>
      </c>
      <c r="L42" s="1903"/>
      <c r="M42" s="1916">
        <v>11.05</v>
      </c>
    </row>
    <row r="43" spans="1:13">
      <c r="A43" s="1905">
        <v>2.2599999999999998</v>
      </c>
      <c r="B43" s="1905">
        <v>2.2599999999999998</v>
      </c>
      <c r="C43" s="1904"/>
      <c r="D43" s="1916">
        <v>11.02</v>
      </c>
      <c r="E43" s="1916">
        <v>11.02</v>
      </c>
      <c r="G43" s="1905">
        <v>2.2599999999999998</v>
      </c>
      <c r="H43" s="1908" t="s">
        <v>1389</v>
      </c>
      <c r="I43" s="1905">
        <v>2.2599999999999998</v>
      </c>
      <c r="J43" s="1918"/>
      <c r="K43" s="1916">
        <v>11.06</v>
      </c>
      <c r="L43" s="1903"/>
      <c r="M43" s="1916">
        <v>11.06</v>
      </c>
    </row>
    <row r="44" spans="1:13">
      <c r="A44" s="1905">
        <v>3.01</v>
      </c>
      <c r="B44" s="1905">
        <v>3.01</v>
      </c>
      <c r="C44" s="1904"/>
      <c r="D44" s="1916">
        <v>11.03</v>
      </c>
      <c r="E44" s="1916">
        <v>11.03</v>
      </c>
      <c r="G44" s="1905">
        <v>3.01</v>
      </c>
      <c r="H44" s="1908"/>
      <c r="I44" s="1905">
        <v>3.01</v>
      </c>
      <c r="J44" s="1918"/>
      <c r="K44" s="1916">
        <v>11.07</v>
      </c>
      <c r="L44" s="1903"/>
      <c r="M44" s="1916">
        <v>11.07</v>
      </c>
    </row>
    <row r="45" spans="1:13">
      <c r="A45" s="1905">
        <v>3.02</v>
      </c>
      <c r="B45" s="1905">
        <v>3.02</v>
      </c>
      <c r="C45" s="1904"/>
      <c r="D45" s="1916">
        <v>11.04</v>
      </c>
      <c r="E45" s="1916">
        <v>11.04</v>
      </c>
      <c r="G45" s="1905">
        <v>3.02</v>
      </c>
      <c r="H45" s="1908"/>
      <c r="I45" s="1905">
        <v>3.02</v>
      </c>
      <c r="J45" s="1918"/>
      <c r="K45" s="1916">
        <v>11.08</v>
      </c>
      <c r="L45" s="1903" t="s">
        <v>1389</v>
      </c>
      <c r="M45" s="1916">
        <v>11.08</v>
      </c>
    </row>
    <row r="46" spans="1:13">
      <c r="A46" s="1905">
        <v>3.03</v>
      </c>
      <c r="B46" s="1905">
        <v>3.03</v>
      </c>
      <c r="C46" s="1904"/>
      <c r="D46" s="1916">
        <v>11.05</v>
      </c>
      <c r="E46" s="1916">
        <v>11.05</v>
      </c>
      <c r="G46" s="1905">
        <v>3.03</v>
      </c>
      <c r="H46" s="1908"/>
      <c r="I46" s="1905">
        <v>3.03</v>
      </c>
      <c r="J46" s="1918"/>
      <c r="K46" s="1916">
        <v>11.09</v>
      </c>
      <c r="L46" s="1903" t="s">
        <v>1389</v>
      </c>
      <c r="M46" s="1916">
        <v>11.09</v>
      </c>
    </row>
    <row r="47" spans="1:13">
      <c r="A47" s="1905">
        <v>3.04</v>
      </c>
      <c r="B47" s="1905">
        <v>3.04</v>
      </c>
      <c r="C47" s="1904"/>
      <c r="D47" s="1916">
        <v>11.06</v>
      </c>
      <c r="E47" s="1916">
        <v>11.06</v>
      </c>
      <c r="G47" s="1905">
        <v>3.04</v>
      </c>
      <c r="H47" s="1908" t="s">
        <v>1389</v>
      </c>
      <c r="I47" s="1905">
        <v>3.04</v>
      </c>
      <c r="J47" s="1918"/>
      <c r="K47" s="1916" t="s">
        <v>42</v>
      </c>
      <c r="L47" s="1903"/>
      <c r="M47" s="1916" t="s">
        <v>42</v>
      </c>
    </row>
    <row r="48" spans="1:13">
      <c r="A48" s="1905">
        <v>3.05</v>
      </c>
      <c r="B48" s="1905">
        <v>3.05</v>
      </c>
      <c r="C48" s="1904"/>
      <c r="D48" s="1916">
        <v>11.07</v>
      </c>
      <c r="E48" s="1916">
        <v>11.07</v>
      </c>
      <c r="G48" s="1905">
        <v>3.05</v>
      </c>
      <c r="H48" s="1908"/>
      <c r="I48" s="1905">
        <v>3.05</v>
      </c>
      <c r="J48" s="1918"/>
      <c r="K48" s="1916">
        <v>11.11</v>
      </c>
      <c r="L48" s="1903"/>
      <c r="M48" s="1916">
        <v>11.11</v>
      </c>
    </row>
    <row r="49" spans="1:13">
      <c r="A49" s="1905">
        <v>3.06</v>
      </c>
      <c r="B49" s="1905">
        <v>3.06</v>
      </c>
      <c r="C49" s="1904"/>
      <c r="D49" s="1916">
        <v>11.08</v>
      </c>
      <c r="E49" s="1916">
        <v>11.08</v>
      </c>
      <c r="G49" s="1905">
        <v>3.06</v>
      </c>
      <c r="H49" s="1908" t="s">
        <v>1389</v>
      </c>
      <c r="I49" s="1905">
        <v>3.06</v>
      </c>
      <c r="J49" s="1918"/>
      <c r="K49" s="1916">
        <v>11.12</v>
      </c>
      <c r="L49" s="1903"/>
      <c r="M49" s="1916">
        <v>11.12</v>
      </c>
    </row>
    <row r="50" spans="1:13">
      <c r="A50" s="1905">
        <v>3.07</v>
      </c>
      <c r="B50" s="1905">
        <v>3.07</v>
      </c>
      <c r="C50" s="1904"/>
      <c r="D50" s="1916">
        <v>11.09</v>
      </c>
      <c r="E50" s="1916">
        <v>11.09</v>
      </c>
      <c r="G50" s="1905">
        <v>3.07</v>
      </c>
      <c r="H50" s="1908"/>
      <c r="I50" s="1905">
        <v>3.07</v>
      </c>
      <c r="J50" s="1918"/>
      <c r="K50" s="1916">
        <v>11.13</v>
      </c>
      <c r="L50" s="1903"/>
      <c r="M50" s="1916">
        <v>11.13</v>
      </c>
    </row>
    <row r="51" spans="1:13">
      <c r="A51" s="1916">
        <v>3.08</v>
      </c>
      <c r="B51" s="1916">
        <v>3.08</v>
      </c>
      <c r="C51" s="1904"/>
      <c r="D51" s="1916" t="s">
        <v>42</v>
      </c>
      <c r="E51" s="1916" t="s">
        <v>42</v>
      </c>
      <c r="G51" s="1905">
        <v>3.08</v>
      </c>
      <c r="H51" s="1908" t="s">
        <v>1389</v>
      </c>
      <c r="I51" s="1905">
        <v>3.08</v>
      </c>
      <c r="J51" s="1918"/>
      <c r="K51" s="1916">
        <v>11.14</v>
      </c>
      <c r="L51" s="1903" t="s">
        <v>1389</v>
      </c>
      <c r="M51" s="1916">
        <v>11.14</v>
      </c>
    </row>
    <row r="52" spans="1:13">
      <c r="A52" s="1905">
        <v>4.01</v>
      </c>
      <c r="B52" s="1905">
        <v>4.01</v>
      </c>
      <c r="C52" s="1904"/>
      <c r="D52" s="1916">
        <v>11.11</v>
      </c>
      <c r="E52" s="1916">
        <v>11.11</v>
      </c>
      <c r="G52" s="1905">
        <v>4.01</v>
      </c>
      <c r="H52" s="1908"/>
      <c r="I52" s="1905">
        <v>4.01</v>
      </c>
      <c r="J52" s="1918"/>
      <c r="K52" s="1916">
        <v>11.15</v>
      </c>
      <c r="L52" s="1903"/>
      <c r="M52" s="1916">
        <v>11.15</v>
      </c>
    </row>
    <row r="53" spans="1:13">
      <c r="A53" s="1905">
        <v>4.0199999999999996</v>
      </c>
      <c r="B53" s="1905">
        <v>4.0199999999999996</v>
      </c>
      <c r="C53" s="1904"/>
      <c r="D53" s="1916">
        <v>11.12</v>
      </c>
      <c r="E53" s="1916">
        <v>11.12</v>
      </c>
      <c r="G53" s="1916">
        <v>4.0199999999999996</v>
      </c>
      <c r="H53" s="1908" t="s">
        <v>1389</v>
      </c>
      <c r="I53" s="1916">
        <v>4.0199999999999996</v>
      </c>
      <c r="J53" s="1918"/>
      <c r="K53" s="1916">
        <v>11.16</v>
      </c>
      <c r="L53" s="1903"/>
      <c r="M53" s="1916">
        <v>11.16</v>
      </c>
    </row>
    <row r="54" spans="1:13">
      <c r="A54" s="1905">
        <v>4.03</v>
      </c>
      <c r="B54" s="1905">
        <v>4.03</v>
      </c>
      <c r="C54" s="1904"/>
      <c r="D54" s="1916">
        <v>11.13</v>
      </c>
      <c r="E54" s="1916">
        <v>11.13</v>
      </c>
      <c r="G54" s="1908">
        <v>4.03</v>
      </c>
      <c r="H54" s="1908"/>
      <c r="I54" s="1908">
        <v>4.03</v>
      </c>
      <c r="J54" s="1918"/>
      <c r="K54" s="1916">
        <v>11.17</v>
      </c>
      <c r="L54" s="1903" t="s">
        <v>1389</v>
      </c>
      <c r="M54" s="1916">
        <v>11.17</v>
      </c>
    </row>
    <row r="55" spans="1:13">
      <c r="A55" s="1905">
        <v>4.04</v>
      </c>
      <c r="B55" s="1905">
        <v>4.04</v>
      </c>
      <c r="C55" s="1904"/>
      <c r="D55" s="1916">
        <v>11.14</v>
      </c>
      <c r="E55" s="1916">
        <v>11.14</v>
      </c>
      <c r="G55" s="1908">
        <v>4.04</v>
      </c>
      <c r="H55" s="1908" t="s">
        <v>1389</v>
      </c>
      <c r="I55" s="1908">
        <v>4.04</v>
      </c>
      <c r="J55" s="1918"/>
      <c r="K55" s="1916">
        <v>11.18</v>
      </c>
      <c r="L55" s="1903"/>
      <c r="M55" s="1916">
        <v>11.18</v>
      </c>
    </row>
    <row r="56" spans="1:13">
      <c r="A56" s="1905">
        <v>4.05</v>
      </c>
      <c r="B56" s="1905">
        <v>4.05</v>
      </c>
      <c r="C56" s="1904"/>
      <c r="D56" s="1911">
        <v>11.15</v>
      </c>
      <c r="E56" s="1911">
        <v>11.15</v>
      </c>
      <c r="G56" s="1908">
        <v>4.05</v>
      </c>
      <c r="H56" s="1908" t="s">
        <v>1389</v>
      </c>
      <c r="I56" s="1908">
        <v>4.05</v>
      </c>
      <c r="J56" s="1918"/>
      <c r="K56" s="1916">
        <v>12.01</v>
      </c>
      <c r="L56" s="1903"/>
      <c r="M56" s="1916">
        <v>12.01</v>
      </c>
    </row>
    <row r="57" spans="1:13">
      <c r="A57" s="1905">
        <v>4.0599999999999996</v>
      </c>
      <c r="B57" s="1905">
        <v>4.0599999999999996</v>
      </c>
      <c r="C57" s="1904"/>
      <c r="D57" s="1908">
        <v>11.16</v>
      </c>
      <c r="E57" s="1908">
        <v>11.16</v>
      </c>
      <c r="G57" s="1908">
        <v>4.0599999999999996</v>
      </c>
      <c r="H57" s="1908" t="s">
        <v>1389</v>
      </c>
      <c r="I57" s="1908">
        <v>4.0599999999999996</v>
      </c>
      <c r="J57" s="1918"/>
      <c r="K57" s="1916">
        <v>12.02</v>
      </c>
      <c r="L57" s="1903" t="s">
        <v>1389</v>
      </c>
      <c r="M57" s="1916">
        <v>12.02</v>
      </c>
    </row>
    <row r="58" spans="1:13">
      <c r="A58" s="1905">
        <v>4.07</v>
      </c>
      <c r="B58" s="1905">
        <v>4.07</v>
      </c>
      <c r="C58" s="1904"/>
      <c r="D58" s="1908">
        <v>11.17</v>
      </c>
      <c r="E58" s="1908">
        <v>11.17</v>
      </c>
      <c r="G58" s="1908">
        <v>4.07</v>
      </c>
      <c r="H58" s="1908" t="s">
        <v>1389</v>
      </c>
      <c r="I58" s="1908">
        <v>4.07</v>
      </c>
      <c r="J58" s="1918"/>
      <c r="K58" s="1916">
        <v>12.03</v>
      </c>
      <c r="L58" s="1903" t="s">
        <v>1389</v>
      </c>
      <c r="M58" s="1916">
        <v>12.03</v>
      </c>
    </row>
    <row r="59" spans="1:13">
      <c r="A59" s="1916">
        <v>4.08</v>
      </c>
      <c r="B59" s="1916">
        <v>4.08</v>
      </c>
      <c r="C59" s="1904"/>
      <c r="D59" s="1908">
        <v>11.18</v>
      </c>
      <c r="E59" s="1908">
        <v>11.18</v>
      </c>
      <c r="G59" s="1905">
        <v>4.08</v>
      </c>
      <c r="H59" s="1908" t="s">
        <v>1389</v>
      </c>
      <c r="I59" s="1905">
        <v>4.08</v>
      </c>
      <c r="J59" s="1918"/>
      <c r="K59" s="1916">
        <v>12.04</v>
      </c>
      <c r="L59" s="1903" t="s">
        <v>1389</v>
      </c>
      <c r="M59" s="1916">
        <v>12.04</v>
      </c>
    </row>
    <row r="60" spans="1:13">
      <c r="A60" s="1916">
        <v>4.09</v>
      </c>
      <c r="B60" s="1916">
        <v>4.09</v>
      </c>
      <c r="C60" s="1904"/>
      <c r="D60" s="1916">
        <v>12.01</v>
      </c>
      <c r="E60" s="1916">
        <v>12.01</v>
      </c>
      <c r="G60" s="1905">
        <v>4.09</v>
      </c>
      <c r="H60" s="1908" t="s">
        <v>1389</v>
      </c>
      <c r="I60" s="1905">
        <v>4.09</v>
      </c>
      <c r="J60" s="1918"/>
      <c r="K60" s="1916">
        <v>12.05</v>
      </c>
      <c r="L60" s="1903" t="s">
        <v>1389</v>
      </c>
      <c r="M60" s="1916">
        <v>12.05</v>
      </c>
    </row>
    <row r="61" spans="1:13">
      <c r="A61" s="1911" t="s">
        <v>38</v>
      </c>
      <c r="B61" s="1911" t="s">
        <v>38</v>
      </c>
      <c r="C61" s="1904"/>
      <c r="D61" s="1916">
        <v>12.02</v>
      </c>
      <c r="E61" s="1916">
        <v>12.02</v>
      </c>
      <c r="G61" s="1911" t="s">
        <v>38</v>
      </c>
      <c r="H61" s="1908" t="s">
        <v>1389</v>
      </c>
      <c r="I61" s="1911" t="s">
        <v>38</v>
      </c>
      <c r="J61" s="1918"/>
      <c r="K61" s="1916">
        <v>12.06</v>
      </c>
      <c r="L61" s="1903" t="s">
        <v>1389</v>
      </c>
      <c r="M61" s="1916">
        <v>12.06</v>
      </c>
    </row>
    <row r="62" spans="1:13">
      <c r="A62" s="1911">
        <v>4.1100000000000003</v>
      </c>
      <c r="B62" s="1911">
        <v>4.1100000000000003</v>
      </c>
      <c r="C62" s="1904"/>
      <c r="D62" s="1916">
        <v>12.03</v>
      </c>
      <c r="E62" s="1916">
        <v>12.03</v>
      </c>
      <c r="G62" s="1905">
        <v>4.1100000000000003</v>
      </c>
      <c r="H62" s="1908"/>
      <c r="I62" s="1905">
        <v>4.1100000000000003</v>
      </c>
      <c r="J62" s="1918"/>
      <c r="K62" s="1911">
        <v>12.07</v>
      </c>
      <c r="L62" s="1903" t="s">
        <v>1389</v>
      </c>
      <c r="M62" s="1911">
        <v>12.07</v>
      </c>
    </row>
    <row r="63" spans="1:13">
      <c r="A63" s="1916">
        <v>5.01</v>
      </c>
      <c r="B63" s="1916">
        <v>5.01</v>
      </c>
      <c r="C63" s="1904"/>
      <c r="D63" s="1916">
        <v>12.04</v>
      </c>
      <c r="E63" s="1916">
        <v>12.04</v>
      </c>
      <c r="G63" s="1905">
        <v>5.01</v>
      </c>
      <c r="H63" s="1908"/>
      <c r="I63" s="1905">
        <v>5.01</v>
      </c>
      <c r="J63" s="1918"/>
      <c r="K63" s="1916">
        <v>12.05</v>
      </c>
      <c r="L63" s="1903" t="s">
        <v>1389</v>
      </c>
      <c r="M63" s="1916">
        <v>12.05</v>
      </c>
    </row>
    <row r="64" spans="1:13">
      <c r="A64" s="1916">
        <v>5.0199999999999996</v>
      </c>
      <c r="B64" s="1916">
        <v>5.0199999999999996</v>
      </c>
      <c r="C64" s="1904"/>
      <c r="D64" s="1916">
        <v>12.05</v>
      </c>
      <c r="E64" s="1916">
        <v>12.05</v>
      </c>
      <c r="G64" s="1905">
        <v>5.0199999999999996</v>
      </c>
      <c r="H64" s="1908"/>
      <c r="I64" s="1905">
        <v>5.0199999999999996</v>
      </c>
      <c r="J64" s="1918"/>
      <c r="K64" s="1916">
        <v>12.06</v>
      </c>
      <c r="L64" s="1903" t="s">
        <v>1389</v>
      </c>
      <c r="M64" s="1916">
        <v>12.06</v>
      </c>
    </row>
    <row r="65" spans="1:13">
      <c r="A65" s="1916">
        <v>5.03</v>
      </c>
      <c r="B65" s="1916">
        <v>5.03</v>
      </c>
      <c r="C65" s="1904"/>
      <c r="D65" s="1916">
        <v>12.06</v>
      </c>
      <c r="E65" s="1916">
        <v>12.06</v>
      </c>
      <c r="G65" s="1905">
        <v>5.03</v>
      </c>
      <c r="H65" s="1908"/>
      <c r="I65" s="1905">
        <v>5.03</v>
      </c>
      <c r="J65" s="1918"/>
      <c r="K65" s="1911">
        <v>12.07</v>
      </c>
      <c r="L65" s="1903" t="s">
        <v>1389</v>
      </c>
      <c r="M65" s="1911">
        <v>12.07</v>
      </c>
    </row>
    <row r="66" spans="1:13">
      <c r="A66" s="1905">
        <v>5.04</v>
      </c>
      <c r="B66" s="1905">
        <v>5.04</v>
      </c>
      <c r="C66" s="1904"/>
      <c r="D66" s="1916">
        <v>12.07</v>
      </c>
      <c r="E66" s="1916">
        <v>12.07</v>
      </c>
      <c r="G66" s="1905">
        <v>5.04</v>
      </c>
      <c r="H66" s="1908"/>
      <c r="I66" s="1905">
        <v>5.04</v>
      </c>
      <c r="J66" s="1918"/>
      <c r="K66" s="1911">
        <v>12.07</v>
      </c>
      <c r="L66" s="1903" t="s">
        <v>1389</v>
      </c>
      <c r="M66" s="1911">
        <v>12.07</v>
      </c>
    </row>
    <row r="67" spans="1:13">
      <c r="A67" s="1905">
        <v>5.05</v>
      </c>
      <c r="B67" s="1905">
        <v>5.05</v>
      </c>
      <c r="C67" s="1904"/>
      <c r="D67" s="1916" t="s">
        <v>29</v>
      </c>
      <c r="E67" s="1911" t="s">
        <v>2472</v>
      </c>
      <c r="G67" s="1905">
        <v>5.05</v>
      </c>
      <c r="H67" s="1908" t="s">
        <v>1389</v>
      </c>
      <c r="I67" s="1905">
        <v>5.05</v>
      </c>
      <c r="J67" s="1918"/>
      <c r="K67" s="1922"/>
      <c r="L67" s="1923"/>
      <c r="M67" s="1922"/>
    </row>
    <row r="68" spans="1:13">
      <c r="A68" s="1905">
        <v>6.01</v>
      </c>
      <c r="B68" s="1905">
        <v>6.01</v>
      </c>
      <c r="C68" s="1904"/>
      <c r="D68" s="1916" t="s">
        <v>29</v>
      </c>
      <c r="E68" s="1911">
        <v>7.02</v>
      </c>
      <c r="G68" s="1914">
        <v>5.0599999999999996</v>
      </c>
      <c r="H68" s="1908"/>
      <c r="I68" s="1915" t="s">
        <v>29</v>
      </c>
      <c r="J68" s="1918"/>
      <c r="K68" s="1924"/>
      <c r="L68" s="1923"/>
      <c r="M68" s="1924"/>
    </row>
    <row r="69" spans="1:13">
      <c r="A69" s="1925">
        <v>6.02</v>
      </c>
      <c r="B69" s="1925">
        <v>6.02</v>
      </c>
      <c r="C69" s="1904"/>
      <c r="D69" s="1916" t="s">
        <v>29</v>
      </c>
      <c r="E69" s="1911">
        <v>8.0500000000000007</v>
      </c>
      <c r="F69" s="1926"/>
      <c r="G69" s="1905">
        <v>6.01</v>
      </c>
      <c r="H69" s="1908"/>
      <c r="I69" s="1909">
        <v>6.01</v>
      </c>
      <c r="J69" s="1918"/>
      <c r="K69" s="1927" t="s">
        <v>2473</v>
      </c>
      <c r="L69" s="1923"/>
      <c r="M69" s="1924"/>
    </row>
    <row r="70" spans="1:13">
      <c r="A70" s="1905">
        <v>6.03</v>
      </c>
      <c r="B70" s="1905">
        <v>6.03</v>
      </c>
      <c r="C70" s="1904"/>
      <c r="D70" s="1916" t="s">
        <v>29</v>
      </c>
      <c r="E70" s="1911">
        <v>8.06</v>
      </c>
      <c r="F70" s="1926"/>
      <c r="G70" s="1905">
        <v>6.02</v>
      </c>
      <c r="H70" s="1908"/>
      <c r="I70" s="1909">
        <v>6.02</v>
      </c>
      <c r="J70" s="1918"/>
      <c r="K70" s="1924"/>
      <c r="L70" s="1923"/>
      <c r="M70" s="1924"/>
    </row>
    <row r="71" spans="1:13">
      <c r="A71" s="1905">
        <v>6.04</v>
      </c>
      <c r="B71" s="1905">
        <v>6.04</v>
      </c>
      <c r="C71" s="1904"/>
      <c r="D71" s="1916" t="s">
        <v>29</v>
      </c>
      <c r="E71" s="1911">
        <v>8.11</v>
      </c>
      <c r="F71" s="1926"/>
      <c r="G71" s="1916">
        <v>6.03</v>
      </c>
      <c r="H71" s="1908"/>
      <c r="I71" s="1928">
        <v>6.03</v>
      </c>
      <c r="J71" s="1918"/>
      <c r="K71" s="1924"/>
      <c r="L71" s="1923"/>
      <c r="M71" s="1924"/>
    </row>
    <row r="72" spans="1:13">
      <c r="A72" s="1905">
        <v>6.05</v>
      </c>
      <c r="B72" s="1905">
        <v>6.05</v>
      </c>
      <c r="C72" s="1904"/>
      <c r="D72" s="1924"/>
      <c r="E72" s="1922"/>
      <c r="G72" s="1916">
        <v>6.04</v>
      </c>
      <c r="H72" s="1908"/>
      <c r="I72" s="1928">
        <v>6.04</v>
      </c>
      <c r="J72" s="1918"/>
      <c r="K72" s="1918"/>
      <c r="L72" s="1918"/>
      <c r="M72" s="1918"/>
    </row>
    <row r="73" spans="1:13">
      <c r="A73" s="1905">
        <v>6.06</v>
      </c>
      <c r="B73" s="1905">
        <v>6.06</v>
      </c>
      <c r="C73" s="1904"/>
      <c r="D73" s="1924"/>
      <c r="E73" s="1924"/>
      <c r="G73" s="1905">
        <v>6.05</v>
      </c>
      <c r="H73" s="1908"/>
      <c r="I73" s="1909">
        <v>6.05</v>
      </c>
    </row>
    <row r="74" spans="1:13">
      <c r="A74" s="1929"/>
      <c r="B74" s="1929"/>
      <c r="D74" s="1924"/>
      <c r="E74" s="1924"/>
      <c r="G74" s="1905">
        <v>6.06</v>
      </c>
      <c r="H74" s="1908"/>
      <c r="I74" s="1909">
        <v>6.06</v>
      </c>
      <c r="K74" s="1930"/>
    </row>
    <row r="75" spans="1:13">
      <c r="A75" s="1931"/>
      <c r="B75" s="1926"/>
      <c r="D75" s="1924"/>
      <c r="E75" s="1924"/>
      <c r="G75" s="1932"/>
      <c r="H75" s="1932"/>
      <c r="I75" s="1932"/>
    </row>
    <row r="76" spans="1:13">
      <c r="A76" s="1931"/>
      <c r="B76" s="1926"/>
      <c r="D76" s="1924"/>
      <c r="E76" s="1924"/>
      <c r="G76" s="1932"/>
      <c r="H76" s="1932"/>
      <c r="I76" s="1932"/>
    </row>
    <row r="77" spans="1:13">
      <c r="A77" s="1931"/>
      <c r="B77" s="1926"/>
      <c r="L77" s="1926"/>
      <c r="M77" s="1924"/>
    </row>
    <row r="78" spans="1:13">
      <c r="A78" s="1933"/>
      <c r="B78" s="1926"/>
      <c r="K78" s="441"/>
    </row>
    <row r="79" spans="1:13">
      <c r="A79" s="1934"/>
      <c r="B79" s="1935" t="s">
        <v>2474</v>
      </c>
      <c r="F79" s="1936" t="s">
        <v>29</v>
      </c>
      <c r="G79" s="1937" t="s">
        <v>2475</v>
      </c>
      <c r="J79" s="1938" t="s">
        <v>1389</v>
      </c>
      <c r="K79" s="1937" t="s">
        <v>2476</v>
      </c>
    </row>
    <row r="80" spans="1:13">
      <c r="A80" s="1934"/>
      <c r="B80" s="1939" t="s">
        <v>2477</v>
      </c>
    </row>
    <row r="81" spans="1:10" ht="7.5" customHeight="1"/>
    <row r="82" spans="1:10">
      <c r="A82" s="1935" t="s">
        <v>2478</v>
      </c>
      <c r="G82" s="1940"/>
      <c r="H82" s="1940"/>
      <c r="J82" s="1927"/>
    </row>
  </sheetData>
  <pageMargins left="0.55118110236220474" right="0.47244094488188981" top="0.31496062992125984" bottom="0.31496062992125984" header="0.23622047244094491" footer="0.19685039370078741"/>
  <pageSetup paperSize="9" scale="76"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EB20-BA57-5142-9997-675A22DAF9A5}">
  <sheetPr>
    <pageSetUpPr fitToPage="1"/>
  </sheetPr>
  <dimension ref="A1:U218"/>
  <sheetViews>
    <sheetView workbookViewId="0">
      <selection activeCell="G4" sqref="G4"/>
    </sheetView>
  </sheetViews>
  <sheetFormatPr baseColWidth="10" defaultColWidth="11.3984375" defaultRowHeight="11"/>
  <cols>
    <col min="1" max="7" width="11.3984375" style="76"/>
    <col min="8" max="8" width="11.3984375" style="77" customWidth="1"/>
    <col min="9" max="9" width="10.3984375" style="77" customWidth="1"/>
    <col min="10" max="12" width="11.3984375" style="77"/>
    <col min="13" max="13" width="10.59765625" style="77" customWidth="1"/>
    <col min="14" max="14" width="9.59765625" style="76" customWidth="1"/>
    <col min="15" max="15" width="9.796875" style="76" customWidth="1"/>
    <col min="16" max="17" width="11.3984375" style="76"/>
    <col min="18" max="19" width="11.3984375" style="77"/>
    <col min="20" max="16384" width="11.3984375" style="76"/>
  </cols>
  <sheetData>
    <row r="1" spans="1:19" ht="16">
      <c r="A1" s="75" t="s">
        <v>2</v>
      </c>
      <c r="B1" s="75"/>
      <c r="C1" s="75"/>
      <c r="D1" s="75"/>
      <c r="E1" s="75"/>
    </row>
    <row r="2" spans="1:19" ht="12.75" customHeight="1">
      <c r="K2" s="78"/>
      <c r="L2" s="78"/>
    </row>
    <row r="3" spans="1:19" ht="16">
      <c r="A3" s="75" t="s">
        <v>2479</v>
      </c>
      <c r="B3" s="75"/>
      <c r="C3" s="75"/>
      <c r="D3" s="75"/>
      <c r="E3" s="75"/>
      <c r="K3" s="78"/>
      <c r="L3" s="78"/>
    </row>
    <row r="4" spans="1:19" ht="15" customHeight="1">
      <c r="H4" s="78"/>
      <c r="I4" s="78"/>
      <c r="J4" s="79"/>
      <c r="K4" s="79"/>
      <c r="L4" s="79"/>
      <c r="M4" s="79"/>
      <c r="P4" s="80"/>
      <c r="Q4" s="80"/>
      <c r="R4" s="78"/>
      <c r="S4" s="78"/>
    </row>
    <row r="5" spans="1:19" s="70" customFormat="1" ht="28.5" customHeight="1">
      <c r="A5" s="81" t="s">
        <v>2471</v>
      </c>
      <c r="B5" s="81" t="s">
        <v>212</v>
      </c>
      <c r="C5" s="81" t="s">
        <v>194</v>
      </c>
      <c r="D5" s="81" t="s">
        <v>187</v>
      </c>
      <c r="E5" s="81" t="s">
        <v>9</v>
      </c>
      <c r="F5" s="81" t="s">
        <v>0</v>
      </c>
      <c r="G5" s="81" t="s">
        <v>179</v>
      </c>
      <c r="H5" s="81" t="s">
        <v>37</v>
      </c>
      <c r="I5" s="81" t="s">
        <v>126</v>
      </c>
      <c r="J5" s="81" t="s">
        <v>125</v>
      </c>
      <c r="K5" s="81" t="s">
        <v>124</v>
      </c>
      <c r="L5" s="81" t="s">
        <v>123</v>
      </c>
      <c r="M5" s="81" t="s">
        <v>49</v>
      </c>
      <c r="N5" s="81" t="s">
        <v>122</v>
      </c>
      <c r="O5" s="81" t="s">
        <v>121</v>
      </c>
      <c r="P5" s="81" t="s">
        <v>120</v>
      </c>
      <c r="Q5" s="81" t="s">
        <v>119</v>
      </c>
      <c r="R5" s="82"/>
      <c r="S5" s="82"/>
    </row>
    <row r="6" spans="1:19" ht="14.25" customHeight="1">
      <c r="A6" s="83"/>
      <c r="B6" s="83"/>
      <c r="C6" s="83"/>
      <c r="D6" s="83"/>
      <c r="E6" s="83"/>
      <c r="F6" s="83"/>
      <c r="G6" s="83"/>
      <c r="H6" s="83"/>
      <c r="I6" s="83"/>
      <c r="J6" s="83"/>
      <c r="K6" s="83"/>
      <c r="L6" s="84"/>
      <c r="M6" s="84"/>
      <c r="N6" s="84"/>
      <c r="O6" s="84"/>
      <c r="P6" s="84"/>
      <c r="Q6" s="84"/>
      <c r="R6" s="76"/>
      <c r="S6" s="76"/>
    </row>
    <row r="7" spans="1:19">
      <c r="A7" s="85">
        <v>1.01</v>
      </c>
      <c r="B7" s="85">
        <v>1.01</v>
      </c>
      <c r="C7" s="85">
        <v>1.01</v>
      </c>
      <c r="D7" s="85">
        <v>1.01</v>
      </c>
      <c r="E7" s="85">
        <v>1.01</v>
      </c>
      <c r="F7" s="85">
        <v>1.01</v>
      </c>
      <c r="G7" s="85">
        <v>1.01</v>
      </c>
      <c r="H7" s="85">
        <v>1.01</v>
      </c>
      <c r="I7" s="85">
        <v>1.43</v>
      </c>
      <c r="J7" s="85">
        <v>1.43</v>
      </c>
      <c r="K7" s="85">
        <v>1.43</v>
      </c>
      <c r="L7" s="85">
        <v>1.43</v>
      </c>
      <c r="M7" s="86" t="s">
        <v>29</v>
      </c>
      <c r="N7" s="87" t="s">
        <v>29</v>
      </c>
      <c r="O7" s="87" t="s">
        <v>29</v>
      </c>
      <c r="P7" s="87" t="s">
        <v>29</v>
      </c>
      <c r="Q7" s="87" t="s">
        <v>29</v>
      </c>
      <c r="R7" s="76"/>
      <c r="S7" s="76"/>
    </row>
    <row r="8" spans="1:19">
      <c r="A8" s="88">
        <v>1.02</v>
      </c>
      <c r="B8" s="88">
        <v>1.02</v>
      </c>
      <c r="C8" s="88">
        <v>1.02</v>
      </c>
      <c r="D8" s="88">
        <v>1.02</v>
      </c>
      <c r="E8" s="88">
        <v>1.02</v>
      </c>
      <c r="F8" s="85">
        <v>1.02</v>
      </c>
      <c r="G8" s="85">
        <v>1.02</v>
      </c>
      <c r="H8" s="85">
        <v>1.02</v>
      </c>
      <c r="I8" s="85">
        <v>1.27</v>
      </c>
      <c r="J8" s="85">
        <v>1.27</v>
      </c>
      <c r="K8" s="85">
        <v>1.27</v>
      </c>
      <c r="L8" s="85">
        <v>1.27</v>
      </c>
      <c r="M8" s="86">
        <v>1.27</v>
      </c>
      <c r="N8" s="89" t="s">
        <v>172</v>
      </c>
      <c r="O8" s="89" t="s">
        <v>172</v>
      </c>
      <c r="P8" s="89" t="s">
        <v>172</v>
      </c>
      <c r="Q8" s="89" t="s">
        <v>172</v>
      </c>
      <c r="R8" s="76"/>
      <c r="S8" s="76"/>
    </row>
    <row r="9" spans="1:19">
      <c r="A9" s="88">
        <v>1.03</v>
      </c>
      <c r="B9" s="88">
        <v>1.03</v>
      </c>
      <c r="C9" s="88">
        <v>1.03</v>
      </c>
      <c r="D9" s="88">
        <v>1.03</v>
      </c>
      <c r="E9" s="88">
        <v>1.03</v>
      </c>
      <c r="F9" s="85">
        <v>1.03</v>
      </c>
      <c r="G9" s="85">
        <v>1.03</v>
      </c>
      <c r="H9" s="85">
        <v>1.03</v>
      </c>
      <c r="I9" s="85">
        <v>1.28</v>
      </c>
      <c r="J9" s="85">
        <v>1.28</v>
      </c>
      <c r="K9" s="85">
        <v>1.28</v>
      </c>
      <c r="L9" s="85">
        <v>1.28</v>
      </c>
      <c r="M9" s="86">
        <v>1.28</v>
      </c>
      <c r="N9" s="89" t="s">
        <v>173</v>
      </c>
      <c r="O9" s="89" t="s">
        <v>173</v>
      </c>
      <c r="P9" s="89" t="s">
        <v>173</v>
      </c>
      <c r="Q9" s="89" t="s">
        <v>173</v>
      </c>
      <c r="R9" s="76"/>
      <c r="S9" s="76"/>
    </row>
    <row r="10" spans="1:19">
      <c r="A10" s="88">
        <v>1.04</v>
      </c>
      <c r="B10" s="88">
        <v>1.04</v>
      </c>
      <c r="C10" s="88">
        <v>1.04</v>
      </c>
      <c r="D10" s="88">
        <v>1.04</v>
      </c>
      <c r="E10" s="88">
        <v>1.04</v>
      </c>
      <c r="F10" s="88">
        <v>1.04</v>
      </c>
      <c r="G10" s="88">
        <v>1.04</v>
      </c>
      <c r="H10" s="88">
        <v>1.04</v>
      </c>
      <c r="I10" s="88">
        <v>1.29</v>
      </c>
      <c r="J10" s="88">
        <v>1.29</v>
      </c>
      <c r="K10" s="88">
        <v>1.29</v>
      </c>
      <c r="L10" s="88">
        <v>1.29</v>
      </c>
      <c r="M10" s="90">
        <v>1.29</v>
      </c>
      <c r="N10" s="91" t="s">
        <v>174</v>
      </c>
      <c r="O10" s="91" t="s">
        <v>174</v>
      </c>
      <c r="P10" s="91" t="s">
        <v>174</v>
      </c>
      <c r="Q10" s="91" t="s">
        <v>174</v>
      </c>
      <c r="R10" s="76"/>
      <c r="S10" s="76"/>
    </row>
    <row r="11" spans="1:19">
      <c r="A11" s="88">
        <v>1.05</v>
      </c>
      <c r="B11" s="88">
        <v>1.05</v>
      </c>
      <c r="C11" s="88">
        <v>1.05</v>
      </c>
      <c r="D11" s="88">
        <v>1.05</v>
      </c>
      <c r="E11" s="88">
        <v>1.05</v>
      </c>
      <c r="F11" s="88">
        <v>1.05</v>
      </c>
      <c r="G11" s="88">
        <v>1.05</v>
      </c>
      <c r="H11" s="88">
        <v>1.05</v>
      </c>
      <c r="I11" s="88">
        <v>1.3</v>
      </c>
      <c r="J11" s="88">
        <v>1.3</v>
      </c>
      <c r="K11" s="88">
        <v>1.3</v>
      </c>
      <c r="L11" s="88">
        <v>1.3</v>
      </c>
      <c r="M11" s="90">
        <v>1.3</v>
      </c>
      <c r="N11" s="91" t="s">
        <v>175</v>
      </c>
      <c r="O11" s="91" t="s">
        <v>175</v>
      </c>
      <c r="P11" s="91" t="s">
        <v>175</v>
      </c>
      <c r="Q11" s="91" t="s">
        <v>175</v>
      </c>
      <c r="R11" s="76"/>
      <c r="S11" s="76"/>
    </row>
    <row r="12" spans="1:19">
      <c r="A12" s="88">
        <v>1.06</v>
      </c>
      <c r="B12" s="88">
        <v>1.06</v>
      </c>
      <c r="C12" s="88">
        <v>1.06</v>
      </c>
      <c r="D12" s="88">
        <v>1.06</v>
      </c>
      <c r="E12" s="88">
        <v>1.06</v>
      </c>
      <c r="F12" s="88">
        <v>1.06</v>
      </c>
      <c r="G12" s="88">
        <v>1.06</v>
      </c>
      <c r="H12" s="88">
        <v>1.06</v>
      </c>
      <c r="I12" s="88">
        <v>1.31</v>
      </c>
      <c r="J12" s="88">
        <v>1.31</v>
      </c>
      <c r="K12" s="88">
        <v>1.31</v>
      </c>
      <c r="L12" s="88">
        <v>1.31</v>
      </c>
      <c r="M12" s="90">
        <v>1.31</v>
      </c>
      <c r="N12" s="91" t="s">
        <v>176</v>
      </c>
      <c r="O12" s="91" t="s">
        <v>176</v>
      </c>
      <c r="P12" s="91" t="s">
        <v>176</v>
      </c>
      <c r="Q12" s="91" t="s">
        <v>176</v>
      </c>
      <c r="R12" s="76"/>
      <c r="S12" s="76"/>
    </row>
    <row r="13" spans="1:19">
      <c r="A13" s="88">
        <v>1.07</v>
      </c>
      <c r="B13" s="88">
        <v>1.07</v>
      </c>
      <c r="C13" s="88">
        <v>1.07</v>
      </c>
      <c r="D13" s="88">
        <v>1.07</v>
      </c>
      <c r="E13" s="88">
        <v>1.07</v>
      </c>
      <c r="F13" s="88">
        <v>1.07</v>
      </c>
      <c r="G13" s="88">
        <v>1.07</v>
      </c>
      <c r="H13" s="88">
        <v>1.07</v>
      </c>
      <c r="I13" s="92" t="s">
        <v>30</v>
      </c>
      <c r="J13" s="93">
        <v>7.06</v>
      </c>
      <c r="K13" s="93">
        <v>7.06</v>
      </c>
      <c r="L13" s="93" t="s">
        <v>29</v>
      </c>
      <c r="M13" s="93" t="s">
        <v>29</v>
      </c>
      <c r="N13" s="93" t="s">
        <v>29</v>
      </c>
      <c r="O13" s="93" t="s">
        <v>29</v>
      </c>
      <c r="P13" s="93" t="s">
        <v>29</v>
      </c>
      <c r="Q13" s="93" t="s">
        <v>29</v>
      </c>
      <c r="R13" s="76"/>
      <c r="S13" s="76"/>
    </row>
    <row r="14" spans="1:19">
      <c r="A14" s="88">
        <v>1.08</v>
      </c>
      <c r="B14" s="88">
        <v>1.08</v>
      </c>
      <c r="C14" s="88">
        <v>1.08</v>
      </c>
      <c r="D14" s="88">
        <v>1.08</v>
      </c>
      <c r="E14" s="88">
        <v>1.08</v>
      </c>
      <c r="F14" s="88">
        <v>1.08</v>
      </c>
      <c r="G14" s="88">
        <v>1.08</v>
      </c>
      <c r="H14" s="88">
        <v>1.08</v>
      </c>
      <c r="I14" s="88">
        <v>1.25</v>
      </c>
      <c r="J14" s="88">
        <v>1.25</v>
      </c>
      <c r="K14" s="88">
        <v>1.25</v>
      </c>
      <c r="L14" s="88">
        <v>1.25</v>
      </c>
      <c r="M14" s="90">
        <v>1.25</v>
      </c>
      <c r="N14" s="94" t="s">
        <v>29</v>
      </c>
      <c r="O14" s="94" t="s">
        <v>29</v>
      </c>
      <c r="P14" s="94" t="s">
        <v>29</v>
      </c>
      <c r="Q14" s="94" t="s">
        <v>29</v>
      </c>
      <c r="R14" s="76"/>
      <c r="S14" s="76"/>
    </row>
    <row r="15" spans="1:19">
      <c r="A15" s="88">
        <v>1.0900000000000001</v>
      </c>
      <c r="B15" s="88">
        <v>1.0900000000000001</v>
      </c>
      <c r="C15" s="88">
        <v>1.0900000000000001</v>
      </c>
      <c r="D15" s="88">
        <v>1.0900000000000001</v>
      </c>
      <c r="E15" s="88">
        <v>1.0900000000000001</v>
      </c>
      <c r="F15" s="88">
        <v>1.0900000000000001</v>
      </c>
      <c r="G15" s="88">
        <v>1.0900000000000001</v>
      </c>
      <c r="H15" s="88">
        <v>1.0900000000000001</v>
      </c>
      <c r="I15" s="88">
        <v>1.26</v>
      </c>
      <c r="J15" s="88">
        <v>1.26</v>
      </c>
      <c r="K15" s="88">
        <v>1.26</v>
      </c>
      <c r="L15" s="88">
        <v>1.26</v>
      </c>
      <c r="M15" s="90">
        <v>1.26</v>
      </c>
      <c r="N15" s="94" t="s">
        <v>29</v>
      </c>
      <c r="O15" s="94" t="s">
        <v>29</v>
      </c>
      <c r="P15" s="94" t="s">
        <v>29</v>
      </c>
      <c r="Q15" s="94" t="s">
        <v>29</v>
      </c>
      <c r="R15" s="76"/>
      <c r="S15" s="76"/>
    </row>
    <row r="16" spans="1:19">
      <c r="A16" s="88">
        <v>1.1000000000000001</v>
      </c>
      <c r="B16" s="88" t="s">
        <v>10</v>
      </c>
      <c r="C16" s="88" t="s">
        <v>10</v>
      </c>
      <c r="D16" s="88" t="s">
        <v>10</v>
      </c>
      <c r="E16" s="88" t="s">
        <v>10</v>
      </c>
      <c r="F16" s="88">
        <v>1.1000000000000001</v>
      </c>
      <c r="G16" s="88">
        <v>1.1000000000000001</v>
      </c>
      <c r="H16" s="88">
        <v>1.1000000000000001</v>
      </c>
      <c r="I16" s="88">
        <v>1.23</v>
      </c>
      <c r="J16" s="88">
        <v>1.23</v>
      </c>
      <c r="K16" s="88">
        <v>1.23</v>
      </c>
      <c r="L16" s="88">
        <v>1.23</v>
      </c>
      <c r="M16" s="90">
        <v>1.23</v>
      </c>
      <c r="N16" s="94" t="s">
        <v>29</v>
      </c>
      <c r="O16" s="94" t="s">
        <v>29</v>
      </c>
      <c r="P16" s="94" t="s">
        <v>29</v>
      </c>
      <c r="Q16" s="94" t="s">
        <v>29</v>
      </c>
      <c r="R16" s="76"/>
      <c r="S16" s="76"/>
    </row>
    <row r="17" spans="1:19">
      <c r="A17" s="88">
        <v>1.1100000000000001</v>
      </c>
      <c r="B17" s="88">
        <v>1.1100000000000001</v>
      </c>
      <c r="C17" s="88">
        <v>1.1100000000000001</v>
      </c>
      <c r="D17" s="88">
        <v>1.1100000000000001</v>
      </c>
      <c r="E17" s="88">
        <v>1.1100000000000001</v>
      </c>
      <c r="F17" s="88">
        <v>1.1100000000000001</v>
      </c>
      <c r="G17" s="88">
        <v>1.1100000000000001</v>
      </c>
      <c r="H17" s="88">
        <v>1.1100000000000001</v>
      </c>
      <c r="I17" s="88">
        <v>1.24</v>
      </c>
      <c r="J17" s="88">
        <v>1.24</v>
      </c>
      <c r="K17" s="88">
        <v>1.24</v>
      </c>
      <c r="L17" s="88">
        <v>1.24</v>
      </c>
      <c r="M17" s="90">
        <v>1.24</v>
      </c>
      <c r="N17" s="94" t="s">
        <v>29</v>
      </c>
      <c r="O17" s="94" t="s">
        <v>29</v>
      </c>
      <c r="P17" s="94" t="s">
        <v>29</v>
      </c>
      <c r="Q17" s="94" t="s">
        <v>29</v>
      </c>
      <c r="R17" s="76"/>
      <c r="S17" s="76"/>
    </row>
    <row r="18" spans="1:19">
      <c r="A18" s="88">
        <v>1.1200000000000001</v>
      </c>
      <c r="B18" s="88">
        <v>1.1200000000000001</v>
      </c>
      <c r="C18" s="88">
        <v>1.1200000000000001</v>
      </c>
      <c r="D18" s="88">
        <v>1.1200000000000001</v>
      </c>
      <c r="E18" s="88">
        <v>1.1200000000000001</v>
      </c>
      <c r="F18" s="88">
        <v>1.1200000000000001</v>
      </c>
      <c r="G18" s="88">
        <v>1.1200000000000001</v>
      </c>
      <c r="H18" s="88">
        <v>1.1200000000000001</v>
      </c>
      <c r="I18" s="88">
        <v>1.32</v>
      </c>
      <c r="J18" s="88">
        <v>1.32</v>
      </c>
      <c r="K18" s="88">
        <v>1.32</v>
      </c>
      <c r="L18" s="88">
        <v>1.32</v>
      </c>
      <c r="M18" s="90">
        <v>1.32</v>
      </c>
      <c r="N18" s="91" t="s">
        <v>170</v>
      </c>
      <c r="O18" s="91" t="s">
        <v>170</v>
      </c>
      <c r="P18" s="91" t="s">
        <v>170</v>
      </c>
      <c r="Q18" s="91" t="s">
        <v>170</v>
      </c>
      <c r="R18" s="76"/>
      <c r="S18" s="76"/>
    </row>
    <row r="19" spans="1:19">
      <c r="A19" s="88">
        <v>1.1299999999999999</v>
      </c>
      <c r="B19" s="88">
        <v>1.1299999999999999</v>
      </c>
      <c r="C19" s="88">
        <v>1.1299999999999999</v>
      </c>
      <c r="D19" s="88">
        <v>1.1299999999999999</v>
      </c>
      <c r="E19" s="88">
        <v>1.1299999999999999</v>
      </c>
      <c r="F19" s="88">
        <v>1.1299999999999999</v>
      </c>
      <c r="G19" s="88">
        <v>1.1299999999999999</v>
      </c>
      <c r="H19" s="88">
        <v>1.1299999999999999</v>
      </c>
      <c r="I19" s="88">
        <v>1.33</v>
      </c>
      <c r="J19" s="88">
        <v>1.33</v>
      </c>
      <c r="K19" s="88">
        <v>1.33</v>
      </c>
      <c r="L19" s="88">
        <v>1.33</v>
      </c>
      <c r="M19" s="90">
        <v>1.33</v>
      </c>
      <c r="N19" s="94" t="s">
        <v>29</v>
      </c>
      <c r="O19" s="94" t="s">
        <v>29</v>
      </c>
      <c r="P19" s="94" t="s">
        <v>29</v>
      </c>
      <c r="Q19" s="94" t="s">
        <v>29</v>
      </c>
      <c r="R19" s="76"/>
      <c r="S19" s="76"/>
    </row>
    <row r="20" spans="1:19">
      <c r="A20" s="93">
        <v>2.0099999999999998</v>
      </c>
      <c r="B20" s="93">
        <v>2.0099999999999998</v>
      </c>
      <c r="C20" s="93">
        <v>2.0099999999999998</v>
      </c>
      <c r="D20" s="93">
        <v>2.0099999999999998</v>
      </c>
      <c r="E20" s="93">
        <v>2.0099999999999998</v>
      </c>
      <c r="F20" s="95">
        <v>2.0099999999999998</v>
      </c>
      <c r="G20" s="88">
        <v>2.0099999999999998</v>
      </c>
      <c r="H20" s="88">
        <v>2.0099999999999998</v>
      </c>
      <c r="I20" s="88">
        <v>1.19</v>
      </c>
      <c r="J20" s="88">
        <v>1.19</v>
      </c>
      <c r="K20" s="88">
        <v>1.19</v>
      </c>
      <c r="L20" s="88">
        <v>1.19</v>
      </c>
      <c r="M20" s="90">
        <v>1.19</v>
      </c>
      <c r="N20" s="94" t="s">
        <v>29</v>
      </c>
      <c r="O20" s="94" t="s">
        <v>29</v>
      </c>
      <c r="P20" s="94" t="s">
        <v>29</v>
      </c>
      <c r="Q20" s="94" t="s">
        <v>29</v>
      </c>
      <c r="R20" s="76"/>
      <c r="S20" s="76"/>
    </row>
    <row r="21" spans="1:19">
      <c r="A21" s="93">
        <v>2.02</v>
      </c>
      <c r="B21" s="93">
        <v>2.02</v>
      </c>
      <c r="C21" s="93">
        <v>2.02</v>
      </c>
      <c r="D21" s="93">
        <v>2.02</v>
      </c>
      <c r="E21" s="93">
        <v>2.02</v>
      </c>
      <c r="F21" s="88">
        <v>2.02</v>
      </c>
      <c r="G21" s="88">
        <v>2.02</v>
      </c>
      <c r="H21" s="88">
        <v>2.02</v>
      </c>
      <c r="I21" s="88">
        <v>1.2</v>
      </c>
      <c r="J21" s="88">
        <v>1.2</v>
      </c>
      <c r="K21" s="88">
        <v>1.2</v>
      </c>
      <c r="L21" s="88">
        <v>1.2</v>
      </c>
      <c r="M21" s="90">
        <v>1.2</v>
      </c>
      <c r="N21" s="94" t="s">
        <v>29</v>
      </c>
      <c r="O21" s="94" t="s">
        <v>29</v>
      </c>
      <c r="P21" s="94" t="s">
        <v>29</v>
      </c>
      <c r="Q21" s="94" t="s">
        <v>29</v>
      </c>
      <c r="R21" s="76"/>
      <c r="S21" s="76"/>
    </row>
    <row r="22" spans="1:19">
      <c r="A22" s="93">
        <v>2.0299999999999998</v>
      </c>
      <c r="B22" s="93">
        <v>2.0299999999999998</v>
      </c>
      <c r="C22" s="93">
        <v>2.0299999999999998</v>
      </c>
      <c r="D22" s="93">
        <v>2.0299999999999998</v>
      </c>
      <c r="E22" s="93">
        <v>2.0299999999999998</v>
      </c>
      <c r="F22" s="88">
        <v>2.0299999999999998</v>
      </c>
      <c r="G22" s="88">
        <v>2.0299999999999998</v>
      </c>
      <c r="H22" s="88">
        <v>2.0299999999999998</v>
      </c>
      <c r="I22" s="92">
        <v>1.51</v>
      </c>
      <c r="J22" s="93" t="s">
        <v>29</v>
      </c>
      <c r="K22" s="93" t="s">
        <v>29</v>
      </c>
      <c r="L22" s="93" t="s">
        <v>29</v>
      </c>
      <c r="M22" s="93" t="s">
        <v>29</v>
      </c>
      <c r="N22" s="93" t="s">
        <v>29</v>
      </c>
      <c r="O22" s="93" t="s">
        <v>29</v>
      </c>
      <c r="P22" s="93" t="s">
        <v>29</v>
      </c>
      <c r="Q22" s="93" t="s">
        <v>29</v>
      </c>
      <c r="R22" s="76"/>
      <c r="S22" s="76"/>
    </row>
    <row r="23" spans="1:19">
      <c r="A23" s="93">
        <v>2.04</v>
      </c>
      <c r="B23" s="93">
        <v>2.04</v>
      </c>
      <c r="C23" s="93">
        <v>2.04</v>
      </c>
      <c r="D23" s="93">
        <v>2.04</v>
      </c>
      <c r="E23" s="93">
        <v>2.04</v>
      </c>
      <c r="F23" s="92">
        <v>2.04</v>
      </c>
      <c r="G23" s="92">
        <v>2.04</v>
      </c>
      <c r="H23" s="92">
        <v>2.04</v>
      </c>
      <c r="I23" s="93">
        <v>2.04</v>
      </c>
      <c r="J23" s="93">
        <v>2.04</v>
      </c>
      <c r="K23" s="93">
        <v>2.04</v>
      </c>
      <c r="L23" s="93">
        <v>2.04</v>
      </c>
      <c r="M23" s="91">
        <v>2.04</v>
      </c>
      <c r="N23" s="91" t="s">
        <v>17</v>
      </c>
      <c r="O23" s="91" t="s">
        <v>17</v>
      </c>
      <c r="P23" s="91" t="s">
        <v>29</v>
      </c>
      <c r="Q23" s="91" t="s">
        <v>29</v>
      </c>
      <c r="R23" s="76"/>
      <c r="S23" s="76"/>
    </row>
    <row r="24" spans="1:19">
      <c r="A24" s="93">
        <v>2.0499999999999998</v>
      </c>
      <c r="B24" s="93">
        <v>2.0499999999999998</v>
      </c>
      <c r="C24" s="93">
        <v>2.0499999999999998</v>
      </c>
      <c r="D24" s="93">
        <v>2.0499999999999998</v>
      </c>
      <c r="E24" s="93">
        <v>2.0499999999999998</v>
      </c>
      <c r="F24" s="88">
        <v>2.0499999999999998</v>
      </c>
      <c r="G24" s="88">
        <v>2.0499999999999998</v>
      </c>
      <c r="H24" s="88">
        <v>2.0499999999999998</v>
      </c>
      <c r="I24" s="93">
        <v>2.0499999999999998</v>
      </c>
      <c r="J24" s="93">
        <v>2.0499999999999998</v>
      </c>
      <c r="K24" s="93">
        <v>2.0499999999999998</v>
      </c>
      <c r="L24" s="93">
        <v>2.0499999999999998</v>
      </c>
      <c r="M24" s="91">
        <v>2.0499999999999998</v>
      </c>
      <c r="N24" s="91" t="s">
        <v>183</v>
      </c>
      <c r="O24" s="91" t="s">
        <v>183</v>
      </c>
      <c r="P24" s="91" t="s">
        <v>29</v>
      </c>
      <c r="Q24" s="91" t="s">
        <v>29</v>
      </c>
      <c r="R24" s="76"/>
      <c r="S24" s="76"/>
    </row>
    <row r="25" spans="1:19">
      <c r="A25" s="93">
        <v>2.06</v>
      </c>
      <c r="B25" s="93">
        <v>2.06</v>
      </c>
      <c r="C25" s="93">
        <v>2.06</v>
      </c>
      <c r="D25" s="93">
        <v>2.06</v>
      </c>
      <c r="E25" s="93">
        <v>2.06</v>
      </c>
      <c r="F25" s="93">
        <v>2.06</v>
      </c>
      <c r="G25" s="93">
        <v>2.06</v>
      </c>
      <c r="H25" s="93">
        <v>2.06</v>
      </c>
      <c r="I25" s="93">
        <v>2.06</v>
      </c>
      <c r="J25" s="93">
        <v>2.06</v>
      </c>
      <c r="K25" s="93">
        <v>2.06</v>
      </c>
      <c r="L25" s="93">
        <v>2.06</v>
      </c>
      <c r="M25" s="91">
        <v>2.06</v>
      </c>
      <c r="N25" s="91" t="s">
        <v>20</v>
      </c>
      <c r="O25" s="91" t="s">
        <v>20</v>
      </c>
      <c r="P25" s="91" t="s">
        <v>29</v>
      </c>
      <c r="Q25" s="91" t="s">
        <v>29</v>
      </c>
      <c r="R25" s="76"/>
      <c r="S25" s="76"/>
    </row>
    <row r="26" spans="1:19">
      <c r="A26" s="93">
        <v>2.0699999999999998</v>
      </c>
      <c r="B26" s="93">
        <v>2.0699999999999998</v>
      </c>
      <c r="C26" s="93">
        <v>2.0699999999999998</v>
      </c>
      <c r="D26" s="93">
        <v>2.0699999999999998</v>
      </c>
      <c r="E26" s="93" t="s">
        <v>29</v>
      </c>
      <c r="F26" s="93" t="s">
        <v>29</v>
      </c>
      <c r="G26" s="93" t="s">
        <v>29</v>
      </c>
      <c r="H26" s="93" t="s">
        <v>29</v>
      </c>
      <c r="I26" s="93" t="s">
        <v>29</v>
      </c>
      <c r="J26" s="93" t="s">
        <v>29</v>
      </c>
      <c r="K26" s="93" t="s">
        <v>29</v>
      </c>
      <c r="L26" s="93" t="s">
        <v>29</v>
      </c>
      <c r="M26" s="93" t="s">
        <v>29</v>
      </c>
      <c r="N26" s="93" t="s">
        <v>29</v>
      </c>
      <c r="O26" s="93" t="s">
        <v>29</v>
      </c>
      <c r="P26" s="93" t="s">
        <v>29</v>
      </c>
      <c r="Q26" s="93" t="s">
        <v>29</v>
      </c>
      <c r="R26" s="76"/>
      <c r="S26" s="76"/>
    </row>
    <row r="27" spans="1:19">
      <c r="A27" s="93">
        <v>2.08</v>
      </c>
      <c r="B27" s="93">
        <v>2.08</v>
      </c>
      <c r="C27" s="93">
        <v>2.08</v>
      </c>
      <c r="D27" s="93">
        <v>2.08</v>
      </c>
      <c r="E27" s="93" t="s">
        <v>29</v>
      </c>
      <c r="F27" s="93" t="s">
        <v>29</v>
      </c>
      <c r="G27" s="93" t="s">
        <v>29</v>
      </c>
      <c r="H27" s="93" t="s">
        <v>29</v>
      </c>
      <c r="I27" s="93" t="s">
        <v>29</v>
      </c>
      <c r="J27" s="93" t="s">
        <v>29</v>
      </c>
      <c r="K27" s="93" t="s">
        <v>29</v>
      </c>
      <c r="L27" s="93" t="s">
        <v>29</v>
      </c>
      <c r="M27" s="93" t="s">
        <v>29</v>
      </c>
      <c r="N27" s="93" t="s">
        <v>29</v>
      </c>
      <c r="O27" s="93" t="s">
        <v>29</v>
      </c>
      <c r="P27" s="93" t="s">
        <v>29</v>
      </c>
      <c r="Q27" s="93" t="s">
        <v>29</v>
      </c>
      <c r="R27" s="76"/>
      <c r="S27" s="76"/>
    </row>
    <row r="28" spans="1:19">
      <c r="A28" s="93">
        <v>2.09</v>
      </c>
      <c r="B28" s="93">
        <v>2.09</v>
      </c>
      <c r="C28" s="93">
        <v>2.09</v>
      </c>
      <c r="D28" s="93">
        <v>2.09</v>
      </c>
      <c r="E28" s="93">
        <v>2.09</v>
      </c>
      <c r="F28" s="93">
        <v>2.09</v>
      </c>
      <c r="G28" s="93">
        <v>2.09</v>
      </c>
      <c r="H28" s="93">
        <v>2.09</v>
      </c>
      <c r="I28" s="93">
        <v>2.09</v>
      </c>
      <c r="J28" s="93">
        <v>2.09</v>
      </c>
      <c r="K28" s="93">
        <v>2.09</v>
      </c>
      <c r="L28" s="93">
        <v>2.09</v>
      </c>
      <c r="M28" s="91">
        <v>2.09</v>
      </c>
      <c r="N28" s="91" t="s">
        <v>46</v>
      </c>
      <c r="O28" s="91" t="s">
        <v>29</v>
      </c>
      <c r="P28" s="91" t="s">
        <v>29</v>
      </c>
      <c r="Q28" s="91" t="s">
        <v>29</v>
      </c>
      <c r="R28" s="76"/>
      <c r="S28" s="76"/>
    </row>
    <row r="29" spans="1:19">
      <c r="A29" s="92" t="s">
        <v>47</v>
      </c>
      <c r="B29" s="92" t="s">
        <v>47</v>
      </c>
      <c r="C29" s="92" t="s">
        <v>47</v>
      </c>
      <c r="D29" s="92" t="s">
        <v>47</v>
      </c>
      <c r="E29" s="93" t="s">
        <v>29</v>
      </c>
      <c r="F29" s="93" t="s">
        <v>29</v>
      </c>
      <c r="G29" s="93" t="s">
        <v>29</v>
      </c>
      <c r="H29" s="93" t="s">
        <v>29</v>
      </c>
      <c r="I29" s="93" t="s">
        <v>29</v>
      </c>
      <c r="J29" s="93" t="s">
        <v>29</v>
      </c>
      <c r="K29" s="93" t="s">
        <v>29</v>
      </c>
      <c r="L29" s="93" t="s">
        <v>29</v>
      </c>
      <c r="M29" s="93" t="s">
        <v>29</v>
      </c>
      <c r="N29" s="93" t="s">
        <v>29</v>
      </c>
      <c r="O29" s="93" t="s">
        <v>29</v>
      </c>
      <c r="P29" s="93" t="s">
        <v>29</v>
      </c>
      <c r="Q29" s="93" t="s">
        <v>29</v>
      </c>
      <c r="R29" s="76"/>
      <c r="S29" s="76"/>
    </row>
    <row r="30" spans="1:19">
      <c r="A30" s="93">
        <v>2.11</v>
      </c>
      <c r="B30" s="93">
        <v>2.11</v>
      </c>
      <c r="C30" s="93">
        <v>2.11</v>
      </c>
      <c r="D30" s="93">
        <v>2.11</v>
      </c>
      <c r="E30" s="93">
        <v>2.11</v>
      </c>
      <c r="F30" s="93">
        <v>2.11</v>
      </c>
      <c r="G30" s="93">
        <v>2.11</v>
      </c>
      <c r="H30" s="93">
        <v>2.11</v>
      </c>
      <c r="I30" s="88">
        <v>2.11</v>
      </c>
      <c r="J30" s="88">
        <v>2.11</v>
      </c>
      <c r="K30" s="88">
        <v>2.11</v>
      </c>
      <c r="L30" s="88">
        <v>2.11</v>
      </c>
      <c r="M30" s="90" t="s">
        <v>29</v>
      </c>
      <c r="N30" s="94" t="s">
        <v>29</v>
      </c>
      <c r="O30" s="94" t="s">
        <v>29</v>
      </c>
      <c r="P30" s="94" t="s">
        <v>29</v>
      </c>
      <c r="Q30" s="94" t="s">
        <v>29</v>
      </c>
      <c r="R30" s="76"/>
      <c r="S30" s="76"/>
    </row>
    <row r="31" spans="1:19">
      <c r="A31" s="93">
        <v>2.12</v>
      </c>
      <c r="B31" s="93">
        <v>2.12</v>
      </c>
      <c r="C31" s="93">
        <v>2.12</v>
      </c>
      <c r="D31" s="93">
        <v>2.12</v>
      </c>
      <c r="E31" s="93">
        <v>2.12</v>
      </c>
      <c r="F31" s="93">
        <v>2.12</v>
      </c>
      <c r="G31" s="93">
        <v>2.12</v>
      </c>
      <c r="H31" s="93">
        <v>2.12</v>
      </c>
      <c r="I31" s="88">
        <v>2.12</v>
      </c>
      <c r="J31" s="88" t="s">
        <v>29</v>
      </c>
      <c r="K31" s="88" t="s">
        <v>29</v>
      </c>
      <c r="L31" s="88" t="s">
        <v>29</v>
      </c>
      <c r="M31" s="88" t="s">
        <v>29</v>
      </c>
      <c r="N31" s="88" t="s">
        <v>29</v>
      </c>
      <c r="O31" s="88" t="s">
        <v>29</v>
      </c>
      <c r="P31" s="88" t="s">
        <v>29</v>
      </c>
      <c r="Q31" s="88" t="s">
        <v>29</v>
      </c>
      <c r="R31" s="76"/>
      <c r="S31" s="76"/>
    </row>
    <row r="32" spans="1:19">
      <c r="A32" s="93">
        <v>2.13</v>
      </c>
      <c r="B32" s="93">
        <v>2.13</v>
      </c>
      <c r="C32" s="93">
        <v>2.13</v>
      </c>
      <c r="D32" s="93">
        <v>2.13</v>
      </c>
      <c r="E32" s="93">
        <v>2.13</v>
      </c>
      <c r="F32" s="96">
        <v>2.13</v>
      </c>
      <c r="G32" s="96">
        <v>2.13</v>
      </c>
      <c r="H32" s="96">
        <v>2.13</v>
      </c>
      <c r="I32" s="88">
        <v>2.13</v>
      </c>
      <c r="J32" s="88" t="s">
        <v>29</v>
      </c>
      <c r="K32" s="88" t="s">
        <v>29</v>
      </c>
      <c r="L32" s="88" t="s">
        <v>29</v>
      </c>
      <c r="M32" s="88" t="s">
        <v>29</v>
      </c>
      <c r="N32" s="88" t="s">
        <v>29</v>
      </c>
      <c r="O32" s="88" t="s">
        <v>29</v>
      </c>
      <c r="P32" s="88" t="s">
        <v>29</v>
      </c>
      <c r="Q32" s="88" t="s">
        <v>29</v>
      </c>
      <c r="R32" s="76"/>
      <c r="S32" s="76"/>
    </row>
    <row r="33" spans="1:19">
      <c r="A33" s="93">
        <v>2.14</v>
      </c>
      <c r="B33" s="93">
        <v>2.14</v>
      </c>
      <c r="C33" s="93">
        <v>2.14</v>
      </c>
      <c r="D33" s="93">
        <v>2.14</v>
      </c>
      <c r="E33" s="93">
        <v>2.14</v>
      </c>
      <c r="F33" s="88">
        <v>2.14</v>
      </c>
      <c r="G33" s="88">
        <v>2.14</v>
      </c>
      <c r="H33" s="88">
        <v>2.14</v>
      </c>
      <c r="I33" s="88">
        <v>1.1299999999999999</v>
      </c>
      <c r="J33" s="88">
        <v>1.1299999999999999</v>
      </c>
      <c r="K33" s="88">
        <v>1.1299999999999999</v>
      </c>
      <c r="L33" s="88">
        <v>1.1299999999999999</v>
      </c>
      <c r="M33" s="90">
        <v>1.1299999999999999</v>
      </c>
      <c r="N33" s="91" t="s">
        <v>158</v>
      </c>
      <c r="O33" s="91" t="s">
        <v>158</v>
      </c>
      <c r="P33" s="91" t="s">
        <v>158</v>
      </c>
      <c r="Q33" s="91" t="s">
        <v>158</v>
      </c>
      <c r="R33" s="76"/>
      <c r="S33" s="76"/>
    </row>
    <row r="34" spans="1:19">
      <c r="A34" s="93">
        <v>2.15</v>
      </c>
      <c r="B34" s="93">
        <v>2.15</v>
      </c>
      <c r="C34" s="93">
        <v>2.15</v>
      </c>
      <c r="D34" s="93">
        <v>2.15</v>
      </c>
      <c r="E34" s="93">
        <v>2.15</v>
      </c>
      <c r="F34" s="88">
        <v>2.15</v>
      </c>
      <c r="G34" s="88">
        <v>2.15</v>
      </c>
      <c r="H34" s="88">
        <v>2.15</v>
      </c>
      <c r="I34" s="88">
        <v>1.1399999999999999</v>
      </c>
      <c r="J34" s="88">
        <v>1.1399999999999999</v>
      </c>
      <c r="K34" s="88">
        <v>1.1399999999999999</v>
      </c>
      <c r="L34" s="88">
        <v>1.1399999999999999</v>
      </c>
      <c r="M34" s="90">
        <v>1.1399999999999999</v>
      </c>
      <c r="N34" s="91" t="s">
        <v>160</v>
      </c>
      <c r="O34" s="91" t="s">
        <v>160</v>
      </c>
      <c r="P34" s="91" t="s">
        <v>160</v>
      </c>
      <c r="Q34" s="91" t="s">
        <v>160</v>
      </c>
      <c r="R34" s="76"/>
      <c r="S34" s="76"/>
    </row>
    <row r="35" spans="1:19">
      <c r="A35" s="93">
        <v>2.16</v>
      </c>
      <c r="B35" s="93">
        <v>2.16</v>
      </c>
      <c r="C35" s="93">
        <v>2.16</v>
      </c>
      <c r="D35" s="93">
        <v>2.16</v>
      </c>
      <c r="E35" s="93">
        <v>2.16</v>
      </c>
      <c r="F35" s="88">
        <v>2.16</v>
      </c>
      <c r="G35" s="88">
        <v>2.16</v>
      </c>
      <c r="H35" s="88">
        <v>2.16</v>
      </c>
      <c r="I35" s="88">
        <v>1.1499999999999999</v>
      </c>
      <c r="J35" s="88">
        <v>1.1499999999999999</v>
      </c>
      <c r="K35" s="88">
        <v>1.1499999999999999</v>
      </c>
      <c r="L35" s="88">
        <v>1.1499999999999999</v>
      </c>
      <c r="M35" s="90">
        <v>1.1499999999999999</v>
      </c>
      <c r="N35" s="91" t="s">
        <v>162</v>
      </c>
      <c r="O35" s="91" t="s">
        <v>162</v>
      </c>
      <c r="P35" s="91" t="s">
        <v>162</v>
      </c>
      <c r="Q35" s="91" t="s">
        <v>162</v>
      </c>
      <c r="R35" s="76"/>
      <c r="S35" s="76"/>
    </row>
    <row r="36" spans="1:19">
      <c r="A36" s="93">
        <v>2.17</v>
      </c>
      <c r="B36" s="93">
        <v>2.17</v>
      </c>
      <c r="C36" s="93">
        <v>2.17</v>
      </c>
      <c r="D36" s="93">
        <v>2.17</v>
      </c>
      <c r="E36" s="93">
        <v>2.17</v>
      </c>
      <c r="F36" s="88">
        <v>2.17</v>
      </c>
      <c r="G36" s="88">
        <v>2.17</v>
      </c>
      <c r="H36" s="88">
        <v>2.17</v>
      </c>
      <c r="I36" s="88">
        <v>1.1599999999999999</v>
      </c>
      <c r="J36" s="88">
        <v>1.1599999999999999</v>
      </c>
      <c r="K36" s="88">
        <v>1.1599999999999999</v>
      </c>
      <c r="L36" s="88">
        <v>1.1599999999999999</v>
      </c>
      <c r="M36" s="90">
        <v>1.1599999999999999</v>
      </c>
      <c r="N36" s="91" t="s">
        <v>163</v>
      </c>
      <c r="O36" s="91" t="s">
        <v>163</v>
      </c>
      <c r="P36" s="91" t="s">
        <v>163</v>
      </c>
      <c r="Q36" s="91" t="s">
        <v>163</v>
      </c>
      <c r="R36" s="76"/>
      <c r="S36" s="76"/>
    </row>
    <row r="37" spans="1:19">
      <c r="A37" s="93">
        <v>2.1800000000000002</v>
      </c>
      <c r="B37" s="93">
        <v>2.1800000000000002</v>
      </c>
      <c r="C37" s="93">
        <v>2.1800000000000002</v>
      </c>
      <c r="D37" s="93">
        <v>2.1800000000000002</v>
      </c>
      <c r="E37" s="93">
        <v>2.1800000000000002</v>
      </c>
      <c r="F37" s="88">
        <v>2.1800000000000002</v>
      </c>
      <c r="G37" s="88">
        <v>2.1800000000000002</v>
      </c>
      <c r="H37" s="88">
        <v>2.1800000000000002</v>
      </c>
      <c r="I37" s="88">
        <v>1.17</v>
      </c>
      <c r="J37" s="88">
        <v>1.17</v>
      </c>
      <c r="K37" s="88">
        <v>1.17</v>
      </c>
      <c r="L37" s="88">
        <v>1.17</v>
      </c>
      <c r="M37" s="90">
        <v>1.17</v>
      </c>
      <c r="N37" s="91" t="s">
        <v>164</v>
      </c>
      <c r="O37" s="91" t="s">
        <v>164</v>
      </c>
      <c r="P37" s="91" t="s">
        <v>164</v>
      </c>
      <c r="Q37" s="91" t="s">
        <v>164</v>
      </c>
      <c r="R37" s="76"/>
      <c r="S37" s="76"/>
    </row>
    <row r="38" spans="1:19">
      <c r="A38" s="93">
        <v>2.19</v>
      </c>
      <c r="B38" s="93">
        <v>2.19</v>
      </c>
      <c r="C38" s="93">
        <v>2.19</v>
      </c>
      <c r="D38" s="93">
        <v>2.19</v>
      </c>
      <c r="E38" s="93">
        <v>2.19</v>
      </c>
      <c r="F38" s="88">
        <v>2.19</v>
      </c>
      <c r="G38" s="88">
        <v>2.19</v>
      </c>
      <c r="H38" s="88">
        <v>2.19</v>
      </c>
      <c r="I38" s="88">
        <v>1.18</v>
      </c>
      <c r="J38" s="88">
        <v>1.18</v>
      </c>
      <c r="K38" s="88">
        <v>1.18</v>
      </c>
      <c r="L38" s="88">
        <v>1.18</v>
      </c>
      <c r="M38" s="90">
        <v>1.18</v>
      </c>
      <c r="N38" s="91" t="s">
        <v>165</v>
      </c>
      <c r="O38" s="91" t="s">
        <v>165</v>
      </c>
      <c r="P38" s="91" t="s">
        <v>165</v>
      </c>
      <c r="Q38" s="91" t="s">
        <v>165</v>
      </c>
      <c r="R38" s="76"/>
      <c r="S38" s="76"/>
    </row>
    <row r="39" spans="1:19">
      <c r="A39" s="92" t="s">
        <v>39</v>
      </c>
      <c r="B39" s="92" t="s">
        <v>39</v>
      </c>
      <c r="C39" s="92" t="s">
        <v>39</v>
      </c>
      <c r="D39" s="92" t="s">
        <v>39</v>
      </c>
      <c r="E39" s="92" t="s">
        <v>39</v>
      </c>
      <c r="F39" s="88" t="s">
        <v>39</v>
      </c>
      <c r="G39" s="88" t="s">
        <v>39</v>
      </c>
      <c r="H39" s="88" t="s">
        <v>39</v>
      </c>
      <c r="I39" s="88">
        <v>1.21</v>
      </c>
      <c r="J39" s="88">
        <v>1.21</v>
      </c>
      <c r="K39" s="88">
        <v>1.21</v>
      </c>
      <c r="L39" s="88">
        <v>1.21</v>
      </c>
      <c r="M39" s="90">
        <v>1.21</v>
      </c>
      <c r="N39" s="94" t="s">
        <v>29</v>
      </c>
      <c r="O39" s="94" t="s">
        <v>29</v>
      </c>
      <c r="P39" s="94" t="s">
        <v>29</v>
      </c>
      <c r="Q39" s="94" t="s">
        <v>29</v>
      </c>
      <c r="R39" s="76"/>
      <c r="S39" s="76"/>
    </row>
    <row r="40" spans="1:19">
      <c r="A40" s="93">
        <v>2.21</v>
      </c>
      <c r="B40" s="93">
        <v>2.21</v>
      </c>
      <c r="C40" s="93">
        <v>2.21</v>
      </c>
      <c r="D40" s="93">
        <v>2.21</v>
      </c>
      <c r="E40" s="93">
        <v>2.21</v>
      </c>
      <c r="F40" s="88">
        <v>2.21</v>
      </c>
      <c r="G40" s="88">
        <v>2.21</v>
      </c>
      <c r="H40" s="88">
        <v>2.21</v>
      </c>
      <c r="I40" s="88">
        <v>1.22</v>
      </c>
      <c r="J40" s="88">
        <v>1.22</v>
      </c>
      <c r="K40" s="88">
        <v>1.22</v>
      </c>
      <c r="L40" s="88">
        <v>1.22</v>
      </c>
      <c r="M40" s="90">
        <v>1.22</v>
      </c>
      <c r="N40" s="94" t="s">
        <v>29</v>
      </c>
      <c r="O40" s="94" t="s">
        <v>29</v>
      </c>
      <c r="P40" s="94" t="s">
        <v>29</v>
      </c>
      <c r="Q40" s="94" t="s">
        <v>29</v>
      </c>
      <c r="R40" s="76"/>
      <c r="S40" s="76"/>
    </row>
    <row r="41" spans="1:19">
      <c r="A41" s="93">
        <v>2.2200000000000002</v>
      </c>
      <c r="B41" s="93">
        <v>2.2200000000000002</v>
      </c>
      <c r="C41" s="93">
        <v>2.2200000000000002</v>
      </c>
      <c r="D41" s="93">
        <v>2.2200000000000002</v>
      </c>
      <c r="E41" s="93">
        <v>2.2200000000000002</v>
      </c>
      <c r="F41" s="88">
        <v>2.2200000000000002</v>
      </c>
      <c r="G41" s="88">
        <v>2.2200000000000002</v>
      </c>
      <c r="H41" s="88">
        <v>2.2200000000000002</v>
      </c>
      <c r="I41" s="88">
        <v>1.39</v>
      </c>
      <c r="J41" s="88">
        <v>1.39</v>
      </c>
      <c r="K41" s="88">
        <v>1.39</v>
      </c>
      <c r="L41" s="88">
        <v>1.39</v>
      </c>
      <c r="M41" s="90" t="s">
        <v>29</v>
      </c>
      <c r="N41" s="91" t="s">
        <v>159</v>
      </c>
      <c r="O41" s="91" t="s">
        <v>159</v>
      </c>
      <c r="P41" s="91" t="s">
        <v>159</v>
      </c>
      <c r="Q41" s="91" t="s">
        <v>159</v>
      </c>
      <c r="R41" s="76"/>
      <c r="S41" s="76"/>
    </row>
    <row r="42" spans="1:19">
      <c r="A42" s="93">
        <v>2.23</v>
      </c>
      <c r="B42" s="93">
        <v>2.23</v>
      </c>
      <c r="C42" s="93">
        <v>2.23</v>
      </c>
      <c r="D42" s="93">
        <v>2.23</v>
      </c>
      <c r="E42" s="93" t="s">
        <v>29</v>
      </c>
      <c r="F42" s="93" t="s">
        <v>29</v>
      </c>
      <c r="G42" s="93" t="s">
        <v>29</v>
      </c>
      <c r="H42" s="93" t="s">
        <v>29</v>
      </c>
      <c r="I42" s="93" t="s">
        <v>29</v>
      </c>
      <c r="J42" s="93" t="s">
        <v>29</v>
      </c>
      <c r="K42" s="93" t="s">
        <v>29</v>
      </c>
      <c r="L42" s="93" t="s">
        <v>29</v>
      </c>
      <c r="M42" s="93" t="s">
        <v>29</v>
      </c>
      <c r="N42" s="93" t="s">
        <v>29</v>
      </c>
      <c r="O42" s="93" t="s">
        <v>29</v>
      </c>
      <c r="P42" s="93" t="s">
        <v>29</v>
      </c>
      <c r="Q42" s="93" t="s">
        <v>29</v>
      </c>
      <c r="R42" s="76"/>
      <c r="S42" s="76"/>
    </row>
    <row r="43" spans="1:19">
      <c r="A43" s="93">
        <v>2.2400000000000002</v>
      </c>
      <c r="B43" s="93">
        <v>2.2400000000000002</v>
      </c>
      <c r="C43" s="93">
        <v>2.2400000000000002</v>
      </c>
      <c r="D43" s="93">
        <v>2.2400000000000002</v>
      </c>
      <c r="E43" s="93" t="s">
        <v>29</v>
      </c>
      <c r="F43" s="93" t="s">
        <v>29</v>
      </c>
      <c r="G43" s="93" t="s">
        <v>29</v>
      </c>
      <c r="H43" s="93" t="s">
        <v>29</v>
      </c>
      <c r="I43" s="93" t="s">
        <v>29</v>
      </c>
      <c r="J43" s="93" t="s">
        <v>29</v>
      </c>
      <c r="K43" s="93" t="s">
        <v>29</v>
      </c>
      <c r="L43" s="93" t="s">
        <v>29</v>
      </c>
      <c r="M43" s="93" t="s">
        <v>29</v>
      </c>
      <c r="N43" s="93" t="s">
        <v>29</v>
      </c>
      <c r="O43" s="93" t="s">
        <v>29</v>
      </c>
      <c r="P43" s="93" t="s">
        <v>29</v>
      </c>
      <c r="Q43" s="93" t="s">
        <v>29</v>
      </c>
      <c r="R43" s="76"/>
      <c r="S43" s="76"/>
    </row>
    <row r="44" spans="1:19">
      <c r="A44" s="93">
        <v>2.25</v>
      </c>
      <c r="B44" s="93">
        <v>2.25</v>
      </c>
      <c r="C44" s="93">
        <v>2.25</v>
      </c>
      <c r="D44" s="93" t="s">
        <v>29</v>
      </c>
      <c r="E44" s="93" t="s">
        <v>29</v>
      </c>
      <c r="F44" s="93" t="s">
        <v>29</v>
      </c>
      <c r="G44" s="93" t="s">
        <v>29</v>
      </c>
      <c r="H44" s="93" t="s">
        <v>29</v>
      </c>
      <c r="I44" s="93" t="s">
        <v>29</v>
      </c>
      <c r="J44" s="93" t="s">
        <v>29</v>
      </c>
      <c r="K44" s="93" t="s">
        <v>29</v>
      </c>
      <c r="L44" s="93" t="s">
        <v>29</v>
      </c>
      <c r="M44" s="93" t="s">
        <v>29</v>
      </c>
      <c r="N44" s="93" t="s">
        <v>29</v>
      </c>
      <c r="O44" s="93" t="s">
        <v>29</v>
      </c>
      <c r="P44" s="93" t="s">
        <v>29</v>
      </c>
      <c r="Q44" s="93" t="s">
        <v>29</v>
      </c>
      <c r="R44" s="76"/>
      <c r="S44" s="76"/>
    </row>
    <row r="45" spans="1:19">
      <c r="A45" s="93">
        <v>2.2599999999999998</v>
      </c>
      <c r="B45" s="93">
        <v>2.2599999999999998</v>
      </c>
      <c r="C45" s="93">
        <v>2.2599999999999998</v>
      </c>
      <c r="D45" s="93" t="s">
        <v>29</v>
      </c>
      <c r="E45" s="93" t="s">
        <v>29</v>
      </c>
      <c r="F45" s="93" t="s">
        <v>29</v>
      </c>
      <c r="G45" s="93" t="s">
        <v>29</v>
      </c>
      <c r="H45" s="93" t="s">
        <v>29</v>
      </c>
      <c r="I45" s="93" t="s">
        <v>29</v>
      </c>
      <c r="J45" s="93" t="s">
        <v>29</v>
      </c>
      <c r="K45" s="93" t="s">
        <v>29</v>
      </c>
      <c r="L45" s="93" t="s">
        <v>29</v>
      </c>
      <c r="M45" s="93" t="s">
        <v>29</v>
      </c>
      <c r="N45" s="93" t="s">
        <v>29</v>
      </c>
      <c r="O45" s="93" t="s">
        <v>29</v>
      </c>
      <c r="P45" s="93" t="s">
        <v>29</v>
      </c>
      <c r="Q45" s="93" t="s">
        <v>29</v>
      </c>
      <c r="R45" s="76"/>
      <c r="S45" s="76"/>
    </row>
    <row r="46" spans="1:19">
      <c r="A46" s="92">
        <v>3.01</v>
      </c>
      <c r="B46" s="92">
        <v>3.01</v>
      </c>
      <c r="C46" s="92" t="s">
        <v>93</v>
      </c>
      <c r="D46" s="92" t="s">
        <v>93</v>
      </c>
      <c r="E46" s="92" t="s">
        <v>93</v>
      </c>
      <c r="F46" s="88" t="s">
        <v>93</v>
      </c>
      <c r="G46" s="88" t="s">
        <v>93</v>
      </c>
      <c r="H46" s="88" t="s">
        <v>93</v>
      </c>
      <c r="I46" s="88">
        <v>1.1100000000000001</v>
      </c>
      <c r="J46" s="88">
        <v>1.1100000000000001</v>
      </c>
      <c r="K46" s="88">
        <v>1.1100000000000001</v>
      </c>
      <c r="L46" s="88">
        <v>1.1100000000000001</v>
      </c>
      <c r="M46" s="90">
        <v>1.1100000000000001</v>
      </c>
      <c r="N46" s="91" t="s">
        <v>155</v>
      </c>
      <c r="O46" s="91" t="s">
        <v>155</v>
      </c>
      <c r="P46" s="91" t="s">
        <v>155</v>
      </c>
      <c r="Q46" s="91" t="s">
        <v>155</v>
      </c>
      <c r="R46" s="76"/>
      <c r="S46" s="76"/>
    </row>
    <row r="47" spans="1:19">
      <c r="A47" s="93">
        <v>3.02</v>
      </c>
      <c r="B47" s="93">
        <v>3.02</v>
      </c>
      <c r="C47" s="93">
        <v>3.09</v>
      </c>
      <c r="D47" s="93">
        <v>3.09</v>
      </c>
      <c r="E47" s="93">
        <v>3.09</v>
      </c>
      <c r="F47" s="88">
        <v>3.09</v>
      </c>
      <c r="G47" s="88">
        <v>3.09</v>
      </c>
      <c r="H47" s="88">
        <v>3.09</v>
      </c>
      <c r="I47" s="88">
        <v>1.0900000000000001</v>
      </c>
      <c r="J47" s="88">
        <v>1.0900000000000001</v>
      </c>
      <c r="K47" s="88">
        <v>1.0900000000000001</v>
      </c>
      <c r="L47" s="88">
        <v>1.0900000000000001</v>
      </c>
      <c r="M47" s="90">
        <v>1.0900000000000001</v>
      </c>
      <c r="N47" s="91" t="s">
        <v>154</v>
      </c>
      <c r="O47" s="91" t="s">
        <v>154</v>
      </c>
      <c r="P47" s="91" t="s">
        <v>154</v>
      </c>
      <c r="Q47" s="91" t="s">
        <v>154</v>
      </c>
      <c r="R47" s="76"/>
      <c r="S47" s="76"/>
    </row>
    <row r="48" spans="1:19">
      <c r="A48" s="93">
        <v>3.03</v>
      </c>
      <c r="B48" s="93">
        <v>3.03</v>
      </c>
      <c r="C48" s="93">
        <v>3.11</v>
      </c>
      <c r="D48" s="93">
        <v>3.11</v>
      </c>
      <c r="E48" s="93" t="s">
        <v>29</v>
      </c>
      <c r="F48" s="93" t="s">
        <v>29</v>
      </c>
      <c r="G48" s="93" t="s">
        <v>29</v>
      </c>
      <c r="H48" s="93" t="s">
        <v>29</v>
      </c>
      <c r="I48" s="93" t="s">
        <v>29</v>
      </c>
      <c r="J48" s="93" t="s">
        <v>29</v>
      </c>
      <c r="K48" s="93" t="s">
        <v>29</v>
      </c>
      <c r="L48" s="93" t="s">
        <v>29</v>
      </c>
      <c r="M48" s="93" t="s">
        <v>29</v>
      </c>
      <c r="N48" s="93" t="s">
        <v>29</v>
      </c>
      <c r="O48" s="93" t="s">
        <v>29</v>
      </c>
      <c r="P48" s="93" t="s">
        <v>29</v>
      </c>
      <c r="Q48" s="93" t="s">
        <v>29</v>
      </c>
      <c r="R48" s="76"/>
      <c r="S48" s="76"/>
    </row>
    <row r="49" spans="1:19">
      <c r="A49" s="91">
        <v>3.04</v>
      </c>
      <c r="B49" s="91">
        <v>3.04</v>
      </c>
      <c r="C49" s="91">
        <v>3.13</v>
      </c>
      <c r="D49" s="91">
        <v>3.13</v>
      </c>
      <c r="E49" s="91">
        <v>3.13</v>
      </c>
      <c r="F49" s="88" t="s">
        <v>29</v>
      </c>
      <c r="G49" s="88" t="s">
        <v>29</v>
      </c>
      <c r="H49" s="88" t="s">
        <v>29</v>
      </c>
      <c r="I49" s="88" t="s">
        <v>29</v>
      </c>
      <c r="J49" s="88" t="s">
        <v>29</v>
      </c>
      <c r="K49" s="88" t="s">
        <v>29</v>
      </c>
      <c r="L49" s="88" t="s">
        <v>29</v>
      </c>
      <c r="M49" s="88" t="s">
        <v>29</v>
      </c>
      <c r="N49" s="88" t="s">
        <v>29</v>
      </c>
      <c r="O49" s="88" t="s">
        <v>29</v>
      </c>
      <c r="P49" s="88" t="s">
        <v>29</v>
      </c>
      <c r="Q49" s="88" t="s">
        <v>29</v>
      </c>
      <c r="R49" s="76"/>
      <c r="S49" s="76"/>
    </row>
    <row r="50" spans="1:19">
      <c r="A50" s="93">
        <v>3.05</v>
      </c>
      <c r="B50" s="93">
        <v>3.05</v>
      </c>
      <c r="C50" s="93">
        <v>3.12</v>
      </c>
      <c r="D50" s="93">
        <v>3.12</v>
      </c>
      <c r="E50" s="93">
        <v>3.12</v>
      </c>
      <c r="F50" s="88">
        <v>3.12</v>
      </c>
      <c r="G50" s="88">
        <v>3.12</v>
      </c>
      <c r="H50" s="88">
        <v>3.12</v>
      </c>
      <c r="I50" s="88">
        <v>1.1000000000000001</v>
      </c>
      <c r="J50" s="88">
        <v>1.1000000000000001</v>
      </c>
      <c r="K50" s="88">
        <v>1.1000000000000001</v>
      </c>
      <c r="L50" s="88">
        <v>1.1000000000000001</v>
      </c>
      <c r="M50" s="90">
        <v>1.1000000000000001</v>
      </c>
      <c r="N50" s="91" t="s">
        <v>156</v>
      </c>
      <c r="O50" s="91" t="s">
        <v>156</v>
      </c>
      <c r="P50" s="91" t="s">
        <v>156</v>
      </c>
      <c r="Q50" s="91" t="s">
        <v>156</v>
      </c>
      <c r="R50" s="76"/>
      <c r="S50" s="76"/>
    </row>
    <row r="51" spans="1:19">
      <c r="A51" s="93">
        <v>3.06</v>
      </c>
      <c r="B51" s="93">
        <v>3.06</v>
      </c>
      <c r="C51" s="93">
        <v>3.14</v>
      </c>
      <c r="D51" s="93">
        <v>3.14</v>
      </c>
      <c r="E51" s="93" t="s">
        <v>29</v>
      </c>
      <c r="F51" s="93" t="s">
        <v>29</v>
      </c>
      <c r="G51" s="93" t="s">
        <v>29</v>
      </c>
      <c r="H51" s="93" t="s">
        <v>29</v>
      </c>
      <c r="I51" s="93" t="s">
        <v>29</v>
      </c>
      <c r="J51" s="93" t="s">
        <v>29</v>
      </c>
      <c r="K51" s="93" t="s">
        <v>29</v>
      </c>
      <c r="L51" s="93" t="s">
        <v>29</v>
      </c>
      <c r="M51" s="93" t="s">
        <v>29</v>
      </c>
      <c r="N51" s="93" t="s">
        <v>29</v>
      </c>
      <c r="O51" s="93" t="s">
        <v>29</v>
      </c>
      <c r="P51" s="93" t="s">
        <v>29</v>
      </c>
      <c r="Q51" s="93" t="s">
        <v>29</v>
      </c>
      <c r="R51" s="76"/>
      <c r="S51" s="76"/>
    </row>
    <row r="52" spans="1:19">
      <c r="A52" s="93">
        <v>3.07</v>
      </c>
      <c r="B52" s="93">
        <v>3.07</v>
      </c>
      <c r="C52" s="93">
        <v>3.15</v>
      </c>
      <c r="D52" s="93">
        <v>3.15</v>
      </c>
      <c r="E52" s="93" t="s">
        <v>29</v>
      </c>
      <c r="F52" s="93" t="s">
        <v>29</v>
      </c>
      <c r="G52" s="93" t="s">
        <v>29</v>
      </c>
      <c r="H52" s="93" t="s">
        <v>29</v>
      </c>
      <c r="I52" s="93" t="s">
        <v>29</v>
      </c>
      <c r="J52" s="93" t="s">
        <v>29</v>
      </c>
      <c r="K52" s="93" t="s">
        <v>29</v>
      </c>
      <c r="L52" s="93" t="s">
        <v>29</v>
      </c>
      <c r="M52" s="93" t="s">
        <v>29</v>
      </c>
      <c r="N52" s="93" t="s">
        <v>29</v>
      </c>
      <c r="O52" s="93" t="s">
        <v>29</v>
      </c>
      <c r="P52" s="93" t="s">
        <v>29</v>
      </c>
      <c r="Q52" s="93" t="s">
        <v>29</v>
      </c>
      <c r="R52" s="76"/>
      <c r="S52" s="76"/>
    </row>
    <row r="53" spans="1:19">
      <c r="A53" s="93">
        <v>3.08</v>
      </c>
      <c r="B53" s="93">
        <v>3.08</v>
      </c>
      <c r="C53" s="93">
        <v>3.08</v>
      </c>
      <c r="D53" s="93">
        <v>3.08</v>
      </c>
      <c r="E53" s="93">
        <v>3.08</v>
      </c>
      <c r="F53" s="97">
        <v>3.08</v>
      </c>
      <c r="G53" s="97">
        <v>3.08</v>
      </c>
      <c r="H53" s="97">
        <v>3.08</v>
      </c>
      <c r="I53" s="92" t="s">
        <v>93</v>
      </c>
      <c r="J53" s="93" t="s">
        <v>29</v>
      </c>
      <c r="K53" s="93" t="s">
        <v>29</v>
      </c>
      <c r="L53" s="93" t="s">
        <v>29</v>
      </c>
      <c r="M53" s="93" t="s">
        <v>29</v>
      </c>
      <c r="N53" s="93" t="s">
        <v>29</v>
      </c>
      <c r="O53" s="93" t="s">
        <v>29</v>
      </c>
      <c r="P53" s="93" t="s">
        <v>29</v>
      </c>
      <c r="Q53" s="93" t="s">
        <v>29</v>
      </c>
      <c r="R53" s="76"/>
      <c r="S53" s="76"/>
    </row>
    <row r="54" spans="1:19">
      <c r="A54" s="93">
        <v>4.01</v>
      </c>
      <c r="B54" s="93">
        <v>4.01</v>
      </c>
      <c r="C54" s="93">
        <v>4.01</v>
      </c>
      <c r="D54" s="93">
        <v>4.01</v>
      </c>
      <c r="E54" s="93">
        <v>4.01</v>
      </c>
      <c r="F54" s="93">
        <v>4.01</v>
      </c>
      <c r="G54" s="93">
        <v>4.01</v>
      </c>
      <c r="H54" s="93">
        <v>4.01</v>
      </c>
      <c r="I54" s="93">
        <v>4.01</v>
      </c>
      <c r="J54" s="93">
        <v>4.01</v>
      </c>
      <c r="K54" s="93">
        <v>4.01</v>
      </c>
      <c r="L54" s="93">
        <v>4.01</v>
      </c>
      <c r="M54" s="91">
        <v>4.01</v>
      </c>
      <c r="N54" s="91" t="s">
        <v>69</v>
      </c>
      <c r="O54" s="91" t="s">
        <v>69</v>
      </c>
      <c r="P54" s="91" t="s">
        <v>29</v>
      </c>
      <c r="Q54" s="91" t="s">
        <v>29</v>
      </c>
      <c r="R54" s="76"/>
      <c r="S54" s="76"/>
    </row>
    <row r="55" spans="1:19">
      <c r="A55" s="93">
        <v>4.0199999999999996</v>
      </c>
      <c r="B55" s="93">
        <v>4.0199999999999996</v>
      </c>
      <c r="C55" s="93">
        <v>4.0199999999999996</v>
      </c>
      <c r="D55" s="93">
        <v>4.0199999999999996</v>
      </c>
      <c r="E55" s="93">
        <v>4.0199999999999996</v>
      </c>
      <c r="F55" s="93">
        <v>4.0199999999999996</v>
      </c>
      <c r="G55" s="93">
        <v>4.0199999999999996</v>
      </c>
      <c r="H55" s="93">
        <v>4.0199999999999996</v>
      </c>
      <c r="I55" s="93">
        <v>4.0199999999999996</v>
      </c>
      <c r="J55" s="93">
        <v>4.0199999999999996</v>
      </c>
      <c r="K55" s="93">
        <v>4.0199999999999996</v>
      </c>
      <c r="L55" s="93">
        <v>4.0199999999999996</v>
      </c>
      <c r="M55" s="91">
        <v>4.0199999999999996</v>
      </c>
      <c r="N55" s="91" t="s">
        <v>97</v>
      </c>
      <c r="O55" s="91" t="s">
        <v>97</v>
      </c>
      <c r="P55" s="91" t="s">
        <v>96</v>
      </c>
      <c r="Q55" s="91" t="s">
        <v>96</v>
      </c>
      <c r="R55" s="76"/>
      <c r="S55" s="76"/>
    </row>
    <row r="56" spans="1:19">
      <c r="A56" s="98">
        <v>4.03</v>
      </c>
      <c r="B56" s="98">
        <v>4.03</v>
      </c>
      <c r="C56" s="98">
        <v>4.03</v>
      </c>
      <c r="D56" s="98">
        <v>4.03</v>
      </c>
      <c r="E56" s="98">
        <v>4.03</v>
      </c>
      <c r="F56" s="93">
        <v>4.03</v>
      </c>
      <c r="G56" s="93">
        <v>4.03</v>
      </c>
      <c r="H56" s="93">
        <v>4.03</v>
      </c>
      <c r="I56" s="93">
        <v>4.03</v>
      </c>
      <c r="J56" s="93">
        <v>4.03</v>
      </c>
      <c r="K56" s="93">
        <v>4.03</v>
      </c>
      <c r="L56" s="93">
        <v>4.03</v>
      </c>
      <c r="M56" s="91">
        <v>4.03</v>
      </c>
      <c r="N56" s="94" t="s">
        <v>29</v>
      </c>
      <c r="O56" s="94" t="s">
        <v>29</v>
      </c>
      <c r="P56" s="94" t="s">
        <v>29</v>
      </c>
      <c r="Q56" s="94" t="s">
        <v>29</v>
      </c>
      <c r="R56" s="76"/>
      <c r="S56" s="76"/>
    </row>
    <row r="57" spans="1:19">
      <c r="A57" s="98">
        <v>4.04</v>
      </c>
      <c r="B57" s="98">
        <v>4.04</v>
      </c>
      <c r="C57" s="98">
        <v>4.04</v>
      </c>
      <c r="D57" s="98">
        <v>4.04</v>
      </c>
      <c r="E57" s="98">
        <v>4.04</v>
      </c>
      <c r="F57" s="98">
        <v>4.04</v>
      </c>
      <c r="G57" s="98">
        <v>4.04</v>
      </c>
      <c r="H57" s="98">
        <v>4.04</v>
      </c>
      <c r="I57" s="93">
        <v>4.04</v>
      </c>
      <c r="J57" s="93">
        <v>4.04</v>
      </c>
      <c r="K57" s="93">
        <v>4.04</v>
      </c>
      <c r="L57" s="93">
        <v>4.04</v>
      </c>
      <c r="M57" s="91">
        <v>4.04</v>
      </c>
      <c r="N57" s="91" t="s">
        <v>101</v>
      </c>
      <c r="O57" s="91" t="s">
        <v>101</v>
      </c>
      <c r="P57" s="91" t="s">
        <v>100</v>
      </c>
      <c r="Q57" s="91" t="s">
        <v>100</v>
      </c>
      <c r="R57" s="76"/>
      <c r="S57" s="76"/>
    </row>
    <row r="58" spans="1:19">
      <c r="A58" s="98">
        <v>4.05</v>
      </c>
      <c r="B58" s="98">
        <v>4.05</v>
      </c>
      <c r="C58" s="98">
        <v>4.05</v>
      </c>
      <c r="D58" s="98">
        <v>4.05</v>
      </c>
      <c r="E58" s="98">
        <v>4.05</v>
      </c>
      <c r="F58" s="93">
        <v>4.05</v>
      </c>
      <c r="G58" s="93">
        <v>4.05</v>
      </c>
      <c r="H58" s="93">
        <v>4.05</v>
      </c>
      <c r="I58" s="93">
        <v>4.05</v>
      </c>
      <c r="J58" s="93">
        <v>4.05</v>
      </c>
      <c r="K58" s="93">
        <v>4.05</v>
      </c>
      <c r="L58" s="93">
        <v>4.05</v>
      </c>
      <c r="M58" s="91">
        <v>4.05</v>
      </c>
      <c r="N58" s="91" t="s">
        <v>102</v>
      </c>
      <c r="O58" s="91" t="s">
        <v>102</v>
      </c>
      <c r="P58" s="91" t="s">
        <v>101</v>
      </c>
      <c r="Q58" s="91" t="s">
        <v>101</v>
      </c>
      <c r="R58" s="76"/>
      <c r="S58" s="76"/>
    </row>
    <row r="59" spans="1:19">
      <c r="A59" s="98">
        <v>4.0599999999999996</v>
      </c>
      <c r="B59" s="98">
        <v>4.0599999999999996</v>
      </c>
      <c r="C59" s="98">
        <v>4.0599999999999996</v>
      </c>
      <c r="D59" s="98">
        <v>4.0599999999999996</v>
      </c>
      <c r="E59" s="98" t="s">
        <v>29</v>
      </c>
      <c r="F59" s="93" t="s">
        <v>29</v>
      </c>
      <c r="G59" s="93" t="s">
        <v>29</v>
      </c>
      <c r="H59" s="93" t="s">
        <v>29</v>
      </c>
      <c r="I59" s="93" t="s">
        <v>29</v>
      </c>
      <c r="J59" s="93" t="s">
        <v>29</v>
      </c>
      <c r="K59" s="93" t="s">
        <v>29</v>
      </c>
      <c r="L59" s="93" t="s">
        <v>29</v>
      </c>
      <c r="M59" s="93" t="s">
        <v>29</v>
      </c>
      <c r="N59" s="93" t="s">
        <v>29</v>
      </c>
      <c r="O59" s="93" t="s">
        <v>29</v>
      </c>
      <c r="P59" s="93" t="s">
        <v>29</v>
      </c>
      <c r="Q59" s="93" t="s">
        <v>29</v>
      </c>
      <c r="R59" s="76"/>
      <c r="S59" s="76"/>
    </row>
    <row r="60" spans="1:19">
      <c r="A60" s="98">
        <v>4.07</v>
      </c>
      <c r="B60" s="98">
        <v>4.07</v>
      </c>
      <c r="C60" s="98">
        <v>4.07</v>
      </c>
      <c r="D60" s="98">
        <v>4.07</v>
      </c>
      <c r="E60" s="98">
        <v>4.08</v>
      </c>
      <c r="F60" s="92">
        <v>4.08</v>
      </c>
      <c r="G60" s="92">
        <v>4.08</v>
      </c>
      <c r="H60" s="92">
        <v>4.08</v>
      </c>
      <c r="I60" s="93">
        <v>4.08</v>
      </c>
      <c r="J60" s="93">
        <v>4.08</v>
      </c>
      <c r="K60" s="93">
        <v>4.08</v>
      </c>
      <c r="L60" s="93">
        <v>4.08</v>
      </c>
      <c r="M60" s="91">
        <v>4.08</v>
      </c>
      <c r="N60" s="91" t="s">
        <v>71</v>
      </c>
      <c r="O60" s="91" t="s">
        <v>71</v>
      </c>
      <c r="P60" s="91" t="s">
        <v>70</v>
      </c>
      <c r="Q60" s="91" t="s">
        <v>70</v>
      </c>
      <c r="R60" s="76"/>
      <c r="S60" s="76"/>
    </row>
    <row r="61" spans="1:19">
      <c r="A61" s="92">
        <v>4.08</v>
      </c>
      <c r="B61" s="92">
        <v>4.08</v>
      </c>
      <c r="C61" s="92">
        <v>4.08</v>
      </c>
      <c r="D61" s="92">
        <v>4.08</v>
      </c>
      <c r="E61" s="92" t="s">
        <v>12</v>
      </c>
      <c r="F61" s="92" t="s">
        <v>38</v>
      </c>
      <c r="G61" s="92" t="s">
        <v>38</v>
      </c>
      <c r="H61" s="92" t="s">
        <v>38</v>
      </c>
      <c r="I61" s="88">
        <v>4.0999999999999996</v>
      </c>
      <c r="J61" s="88">
        <v>4.0999999999999996</v>
      </c>
      <c r="K61" s="88">
        <v>4.0999999999999996</v>
      </c>
      <c r="L61" s="88">
        <v>4.0999999999999996</v>
      </c>
      <c r="M61" s="90">
        <v>4.0999999999999996</v>
      </c>
      <c r="N61" s="91" t="s">
        <v>96</v>
      </c>
      <c r="O61" s="91" t="s">
        <v>96</v>
      </c>
      <c r="P61" s="91" t="s">
        <v>95</v>
      </c>
      <c r="Q61" s="91" t="s">
        <v>95</v>
      </c>
      <c r="R61" s="76"/>
      <c r="S61" s="76"/>
    </row>
    <row r="62" spans="1:19">
      <c r="A62" s="92">
        <v>4.09</v>
      </c>
      <c r="B62" s="92">
        <v>4.09</v>
      </c>
      <c r="C62" s="92">
        <v>4.09</v>
      </c>
      <c r="D62" s="92">
        <v>4.09</v>
      </c>
      <c r="E62" s="92" t="s">
        <v>38</v>
      </c>
      <c r="F62" s="93" t="s">
        <v>29</v>
      </c>
      <c r="G62" s="93" t="s">
        <v>29</v>
      </c>
      <c r="H62" s="93" t="s">
        <v>29</v>
      </c>
      <c r="I62" s="93" t="s">
        <v>29</v>
      </c>
      <c r="J62" s="93" t="s">
        <v>29</v>
      </c>
      <c r="K62" s="93" t="s">
        <v>29</v>
      </c>
      <c r="L62" s="93" t="s">
        <v>29</v>
      </c>
      <c r="M62" s="93" t="s">
        <v>29</v>
      </c>
      <c r="N62" s="93" t="s">
        <v>29</v>
      </c>
      <c r="O62" s="93" t="s">
        <v>29</v>
      </c>
      <c r="P62" s="93" t="s">
        <v>29</v>
      </c>
      <c r="Q62" s="93" t="s">
        <v>29</v>
      </c>
      <c r="R62" s="76"/>
      <c r="S62" s="76"/>
    </row>
    <row r="63" spans="1:19">
      <c r="A63" s="92" t="s">
        <v>38</v>
      </c>
      <c r="B63" s="92" t="s">
        <v>38</v>
      </c>
      <c r="C63" s="92" t="s">
        <v>29</v>
      </c>
      <c r="D63" s="92" t="s">
        <v>29</v>
      </c>
      <c r="E63" s="92" t="s">
        <v>29</v>
      </c>
      <c r="F63" s="92" t="s">
        <v>29</v>
      </c>
      <c r="G63" s="92" t="s">
        <v>29</v>
      </c>
      <c r="H63" s="92" t="s">
        <v>29</v>
      </c>
      <c r="I63" s="92" t="s">
        <v>29</v>
      </c>
      <c r="J63" s="92" t="s">
        <v>29</v>
      </c>
      <c r="K63" s="92" t="s">
        <v>29</v>
      </c>
      <c r="L63" s="92" t="s">
        <v>29</v>
      </c>
      <c r="M63" s="92" t="s">
        <v>29</v>
      </c>
      <c r="N63" s="92" t="s">
        <v>29</v>
      </c>
      <c r="O63" s="92" t="s">
        <v>29</v>
      </c>
      <c r="P63" s="92" t="s">
        <v>29</v>
      </c>
      <c r="Q63" s="92" t="s">
        <v>29</v>
      </c>
      <c r="R63" s="76"/>
      <c r="S63" s="76"/>
    </row>
    <row r="64" spans="1:19">
      <c r="A64" s="92">
        <v>4.1100000000000003</v>
      </c>
      <c r="B64" s="92">
        <v>4.1100000000000003</v>
      </c>
      <c r="C64" s="92" t="s">
        <v>29</v>
      </c>
      <c r="D64" s="92" t="s">
        <v>29</v>
      </c>
      <c r="E64" s="92" t="s">
        <v>29</v>
      </c>
      <c r="F64" s="92" t="s">
        <v>29</v>
      </c>
      <c r="G64" s="92" t="s">
        <v>29</v>
      </c>
      <c r="H64" s="92" t="s">
        <v>29</v>
      </c>
      <c r="I64" s="92" t="s">
        <v>29</v>
      </c>
      <c r="J64" s="92" t="s">
        <v>29</v>
      </c>
      <c r="K64" s="92" t="s">
        <v>29</v>
      </c>
      <c r="L64" s="92" t="s">
        <v>29</v>
      </c>
      <c r="M64" s="92" t="s">
        <v>29</v>
      </c>
      <c r="N64" s="92" t="s">
        <v>29</v>
      </c>
      <c r="O64" s="92" t="s">
        <v>29</v>
      </c>
      <c r="P64" s="92" t="s">
        <v>29</v>
      </c>
      <c r="Q64" s="92" t="s">
        <v>29</v>
      </c>
      <c r="R64" s="76"/>
      <c r="S64" s="76"/>
    </row>
    <row r="65" spans="1:19">
      <c r="A65" s="93">
        <v>5.01</v>
      </c>
      <c r="B65" s="93">
        <v>5.01</v>
      </c>
      <c r="C65" s="93">
        <v>5.01</v>
      </c>
      <c r="D65" s="93">
        <v>5.01</v>
      </c>
      <c r="E65" s="93">
        <v>5.01</v>
      </c>
      <c r="F65" s="93">
        <v>5.01</v>
      </c>
      <c r="G65" s="93">
        <v>5.01</v>
      </c>
      <c r="H65" s="93">
        <v>5.01</v>
      </c>
      <c r="I65" s="93">
        <v>5.01</v>
      </c>
      <c r="J65" s="93">
        <v>5.01</v>
      </c>
      <c r="K65" s="93">
        <v>5.01</v>
      </c>
      <c r="L65" s="93">
        <v>5.0199999999999996</v>
      </c>
      <c r="M65" s="91" t="s">
        <v>55</v>
      </c>
      <c r="N65" s="94" t="s">
        <v>29</v>
      </c>
      <c r="O65" s="94" t="s">
        <v>29</v>
      </c>
      <c r="P65" s="94" t="s">
        <v>29</v>
      </c>
      <c r="Q65" s="94" t="s">
        <v>29</v>
      </c>
      <c r="R65" s="76"/>
      <c r="S65" s="76"/>
    </row>
    <row r="66" spans="1:19">
      <c r="A66" s="93">
        <v>5.0199999999999996</v>
      </c>
      <c r="B66" s="93">
        <v>5.0199999999999996</v>
      </c>
      <c r="C66" s="93">
        <v>5.0199999999999996</v>
      </c>
      <c r="D66" s="93">
        <v>5.0199999999999996</v>
      </c>
      <c r="E66" s="93">
        <v>5.0199999999999996</v>
      </c>
      <c r="F66" s="93">
        <v>5.0199999999999996</v>
      </c>
      <c r="G66" s="93">
        <v>5.0199999999999996</v>
      </c>
      <c r="H66" s="93">
        <v>5.0199999999999996</v>
      </c>
      <c r="I66" s="93">
        <v>5.0199999999999996</v>
      </c>
      <c r="J66" s="93">
        <v>5.0199999999999996</v>
      </c>
      <c r="K66" s="93">
        <v>5.0199999999999996</v>
      </c>
      <c r="L66" s="93">
        <v>5.01</v>
      </c>
      <c r="M66" s="94" t="s">
        <v>56</v>
      </c>
      <c r="N66" s="91" t="s">
        <v>29</v>
      </c>
      <c r="O66" s="91" t="s">
        <v>29</v>
      </c>
      <c r="P66" s="91" t="s">
        <v>29</v>
      </c>
      <c r="Q66" s="91" t="s">
        <v>29</v>
      </c>
      <c r="R66" s="76"/>
      <c r="S66" s="76"/>
    </row>
    <row r="67" spans="1:19">
      <c r="A67" s="93">
        <v>5.03</v>
      </c>
      <c r="B67" s="93">
        <v>5.03</v>
      </c>
      <c r="C67" s="93">
        <v>5.03</v>
      </c>
      <c r="D67" s="93">
        <v>5.03</v>
      </c>
      <c r="E67" s="93">
        <v>5.03</v>
      </c>
      <c r="F67" s="93">
        <v>5.03</v>
      </c>
      <c r="G67" s="93">
        <v>5.03</v>
      </c>
      <c r="H67" s="93">
        <v>5.03</v>
      </c>
      <c r="I67" s="93">
        <v>5.03</v>
      </c>
      <c r="J67" s="93">
        <v>5.03</v>
      </c>
      <c r="K67" s="93">
        <v>5.03</v>
      </c>
      <c r="L67" s="93" t="s">
        <v>29</v>
      </c>
      <c r="M67" s="93" t="s">
        <v>29</v>
      </c>
      <c r="N67" s="93" t="s">
        <v>29</v>
      </c>
      <c r="O67" s="93" t="s">
        <v>29</v>
      </c>
      <c r="P67" s="93" t="s">
        <v>29</v>
      </c>
      <c r="Q67" s="93" t="s">
        <v>29</v>
      </c>
      <c r="R67" s="76"/>
      <c r="S67" s="76"/>
    </row>
    <row r="68" spans="1:19">
      <c r="A68" s="93">
        <v>5.04</v>
      </c>
      <c r="B68" s="93">
        <v>5.04</v>
      </c>
      <c r="C68" s="93">
        <v>5.04</v>
      </c>
      <c r="D68" s="93">
        <v>5.04</v>
      </c>
      <c r="E68" s="93">
        <v>5.04</v>
      </c>
      <c r="F68" s="93">
        <v>5.04</v>
      </c>
      <c r="G68" s="93">
        <v>5.04</v>
      </c>
      <c r="H68" s="93">
        <v>5.04</v>
      </c>
      <c r="I68" s="93">
        <v>5.04</v>
      </c>
      <c r="J68" s="93">
        <v>5.04</v>
      </c>
      <c r="K68" s="93">
        <v>5.04</v>
      </c>
      <c r="L68" s="93" t="s">
        <v>29</v>
      </c>
      <c r="M68" s="93" t="s">
        <v>29</v>
      </c>
      <c r="N68" s="93" t="s">
        <v>29</v>
      </c>
      <c r="O68" s="93" t="s">
        <v>29</v>
      </c>
      <c r="P68" s="93" t="s">
        <v>29</v>
      </c>
      <c r="Q68" s="93" t="s">
        <v>29</v>
      </c>
      <c r="R68" s="76"/>
      <c r="S68" s="76"/>
    </row>
    <row r="69" spans="1:19">
      <c r="A69" s="93">
        <v>5.05</v>
      </c>
      <c r="B69" s="93">
        <v>5.05</v>
      </c>
      <c r="C69" s="93">
        <v>5.05</v>
      </c>
      <c r="D69" s="93">
        <v>5.05</v>
      </c>
      <c r="E69" s="93" t="s">
        <v>29</v>
      </c>
      <c r="F69" s="93" t="s">
        <v>29</v>
      </c>
      <c r="G69" s="93" t="s">
        <v>29</v>
      </c>
      <c r="H69" s="93" t="s">
        <v>29</v>
      </c>
      <c r="I69" s="93" t="s">
        <v>29</v>
      </c>
      <c r="J69" s="93" t="s">
        <v>29</v>
      </c>
      <c r="K69" s="93" t="s">
        <v>29</v>
      </c>
      <c r="L69" s="93" t="s">
        <v>29</v>
      </c>
      <c r="M69" s="93" t="s">
        <v>29</v>
      </c>
      <c r="N69" s="93" t="s">
        <v>29</v>
      </c>
      <c r="O69" s="93" t="s">
        <v>29</v>
      </c>
      <c r="P69" s="93" t="s">
        <v>29</v>
      </c>
      <c r="Q69" s="93" t="s">
        <v>29</v>
      </c>
      <c r="R69" s="76"/>
      <c r="S69" s="76"/>
    </row>
    <row r="70" spans="1:19">
      <c r="A70" s="92" t="s">
        <v>2472</v>
      </c>
      <c r="B70" s="92" t="s">
        <v>29</v>
      </c>
      <c r="C70" s="92" t="s">
        <v>29</v>
      </c>
      <c r="D70" s="92" t="s">
        <v>29</v>
      </c>
      <c r="E70" s="92" t="s">
        <v>29</v>
      </c>
      <c r="F70" s="92" t="s">
        <v>29</v>
      </c>
      <c r="G70" s="92" t="s">
        <v>29</v>
      </c>
      <c r="H70" s="92" t="s">
        <v>29</v>
      </c>
      <c r="I70" s="92" t="s">
        <v>29</v>
      </c>
      <c r="J70" s="92" t="s">
        <v>29</v>
      </c>
      <c r="K70" s="92" t="s">
        <v>29</v>
      </c>
      <c r="L70" s="92" t="s">
        <v>29</v>
      </c>
      <c r="M70" s="92" t="s">
        <v>29</v>
      </c>
      <c r="N70" s="94" t="s">
        <v>29</v>
      </c>
      <c r="O70" s="94" t="s">
        <v>29</v>
      </c>
      <c r="P70" s="94" t="s">
        <v>29</v>
      </c>
      <c r="Q70" s="94" t="s">
        <v>29</v>
      </c>
      <c r="R70" s="76"/>
      <c r="S70" s="76"/>
    </row>
    <row r="71" spans="1:19">
      <c r="A71" s="93">
        <v>6.01</v>
      </c>
      <c r="B71" s="93">
        <v>6.01</v>
      </c>
      <c r="C71" s="93">
        <v>6.01</v>
      </c>
      <c r="D71" s="93">
        <v>6.01</v>
      </c>
      <c r="E71" s="93">
        <v>6.01</v>
      </c>
      <c r="F71" s="93">
        <v>6.01</v>
      </c>
      <c r="G71" s="93">
        <v>6.01</v>
      </c>
      <c r="H71" s="93">
        <v>6.01</v>
      </c>
      <c r="I71" s="93">
        <v>6.01</v>
      </c>
      <c r="J71" s="93">
        <v>6.01</v>
      </c>
      <c r="K71" s="93">
        <v>6.01</v>
      </c>
      <c r="L71" s="93">
        <v>6.01</v>
      </c>
      <c r="M71" s="91">
        <v>6.01</v>
      </c>
      <c r="N71" s="91" t="s">
        <v>177</v>
      </c>
      <c r="O71" s="91" t="s">
        <v>177</v>
      </c>
      <c r="P71" s="91" t="s">
        <v>177</v>
      </c>
      <c r="Q71" s="91" t="s">
        <v>177</v>
      </c>
      <c r="R71" s="76"/>
      <c r="S71" s="76"/>
    </row>
    <row r="72" spans="1:19">
      <c r="A72" s="93">
        <v>6.02</v>
      </c>
      <c r="B72" s="93">
        <v>6.02</v>
      </c>
      <c r="C72" s="93">
        <v>6.02</v>
      </c>
      <c r="D72" s="93">
        <v>6.02</v>
      </c>
      <c r="E72" s="93">
        <v>6.02</v>
      </c>
      <c r="F72" s="93">
        <v>6.02</v>
      </c>
      <c r="G72" s="93">
        <v>6.02</v>
      </c>
      <c r="H72" s="93">
        <v>6.02</v>
      </c>
      <c r="I72" s="93">
        <v>6.02</v>
      </c>
      <c r="J72" s="93">
        <v>6.02</v>
      </c>
      <c r="K72" s="93">
        <v>6.02</v>
      </c>
      <c r="L72" s="93">
        <v>6.02</v>
      </c>
      <c r="M72" s="91">
        <v>6.02</v>
      </c>
      <c r="N72" s="91" t="s">
        <v>58</v>
      </c>
      <c r="O72" s="91" t="s">
        <v>58</v>
      </c>
      <c r="P72" s="91" t="s">
        <v>58</v>
      </c>
      <c r="Q72" s="91" t="s">
        <v>58</v>
      </c>
      <c r="R72" s="76"/>
      <c r="S72" s="76"/>
    </row>
    <row r="73" spans="1:19">
      <c r="A73" s="98">
        <v>6.03</v>
      </c>
      <c r="B73" s="98">
        <v>6.03</v>
      </c>
      <c r="C73" s="98">
        <v>6.03</v>
      </c>
      <c r="D73" s="98">
        <v>6.03</v>
      </c>
      <c r="E73" s="98">
        <v>6.03</v>
      </c>
      <c r="F73" s="93">
        <v>6.03</v>
      </c>
      <c r="G73" s="93">
        <v>6.03</v>
      </c>
      <c r="H73" s="93">
        <v>6.03</v>
      </c>
      <c r="I73" s="93">
        <v>6.03</v>
      </c>
      <c r="J73" s="93">
        <v>6.03</v>
      </c>
      <c r="K73" s="93">
        <v>6.03</v>
      </c>
      <c r="L73" s="93">
        <v>6.03</v>
      </c>
      <c r="M73" s="91">
        <v>6.03</v>
      </c>
      <c r="N73" s="91" t="s">
        <v>178</v>
      </c>
      <c r="O73" s="91" t="s">
        <v>178</v>
      </c>
      <c r="P73" s="91" t="s">
        <v>178</v>
      </c>
      <c r="Q73" s="91" t="s">
        <v>178</v>
      </c>
      <c r="R73" s="76"/>
      <c r="S73" s="76"/>
    </row>
    <row r="74" spans="1:19">
      <c r="A74" s="98">
        <v>6.04</v>
      </c>
      <c r="B74" s="98">
        <v>6.04</v>
      </c>
      <c r="C74" s="98">
        <v>6.04</v>
      </c>
      <c r="D74" s="98">
        <v>6.04</v>
      </c>
      <c r="E74" s="98">
        <v>6.04</v>
      </c>
      <c r="F74" s="88">
        <v>6.04</v>
      </c>
      <c r="G74" s="88">
        <v>6.04</v>
      </c>
      <c r="H74" s="88">
        <v>6.04</v>
      </c>
      <c r="I74" s="93">
        <v>6.04</v>
      </c>
      <c r="J74" s="93">
        <v>6.04</v>
      </c>
      <c r="K74" s="93">
        <v>6.04</v>
      </c>
      <c r="L74" s="93">
        <v>6.04</v>
      </c>
      <c r="M74" s="91">
        <v>6.04</v>
      </c>
      <c r="N74" s="91" t="s">
        <v>60</v>
      </c>
      <c r="O74" s="91" t="s">
        <v>60</v>
      </c>
      <c r="P74" s="91" t="s">
        <v>60</v>
      </c>
      <c r="Q74" s="91" t="s">
        <v>60</v>
      </c>
      <c r="R74" s="76"/>
      <c r="S74" s="76"/>
    </row>
    <row r="75" spans="1:19">
      <c r="A75" s="93">
        <v>6.05</v>
      </c>
      <c r="B75" s="93">
        <v>6.05</v>
      </c>
      <c r="C75" s="93">
        <v>6.05</v>
      </c>
      <c r="D75" s="93">
        <v>6.05</v>
      </c>
      <c r="E75" s="93">
        <v>6.05</v>
      </c>
      <c r="F75" s="88">
        <v>6.05</v>
      </c>
      <c r="G75" s="88">
        <v>6.05</v>
      </c>
      <c r="H75" s="88">
        <v>6.05</v>
      </c>
      <c r="I75" s="93">
        <v>6.05</v>
      </c>
      <c r="J75" s="93">
        <v>6.05</v>
      </c>
      <c r="K75" s="93">
        <v>6.05</v>
      </c>
      <c r="L75" s="93">
        <v>6.05</v>
      </c>
      <c r="M75" s="91">
        <v>6.05</v>
      </c>
      <c r="N75" s="91" t="s">
        <v>61</v>
      </c>
      <c r="O75" s="91" t="s">
        <v>61</v>
      </c>
      <c r="P75" s="91" t="s">
        <v>61</v>
      </c>
      <c r="Q75" s="91" t="s">
        <v>61</v>
      </c>
      <c r="R75" s="76"/>
      <c r="S75" s="76"/>
    </row>
    <row r="76" spans="1:19">
      <c r="A76" s="93">
        <v>6.06</v>
      </c>
      <c r="B76" s="93">
        <v>6.06</v>
      </c>
      <c r="C76" s="93">
        <v>6.06</v>
      </c>
      <c r="D76" s="93">
        <v>6.06</v>
      </c>
      <c r="E76" s="93">
        <v>6.06</v>
      </c>
      <c r="F76" s="88">
        <v>6.06</v>
      </c>
      <c r="G76" s="88">
        <v>6.06</v>
      </c>
      <c r="H76" s="88">
        <v>6.06</v>
      </c>
      <c r="I76" s="93">
        <v>6.06</v>
      </c>
      <c r="J76" s="93">
        <v>6.06</v>
      </c>
      <c r="K76" s="93">
        <v>6.06</v>
      </c>
      <c r="L76" s="93">
        <v>6.06</v>
      </c>
      <c r="M76" s="91">
        <v>6.06</v>
      </c>
      <c r="N76" s="91" t="s">
        <v>62</v>
      </c>
      <c r="O76" s="91" t="s">
        <v>62</v>
      </c>
      <c r="P76" s="91" t="s">
        <v>62</v>
      </c>
      <c r="Q76" s="91" t="s">
        <v>62</v>
      </c>
      <c r="R76" s="76"/>
      <c r="S76" s="76"/>
    </row>
    <row r="77" spans="1:19">
      <c r="A77" s="93">
        <v>7.01</v>
      </c>
      <c r="B77" s="93">
        <v>7.01</v>
      </c>
      <c r="C77" s="93">
        <v>7.01</v>
      </c>
      <c r="D77" s="93">
        <v>7.01</v>
      </c>
      <c r="E77" s="93">
        <v>7.01</v>
      </c>
      <c r="F77" s="88">
        <v>7.01</v>
      </c>
      <c r="G77" s="88">
        <v>7.01</v>
      </c>
      <c r="H77" s="88">
        <v>7.01</v>
      </c>
      <c r="I77" s="93">
        <v>7.01</v>
      </c>
      <c r="J77" s="93">
        <v>7.01</v>
      </c>
      <c r="K77" s="93">
        <v>7.01</v>
      </c>
      <c r="L77" s="93">
        <v>7.01</v>
      </c>
      <c r="M77" s="91">
        <v>7.01</v>
      </c>
      <c r="N77" s="91" t="s">
        <v>63</v>
      </c>
      <c r="O77" s="91" t="s">
        <v>63</v>
      </c>
      <c r="P77" s="91" t="s">
        <v>63</v>
      </c>
      <c r="Q77" s="91" t="s">
        <v>63</v>
      </c>
      <c r="R77" s="76"/>
      <c r="S77" s="76"/>
    </row>
    <row r="78" spans="1:19">
      <c r="A78" s="92">
        <v>7.02</v>
      </c>
      <c r="B78" s="92" t="s">
        <v>29</v>
      </c>
      <c r="C78" s="92" t="s">
        <v>29</v>
      </c>
      <c r="D78" s="92" t="s">
        <v>29</v>
      </c>
      <c r="E78" s="92" t="s">
        <v>29</v>
      </c>
      <c r="F78" s="92" t="s">
        <v>29</v>
      </c>
      <c r="G78" s="92" t="s">
        <v>29</v>
      </c>
      <c r="H78" s="92" t="s">
        <v>29</v>
      </c>
      <c r="I78" s="92" t="s">
        <v>29</v>
      </c>
      <c r="J78" s="92" t="s">
        <v>29</v>
      </c>
      <c r="K78" s="92" t="s">
        <v>29</v>
      </c>
      <c r="L78" s="92" t="s">
        <v>29</v>
      </c>
      <c r="M78" s="92" t="s">
        <v>29</v>
      </c>
      <c r="N78" s="94" t="s">
        <v>29</v>
      </c>
      <c r="O78" s="94" t="s">
        <v>29</v>
      </c>
      <c r="P78" s="94" t="s">
        <v>29</v>
      </c>
      <c r="Q78" s="94" t="s">
        <v>29</v>
      </c>
      <c r="R78" s="76"/>
      <c r="S78" s="76"/>
    </row>
    <row r="79" spans="1:19">
      <c r="A79" s="92">
        <v>8.01</v>
      </c>
      <c r="B79" s="92">
        <v>8.01</v>
      </c>
      <c r="C79" s="92">
        <v>8.01</v>
      </c>
      <c r="D79" s="92">
        <v>8.01</v>
      </c>
      <c r="E79" s="92">
        <v>8.01</v>
      </c>
      <c r="F79" s="93">
        <v>8.01</v>
      </c>
      <c r="G79" s="93">
        <v>8.01</v>
      </c>
      <c r="H79" s="93">
        <v>8.01</v>
      </c>
      <c r="I79" s="88">
        <v>8.01</v>
      </c>
      <c r="J79" s="88">
        <v>8.01</v>
      </c>
      <c r="K79" s="88">
        <v>8.01</v>
      </c>
      <c r="L79" s="88">
        <v>8.01</v>
      </c>
      <c r="M79" s="90">
        <v>8.01</v>
      </c>
      <c r="N79" s="91" t="s">
        <v>127</v>
      </c>
      <c r="O79" s="91" t="s">
        <v>127</v>
      </c>
      <c r="P79" s="91" t="s">
        <v>127</v>
      </c>
      <c r="Q79" s="91" t="s">
        <v>127</v>
      </c>
      <c r="R79" s="76"/>
      <c r="S79" s="76"/>
    </row>
    <row r="80" spans="1:19">
      <c r="A80" s="92">
        <v>8.02</v>
      </c>
      <c r="B80" s="92">
        <v>8.02</v>
      </c>
      <c r="C80" s="92">
        <v>8.02</v>
      </c>
      <c r="D80" s="92">
        <v>8.02</v>
      </c>
      <c r="E80" s="92">
        <v>8.02</v>
      </c>
      <c r="F80" s="88">
        <v>8.02</v>
      </c>
      <c r="G80" s="88">
        <v>8.02</v>
      </c>
      <c r="H80" s="88">
        <v>8.02</v>
      </c>
      <c r="I80" s="88">
        <v>1.01</v>
      </c>
      <c r="J80" s="88">
        <v>1.01</v>
      </c>
      <c r="K80" s="88">
        <v>1.01</v>
      </c>
      <c r="L80" s="88">
        <v>1.01</v>
      </c>
      <c r="M80" s="90">
        <v>1.01</v>
      </c>
      <c r="N80" s="94" t="s">
        <v>29</v>
      </c>
      <c r="O80" s="94" t="s">
        <v>29</v>
      </c>
      <c r="P80" s="94" t="s">
        <v>29</v>
      </c>
      <c r="Q80" s="94" t="s">
        <v>29</v>
      </c>
      <c r="R80" s="76"/>
      <c r="S80" s="76"/>
    </row>
    <row r="81" spans="1:19">
      <c r="A81" s="92">
        <v>8.0299999999999994</v>
      </c>
      <c r="B81" s="92">
        <v>8.0299999999999994</v>
      </c>
      <c r="C81" s="92">
        <v>8.0299999999999994</v>
      </c>
      <c r="D81" s="92">
        <v>8.0299999999999994</v>
      </c>
      <c r="E81" s="92">
        <v>8.0299999999999994</v>
      </c>
      <c r="F81" s="93">
        <v>8.0299999999999994</v>
      </c>
      <c r="G81" s="93">
        <v>8.0299999999999994</v>
      </c>
      <c r="H81" s="93">
        <v>8.0299999999999994</v>
      </c>
      <c r="I81" s="88">
        <v>8.0299999999999994</v>
      </c>
      <c r="J81" s="88">
        <v>8.0299999999999994</v>
      </c>
      <c r="K81" s="88">
        <v>8.0299999999999994</v>
      </c>
      <c r="L81" s="88">
        <v>8.0299999999999994</v>
      </c>
      <c r="M81" s="90">
        <v>8.0299999999999994</v>
      </c>
      <c r="N81" s="91" t="s">
        <v>132</v>
      </c>
      <c r="O81" s="91" t="s">
        <v>132</v>
      </c>
      <c r="P81" s="91" t="s">
        <v>132</v>
      </c>
      <c r="Q81" s="91" t="s">
        <v>132</v>
      </c>
      <c r="R81" s="76"/>
      <c r="S81" s="76"/>
    </row>
    <row r="82" spans="1:19">
      <c r="A82" s="92">
        <v>8.0399999999999991</v>
      </c>
      <c r="B82" s="92">
        <v>8.0399999999999991</v>
      </c>
      <c r="C82" s="92">
        <v>8.0399999999999991</v>
      </c>
      <c r="D82" s="92">
        <v>8.0399999999999991</v>
      </c>
      <c r="E82" s="92">
        <v>8.0399999999999991</v>
      </c>
      <c r="F82" s="98">
        <v>8.0399999999999991</v>
      </c>
      <c r="G82" s="98">
        <v>8.0399999999999991</v>
      </c>
      <c r="H82" s="98">
        <v>8.0399999999999991</v>
      </c>
      <c r="I82" s="88">
        <v>8.0399999999999991</v>
      </c>
      <c r="J82" s="88">
        <v>8.0399999999999991</v>
      </c>
      <c r="K82" s="88">
        <v>8.0399999999999991</v>
      </c>
      <c r="L82" s="88">
        <v>8.0399999999999991</v>
      </c>
      <c r="M82" s="90">
        <v>8.0399999999999991</v>
      </c>
      <c r="N82" s="91" t="s">
        <v>134</v>
      </c>
      <c r="O82" s="91" t="s">
        <v>134</v>
      </c>
      <c r="P82" s="91" t="s">
        <v>134</v>
      </c>
      <c r="Q82" s="91" t="s">
        <v>134</v>
      </c>
      <c r="R82" s="76"/>
      <c r="S82" s="76"/>
    </row>
    <row r="83" spans="1:19">
      <c r="A83" s="92">
        <v>8.0500000000000007</v>
      </c>
      <c r="B83" s="92" t="s">
        <v>29</v>
      </c>
      <c r="C83" s="92" t="s">
        <v>29</v>
      </c>
      <c r="D83" s="92" t="s">
        <v>29</v>
      </c>
      <c r="E83" s="92" t="s">
        <v>29</v>
      </c>
      <c r="F83" s="92" t="s">
        <v>29</v>
      </c>
      <c r="G83" s="92" t="s">
        <v>29</v>
      </c>
      <c r="H83" s="92" t="s">
        <v>29</v>
      </c>
      <c r="I83" s="92" t="s">
        <v>29</v>
      </c>
      <c r="J83" s="92" t="s">
        <v>29</v>
      </c>
      <c r="K83" s="92" t="s">
        <v>29</v>
      </c>
      <c r="L83" s="92" t="s">
        <v>29</v>
      </c>
      <c r="M83" s="92" t="s">
        <v>29</v>
      </c>
      <c r="N83" s="94" t="s">
        <v>29</v>
      </c>
      <c r="O83" s="94" t="s">
        <v>29</v>
      </c>
      <c r="P83" s="94" t="s">
        <v>29</v>
      </c>
      <c r="Q83" s="94" t="s">
        <v>29</v>
      </c>
      <c r="R83" s="76"/>
      <c r="S83" s="76"/>
    </row>
    <row r="84" spans="1:19">
      <c r="A84" s="92">
        <v>8.06</v>
      </c>
      <c r="B84" s="92" t="s">
        <v>29</v>
      </c>
      <c r="C84" s="92" t="s">
        <v>29</v>
      </c>
      <c r="D84" s="92" t="s">
        <v>29</v>
      </c>
      <c r="E84" s="92" t="s">
        <v>29</v>
      </c>
      <c r="F84" s="92" t="s">
        <v>29</v>
      </c>
      <c r="G84" s="92" t="s">
        <v>29</v>
      </c>
      <c r="H84" s="92" t="s">
        <v>29</v>
      </c>
      <c r="I84" s="92" t="s">
        <v>29</v>
      </c>
      <c r="J84" s="92" t="s">
        <v>29</v>
      </c>
      <c r="K84" s="92" t="s">
        <v>29</v>
      </c>
      <c r="L84" s="92" t="s">
        <v>29</v>
      </c>
      <c r="M84" s="92" t="s">
        <v>29</v>
      </c>
      <c r="N84" s="91" t="s">
        <v>29</v>
      </c>
      <c r="O84" s="91" t="s">
        <v>29</v>
      </c>
      <c r="P84" s="91" t="s">
        <v>29</v>
      </c>
      <c r="Q84" s="91" t="s">
        <v>29</v>
      </c>
      <c r="R84" s="76"/>
      <c r="S84" s="76"/>
    </row>
    <row r="85" spans="1:19">
      <c r="A85" s="92">
        <v>8.07</v>
      </c>
      <c r="B85" s="92">
        <v>8.07</v>
      </c>
      <c r="C85" s="92">
        <v>8.07</v>
      </c>
      <c r="D85" s="92">
        <v>8.07</v>
      </c>
      <c r="E85" s="92">
        <v>8.07</v>
      </c>
      <c r="F85" s="93">
        <v>8.07</v>
      </c>
      <c r="G85" s="93">
        <v>8.07</v>
      </c>
      <c r="H85" s="93">
        <v>8.07</v>
      </c>
      <c r="I85" s="88">
        <v>8.07</v>
      </c>
      <c r="J85" s="88">
        <v>8.07</v>
      </c>
      <c r="K85" s="88">
        <v>8.07</v>
      </c>
      <c r="L85" s="88">
        <v>8.07</v>
      </c>
      <c r="M85" s="90">
        <v>8.07</v>
      </c>
      <c r="N85" s="91" t="s">
        <v>140</v>
      </c>
      <c r="O85" s="91" t="s">
        <v>140</v>
      </c>
      <c r="P85" s="91" t="s">
        <v>140</v>
      </c>
      <c r="Q85" s="91" t="s">
        <v>140</v>
      </c>
      <c r="R85" s="76"/>
      <c r="S85" s="76"/>
    </row>
    <row r="86" spans="1:19">
      <c r="A86" s="92">
        <v>8.08</v>
      </c>
      <c r="B86" s="92">
        <v>8.08</v>
      </c>
      <c r="C86" s="92">
        <v>8.08</v>
      </c>
      <c r="D86" s="92">
        <v>8.08</v>
      </c>
      <c r="E86" s="92">
        <v>8.08</v>
      </c>
      <c r="F86" s="93">
        <v>8.08</v>
      </c>
      <c r="G86" s="93">
        <v>8.08</v>
      </c>
      <c r="H86" s="93">
        <v>8.08</v>
      </c>
      <c r="I86" s="85">
        <v>8.08</v>
      </c>
      <c r="J86" s="85">
        <v>8.08</v>
      </c>
      <c r="K86" s="85">
        <v>8.08</v>
      </c>
      <c r="L86" s="85">
        <v>8.08</v>
      </c>
      <c r="M86" s="86">
        <v>8.08</v>
      </c>
      <c r="N86" s="89" t="s">
        <v>144</v>
      </c>
      <c r="O86" s="89" t="s">
        <v>144</v>
      </c>
      <c r="P86" s="89" t="s">
        <v>144</v>
      </c>
      <c r="Q86" s="89" t="s">
        <v>144</v>
      </c>
      <c r="R86" s="76"/>
      <c r="S86" s="76"/>
    </row>
    <row r="87" spans="1:19">
      <c r="A87" s="92">
        <v>8.09</v>
      </c>
      <c r="B87" s="92">
        <v>8.09</v>
      </c>
      <c r="C87" s="92">
        <v>8.09</v>
      </c>
      <c r="D87" s="92">
        <v>8.09</v>
      </c>
      <c r="E87" s="92">
        <v>8.09</v>
      </c>
      <c r="F87" s="93">
        <v>8.09</v>
      </c>
      <c r="G87" s="93">
        <v>8.09</v>
      </c>
      <c r="H87" s="93">
        <v>8.09</v>
      </c>
      <c r="I87" s="85">
        <v>8.09</v>
      </c>
      <c r="J87" s="85">
        <v>8.09</v>
      </c>
      <c r="K87" s="85">
        <v>8.09</v>
      </c>
      <c r="L87" s="85">
        <v>8.09</v>
      </c>
      <c r="M87" s="86">
        <v>8.09</v>
      </c>
      <c r="N87" s="89" t="s">
        <v>142</v>
      </c>
      <c r="O87" s="89" t="s">
        <v>142</v>
      </c>
      <c r="P87" s="89" t="s">
        <v>142</v>
      </c>
      <c r="Q87" s="89" t="s">
        <v>142</v>
      </c>
      <c r="R87" s="76"/>
      <c r="S87" s="76"/>
    </row>
    <row r="88" spans="1:19">
      <c r="A88" s="98" t="s">
        <v>40</v>
      </c>
      <c r="B88" s="98" t="s">
        <v>40</v>
      </c>
      <c r="C88" s="98" t="s">
        <v>40</v>
      </c>
      <c r="D88" s="98" t="s">
        <v>40</v>
      </c>
      <c r="E88" s="98" t="s">
        <v>40</v>
      </c>
      <c r="F88" s="93" t="s">
        <v>40</v>
      </c>
      <c r="G88" s="93" t="s">
        <v>40</v>
      </c>
      <c r="H88" s="93" t="s">
        <v>40</v>
      </c>
      <c r="I88" s="85">
        <v>8.1</v>
      </c>
      <c r="J88" s="85">
        <v>8.1</v>
      </c>
      <c r="K88" s="85">
        <v>8.1</v>
      </c>
      <c r="L88" s="85">
        <v>8.1</v>
      </c>
      <c r="M88" s="86">
        <v>8.1</v>
      </c>
      <c r="N88" s="89" t="s">
        <v>143</v>
      </c>
      <c r="O88" s="89" t="s">
        <v>143</v>
      </c>
      <c r="P88" s="89" t="s">
        <v>143</v>
      </c>
      <c r="Q88" s="89" t="s">
        <v>143</v>
      </c>
      <c r="R88" s="76"/>
      <c r="S88" s="76"/>
    </row>
    <row r="89" spans="1:19">
      <c r="A89" s="99">
        <v>8.11</v>
      </c>
      <c r="B89" s="99" t="s">
        <v>29</v>
      </c>
      <c r="C89" s="99" t="s">
        <v>29</v>
      </c>
      <c r="D89" s="99" t="s">
        <v>29</v>
      </c>
      <c r="E89" s="99" t="s">
        <v>29</v>
      </c>
      <c r="F89" s="92" t="s">
        <v>29</v>
      </c>
      <c r="G89" s="92" t="s">
        <v>29</v>
      </c>
      <c r="H89" s="92" t="s">
        <v>29</v>
      </c>
      <c r="I89" s="99" t="s">
        <v>29</v>
      </c>
      <c r="J89" s="99" t="s">
        <v>29</v>
      </c>
      <c r="K89" s="99" t="s">
        <v>29</v>
      </c>
      <c r="L89" s="99" t="s">
        <v>29</v>
      </c>
      <c r="M89" s="99" t="s">
        <v>29</v>
      </c>
      <c r="N89" s="98" t="s">
        <v>29</v>
      </c>
      <c r="O89" s="98" t="s">
        <v>29</v>
      </c>
      <c r="P89" s="98" t="s">
        <v>29</v>
      </c>
      <c r="Q89" s="98" t="s">
        <v>29</v>
      </c>
      <c r="R89" s="76"/>
      <c r="S89" s="76"/>
    </row>
    <row r="90" spans="1:19">
      <c r="A90" s="99">
        <v>9.01</v>
      </c>
      <c r="B90" s="99">
        <v>9.01</v>
      </c>
      <c r="C90" s="99">
        <v>9.09</v>
      </c>
      <c r="D90" s="99">
        <v>9.09</v>
      </c>
      <c r="E90" s="99">
        <v>9.09</v>
      </c>
      <c r="F90" s="88">
        <v>9.09</v>
      </c>
      <c r="G90" s="88">
        <v>9.09</v>
      </c>
      <c r="H90" s="88">
        <v>9.09</v>
      </c>
      <c r="I90" s="85">
        <v>9.09</v>
      </c>
      <c r="J90" s="85">
        <v>9.09</v>
      </c>
      <c r="K90" s="85">
        <v>9.09</v>
      </c>
      <c r="L90" s="85">
        <v>9.09</v>
      </c>
      <c r="M90" s="86">
        <v>9.09</v>
      </c>
      <c r="N90" s="89" t="s">
        <v>57</v>
      </c>
      <c r="O90" s="89" t="s">
        <v>57</v>
      </c>
      <c r="P90" s="89" t="s">
        <v>57</v>
      </c>
      <c r="Q90" s="89" t="s">
        <v>28</v>
      </c>
      <c r="R90" s="76"/>
      <c r="S90" s="76"/>
    </row>
    <row r="91" spans="1:19">
      <c r="A91" s="99">
        <v>9.02</v>
      </c>
      <c r="B91" s="99">
        <v>9.02</v>
      </c>
      <c r="C91" s="99" t="s">
        <v>22</v>
      </c>
      <c r="D91" s="99" t="s">
        <v>22</v>
      </c>
      <c r="E91" s="99" t="s">
        <v>22</v>
      </c>
      <c r="F91" s="88" t="s">
        <v>22</v>
      </c>
      <c r="G91" s="88" t="s">
        <v>22</v>
      </c>
      <c r="H91" s="88" t="s">
        <v>22</v>
      </c>
      <c r="I91" s="96" t="s">
        <v>22</v>
      </c>
      <c r="J91" s="88">
        <v>9.09</v>
      </c>
      <c r="K91" s="88">
        <v>9.09</v>
      </c>
      <c r="L91" s="96" t="s">
        <v>22</v>
      </c>
      <c r="M91" s="90">
        <v>9.08</v>
      </c>
      <c r="N91" s="91" t="s">
        <v>24</v>
      </c>
      <c r="O91" s="91" t="s">
        <v>21</v>
      </c>
      <c r="P91" s="89" t="s">
        <v>21</v>
      </c>
      <c r="Q91" s="89" t="s">
        <v>20</v>
      </c>
      <c r="R91" s="76"/>
      <c r="S91" s="76"/>
    </row>
    <row r="92" spans="1:19">
      <c r="A92" s="99">
        <v>9.0299999999999994</v>
      </c>
      <c r="B92" s="99">
        <v>9.0299999999999994</v>
      </c>
      <c r="C92" s="99">
        <v>9.11</v>
      </c>
      <c r="D92" s="99">
        <v>9.11</v>
      </c>
      <c r="E92" s="99">
        <v>9.11</v>
      </c>
      <c r="F92" s="88">
        <v>9.11</v>
      </c>
      <c r="G92" s="88">
        <v>9.11</v>
      </c>
      <c r="H92" s="88">
        <v>9.11</v>
      </c>
      <c r="I92" s="88">
        <v>9.11</v>
      </c>
      <c r="J92" s="88">
        <v>9.11</v>
      </c>
      <c r="K92" s="88">
        <v>9.11</v>
      </c>
      <c r="L92" s="88">
        <v>9.11</v>
      </c>
      <c r="M92" s="90">
        <v>9.11</v>
      </c>
      <c r="N92" s="94" t="s">
        <v>29</v>
      </c>
      <c r="O92" s="94" t="s">
        <v>29</v>
      </c>
      <c r="P92" s="94" t="s">
        <v>29</v>
      </c>
      <c r="Q92" s="94" t="s">
        <v>29</v>
      </c>
      <c r="R92" s="76"/>
      <c r="S92" s="76"/>
    </row>
    <row r="93" spans="1:19">
      <c r="A93" s="99">
        <v>9.0399999999999991</v>
      </c>
      <c r="B93" s="99">
        <v>9.0399999999999991</v>
      </c>
      <c r="C93" s="99">
        <v>9.1199999999999992</v>
      </c>
      <c r="D93" s="99">
        <v>9.1199999999999992</v>
      </c>
      <c r="E93" s="99">
        <v>9.1199999999999992</v>
      </c>
      <c r="F93" s="88">
        <v>9.1199999999999992</v>
      </c>
      <c r="G93" s="88">
        <v>9.1199999999999992</v>
      </c>
      <c r="H93" s="88">
        <v>9.1199999999999992</v>
      </c>
      <c r="I93" s="88">
        <v>9.1199999999999992</v>
      </c>
      <c r="J93" s="88">
        <v>9.1199999999999992</v>
      </c>
      <c r="K93" s="88">
        <v>9.1199999999999992</v>
      </c>
      <c r="L93" s="88">
        <v>9.1199999999999992</v>
      </c>
      <c r="M93" s="90">
        <v>9.0399999999999991</v>
      </c>
      <c r="N93" s="91" t="s">
        <v>111</v>
      </c>
      <c r="O93" s="91" t="s">
        <v>111</v>
      </c>
      <c r="P93" s="91" t="s">
        <v>111</v>
      </c>
      <c r="Q93" s="91" t="s">
        <v>110</v>
      </c>
      <c r="R93" s="76"/>
      <c r="S93" s="76"/>
    </row>
    <row r="94" spans="1:19">
      <c r="A94" s="99">
        <v>9.0500000000000007</v>
      </c>
      <c r="B94" s="99">
        <v>9.0500000000000007</v>
      </c>
      <c r="C94" s="99">
        <v>9.1300000000000008</v>
      </c>
      <c r="D94" s="99">
        <v>9.1300000000000008</v>
      </c>
      <c r="E94" s="99">
        <v>9.1300000000000008</v>
      </c>
      <c r="F94" s="88">
        <v>9.1300000000000008</v>
      </c>
      <c r="G94" s="88">
        <v>9.1300000000000008</v>
      </c>
      <c r="H94" s="88">
        <v>9.1300000000000008</v>
      </c>
      <c r="I94" s="88">
        <v>9.1300000000000008</v>
      </c>
      <c r="J94" s="88">
        <v>9.1300000000000008</v>
      </c>
      <c r="K94" s="88">
        <v>9.1300000000000008</v>
      </c>
      <c r="L94" s="88">
        <v>9.1300000000000008</v>
      </c>
      <c r="M94" s="90">
        <v>9.0500000000000007</v>
      </c>
      <c r="N94" s="91" t="s">
        <v>113</v>
      </c>
      <c r="O94" s="91" t="s">
        <v>113</v>
      </c>
      <c r="P94" s="91" t="s">
        <v>113</v>
      </c>
      <c r="Q94" s="91" t="s">
        <v>112</v>
      </c>
      <c r="R94" s="76"/>
      <c r="S94" s="76"/>
    </row>
    <row r="95" spans="1:19">
      <c r="A95" s="99">
        <v>9.06</v>
      </c>
      <c r="B95" s="99">
        <v>9.06</v>
      </c>
      <c r="C95" s="99">
        <v>9.14</v>
      </c>
      <c r="D95" s="99">
        <v>9.14</v>
      </c>
      <c r="E95" s="99">
        <v>9.14</v>
      </c>
      <c r="F95" s="85">
        <v>9.14</v>
      </c>
      <c r="G95" s="85">
        <v>9.14</v>
      </c>
      <c r="H95" s="85">
        <v>9.14</v>
      </c>
      <c r="I95" s="88">
        <v>9.14</v>
      </c>
      <c r="J95" s="88">
        <v>9.14</v>
      </c>
      <c r="K95" s="88">
        <v>9.14</v>
      </c>
      <c r="L95" s="88">
        <v>9.14</v>
      </c>
      <c r="M95" s="90">
        <v>9.06</v>
      </c>
      <c r="N95" s="91" t="s">
        <v>109</v>
      </c>
      <c r="O95" s="91" t="s">
        <v>109</v>
      </c>
      <c r="P95" s="91" t="s">
        <v>109</v>
      </c>
      <c r="Q95" s="91" t="s">
        <v>108</v>
      </c>
      <c r="R95" s="76"/>
      <c r="S95" s="76"/>
    </row>
    <row r="96" spans="1:19">
      <c r="A96" s="99">
        <v>9.07</v>
      </c>
      <c r="B96" s="99">
        <v>9.07</v>
      </c>
      <c r="C96" s="99">
        <v>9.15</v>
      </c>
      <c r="D96" s="99">
        <v>9.15</v>
      </c>
      <c r="E96" s="99">
        <v>9.15</v>
      </c>
      <c r="F96" s="85">
        <v>9.15</v>
      </c>
      <c r="G96" s="85">
        <v>9.15</v>
      </c>
      <c r="H96" s="85">
        <v>9.15</v>
      </c>
      <c r="I96" s="88">
        <v>1.41</v>
      </c>
      <c r="J96" s="88" t="s">
        <v>29</v>
      </c>
      <c r="K96" s="88" t="s">
        <v>29</v>
      </c>
      <c r="L96" s="88" t="s">
        <v>29</v>
      </c>
      <c r="M96" s="88" t="s">
        <v>29</v>
      </c>
      <c r="N96" s="88" t="s">
        <v>29</v>
      </c>
      <c r="O96" s="88" t="s">
        <v>29</v>
      </c>
      <c r="P96" s="88" t="s">
        <v>29</v>
      </c>
      <c r="Q96" s="88" t="s">
        <v>29</v>
      </c>
      <c r="R96" s="76"/>
      <c r="S96" s="76"/>
    </row>
    <row r="97" spans="1:19">
      <c r="A97" s="99">
        <v>9.08</v>
      </c>
      <c r="B97" s="99">
        <v>9.08</v>
      </c>
      <c r="C97" s="99" t="s">
        <v>11</v>
      </c>
      <c r="D97" s="99" t="s">
        <v>11</v>
      </c>
      <c r="E97" s="99" t="s">
        <v>11</v>
      </c>
      <c r="F97" s="85" t="s">
        <v>43</v>
      </c>
      <c r="G97" s="85" t="s">
        <v>43</v>
      </c>
      <c r="H97" s="85" t="s">
        <v>43</v>
      </c>
      <c r="I97" s="88">
        <v>1.07</v>
      </c>
      <c r="J97" s="88">
        <v>1.07</v>
      </c>
      <c r="K97" s="88">
        <v>1.07</v>
      </c>
      <c r="L97" s="88">
        <v>1.07</v>
      </c>
      <c r="M97" s="90">
        <v>1.07</v>
      </c>
      <c r="N97" s="91" t="s">
        <v>168</v>
      </c>
      <c r="O97" s="91" t="s">
        <v>168</v>
      </c>
      <c r="P97" s="91" t="s">
        <v>168</v>
      </c>
      <c r="Q97" s="91" t="s">
        <v>168</v>
      </c>
      <c r="R97" s="76"/>
      <c r="S97" s="76"/>
    </row>
    <row r="98" spans="1:19">
      <c r="A98" s="99">
        <v>9.09</v>
      </c>
      <c r="B98" s="99">
        <v>9.09</v>
      </c>
      <c r="C98" s="99" t="s">
        <v>118</v>
      </c>
      <c r="D98" s="99" t="s">
        <v>118</v>
      </c>
      <c r="E98" s="99" t="s">
        <v>72</v>
      </c>
      <c r="F98" s="85" t="s">
        <v>72</v>
      </c>
      <c r="G98" s="85" t="s">
        <v>72</v>
      </c>
      <c r="H98" s="85" t="s">
        <v>72</v>
      </c>
      <c r="I98" s="88">
        <v>1.08</v>
      </c>
      <c r="J98" s="88">
        <v>1.08</v>
      </c>
      <c r="K98" s="88">
        <v>1.08</v>
      </c>
      <c r="L98" s="88">
        <v>1.08</v>
      </c>
      <c r="M98" s="90">
        <v>1.08</v>
      </c>
      <c r="N98" s="91" t="s">
        <v>169</v>
      </c>
      <c r="O98" s="91" t="s">
        <v>169</v>
      </c>
      <c r="P98" s="91" t="s">
        <v>169</v>
      </c>
      <c r="Q98" s="91" t="s">
        <v>169</v>
      </c>
      <c r="R98" s="76"/>
      <c r="S98" s="76"/>
    </row>
    <row r="99" spans="1:19">
      <c r="A99" s="92" t="s">
        <v>22</v>
      </c>
      <c r="B99" s="92" t="s">
        <v>22</v>
      </c>
      <c r="C99" s="92">
        <v>9.17</v>
      </c>
      <c r="D99" s="92">
        <v>9.17</v>
      </c>
      <c r="E99" s="92">
        <v>9.17</v>
      </c>
      <c r="F99" s="85">
        <v>9.17</v>
      </c>
      <c r="G99" s="85">
        <v>9.17</v>
      </c>
      <c r="H99" s="85">
        <v>9.17</v>
      </c>
      <c r="I99" s="88">
        <v>9.17</v>
      </c>
      <c r="J99" s="88">
        <v>9.17</v>
      </c>
      <c r="K99" s="88">
        <v>9.17</v>
      </c>
      <c r="L99" s="88">
        <v>9.17</v>
      </c>
      <c r="M99" s="100" t="s">
        <v>29</v>
      </c>
      <c r="N99" s="94" t="s">
        <v>29</v>
      </c>
      <c r="O99" s="94" t="s">
        <v>29</v>
      </c>
      <c r="P99" s="94" t="s">
        <v>29</v>
      </c>
      <c r="Q99" s="94" t="s">
        <v>29</v>
      </c>
      <c r="R99" s="76"/>
      <c r="S99" s="76"/>
    </row>
    <row r="100" spans="1:19">
      <c r="A100" s="92">
        <v>9.11</v>
      </c>
      <c r="B100" s="92">
        <v>9.11</v>
      </c>
      <c r="C100" s="92">
        <v>9.18</v>
      </c>
      <c r="D100" s="92">
        <v>9.18</v>
      </c>
      <c r="E100" s="92">
        <v>9.18</v>
      </c>
      <c r="F100" s="88">
        <v>9.18</v>
      </c>
      <c r="G100" s="88">
        <v>9.18</v>
      </c>
      <c r="H100" s="88">
        <v>9.18</v>
      </c>
      <c r="I100" s="88">
        <v>9.18</v>
      </c>
      <c r="J100" s="88">
        <v>9.18</v>
      </c>
      <c r="K100" s="88">
        <v>9.18</v>
      </c>
      <c r="L100" s="88">
        <v>9.18</v>
      </c>
      <c r="M100" s="100" t="s">
        <v>29</v>
      </c>
      <c r="N100" s="94" t="s">
        <v>29</v>
      </c>
      <c r="O100" s="94" t="s">
        <v>29</v>
      </c>
      <c r="P100" s="94" t="s">
        <v>29</v>
      </c>
      <c r="Q100" s="94" t="s">
        <v>29</v>
      </c>
      <c r="R100" s="76"/>
      <c r="S100" s="76"/>
    </row>
    <row r="101" spans="1:19">
      <c r="A101" s="99">
        <v>9.1199999999999992</v>
      </c>
      <c r="B101" s="99">
        <v>9.1199999999999992</v>
      </c>
      <c r="C101" s="99">
        <v>9.19</v>
      </c>
      <c r="D101" s="99">
        <v>9.19</v>
      </c>
      <c r="E101" s="99">
        <v>9.19</v>
      </c>
      <c r="F101" s="88">
        <v>9.19</v>
      </c>
      <c r="G101" s="88">
        <v>9.19</v>
      </c>
      <c r="H101" s="88">
        <v>9.19</v>
      </c>
      <c r="I101" s="88">
        <v>9.19</v>
      </c>
      <c r="J101" s="88">
        <v>9.19</v>
      </c>
      <c r="K101" s="88">
        <v>9.01</v>
      </c>
      <c r="L101" s="88">
        <v>9.01</v>
      </c>
      <c r="M101" s="90">
        <v>9.01</v>
      </c>
      <c r="N101" s="94" t="s">
        <v>29</v>
      </c>
      <c r="O101" s="94" t="s">
        <v>29</v>
      </c>
      <c r="P101" s="94" t="s">
        <v>29</v>
      </c>
      <c r="Q101" s="94" t="s">
        <v>29</v>
      </c>
      <c r="R101" s="76"/>
      <c r="S101" s="76"/>
    </row>
    <row r="102" spans="1:19">
      <c r="A102" s="99">
        <v>9.1300000000000008</v>
      </c>
      <c r="B102" s="99">
        <v>9.1300000000000008</v>
      </c>
      <c r="C102" s="99">
        <v>9.0299999999999994</v>
      </c>
      <c r="D102" s="99">
        <v>9.0299999999999994</v>
      </c>
      <c r="E102" s="99">
        <v>9.0299999999999994</v>
      </c>
      <c r="F102" s="88">
        <v>9.0299999999999994</v>
      </c>
      <c r="G102" s="88">
        <v>9.0299999999999994</v>
      </c>
      <c r="H102" s="88">
        <v>9.0299999999999994</v>
      </c>
      <c r="I102" s="88">
        <v>9.0299999999999994</v>
      </c>
      <c r="J102" s="88">
        <v>9.0299999999999994</v>
      </c>
      <c r="K102" s="88">
        <v>9.0299999999999994</v>
      </c>
      <c r="L102" s="88">
        <v>9.0299999999999994</v>
      </c>
      <c r="M102" s="90">
        <v>9.0299999999999994</v>
      </c>
      <c r="N102" s="94" t="s">
        <v>29</v>
      </c>
      <c r="O102" s="94" t="s">
        <v>29</v>
      </c>
      <c r="P102" s="94" t="s">
        <v>29</v>
      </c>
      <c r="Q102" s="94" t="s">
        <v>29</v>
      </c>
      <c r="R102" s="76"/>
      <c r="S102" s="76"/>
    </row>
    <row r="103" spans="1:19">
      <c r="A103" s="99">
        <v>9.14</v>
      </c>
      <c r="B103" s="99">
        <v>9.14</v>
      </c>
      <c r="C103" s="99">
        <v>9.0399999999999991</v>
      </c>
      <c r="D103" s="99">
        <v>9.0399999999999991</v>
      </c>
      <c r="E103" s="99">
        <v>9.0399999999999991</v>
      </c>
      <c r="F103" s="88">
        <v>9.0399999999999991</v>
      </c>
      <c r="G103" s="88">
        <v>9.0399999999999991</v>
      </c>
      <c r="H103" s="88">
        <v>9.0399999999999991</v>
      </c>
      <c r="I103" s="88">
        <v>9.0399999999999991</v>
      </c>
      <c r="J103" s="88">
        <v>9.0399999999999991</v>
      </c>
      <c r="K103" s="88">
        <v>9.0399999999999991</v>
      </c>
      <c r="L103" s="88">
        <v>9.0399999999999991</v>
      </c>
      <c r="M103" s="100" t="s">
        <v>29</v>
      </c>
      <c r="N103" s="94" t="s">
        <v>29</v>
      </c>
      <c r="O103" s="94" t="s">
        <v>29</v>
      </c>
      <c r="P103" s="94" t="s">
        <v>29</v>
      </c>
      <c r="Q103" s="94" t="s">
        <v>29</v>
      </c>
      <c r="R103" s="76"/>
      <c r="S103" s="76"/>
    </row>
    <row r="104" spans="1:19">
      <c r="A104" s="99">
        <v>9.15</v>
      </c>
      <c r="B104" s="99">
        <v>9.15</v>
      </c>
      <c r="C104" s="99" t="s">
        <v>29</v>
      </c>
      <c r="D104" s="99" t="s">
        <v>29</v>
      </c>
      <c r="E104" s="99" t="s">
        <v>29</v>
      </c>
      <c r="F104" s="92" t="s">
        <v>29</v>
      </c>
      <c r="G104" s="92" t="s">
        <v>29</v>
      </c>
      <c r="H104" s="92" t="s">
        <v>29</v>
      </c>
      <c r="I104" s="92" t="s">
        <v>29</v>
      </c>
      <c r="J104" s="92" t="s">
        <v>29</v>
      </c>
      <c r="K104" s="92" t="s">
        <v>29</v>
      </c>
      <c r="L104" s="92" t="s">
        <v>29</v>
      </c>
      <c r="M104" s="92" t="s">
        <v>29</v>
      </c>
      <c r="N104" s="92" t="s">
        <v>29</v>
      </c>
      <c r="O104" s="92" t="s">
        <v>29</v>
      </c>
      <c r="P104" s="92" t="s">
        <v>29</v>
      </c>
      <c r="Q104" s="92" t="s">
        <v>29</v>
      </c>
      <c r="R104" s="76"/>
      <c r="S104" s="76"/>
    </row>
    <row r="105" spans="1:19">
      <c r="A105" s="99" t="s">
        <v>31</v>
      </c>
      <c r="B105" s="99" t="s">
        <v>31</v>
      </c>
      <c r="C105" s="99" t="s">
        <v>31</v>
      </c>
      <c r="D105" s="99" t="s">
        <v>31</v>
      </c>
      <c r="E105" s="99" t="s">
        <v>31</v>
      </c>
      <c r="F105" s="88" t="s">
        <v>31</v>
      </c>
      <c r="G105" s="88" t="s">
        <v>31</v>
      </c>
      <c r="H105" s="88" t="s">
        <v>31</v>
      </c>
      <c r="I105" s="92" t="s">
        <v>31</v>
      </c>
      <c r="J105" s="93">
        <v>2.0099999999999998</v>
      </c>
      <c r="K105" s="93">
        <v>2.0099999999999998</v>
      </c>
      <c r="L105" s="93">
        <v>2.0099999999999998</v>
      </c>
      <c r="M105" s="93">
        <v>2.0099999999999998</v>
      </c>
      <c r="N105" s="91" t="s">
        <v>25</v>
      </c>
      <c r="O105" s="91" t="s">
        <v>25</v>
      </c>
      <c r="P105" s="91" t="s">
        <v>25</v>
      </c>
      <c r="Q105" s="91" t="s">
        <v>29</v>
      </c>
      <c r="R105" s="76"/>
      <c r="S105" s="76"/>
    </row>
    <row r="106" spans="1:19">
      <c r="A106" s="99" t="s">
        <v>32</v>
      </c>
      <c r="B106" s="99" t="s">
        <v>32</v>
      </c>
      <c r="C106" s="99" t="s">
        <v>32</v>
      </c>
      <c r="D106" s="99" t="s">
        <v>32</v>
      </c>
      <c r="E106" s="99" t="s">
        <v>32</v>
      </c>
      <c r="F106" s="96" t="s">
        <v>32</v>
      </c>
      <c r="G106" s="96" t="s">
        <v>32</v>
      </c>
      <c r="H106" s="96" t="s">
        <v>32</v>
      </c>
      <c r="I106" s="92" t="s">
        <v>32</v>
      </c>
      <c r="J106" s="93">
        <v>2.02</v>
      </c>
      <c r="K106" s="93">
        <v>2.02</v>
      </c>
      <c r="L106" s="93">
        <v>2.02</v>
      </c>
      <c r="M106" s="93">
        <v>2.02</v>
      </c>
      <c r="N106" s="91" t="s">
        <v>25</v>
      </c>
      <c r="O106" s="91" t="s">
        <v>25</v>
      </c>
      <c r="P106" s="91" t="s">
        <v>25</v>
      </c>
      <c r="Q106" s="91" t="s">
        <v>29</v>
      </c>
      <c r="R106" s="76"/>
      <c r="S106" s="76"/>
    </row>
    <row r="107" spans="1:19">
      <c r="A107" s="99" t="s">
        <v>33</v>
      </c>
      <c r="B107" s="99" t="s">
        <v>33</v>
      </c>
      <c r="C107" s="99" t="s">
        <v>33</v>
      </c>
      <c r="D107" s="99" t="s">
        <v>33</v>
      </c>
      <c r="E107" s="99" t="s">
        <v>33</v>
      </c>
      <c r="F107" s="88" t="s">
        <v>33</v>
      </c>
      <c r="G107" s="88" t="s">
        <v>33</v>
      </c>
      <c r="H107" s="88" t="s">
        <v>33</v>
      </c>
      <c r="I107" s="96" t="s">
        <v>33</v>
      </c>
      <c r="J107" s="88">
        <v>2.13</v>
      </c>
      <c r="K107" s="88" t="s">
        <v>29</v>
      </c>
      <c r="L107" s="88" t="s">
        <v>29</v>
      </c>
      <c r="M107" s="88" t="s">
        <v>29</v>
      </c>
      <c r="N107" s="88" t="s">
        <v>29</v>
      </c>
      <c r="O107" s="88" t="s">
        <v>29</v>
      </c>
      <c r="P107" s="88" t="s">
        <v>29</v>
      </c>
      <c r="Q107" s="88" t="s">
        <v>29</v>
      </c>
      <c r="R107" s="76"/>
      <c r="S107" s="76"/>
    </row>
    <row r="108" spans="1:19">
      <c r="A108" s="85" t="s">
        <v>1714</v>
      </c>
      <c r="B108" s="85">
        <v>10.039999999999999</v>
      </c>
      <c r="C108" s="85">
        <v>10.039999999999999</v>
      </c>
      <c r="D108" s="85">
        <v>10.039999999999999</v>
      </c>
      <c r="E108" s="85">
        <v>11.16</v>
      </c>
      <c r="F108" s="92">
        <v>11.16</v>
      </c>
      <c r="G108" s="92">
        <v>11.16</v>
      </c>
      <c r="H108" s="92">
        <v>11.16</v>
      </c>
      <c r="I108" s="93">
        <v>2.0299999999999998</v>
      </c>
      <c r="J108" s="93">
        <v>2.0299999999999998</v>
      </c>
      <c r="K108" s="93">
        <v>2.0299999999999998</v>
      </c>
      <c r="L108" s="93">
        <v>2.0299999999999998</v>
      </c>
      <c r="M108" s="91">
        <v>2.0299999999999998</v>
      </c>
      <c r="N108" s="91" t="s">
        <v>182</v>
      </c>
      <c r="O108" s="91" t="s">
        <v>182</v>
      </c>
      <c r="P108" s="91" t="s">
        <v>182</v>
      </c>
      <c r="Q108" s="91" t="s">
        <v>29</v>
      </c>
      <c r="R108" s="76"/>
      <c r="S108" s="76"/>
    </row>
    <row r="109" spans="1:19">
      <c r="A109" s="98" t="s">
        <v>1716</v>
      </c>
      <c r="B109" s="98">
        <v>10.050000000000001</v>
      </c>
      <c r="C109" s="98">
        <v>10.050000000000001</v>
      </c>
      <c r="D109" s="98">
        <v>10.050000000000001</v>
      </c>
      <c r="E109" s="98">
        <v>2.0699999999999998</v>
      </c>
      <c r="F109" s="93">
        <v>2.0699999999999998</v>
      </c>
      <c r="G109" s="93">
        <v>2.0699999999999998</v>
      </c>
      <c r="H109" s="93">
        <v>2.0699999999999998</v>
      </c>
      <c r="I109" s="93">
        <v>2.0699999999999998</v>
      </c>
      <c r="J109" s="93">
        <v>2.0699999999999998</v>
      </c>
      <c r="K109" s="93">
        <v>2.0699999999999998</v>
      </c>
      <c r="L109" s="93">
        <v>2.0699999999999998</v>
      </c>
      <c r="M109" s="91">
        <v>2.0699999999999998</v>
      </c>
      <c r="N109" s="91" t="s">
        <v>23</v>
      </c>
      <c r="O109" s="91" t="s">
        <v>23</v>
      </c>
      <c r="P109" s="91" t="s">
        <v>17</v>
      </c>
      <c r="Q109" s="91" t="s">
        <v>29</v>
      </c>
      <c r="R109" s="76"/>
      <c r="S109" s="76"/>
    </row>
    <row r="110" spans="1:19">
      <c r="A110" s="99">
        <v>11.01</v>
      </c>
      <c r="B110" s="99">
        <v>11.01</v>
      </c>
      <c r="C110" s="99">
        <v>11.01</v>
      </c>
      <c r="D110" s="99">
        <v>11.01</v>
      </c>
      <c r="E110" s="99">
        <v>11.01</v>
      </c>
      <c r="F110" s="88">
        <v>11.01</v>
      </c>
      <c r="G110" s="88">
        <v>11.01</v>
      </c>
      <c r="H110" s="88">
        <v>11.01</v>
      </c>
      <c r="I110" s="88">
        <v>1.42</v>
      </c>
      <c r="J110" s="88">
        <v>1.42</v>
      </c>
      <c r="K110" s="88">
        <v>1.42</v>
      </c>
      <c r="L110" s="88">
        <v>1.42</v>
      </c>
      <c r="M110" s="90">
        <v>8.02</v>
      </c>
      <c r="N110" s="91" t="s">
        <v>130</v>
      </c>
      <c r="O110" s="91" t="s">
        <v>130</v>
      </c>
      <c r="P110" s="91" t="s">
        <v>130</v>
      </c>
      <c r="Q110" s="91" t="s">
        <v>130</v>
      </c>
      <c r="R110" s="76"/>
      <c r="S110" s="76"/>
    </row>
    <row r="111" spans="1:19">
      <c r="A111" s="99">
        <v>11.02</v>
      </c>
      <c r="B111" s="99">
        <v>11.02</v>
      </c>
      <c r="C111" s="99">
        <v>11.02</v>
      </c>
      <c r="D111" s="99">
        <v>11.02</v>
      </c>
      <c r="E111" s="99">
        <v>11.02</v>
      </c>
      <c r="F111" s="88">
        <v>11.02</v>
      </c>
      <c r="G111" s="88">
        <v>11.02</v>
      </c>
      <c r="H111" s="88">
        <v>11.02</v>
      </c>
      <c r="I111" s="88">
        <v>1.02</v>
      </c>
      <c r="J111" s="88">
        <v>1.02</v>
      </c>
      <c r="K111" s="88">
        <v>1.02</v>
      </c>
      <c r="L111" s="88">
        <v>1.02</v>
      </c>
      <c r="M111" s="90">
        <v>1.02</v>
      </c>
      <c r="N111" s="94" t="s">
        <v>29</v>
      </c>
      <c r="O111" s="94" t="s">
        <v>29</v>
      </c>
      <c r="P111" s="94" t="s">
        <v>29</v>
      </c>
      <c r="Q111" s="94" t="s">
        <v>29</v>
      </c>
      <c r="R111" s="76"/>
      <c r="S111" s="76"/>
    </row>
    <row r="112" spans="1:19">
      <c r="A112" s="99">
        <v>11.03</v>
      </c>
      <c r="B112" s="99">
        <v>11.03</v>
      </c>
      <c r="C112" s="99">
        <v>11.03</v>
      </c>
      <c r="D112" s="99">
        <v>11.03</v>
      </c>
      <c r="E112" s="99">
        <v>11.03</v>
      </c>
      <c r="F112" s="88">
        <v>11.03</v>
      </c>
      <c r="G112" s="88">
        <v>11.03</v>
      </c>
      <c r="H112" s="88">
        <v>11.03</v>
      </c>
      <c r="I112" s="88">
        <v>1.03</v>
      </c>
      <c r="J112" s="88">
        <v>1.03</v>
      </c>
      <c r="K112" s="88">
        <v>1.03</v>
      </c>
      <c r="L112" s="88">
        <v>1.03</v>
      </c>
      <c r="M112" s="90">
        <v>1.03</v>
      </c>
      <c r="N112" s="91" t="s">
        <v>148</v>
      </c>
      <c r="O112" s="91" t="s">
        <v>148</v>
      </c>
      <c r="P112" s="91" t="s">
        <v>148</v>
      </c>
      <c r="Q112" s="91" t="s">
        <v>148</v>
      </c>
      <c r="R112" s="76"/>
      <c r="S112" s="76"/>
    </row>
    <row r="113" spans="1:19">
      <c r="A113" s="98">
        <v>11.04</v>
      </c>
      <c r="B113" s="98">
        <v>11.04</v>
      </c>
      <c r="C113" s="98">
        <v>11.04</v>
      </c>
      <c r="D113" s="98">
        <v>11.04</v>
      </c>
      <c r="E113" s="98" t="s">
        <v>29</v>
      </c>
      <c r="F113" s="93" t="s">
        <v>29</v>
      </c>
      <c r="G113" s="93" t="s">
        <v>29</v>
      </c>
      <c r="H113" s="93" t="s">
        <v>29</v>
      </c>
      <c r="I113" s="93" t="s">
        <v>29</v>
      </c>
      <c r="J113" s="93" t="s">
        <v>29</v>
      </c>
      <c r="K113" s="93" t="s">
        <v>29</v>
      </c>
      <c r="L113" s="93" t="s">
        <v>29</v>
      </c>
      <c r="M113" s="93" t="s">
        <v>29</v>
      </c>
      <c r="N113" s="93" t="s">
        <v>29</v>
      </c>
      <c r="O113" s="93" t="s">
        <v>29</v>
      </c>
      <c r="P113" s="93" t="s">
        <v>29</v>
      </c>
      <c r="Q113" s="93" t="s">
        <v>29</v>
      </c>
      <c r="R113" s="76"/>
      <c r="S113" s="76"/>
    </row>
    <row r="114" spans="1:19">
      <c r="A114" s="99">
        <v>11.05</v>
      </c>
      <c r="B114" s="99">
        <v>11.05</v>
      </c>
      <c r="C114" s="99">
        <v>11.05</v>
      </c>
      <c r="D114" s="99">
        <v>11.05</v>
      </c>
      <c r="E114" s="99">
        <v>11.05</v>
      </c>
      <c r="F114" s="88">
        <v>11.05</v>
      </c>
      <c r="G114" s="88">
        <v>11.05</v>
      </c>
      <c r="H114" s="88">
        <v>11.05</v>
      </c>
      <c r="I114" s="88">
        <v>1.05</v>
      </c>
      <c r="J114" s="88">
        <v>1.05</v>
      </c>
      <c r="K114" s="88">
        <v>1.05</v>
      </c>
      <c r="L114" s="88">
        <v>1.05</v>
      </c>
      <c r="M114" s="90">
        <v>1.05</v>
      </c>
      <c r="N114" s="91" t="s">
        <v>152</v>
      </c>
      <c r="O114" s="91" t="s">
        <v>152</v>
      </c>
      <c r="P114" s="91" t="s">
        <v>152</v>
      </c>
      <c r="Q114" s="91" t="s">
        <v>152</v>
      </c>
      <c r="R114" s="76"/>
      <c r="S114" s="76"/>
    </row>
    <row r="115" spans="1:19">
      <c r="A115" s="99">
        <v>11.06</v>
      </c>
      <c r="B115" s="99">
        <v>11.06</v>
      </c>
      <c r="C115" s="99">
        <v>11.06</v>
      </c>
      <c r="D115" s="99">
        <v>11.06</v>
      </c>
      <c r="E115" s="99">
        <v>11.06</v>
      </c>
      <c r="F115" s="88">
        <v>11.06</v>
      </c>
      <c r="G115" s="88">
        <v>11.06</v>
      </c>
      <c r="H115" s="88">
        <v>11.06</v>
      </c>
      <c r="I115" s="88">
        <v>1.06</v>
      </c>
      <c r="J115" s="88">
        <v>1.06</v>
      </c>
      <c r="K115" s="88">
        <v>1.06</v>
      </c>
      <c r="L115" s="88">
        <v>1.06</v>
      </c>
      <c r="M115" s="90">
        <v>1.06</v>
      </c>
      <c r="N115" s="91" t="s">
        <v>153</v>
      </c>
      <c r="O115" s="91" t="s">
        <v>153</v>
      </c>
      <c r="P115" s="91" t="s">
        <v>153</v>
      </c>
      <c r="Q115" s="91" t="s">
        <v>153</v>
      </c>
      <c r="R115" s="76"/>
      <c r="S115" s="76"/>
    </row>
    <row r="116" spans="1:19">
      <c r="A116" s="99">
        <v>11.07</v>
      </c>
      <c r="B116" s="99">
        <v>11.07</v>
      </c>
      <c r="C116" s="99">
        <v>11.07</v>
      </c>
      <c r="D116" s="99">
        <v>11.07</v>
      </c>
      <c r="E116" s="99">
        <v>11.07</v>
      </c>
      <c r="F116" s="88">
        <v>11.11</v>
      </c>
      <c r="G116" s="88">
        <v>11.11</v>
      </c>
      <c r="H116" s="88">
        <v>11.11</v>
      </c>
      <c r="I116" s="88">
        <v>1.34</v>
      </c>
      <c r="J116" s="88">
        <v>1.34</v>
      </c>
      <c r="K116" s="88">
        <v>1.34</v>
      </c>
      <c r="L116" s="88">
        <v>1.34</v>
      </c>
      <c r="M116" s="90" t="s">
        <v>29</v>
      </c>
      <c r="N116" s="94" t="s">
        <v>29</v>
      </c>
      <c r="O116" s="94" t="s">
        <v>29</v>
      </c>
      <c r="P116" s="94" t="s">
        <v>29</v>
      </c>
      <c r="Q116" s="94" t="s">
        <v>29</v>
      </c>
      <c r="R116" s="76"/>
      <c r="S116" s="76"/>
    </row>
    <row r="117" spans="1:19">
      <c r="A117" s="99">
        <v>11.08</v>
      </c>
      <c r="B117" s="99">
        <v>11.08</v>
      </c>
      <c r="C117" s="99">
        <v>11.08</v>
      </c>
      <c r="D117" s="99">
        <v>11.08</v>
      </c>
      <c r="E117" s="99">
        <v>11.08</v>
      </c>
      <c r="F117" s="88">
        <v>11.08</v>
      </c>
      <c r="G117" s="88">
        <v>11.08</v>
      </c>
      <c r="H117" s="88">
        <v>11.08</v>
      </c>
      <c r="I117" s="88">
        <v>1.36</v>
      </c>
      <c r="J117" s="88">
        <v>1.36</v>
      </c>
      <c r="K117" s="88">
        <v>1.36</v>
      </c>
      <c r="L117" s="88">
        <v>1.36</v>
      </c>
      <c r="M117" s="90" t="s">
        <v>29</v>
      </c>
      <c r="N117" s="94" t="s">
        <v>29</v>
      </c>
      <c r="O117" s="94" t="s">
        <v>29</v>
      </c>
      <c r="P117" s="94" t="s">
        <v>29</v>
      </c>
      <c r="Q117" s="94" t="s">
        <v>29</v>
      </c>
      <c r="R117" s="76"/>
      <c r="S117" s="76"/>
    </row>
    <row r="118" spans="1:19">
      <c r="A118" s="98">
        <v>11.09</v>
      </c>
      <c r="B118" s="98">
        <v>11.09</v>
      </c>
      <c r="C118" s="98">
        <v>11.09</v>
      </c>
      <c r="D118" s="98">
        <v>11.09</v>
      </c>
      <c r="E118" s="98" t="s">
        <v>29</v>
      </c>
      <c r="F118" s="93" t="s">
        <v>29</v>
      </c>
      <c r="G118" s="93" t="s">
        <v>29</v>
      </c>
      <c r="H118" s="93" t="s">
        <v>29</v>
      </c>
      <c r="I118" s="93" t="s">
        <v>29</v>
      </c>
      <c r="J118" s="93" t="s">
        <v>29</v>
      </c>
      <c r="K118" s="93" t="s">
        <v>29</v>
      </c>
      <c r="L118" s="93" t="s">
        <v>29</v>
      </c>
      <c r="M118" s="93" t="s">
        <v>29</v>
      </c>
      <c r="N118" s="93" t="s">
        <v>29</v>
      </c>
      <c r="O118" s="93" t="s">
        <v>29</v>
      </c>
      <c r="P118" s="93" t="s">
        <v>29</v>
      </c>
      <c r="Q118" s="93" t="s">
        <v>29</v>
      </c>
      <c r="R118" s="76"/>
      <c r="S118" s="76"/>
    </row>
    <row r="119" spans="1:19">
      <c r="A119" s="89" t="s">
        <v>42</v>
      </c>
      <c r="B119" s="89" t="s">
        <v>42</v>
      </c>
      <c r="C119" s="89" t="s">
        <v>42</v>
      </c>
      <c r="D119" s="89" t="s">
        <v>42</v>
      </c>
      <c r="E119" s="89" t="s">
        <v>42</v>
      </c>
      <c r="F119" s="88">
        <v>11.17</v>
      </c>
      <c r="G119" s="88">
        <v>11.17</v>
      </c>
      <c r="H119" s="88">
        <v>11.17</v>
      </c>
      <c r="I119" s="88">
        <v>1.49</v>
      </c>
      <c r="J119" s="88">
        <v>1.49</v>
      </c>
      <c r="K119" s="88" t="s">
        <v>29</v>
      </c>
      <c r="L119" s="88" t="s">
        <v>29</v>
      </c>
      <c r="M119" s="88" t="s">
        <v>29</v>
      </c>
      <c r="N119" s="88" t="s">
        <v>29</v>
      </c>
      <c r="O119" s="88" t="s">
        <v>29</v>
      </c>
      <c r="P119" s="88" t="s">
        <v>29</v>
      </c>
      <c r="Q119" s="88" t="s">
        <v>29</v>
      </c>
      <c r="R119" s="76"/>
      <c r="S119" s="76"/>
    </row>
    <row r="120" spans="1:19">
      <c r="A120" s="89">
        <v>11.11</v>
      </c>
      <c r="B120" s="89">
        <v>11.11</v>
      </c>
      <c r="C120" s="89">
        <v>11.11</v>
      </c>
      <c r="D120" s="89">
        <v>11.11</v>
      </c>
      <c r="E120" s="89">
        <v>11.11</v>
      </c>
      <c r="F120" s="85">
        <v>11.18</v>
      </c>
      <c r="G120" s="85">
        <v>11.18</v>
      </c>
      <c r="H120" s="85">
        <v>11.18</v>
      </c>
      <c r="I120" s="85" t="s">
        <v>29</v>
      </c>
      <c r="J120" s="85" t="s">
        <v>29</v>
      </c>
      <c r="K120" s="85" t="s">
        <v>29</v>
      </c>
      <c r="L120" s="85" t="s">
        <v>29</v>
      </c>
      <c r="M120" s="85" t="s">
        <v>29</v>
      </c>
      <c r="N120" s="85" t="s">
        <v>29</v>
      </c>
      <c r="O120" s="85" t="s">
        <v>29</v>
      </c>
      <c r="P120" s="85" t="s">
        <v>29</v>
      </c>
      <c r="Q120" s="85" t="s">
        <v>29</v>
      </c>
      <c r="R120" s="76"/>
      <c r="S120" s="76"/>
    </row>
    <row r="121" spans="1:19">
      <c r="A121" s="99">
        <v>11.12</v>
      </c>
      <c r="B121" s="99">
        <v>11.12</v>
      </c>
      <c r="C121" s="99">
        <v>11.12</v>
      </c>
      <c r="D121" s="99">
        <v>11.12</v>
      </c>
      <c r="E121" s="99">
        <v>11.12</v>
      </c>
      <c r="F121" s="88">
        <v>11.12</v>
      </c>
      <c r="G121" s="88">
        <v>11.12</v>
      </c>
      <c r="H121" s="88">
        <v>11.12</v>
      </c>
      <c r="I121" s="88">
        <v>1.48</v>
      </c>
      <c r="J121" s="88">
        <v>1.48</v>
      </c>
      <c r="K121" s="88" t="s">
        <v>29</v>
      </c>
      <c r="L121" s="88" t="s">
        <v>29</v>
      </c>
      <c r="M121" s="88" t="s">
        <v>29</v>
      </c>
      <c r="N121" s="88" t="s">
        <v>29</v>
      </c>
      <c r="O121" s="88" t="s">
        <v>29</v>
      </c>
      <c r="P121" s="88" t="s">
        <v>29</v>
      </c>
      <c r="Q121" s="88" t="s">
        <v>29</v>
      </c>
      <c r="R121" s="76"/>
      <c r="S121" s="76"/>
    </row>
    <row r="122" spans="1:19">
      <c r="A122" s="99">
        <v>11.13</v>
      </c>
      <c r="B122" s="99">
        <v>11.13</v>
      </c>
      <c r="C122" s="99">
        <v>11.13</v>
      </c>
      <c r="D122" s="99">
        <v>11.13</v>
      </c>
      <c r="E122" s="99">
        <v>11.13</v>
      </c>
      <c r="F122" s="88">
        <v>11.13</v>
      </c>
      <c r="G122" s="88">
        <v>11.13</v>
      </c>
      <c r="H122" s="88">
        <v>11.13</v>
      </c>
      <c r="I122" s="88">
        <v>1.47</v>
      </c>
      <c r="J122" s="88">
        <v>1.47</v>
      </c>
      <c r="K122" s="88" t="s">
        <v>29</v>
      </c>
      <c r="L122" s="88" t="s">
        <v>29</v>
      </c>
      <c r="M122" s="88" t="s">
        <v>29</v>
      </c>
      <c r="N122" s="88" t="s">
        <v>29</v>
      </c>
      <c r="O122" s="88" t="s">
        <v>29</v>
      </c>
      <c r="P122" s="88" t="s">
        <v>29</v>
      </c>
      <c r="Q122" s="88" t="s">
        <v>29</v>
      </c>
      <c r="R122" s="76"/>
      <c r="S122" s="76"/>
    </row>
    <row r="123" spans="1:19">
      <c r="A123" s="99">
        <v>11.14</v>
      </c>
      <c r="B123" s="99">
        <v>11.14</v>
      </c>
      <c r="C123" s="99">
        <v>11.14</v>
      </c>
      <c r="D123" s="99">
        <v>11.14</v>
      </c>
      <c r="E123" s="99">
        <v>11.14</v>
      </c>
      <c r="F123" s="88">
        <v>11.14</v>
      </c>
      <c r="G123" s="88">
        <v>11.14</v>
      </c>
      <c r="H123" s="88">
        <v>11.14</v>
      </c>
      <c r="I123" s="92">
        <v>2.0099999999999998</v>
      </c>
      <c r="J123" s="93" t="s">
        <v>29</v>
      </c>
      <c r="K123" s="93" t="s">
        <v>29</v>
      </c>
      <c r="L123" s="93" t="s">
        <v>29</v>
      </c>
      <c r="M123" s="93" t="s">
        <v>29</v>
      </c>
      <c r="N123" s="93" t="s">
        <v>29</v>
      </c>
      <c r="O123" s="93" t="s">
        <v>29</v>
      </c>
      <c r="P123" s="93" t="s">
        <v>29</v>
      </c>
      <c r="Q123" s="93" t="s">
        <v>29</v>
      </c>
      <c r="R123" s="76"/>
      <c r="S123" s="76"/>
    </row>
    <row r="124" spans="1:19">
      <c r="A124" s="98">
        <v>11.15</v>
      </c>
      <c r="B124" s="98">
        <v>11.15</v>
      </c>
      <c r="C124" s="98">
        <v>11.15</v>
      </c>
      <c r="D124" s="98">
        <v>11.15</v>
      </c>
      <c r="E124" s="98">
        <v>11.15</v>
      </c>
      <c r="F124" s="92">
        <v>11.15</v>
      </c>
      <c r="G124" s="92">
        <v>11.15</v>
      </c>
      <c r="H124" s="92">
        <v>11.15</v>
      </c>
      <c r="I124" s="88">
        <v>2.02</v>
      </c>
      <c r="J124" s="88">
        <v>2.12</v>
      </c>
      <c r="K124" s="88">
        <v>2.12</v>
      </c>
      <c r="L124" s="88" t="s">
        <v>29</v>
      </c>
      <c r="M124" s="88" t="s">
        <v>29</v>
      </c>
      <c r="N124" s="88" t="s">
        <v>29</v>
      </c>
      <c r="O124" s="88" t="s">
        <v>29</v>
      </c>
      <c r="P124" s="88" t="s">
        <v>29</v>
      </c>
      <c r="Q124" s="88" t="s">
        <v>29</v>
      </c>
      <c r="R124" s="76"/>
      <c r="S124" s="76"/>
    </row>
    <row r="125" spans="1:19">
      <c r="A125" s="98">
        <v>11.16</v>
      </c>
      <c r="B125" s="98">
        <v>11.16</v>
      </c>
      <c r="C125" s="98">
        <v>11.16</v>
      </c>
      <c r="D125" s="98">
        <v>11.16</v>
      </c>
      <c r="E125" s="98" t="s">
        <v>29</v>
      </c>
      <c r="F125" s="93" t="s">
        <v>29</v>
      </c>
      <c r="G125" s="93" t="s">
        <v>29</v>
      </c>
      <c r="H125" s="93" t="s">
        <v>29</v>
      </c>
      <c r="I125" s="93" t="s">
        <v>29</v>
      </c>
      <c r="J125" s="93" t="s">
        <v>29</v>
      </c>
      <c r="K125" s="93" t="s">
        <v>29</v>
      </c>
      <c r="L125" s="93" t="s">
        <v>29</v>
      </c>
      <c r="M125" s="93" t="s">
        <v>29</v>
      </c>
      <c r="N125" s="93" t="s">
        <v>29</v>
      </c>
      <c r="O125" s="93" t="s">
        <v>29</v>
      </c>
      <c r="P125" s="93" t="s">
        <v>29</v>
      </c>
      <c r="Q125" s="93" t="s">
        <v>29</v>
      </c>
      <c r="R125" s="76"/>
      <c r="S125" s="76"/>
    </row>
    <row r="126" spans="1:19">
      <c r="A126" s="89">
        <v>11.17</v>
      </c>
      <c r="B126" s="89">
        <v>11.17</v>
      </c>
      <c r="C126" s="89">
        <v>11.17</v>
      </c>
      <c r="D126" s="89">
        <v>11.17</v>
      </c>
      <c r="E126" s="89">
        <v>11.17</v>
      </c>
      <c r="F126" s="88">
        <v>11.19</v>
      </c>
      <c r="G126" s="88">
        <v>11.19</v>
      </c>
      <c r="H126" s="88" t="s">
        <v>29</v>
      </c>
      <c r="I126" s="88" t="s">
        <v>29</v>
      </c>
      <c r="J126" s="88" t="s">
        <v>29</v>
      </c>
      <c r="K126" s="88" t="s">
        <v>29</v>
      </c>
      <c r="L126" s="88" t="s">
        <v>29</v>
      </c>
      <c r="M126" s="88" t="s">
        <v>29</v>
      </c>
      <c r="N126" s="88" t="s">
        <v>29</v>
      </c>
      <c r="O126" s="88" t="s">
        <v>29</v>
      </c>
      <c r="P126" s="88" t="s">
        <v>29</v>
      </c>
      <c r="Q126" s="88" t="s">
        <v>29</v>
      </c>
      <c r="R126" s="76"/>
      <c r="S126" s="76"/>
    </row>
    <row r="127" spans="1:19">
      <c r="A127" s="89">
        <v>11.18</v>
      </c>
      <c r="B127" s="89">
        <v>11.18</v>
      </c>
      <c r="C127" s="87" t="s">
        <v>29</v>
      </c>
      <c r="D127" s="87" t="s">
        <v>29</v>
      </c>
      <c r="E127" s="87" t="s">
        <v>29</v>
      </c>
      <c r="F127" s="94" t="s">
        <v>29</v>
      </c>
      <c r="G127" s="94" t="s">
        <v>29</v>
      </c>
      <c r="H127" s="94" t="s">
        <v>29</v>
      </c>
      <c r="I127" s="94" t="s">
        <v>29</v>
      </c>
      <c r="J127" s="94" t="s">
        <v>29</v>
      </c>
      <c r="K127" s="94" t="s">
        <v>29</v>
      </c>
      <c r="L127" s="94" t="s">
        <v>29</v>
      </c>
      <c r="M127" s="94" t="s">
        <v>29</v>
      </c>
      <c r="N127" s="94" t="s">
        <v>29</v>
      </c>
      <c r="O127" s="94" t="s">
        <v>29</v>
      </c>
      <c r="P127" s="94" t="s">
        <v>29</v>
      </c>
      <c r="Q127" s="94" t="s">
        <v>29</v>
      </c>
      <c r="R127" s="76"/>
      <c r="S127" s="76"/>
    </row>
    <row r="128" spans="1:19">
      <c r="A128" s="98">
        <v>12.01</v>
      </c>
      <c r="B128" s="98">
        <v>12.01</v>
      </c>
      <c r="C128" s="98">
        <v>3.01</v>
      </c>
      <c r="D128" s="98">
        <v>3.01</v>
      </c>
      <c r="E128" s="98">
        <v>3.01</v>
      </c>
      <c r="F128" s="88">
        <v>3.01</v>
      </c>
      <c r="G128" s="88">
        <v>3.01</v>
      </c>
      <c r="H128" s="88">
        <v>3.01</v>
      </c>
      <c r="I128" s="88" t="s">
        <v>29</v>
      </c>
      <c r="J128" s="88" t="s">
        <v>29</v>
      </c>
      <c r="K128" s="88" t="s">
        <v>29</v>
      </c>
      <c r="L128" s="88" t="s">
        <v>29</v>
      </c>
      <c r="M128" s="88" t="s">
        <v>29</v>
      </c>
      <c r="N128" s="88" t="s">
        <v>29</v>
      </c>
      <c r="O128" s="88" t="s">
        <v>29</v>
      </c>
      <c r="P128" s="88" t="s">
        <v>29</v>
      </c>
      <c r="Q128" s="88" t="s">
        <v>29</v>
      </c>
      <c r="R128" s="76"/>
      <c r="S128" s="76"/>
    </row>
    <row r="129" spans="1:19">
      <c r="A129" s="98">
        <v>12.02</v>
      </c>
      <c r="B129" s="98">
        <v>12.02</v>
      </c>
      <c r="C129" s="98">
        <v>3.02</v>
      </c>
      <c r="D129" s="98">
        <v>3.02</v>
      </c>
      <c r="E129" s="98">
        <v>3.02</v>
      </c>
      <c r="F129" s="93">
        <v>3.02</v>
      </c>
      <c r="G129" s="93">
        <v>3.02</v>
      </c>
      <c r="H129" s="93">
        <v>3.02</v>
      </c>
      <c r="I129" s="92" t="s">
        <v>52</v>
      </c>
      <c r="J129" s="92" t="s">
        <v>52</v>
      </c>
      <c r="K129" s="92" t="s">
        <v>52</v>
      </c>
      <c r="L129" s="93" t="s">
        <v>29</v>
      </c>
      <c r="M129" s="93" t="s">
        <v>29</v>
      </c>
      <c r="N129" s="93" t="s">
        <v>29</v>
      </c>
      <c r="O129" s="93" t="s">
        <v>29</v>
      </c>
      <c r="P129" s="93" t="s">
        <v>29</v>
      </c>
      <c r="Q129" s="93" t="s">
        <v>29</v>
      </c>
      <c r="R129" s="76"/>
      <c r="S129" s="76"/>
    </row>
    <row r="130" spans="1:19">
      <c r="A130" s="98">
        <v>12.03</v>
      </c>
      <c r="B130" s="98">
        <v>12.03</v>
      </c>
      <c r="C130" s="98">
        <v>3.03</v>
      </c>
      <c r="D130" s="98">
        <v>3.03</v>
      </c>
      <c r="E130" s="98">
        <v>3.03</v>
      </c>
      <c r="F130" s="93">
        <v>3.03</v>
      </c>
      <c r="G130" s="93">
        <v>3.03</v>
      </c>
      <c r="H130" s="93">
        <v>3.03</v>
      </c>
      <c r="I130" s="92" t="s">
        <v>53</v>
      </c>
      <c r="J130" s="92" t="s">
        <v>53</v>
      </c>
      <c r="K130" s="92" t="s">
        <v>53</v>
      </c>
      <c r="L130" s="93" t="s">
        <v>29</v>
      </c>
      <c r="M130" s="93" t="s">
        <v>29</v>
      </c>
      <c r="N130" s="93" t="s">
        <v>29</v>
      </c>
      <c r="O130" s="93" t="s">
        <v>29</v>
      </c>
      <c r="P130" s="93" t="s">
        <v>29</v>
      </c>
      <c r="Q130" s="93" t="s">
        <v>29</v>
      </c>
      <c r="R130" s="76"/>
      <c r="S130" s="76"/>
    </row>
    <row r="131" spans="1:19">
      <c r="A131" s="98">
        <v>12.04</v>
      </c>
      <c r="B131" s="98">
        <v>12.04</v>
      </c>
      <c r="C131" s="98">
        <v>3.04</v>
      </c>
      <c r="D131" s="98">
        <v>3.04</v>
      </c>
      <c r="E131" s="98">
        <v>3.04</v>
      </c>
      <c r="F131" s="93">
        <v>3.04</v>
      </c>
      <c r="G131" s="93">
        <v>3.04</v>
      </c>
      <c r="H131" s="93">
        <v>3.04</v>
      </c>
      <c r="I131" s="92" t="s">
        <v>54</v>
      </c>
      <c r="J131" s="92" t="s">
        <v>54</v>
      </c>
      <c r="K131" s="92" t="s">
        <v>54</v>
      </c>
      <c r="L131" s="93" t="s">
        <v>29</v>
      </c>
      <c r="M131" s="93" t="s">
        <v>29</v>
      </c>
      <c r="N131" s="93" t="s">
        <v>29</v>
      </c>
      <c r="O131" s="93" t="s">
        <v>29</v>
      </c>
      <c r="P131" s="93" t="s">
        <v>29</v>
      </c>
      <c r="Q131" s="93" t="s">
        <v>29</v>
      </c>
      <c r="R131" s="76"/>
      <c r="S131" s="76"/>
    </row>
    <row r="132" spans="1:19">
      <c r="A132" s="98">
        <v>12.05</v>
      </c>
      <c r="B132" s="98">
        <v>12.05</v>
      </c>
      <c r="C132" s="98">
        <v>3.05</v>
      </c>
      <c r="D132" s="98">
        <v>3.05</v>
      </c>
      <c r="E132" s="98">
        <v>3.05</v>
      </c>
      <c r="F132" s="88">
        <v>3.05</v>
      </c>
      <c r="G132" s="88">
        <v>3.05</v>
      </c>
      <c r="H132" s="88">
        <v>3.05</v>
      </c>
      <c r="I132" s="93">
        <v>3.07</v>
      </c>
      <c r="J132" s="93">
        <v>3.07</v>
      </c>
      <c r="K132" s="93">
        <v>3.07</v>
      </c>
      <c r="L132" s="93">
        <v>3.07</v>
      </c>
      <c r="M132" s="91" t="s">
        <v>29</v>
      </c>
      <c r="N132" s="94" t="s">
        <v>29</v>
      </c>
      <c r="O132" s="94" t="s">
        <v>29</v>
      </c>
      <c r="P132" s="94" t="s">
        <v>29</v>
      </c>
      <c r="Q132" s="94" t="s">
        <v>29</v>
      </c>
      <c r="R132" s="76"/>
      <c r="S132" s="76"/>
    </row>
    <row r="133" spans="1:19">
      <c r="A133" s="98">
        <v>12.06</v>
      </c>
      <c r="B133" s="98">
        <v>12.06</v>
      </c>
      <c r="C133" s="98">
        <v>3.06</v>
      </c>
      <c r="D133" s="98">
        <v>3.06</v>
      </c>
      <c r="E133" s="98">
        <v>3.06</v>
      </c>
      <c r="F133" s="88">
        <v>3.06</v>
      </c>
      <c r="G133" s="88">
        <v>3.06</v>
      </c>
      <c r="H133" s="88">
        <v>3.06</v>
      </c>
      <c r="I133" s="93">
        <v>3.08</v>
      </c>
      <c r="J133" s="93">
        <v>3.08</v>
      </c>
      <c r="K133" s="93">
        <v>3.08</v>
      </c>
      <c r="L133" s="93">
        <v>3.08</v>
      </c>
      <c r="M133" s="91" t="s">
        <v>29</v>
      </c>
      <c r="N133" s="94" t="s">
        <v>29</v>
      </c>
      <c r="O133" s="94" t="s">
        <v>29</v>
      </c>
      <c r="P133" s="94" t="s">
        <v>29</v>
      </c>
      <c r="Q133" s="94" t="s">
        <v>29</v>
      </c>
      <c r="R133" s="76"/>
      <c r="S133" s="76"/>
    </row>
    <row r="134" spans="1:19">
      <c r="A134" s="98">
        <v>12.07</v>
      </c>
      <c r="B134" s="98">
        <v>12.07</v>
      </c>
      <c r="C134" s="98">
        <v>3.07</v>
      </c>
      <c r="D134" s="98">
        <v>3.07</v>
      </c>
      <c r="E134" s="98">
        <v>3.07</v>
      </c>
      <c r="F134" s="88">
        <v>3.07</v>
      </c>
      <c r="G134" s="88">
        <v>3.07</v>
      </c>
      <c r="H134" s="88">
        <v>3.07</v>
      </c>
      <c r="I134" s="93">
        <v>3.09</v>
      </c>
      <c r="J134" s="93">
        <v>3.09</v>
      </c>
      <c r="K134" s="93">
        <v>3.09</v>
      </c>
      <c r="L134" s="93">
        <v>3.09</v>
      </c>
      <c r="M134" s="91" t="s">
        <v>29</v>
      </c>
      <c r="N134" s="94" t="s">
        <v>29</v>
      </c>
      <c r="O134" s="94" t="s">
        <v>29</v>
      </c>
      <c r="P134" s="94" t="s">
        <v>29</v>
      </c>
      <c r="Q134" s="94" t="s">
        <v>29</v>
      </c>
      <c r="R134" s="76"/>
      <c r="S134" s="76"/>
    </row>
    <row r="135" spans="1:19">
      <c r="A135" s="98" t="s">
        <v>29</v>
      </c>
      <c r="B135" s="98">
        <v>7.02</v>
      </c>
      <c r="C135" s="98">
        <v>7.02</v>
      </c>
      <c r="D135" s="98">
        <v>7.02</v>
      </c>
      <c r="E135" s="98">
        <v>7.02</v>
      </c>
      <c r="F135" s="93">
        <v>7.02</v>
      </c>
      <c r="G135" s="93">
        <v>7.02</v>
      </c>
      <c r="H135" s="93">
        <v>7.02</v>
      </c>
      <c r="I135" s="93">
        <v>7.02</v>
      </c>
      <c r="J135" s="93">
        <v>7.02</v>
      </c>
      <c r="K135" s="93">
        <v>7.02</v>
      </c>
      <c r="L135" s="93">
        <v>7.02</v>
      </c>
      <c r="M135" s="91">
        <v>7.02</v>
      </c>
      <c r="N135" s="91" t="s">
        <v>64</v>
      </c>
      <c r="O135" s="91" t="s">
        <v>64</v>
      </c>
      <c r="P135" s="91" t="s">
        <v>64</v>
      </c>
      <c r="Q135" s="91" t="s">
        <v>64</v>
      </c>
      <c r="R135" s="76"/>
      <c r="S135" s="76"/>
    </row>
    <row r="136" spans="1:19">
      <c r="A136" s="98" t="s">
        <v>29</v>
      </c>
      <c r="B136" s="98">
        <v>7.03</v>
      </c>
      <c r="C136" s="98">
        <v>7.03</v>
      </c>
      <c r="D136" s="98">
        <v>7.03</v>
      </c>
      <c r="E136" s="98">
        <v>7.03</v>
      </c>
      <c r="F136" s="93">
        <v>7.03</v>
      </c>
      <c r="G136" s="93">
        <v>7.03</v>
      </c>
      <c r="H136" s="93">
        <v>7.03</v>
      </c>
      <c r="I136" s="93">
        <v>7.03</v>
      </c>
      <c r="J136" s="93">
        <v>7.03</v>
      </c>
      <c r="K136" s="93">
        <v>7.03</v>
      </c>
      <c r="L136" s="93">
        <v>7.03</v>
      </c>
      <c r="M136" s="91">
        <v>7.03</v>
      </c>
      <c r="N136" s="91" t="s">
        <v>65</v>
      </c>
      <c r="O136" s="91" t="s">
        <v>65</v>
      </c>
      <c r="P136" s="91" t="s">
        <v>65</v>
      </c>
      <c r="Q136" s="91" t="s">
        <v>65</v>
      </c>
      <c r="R136" s="76"/>
      <c r="S136" s="76"/>
    </row>
    <row r="137" spans="1:19">
      <c r="A137" s="99" t="s">
        <v>29</v>
      </c>
      <c r="B137" s="99">
        <v>7.04</v>
      </c>
      <c r="C137" s="99">
        <v>7.04</v>
      </c>
      <c r="D137" s="99">
        <v>7.04</v>
      </c>
      <c r="E137" s="99">
        <v>7.04</v>
      </c>
      <c r="F137" s="101">
        <v>7.04</v>
      </c>
      <c r="G137" s="101">
        <v>7.04</v>
      </c>
      <c r="H137" s="101">
        <v>7.04</v>
      </c>
      <c r="I137" s="93">
        <v>7.04</v>
      </c>
      <c r="J137" s="93">
        <v>7.04</v>
      </c>
      <c r="K137" s="93">
        <v>7.04</v>
      </c>
      <c r="L137" s="93">
        <v>7.04</v>
      </c>
      <c r="M137" s="91">
        <v>7.04</v>
      </c>
      <c r="N137" s="91" t="s">
        <v>66</v>
      </c>
      <c r="O137" s="91" t="s">
        <v>66</v>
      </c>
      <c r="P137" s="91" t="s">
        <v>66</v>
      </c>
      <c r="Q137" s="91" t="s">
        <v>66</v>
      </c>
      <c r="R137" s="76"/>
      <c r="S137" s="76"/>
    </row>
    <row r="138" spans="1:19">
      <c r="A138" s="99" t="s">
        <v>29</v>
      </c>
      <c r="B138" s="99">
        <v>7.05</v>
      </c>
      <c r="C138" s="99">
        <v>7.05</v>
      </c>
      <c r="D138" s="99">
        <v>7.05</v>
      </c>
      <c r="E138" s="99">
        <v>7.05</v>
      </c>
      <c r="F138" s="93">
        <v>7.05</v>
      </c>
      <c r="G138" s="93">
        <v>7.05</v>
      </c>
      <c r="H138" s="93">
        <v>7.05</v>
      </c>
      <c r="I138" s="93">
        <v>7.05</v>
      </c>
      <c r="J138" s="93">
        <v>7.05</v>
      </c>
      <c r="K138" s="93">
        <v>7.05</v>
      </c>
      <c r="L138" s="93">
        <v>7.05</v>
      </c>
      <c r="M138" s="91">
        <v>7.05</v>
      </c>
      <c r="N138" s="91" t="s">
        <v>67</v>
      </c>
      <c r="O138" s="91" t="s">
        <v>67</v>
      </c>
      <c r="P138" s="91" t="s">
        <v>67</v>
      </c>
      <c r="Q138" s="91" t="s">
        <v>67</v>
      </c>
      <c r="R138" s="76"/>
      <c r="S138" s="76"/>
    </row>
    <row r="139" spans="1:19">
      <c r="A139" s="99" t="s">
        <v>29</v>
      </c>
      <c r="B139" s="99">
        <v>8.0500000000000007</v>
      </c>
      <c r="C139" s="99">
        <v>8.0500000000000007</v>
      </c>
      <c r="D139" s="99">
        <v>8.0500000000000007</v>
      </c>
      <c r="E139" s="99">
        <v>8.0500000000000007</v>
      </c>
      <c r="F139" s="93">
        <v>8.0500000000000007</v>
      </c>
      <c r="G139" s="93">
        <v>8.0500000000000007</v>
      </c>
      <c r="H139" s="93">
        <v>8.0500000000000007</v>
      </c>
      <c r="I139" s="88">
        <v>8.0500000000000007</v>
      </c>
      <c r="J139" s="88">
        <v>8.0500000000000007</v>
      </c>
      <c r="K139" s="88">
        <v>8.0500000000000007</v>
      </c>
      <c r="L139" s="88">
        <v>8.0500000000000007</v>
      </c>
      <c r="M139" s="90">
        <v>8.0500000000000007</v>
      </c>
      <c r="N139" s="91" t="s">
        <v>136</v>
      </c>
      <c r="O139" s="91" t="s">
        <v>136</v>
      </c>
      <c r="P139" s="91" t="s">
        <v>136</v>
      </c>
      <c r="Q139" s="91" t="s">
        <v>136</v>
      </c>
      <c r="R139" s="76"/>
      <c r="S139" s="76"/>
    </row>
    <row r="140" spans="1:19">
      <c r="A140" s="99" t="s">
        <v>29</v>
      </c>
      <c r="B140" s="99">
        <v>8.06</v>
      </c>
      <c r="C140" s="99">
        <v>8.06</v>
      </c>
      <c r="D140" s="99">
        <v>8.06</v>
      </c>
      <c r="E140" s="99">
        <v>8.06</v>
      </c>
      <c r="F140" s="93">
        <v>8.06</v>
      </c>
      <c r="G140" s="93">
        <v>8.06</v>
      </c>
      <c r="H140" s="93">
        <v>8.06</v>
      </c>
      <c r="I140" s="88">
        <v>8.06</v>
      </c>
      <c r="J140" s="88">
        <v>8.06</v>
      </c>
      <c r="K140" s="88">
        <v>8.06</v>
      </c>
      <c r="L140" s="88">
        <v>8.06</v>
      </c>
      <c r="M140" s="90">
        <v>8.06</v>
      </c>
      <c r="N140" s="91" t="s">
        <v>137</v>
      </c>
      <c r="O140" s="91" t="s">
        <v>137</v>
      </c>
      <c r="P140" s="91" t="s">
        <v>137</v>
      </c>
      <c r="Q140" s="91" t="s">
        <v>137</v>
      </c>
      <c r="R140" s="76"/>
      <c r="S140" s="76"/>
    </row>
    <row r="141" spans="1:19">
      <c r="A141" s="98" t="s">
        <v>29</v>
      </c>
      <c r="B141" s="98" t="s">
        <v>41</v>
      </c>
      <c r="C141" s="98" t="s">
        <v>41</v>
      </c>
      <c r="D141" s="98" t="s">
        <v>41</v>
      </c>
      <c r="E141" s="98" t="s">
        <v>41</v>
      </c>
      <c r="F141" s="93" t="s">
        <v>41</v>
      </c>
      <c r="G141" s="93" t="s">
        <v>41</v>
      </c>
      <c r="H141" s="93" t="s">
        <v>41</v>
      </c>
      <c r="I141" s="88">
        <v>8.11</v>
      </c>
      <c r="J141" s="88">
        <v>8.11</v>
      </c>
      <c r="K141" s="88" t="s">
        <v>29</v>
      </c>
      <c r="L141" s="88" t="s">
        <v>29</v>
      </c>
      <c r="M141" s="88" t="s">
        <v>29</v>
      </c>
      <c r="N141" s="88" t="s">
        <v>29</v>
      </c>
      <c r="O141" s="88" t="s">
        <v>29</v>
      </c>
      <c r="P141" s="88" t="s">
        <v>29</v>
      </c>
      <c r="Q141" s="88" t="s">
        <v>29</v>
      </c>
      <c r="R141" s="76"/>
      <c r="S141" s="76"/>
    </row>
    <row r="142" spans="1:19">
      <c r="A142" s="92" t="s">
        <v>29</v>
      </c>
      <c r="B142" s="92">
        <v>8.1199999999999992</v>
      </c>
      <c r="C142" s="92">
        <v>8.1199999999999992</v>
      </c>
      <c r="D142" s="92">
        <v>8.1199999999999992</v>
      </c>
      <c r="E142" s="92">
        <v>8.1199999999999992</v>
      </c>
      <c r="F142" s="93">
        <v>8.1199999999999992</v>
      </c>
      <c r="G142" s="93">
        <v>8.1199999999999992</v>
      </c>
      <c r="H142" s="93">
        <v>8.1199999999999992</v>
      </c>
      <c r="I142" s="88">
        <v>8.02</v>
      </c>
      <c r="J142" s="88">
        <v>8.1199999999999992</v>
      </c>
      <c r="K142" s="88" t="s">
        <v>29</v>
      </c>
      <c r="L142" s="88" t="s">
        <v>29</v>
      </c>
      <c r="M142" s="88" t="s">
        <v>29</v>
      </c>
      <c r="N142" s="88" t="s">
        <v>29</v>
      </c>
      <c r="O142" s="88" t="s">
        <v>29</v>
      </c>
      <c r="P142" s="88" t="s">
        <v>29</v>
      </c>
      <c r="Q142" s="88" t="s">
        <v>29</v>
      </c>
      <c r="R142" s="76"/>
      <c r="S142" s="76"/>
    </row>
    <row r="143" spans="1:19">
      <c r="A143" s="92" t="s">
        <v>29</v>
      </c>
      <c r="B143" s="92" t="s">
        <v>29</v>
      </c>
      <c r="C143" s="92">
        <v>9.01</v>
      </c>
      <c r="D143" s="92">
        <v>9.01</v>
      </c>
      <c r="E143" s="92">
        <v>9.01</v>
      </c>
      <c r="F143" s="88">
        <v>9.01</v>
      </c>
      <c r="G143" s="88">
        <v>9.01</v>
      </c>
      <c r="H143" s="88">
        <v>9.01</v>
      </c>
      <c r="I143" s="88">
        <v>9.01</v>
      </c>
      <c r="J143" s="88">
        <v>9.01</v>
      </c>
      <c r="K143" s="88" t="s">
        <v>29</v>
      </c>
      <c r="L143" s="88" t="s">
        <v>29</v>
      </c>
      <c r="M143" s="88" t="s">
        <v>29</v>
      </c>
      <c r="N143" s="94" t="s">
        <v>29</v>
      </c>
      <c r="O143" s="94" t="s">
        <v>29</v>
      </c>
      <c r="P143" s="94" t="s">
        <v>29</v>
      </c>
      <c r="Q143" s="94" t="s">
        <v>29</v>
      </c>
      <c r="R143" s="76"/>
      <c r="S143" s="76"/>
    </row>
    <row r="144" spans="1:19">
      <c r="A144" s="92" t="s">
        <v>29</v>
      </c>
      <c r="B144" s="92" t="s">
        <v>29</v>
      </c>
      <c r="C144" s="92">
        <v>9.02</v>
      </c>
      <c r="D144" s="92">
        <v>9.02</v>
      </c>
      <c r="E144" s="92">
        <v>9.02</v>
      </c>
      <c r="F144" s="88">
        <v>9.02</v>
      </c>
      <c r="G144" s="88">
        <v>9.02</v>
      </c>
      <c r="H144" s="88">
        <v>9.02</v>
      </c>
      <c r="I144" s="88">
        <v>9.02</v>
      </c>
      <c r="J144" s="88">
        <v>9.02</v>
      </c>
      <c r="K144" s="88">
        <v>9.02</v>
      </c>
      <c r="L144" s="88">
        <v>9.02</v>
      </c>
      <c r="M144" s="90">
        <v>9.02</v>
      </c>
      <c r="N144" s="94" t="s">
        <v>29</v>
      </c>
      <c r="O144" s="94" t="s">
        <v>29</v>
      </c>
      <c r="P144" s="94" t="s">
        <v>29</v>
      </c>
      <c r="Q144" s="94" t="s">
        <v>29</v>
      </c>
      <c r="R144" s="76"/>
      <c r="S144" s="76"/>
    </row>
    <row r="145" spans="1:19">
      <c r="A145" s="92" t="s">
        <v>29</v>
      </c>
      <c r="B145" s="92" t="s">
        <v>29</v>
      </c>
      <c r="C145" s="92">
        <v>9.0500000000000007</v>
      </c>
      <c r="D145" s="92">
        <v>9.0500000000000007</v>
      </c>
      <c r="E145" s="92">
        <v>9.0500000000000007</v>
      </c>
      <c r="F145" s="88">
        <v>9.0500000000000007</v>
      </c>
      <c r="G145" s="88">
        <v>9.0500000000000007</v>
      </c>
      <c r="H145" s="88">
        <v>9.0500000000000007</v>
      </c>
      <c r="I145" s="88">
        <v>9.0500000000000007</v>
      </c>
      <c r="J145" s="88">
        <v>9.0500000000000007</v>
      </c>
      <c r="K145" s="88">
        <v>9.0500000000000007</v>
      </c>
      <c r="L145" s="88">
        <v>9.0500000000000007</v>
      </c>
      <c r="M145" s="100" t="s">
        <v>29</v>
      </c>
      <c r="N145" s="94" t="s">
        <v>29</v>
      </c>
      <c r="O145" s="94" t="s">
        <v>29</v>
      </c>
      <c r="P145" s="94" t="s">
        <v>29</v>
      </c>
      <c r="Q145" s="94" t="s">
        <v>29</v>
      </c>
      <c r="R145" s="76"/>
      <c r="S145" s="76"/>
    </row>
    <row r="146" spans="1:19">
      <c r="A146" s="92" t="s">
        <v>29</v>
      </c>
      <c r="B146" s="92" t="s">
        <v>29</v>
      </c>
      <c r="C146" s="92">
        <v>9.06</v>
      </c>
      <c r="D146" s="92">
        <v>9.06</v>
      </c>
      <c r="E146" s="92">
        <v>9.06</v>
      </c>
      <c r="F146" s="88">
        <v>9.06</v>
      </c>
      <c r="G146" s="88">
        <v>9.06</v>
      </c>
      <c r="H146" s="88">
        <v>9.06</v>
      </c>
      <c r="I146" s="88">
        <v>9.06</v>
      </c>
      <c r="J146" s="88">
        <v>9.06</v>
      </c>
      <c r="K146" s="88">
        <v>9.06</v>
      </c>
      <c r="L146" s="88">
        <v>9.06</v>
      </c>
      <c r="M146" s="90" t="s">
        <v>29</v>
      </c>
      <c r="N146" s="91" t="s">
        <v>29</v>
      </c>
      <c r="O146" s="91" t="s">
        <v>29</v>
      </c>
      <c r="P146" s="91" t="s">
        <v>29</v>
      </c>
      <c r="Q146" s="91" t="s">
        <v>29</v>
      </c>
      <c r="R146" s="76"/>
      <c r="S146" s="76"/>
    </row>
    <row r="147" spans="1:19">
      <c r="A147" s="92" t="s">
        <v>29</v>
      </c>
      <c r="B147" s="92" t="s">
        <v>29</v>
      </c>
      <c r="C147" s="92">
        <v>9.07</v>
      </c>
      <c r="D147" s="92">
        <v>9.07</v>
      </c>
      <c r="E147" s="92">
        <v>9.07</v>
      </c>
      <c r="F147" s="95">
        <v>9.07</v>
      </c>
      <c r="G147" s="95">
        <v>9.07</v>
      </c>
      <c r="H147" s="95">
        <v>9.07</v>
      </c>
      <c r="I147" s="92">
        <v>9.2100000000000009</v>
      </c>
      <c r="J147" s="93" t="s">
        <v>29</v>
      </c>
      <c r="K147" s="93" t="s">
        <v>29</v>
      </c>
      <c r="L147" s="93" t="s">
        <v>29</v>
      </c>
      <c r="M147" s="93" t="s">
        <v>29</v>
      </c>
      <c r="N147" s="93" t="s">
        <v>29</v>
      </c>
      <c r="O147" s="93" t="s">
        <v>29</v>
      </c>
      <c r="P147" s="93" t="s">
        <v>29</v>
      </c>
      <c r="Q147" s="93" t="s">
        <v>29</v>
      </c>
      <c r="R147" s="76"/>
      <c r="S147" s="76"/>
    </row>
    <row r="148" spans="1:19">
      <c r="A148" s="92" t="s">
        <v>29</v>
      </c>
      <c r="B148" s="92" t="s">
        <v>29</v>
      </c>
      <c r="C148" s="92">
        <v>9.08</v>
      </c>
      <c r="D148" s="92">
        <v>9.08</v>
      </c>
      <c r="E148" s="92">
        <v>9.08</v>
      </c>
      <c r="F148" s="88">
        <v>9.08</v>
      </c>
      <c r="G148" s="88">
        <v>9.08</v>
      </c>
      <c r="H148" s="88">
        <v>9.08</v>
      </c>
      <c r="I148" s="88">
        <v>9.08</v>
      </c>
      <c r="J148" s="88">
        <v>9.08</v>
      </c>
      <c r="K148" s="88">
        <v>9.08</v>
      </c>
      <c r="L148" s="88">
        <v>9.08</v>
      </c>
      <c r="M148" s="90" t="s">
        <v>29</v>
      </c>
      <c r="N148" s="91" t="s">
        <v>29</v>
      </c>
      <c r="O148" s="91" t="s">
        <v>29</v>
      </c>
      <c r="P148" s="91" t="s">
        <v>29</v>
      </c>
      <c r="Q148" s="91" t="s">
        <v>29</v>
      </c>
      <c r="R148" s="76"/>
      <c r="S148" s="76"/>
    </row>
    <row r="149" spans="1:19">
      <c r="A149" s="88" t="s">
        <v>29</v>
      </c>
      <c r="B149" s="88" t="s">
        <v>29</v>
      </c>
      <c r="C149" s="88" t="s">
        <v>29</v>
      </c>
      <c r="D149" s="88" t="s">
        <v>29</v>
      </c>
      <c r="E149" s="88">
        <v>1.1399999999999999</v>
      </c>
      <c r="F149" s="88">
        <v>1.1399999999999999</v>
      </c>
      <c r="G149" s="88" t="s">
        <v>29</v>
      </c>
      <c r="H149" s="88" t="s">
        <v>29</v>
      </c>
      <c r="I149" s="88" t="s">
        <v>29</v>
      </c>
      <c r="J149" s="88" t="s">
        <v>29</v>
      </c>
      <c r="K149" s="88" t="s">
        <v>29</v>
      </c>
      <c r="L149" s="88" t="s">
        <v>29</v>
      </c>
      <c r="M149" s="90" t="s">
        <v>29</v>
      </c>
      <c r="N149" s="90" t="s">
        <v>29</v>
      </c>
      <c r="O149" s="90" t="s">
        <v>29</v>
      </c>
      <c r="P149" s="90" t="s">
        <v>29</v>
      </c>
      <c r="Q149" s="90" t="s">
        <v>29</v>
      </c>
      <c r="R149" s="76"/>
      <c r="S149" s="76"/>
    </row>
    <row r="150" spans="1:19">
      <c r="A150" s="88" t="s">
        <v>29</v>
      </c>
      <c r="B150" s="88" t="s">
        <v>29</v>
      </c>
      <c r="C150" s="88" t="s">
        <v>29</v>
      </c>
      <c r="D150" s="88" t="s">
        <v>29</v>
      </c>
      <c r="E150" s="88">
        <v>1.1499999999999999</v>
      </c>
      <c r="F150" s="88">
        <v>1.1499999999999999</v>
      </c>
      <c r="G150" s="93" t="s">
        <v>29</v>
      </c>
      <c r="H150" s="93" t="s">
        <v>29</v>
      </c>
      <c r="I150" s="93" t="s">
        <v>29</v>
      </c>
      <c r="J150" s="93" t="s">
        <v>29</v>
      </c>
      <c r="K150" s="93" t="s">
        <v>29</v>
      </c>
      <c r="L150" s="93" t="s">
        <v>29</v>
      </c>
      <c r="M150" s="91" t="s">
        <v>29</v>
      </c>
      <c r="N150" s="91" t="s">
        <v>29</v>
      </c>
      <c r="O150" s="91" t="s">
        <v>29</v>
      </c>
      <c r="P150" s="91" t="s">
        <v>29</v>
      </c>
      <c r="Q150" s="91" t="s">
        <v>29</v>
      </c>
      <c r="R150" s="76"/>
      <c r="S150" s="76"/>
    </row>
    <row r="151" spans="1:19">
      <c r="A151" s="93" t="s">
        <v>29</v>
      </c>
      <c r="B151" s="93" t="s">
        <v>29</v>
      </c>
      <c r="C151" s="93" t="s">
        <v>29</v>
      </c>
      <c r="D151" s="93" t="s">
        <v>29</v>
      </c>
      <c r="E151" s="93">
        <v>2.08</v>
      </c>
      <c r="F151" s="93">
        <v>2.08</v>
      </c>
      <c r="G151" s="93">
        <v>2.08</v>
      </c>
      <c r="H151" s="93">
        <v>2.08</v>
      </c>
      <c r="I151" s="93">
        <v>2.08</v>
      </c>
      <c r="J151" s="93">
        <v>2.08</v>
      </c>
      <c r="K151" s="93">
        <v>2.08</v>
      </c>
      <c r="L151" s="93">
        <v>2.08</v>
      </c>
      <c r="M151" s="91">
        <v>2.08</v>
      </c>
      <c r="N151" s="91" t="s">
        <v>44</v>
      </c>
      <c r="O151" s="91" t="s">
        <v>44</v>
      </c>
      <c r="P151" s="91" t="s">
        <v>183</v>
      </c>
      <c r="Q151" s="91" t="s">
        <v>29</v>
      </c>
      <c r="R151" s="76"/>
      <c r="S151" s="76"/>
    </row>
    <row r="152" spans="1:19">
      <c r="A152" s="93" t="s">
        <v>29</v>
      </c>
      <c r="B152" s="93" t="s">
        <v>29</v>
      </c>
      <c r="C152" s="93" t="s">
        <v>29</v>
      </c>
      <c r="D152" s="93" t="s">
        <v>29</v>
      </c>
      <c r="E152" s="93" t="s">
        <v>47</v>
      </c>
      <c r="F152" s="93" t="s">
        <v>47</v>
      </c>
      <c r="G152" s="93" t="s">
        <v>47</v>
      </c>
      <c r="H152" s="93" t="s">
        <v>47</v>
      </c>
      <c r="I152" s="96" t="s">
        <v>47</v>
      </c>
      <c r="J152" s="96" t="s">
        <v>47</v>
      </c>
      <c r="K152" s="96" t="s">
        <v>47</v>
      </c>
      <c r="L152" s="96" t="s">
        <v>47</v>
      </c>
      <c r="M152" s="90" t="s">
        <v>29</v>
      </c>
      <c r="N152" s="94" t="s">
        <v>29</v>
      </c>
      <c r="O152" s="94" t="s">
        <v>29</v>
      </c>
      <c r="P152" s="94" t="s">
        <v>29</v>
      </c>
      <c r="Q152" s="94" t="s">
        <v>29</v>
      </c>
      <c r="R152" s="76"/>
      <c r="S152" s="76"/>
    </row>
    <row r="153" spans="1:19">
      <c r="A153" s="93" t="s">
        <v>29</v>
      </c>
      <c r="B153" s="93" t="s">
        <v>29</v>
      </c>
      <c r="C153" s="93" t="s">
        <v>29</v>
      </c>
      <c r="D153" s="93" t="s">
        <v>29</v>
      </c>
      <c r="E153" s="93">
        <v>2.23</v>
      </c>
      <c r="F153" s="88">
        <v>2.23</v>
      </c>
      <c r="G153" s="88">
        <v>2.23</v>
      </c>
      <c r="H153" s="88">
        <v>2.23</v>
      </c>
      <c r="I153" s="88">
        <v>1.4</v>
      </c>
      <c r="J153" s="88">
        <v>1.4</v>
      </c>
      <c r="K153" s="88">
        <v>1.4</v>
      </c>
      <c r="L153" s="88">
        <v>1.4</v>
      </c>
      <c r="M153" s="90" t="s">
        <v>29</v>
      </c>
      <c r="N153" s="91" t="s">
        <v>161</v>
      </c>
      <c r="O153" s="91" t="s">
        <v>161</v>
      </c>
      <c r="P153" s="91" t="s">
        <v>161</v>
      </c>
      <c r="Q153" s="91" t="s">
        <v>161</v>
      </c>
      <c r="R153" s="76"/>
      <c r="S153" s="76"/>
    </row>
    <row r="154" spans="1:19">
      <c r="A154" s="93" t="s">
        <v>29</v>
      </c>
      <c r="B154" s="93" t="s">
        <v>29</v>
      </c>
      <c r="C154" s="93" t="s">
        <v>29</v>
      </c>
      <c r="D154" s="93" t="s">
        <v>29</v>
      </c>
      <c r="E154" s="93">
        <v>3.11</v>
      </c>
      <c r="F154" s="88">
        <v>3.11</v>
      </c>
      <c r="G154" s="88">
        <v>3.11</v>
      </c>
      <c r="H154" s="88">
        <v>3.11</v>
      </c>
      <c r="I154" s="88">
        <v>1.1200000000000001</v>
      </c>
      <c r="J154" s="88">
        <v>1.1200000000000001</v>
      </c>
      <c r="K154" s="88">
        <v>1.1200000000000001</v>
      </c>
      <c r="L154" s="88">
        <v>1.1200000000000001</v>
      </c>
      <c r="M154" s="90">
        <v>1.1200000000000001</v>
      </c>
      <c r="N154" s="91" t="s">
        <v>157</v>
      </c>
      <c r="O154" s="91" t="s">
        <v>157</v>
      </c>
      <c r="P154" s="91" t="s">
        <v>157</v>
      </c>
      <c r="Q154" s="91" t="s">
        <v>157</v>
      </c>
      <c r="R154" s="76"/>
      <c r="S154" s="76"/>
    </row>
    <row r="155" spans="1:19" ht="9.75" customHeight="1">
      <c r="A155" s="93" t="s">
        <v>29</v>
      </c>
      <c r="B155" s="93" t="s">
        <v>29</v>
      </c>
      <c r="C155" s="93" t="s">
        <v>29</v>
      </c>
      <c r="D155" s="93" t="s">
        <v>29</v>
      </c>
      <c r="E155" s="92">
        <v>4.0599999999999996</v>
      </c>
      <c r="F155" s="93">
        <v>4.1100000000000003</v>
      </c>
      <c r="G155" s="93">
        <v>4.1100000000000003</v>
      </c>
      <c r="H155" s="93">
        <v>4.1100000000000003</v>
      </c>
      <c r="I155" s="88">
        <v>4.13</v>
      </c>
      <c r="J155" s="88">
        <v>4.13</v>
      </c>
      <c r="K155" s="88">
        <v>4.13</v>
      </c>
      <c r="L155" s="88" t="s">
        <v>29</v>
      </c>
      <c r="M155" s="88" t="s">
        <v>29</v>
      </c>
      <c r="N155" s="88" t="s">
        <v>29</v>
      </c>
      <c r="O155" s="88" t="s">
        <v>29</v>
      </c>
      <c r="P155" s="88" t="s">
        <v>29</v>
      </c>
      <c r="Q155" s="88" t="s">
        <v>29</v>
      </c>
      <c r="R155" s="76"/>
      <c r="S155" s="76"/>
    </row>
    <row r="156" spans="1:19" ht="9.75" customHeight="1">
      <c r="A156" s="93" t="s">
        <v>29</v>
      </c>
      <c r="B156" s="93" t="s">
        <v>29</v>
      </c>
      <c r="C156" s="93" t="s">
        <v>29</v>
      </c>
      <c r="D156" s="93" t="s">
        <v>29</v>
      </c>
      <c r="E156" s="93">
        <v>4.07</v>
      </c>
      <c r="F156" s="92">
        <v>4.07</v>
      </c>
      <c r="G156" s="92">
        <v>4.07</v>
      </c>
      <c r="H156" s="92">
        <v>4.07</v>
      </c>
      <c r="I156" s="93">
        <v>4.07</v>
      </c>
      <c r="J156" s="93">
        <v>4.07</v>
      </c>
      <c r="K156" s="93">
        <v>4.07</v>
      </c>
      <c r="L156" s="93">
        <v>4.07</v>
      </c>
      <c r="M156" s="91">
        <v>4.07</v>
      </c>
      <c r="N156" s="91" t="s">
        <v>68</v>
      </c>
      <c r="O156" s="91" t="s">
        <v>68</v>
      </c>
      <c r="P156" s="91" t="s">
        <v>29</v>
      </c>
      <c r="Q156" s="91" t="s">
        <v>29</v>
      </c>
      <c r="R156" s="76"/>
      <c r="S156" s="76"/>
    </row>
    <row r="157" spans="1:19">
      <c r="A157" s="93" t="s">
        <v>29</v>
      </c>
      <c r="B157" s="93" t="s">
        <v>29</v>
      </c>
      <c r="C157" s="93" t="s">
        <v>29</v>
      </c>
      <c r="D157" s="93" t="s">
        <v>29</v>
      </c>
      <c r="E157" s="92">
        <v>8.1300000000000008</v>
      </c>
      <c r="F157" s="88">
        <v>8.1300000000000008</v>
      </c>
      <c r="G157" s="93" t="s">
        <v>29</v>
      </c>
      <c r="H157" s="93" t="s">
        <v>29</v>
      </c>
      <c r="I157" s="93" t="s">
        <v>29</v>
      </c>
      <c r="J157" s="93" t="s">
        <v>29</v>
      </c>
      <c r="K157" s="93" t="s">
        <v>29</v>
      </c>
      <c r="L157" s="93" t="s">
        <v>29</v>
      </c>
      <c r="M157" s="91" t="s">
        <v>29</v>
      </c>
      <c r="N157" s="91" t="s">
        <v>29</v>
      </c>
      <c r="O157" s="91" t="s">
        <v>29</v>
      </c>
      <c r="P157" s="91" t="s">
        <v>29</v>
      </c>
      <c r="Q157" s="91" t="s">
        <v>29</v>
      </c>
      <c r="R157" s="76"/>
      <c r="S157" s="76"/>
    </row>
    <row r="158" spans="1:19">
      <c r="A158" s="93" t="s">
        <v>29</v>
      </c>
      <c r="B158" s="93" t="s">
        <v>29</v>
      </c>
      <c r="C158" s="93" t="s">
        <v>29</v>
      </c>
      <c r="D158" s="93" t="s">
        <v>29</v>
      </c>
      <c r="E158" s="92" t="s">
        <v>118</v>
      </c>
      <c r="F158" s="88" t="s">
        <v>118</v>
      </c>
      <c r="G158" s="88" t="s">
        <v>118</v>
      </c>
      <c r="H158" s="88" t="s">
        <v>118</v>
      </c>
      <c r="I158" s="88">
        <v>9.1999999999999993</v>
      </c>
      <c r="J158" s="88">
        <v>9.1999999999999993</v>
      </c>
      <c r="K158" s="88" t="s">
        <v>29</v>
      </c>
      <c r="L158" s="88" t="s">
        <v>29</v>
      </c>
      <c r="M158" s="88" t="s">
        <v>29</v>
      </c>
      <c r="N158" s="88" t="s">
        <v>29</v>
      </c>
      <c r="O158" s="88" t="s">
        <v>29</v>
      </c>
      <c r="P158" s="88" t="s">
        <v>29</v>
      </c>
      <c r="Q158" s="88" t="s">
        <v>29</v>
      </c>
      <c r="R158" s="76"/>
      <c r="S158" s="76"/>
    </row>
    <row r="159" spans="1:19">
      <c r="A159" s="93" t="s">
        <v>29</v>
      </c>
      <c r="B159" s="93" t="s">
        <v>29</v>
      </c>
      <c r="C159" s="93" t="s">
        <v>29</v>
      </c>
      <c r="D159" s="93" t="s">
        <v>29</v>
      </c>
      <c r="E159" s="92">
        <v>11.04</v>
      </c>
      <c r="F159" s="88">
        <v>11.04</v>
      </c>
      <c r="G159" s="88">
        <v>11.04</v>
      </c>
      <c r="H159" s="88">
        <v>11.04</v>
      </c>
      <c r="I159" s="88">
        <v>1.04</v>
      </c>
      <c r="J159" s="88">
        <v>1.04</v>
      </c>
      <c r="K159" s="88">
        <v>1.04</v>
      </c>
      <c r="L159" s="88">
        <v>1.04</v>
      </c>
      <c r="M159" s="90">
        <v>1.04</v>
      </c>
      <c r="N159" s="91" t="s">
        <v>149</v>
      </c>
      <c r="O159" s="91" t="s">
        <v>149</v>
      </c>
      <c r="P159" s="91" t="s">
        <v>149</v>
      </c>
      <c r="Q159" s="91" t="s">
        <v>149</v>
      </c>
      <c r="R159" s="76"/>
      <c r="S159" s="76"/>
    </row>
    <row r="160" spans="1:19">
      <c r="A160" s="93" t="s">
        <v>29</v>
      </c>
      <c r="B160" s="93" t="s">
        <v>29</v>
      </c>
      <c r="C160" s="93" t="s">
        <v>29</v>
      </c>
      <c r="D160" s="93" t="s">
        <v>29</v>
      </c>
      <c r="E160" s="92">
        <v>11.09</v>
      </c>
      <c r="F160" s="88">
        <v>11.07</v>
      </c>
      <c r="G160" s="88">
        <v>11.07</v>
      </c>
      <c r="H160" s="88">
        <v>11.07</v>
      </c>
      <c r="I160" s="88">
        <v>1.35</v>
      </c>
      <c r="J160" s="88">
        <v>1.35</v>
      </c>
      <c r="K160" s="88">
        <v>1.35</v>
      </c>
      <c r="L160" s="88">
        <v>1.35</v>
      </c>
      <c r="M160" s="90" t="s">
        <v>29</v>
      </c>
      <c r="N160" s="94" t="s">
        <v>29</v>
      </c>
      <c r="O160" s="94" t="s">
        <v>29</v>
      </c>
      <c r="P160" s="94" t="s">
        <v>29</v>
      </c>
      <c r="Q160" s="94" t="s">
        <v>29</v>
      </c>
      <c r="R160" s="76"/>
      <c r="S160" s="76"/>
    </row>
    <row r="161" spans="1:19">
      <c r="A161" s="93" t="s">
        <v>29</v>
      </c>
      <c r="B161" s="93" t="s">
        <v>29</v>
      </c>
      <c r="C161" s="93" t="s">
        <v>29</v>
      </c>
      <c r="D161" s="93" t="s">
        <v>29</v>
      </c>
      <c r="E161" s="93" t="s">
        <v>29</v>
      </c>
      <c r="F161" s="99">
        <v>4.0599999999999996</v>
      </c>
      <c r="G161" s="99">
        <v>4.0599999999999996</v>
      </c>
      <c r="H161" s="99">
        <v>4.0599999999999996</v>
      </c>
      <c r="I161" s="98">
        <v>4.0599999999999996</v>
      </c>
      <c r="J161" s="98">
        <v>4.0599999999999996</v>
      </c>
      <c r="K161" s="98">
        <v>4.0599999999999996</v>
      </c>
      <c r="L161" s="98">
        <v>4.0599999999999996</v>
      </c>
      <c r="M161" s="89">
        <v>4.0599999999999996</v>
      </c>
      <c r="N161" s="89" t="s">
        <v>103</v>
      </c>
      <c r="O161" s="89" t="s">
        <v>103</v>
      </c>
      <c r="P161" s="89" t="s">
        <v>102</v>
      </c>
      <c r="Q161" s="89" t="s">
        <v>102</v>
      </c>
      <c r="R161" s="76"/>
      <c r="S161" s="76"/>
    </row>
    <row r="162" spans="1:19">
      <c r="A162" s="93" t="s">
        <v>29</v>
      </c>
      <c r="B162" s="93" t="s">
        <v>29</v>
      </c>
      <c r="C162" s="93" t="s">
        <v>29</v>
      </c>
      <c r="D162" s="93" t="s">
        <v>29</v>
      </c>
      <c r="E162" s="93" t="s">
        <v>29</v>
      </c>
      <c r="F162" s="92">
        <v>4.09</v>
      </c>
      <c r="G162" s="92">
        <v>4.09</v>
      </c>
      <c r="H162" s="92">
        <v>4.09</v>
      </c>
      <c r="I162" s="93">
        <v>4.09</v>
      </c>
      <c r="J162" s="93">
        <v>4.09</v>
      </c>
      <c r="K162" s="93">
        <v>4.09</v>
      </c>
      <c r="L162" s="93">
        <v>4.09</v>
      </c>
      <c r="M162" s="91">
        <v>4.09</v>
      </c>
      <c r="N162" s="91" t="s">
        <v>95</v>
      </c>
      <c r="O162" s="91" t="s">
        <v>95</v>
      </c>
      <c r="P162" s="91" t="s">
        <v>71</v>
      </c>
      <c r="Q162" s="91" t="s">
        <v>71</v>
      </c>
      <c r="R162" s="76"/>
      <c r="S162" s="76"/>
    </row>
    <row r="163" spans="1:19">
      <c r="A163" s="93" t="s">
        <v>29</v>
      </c>
      <c r="B163" s="93" t="s">
        <v>29</v>
      </c>
      <c r="C163" s="93" t="s">
        <v>29</v>
      </c>
      <c r="D163" s="93" t="s">
        <v>29</v>
      </c>
      <c r="E163" s="93" t="s">
        <v>29</v>
      </c>
      <c r="F163" s="88">
        <v>9.16</v>
      </c>
      <c r="G163" s="88">
        <v>9.16</v>
      </c>
      <c r="H163" s="88">
        <v>9.16</v>
      </c>
      <c r="I163" s="88">
        <v>9.16</v>
      </c>
      <c r="J163" s="88">
        <v>9.16</v>
      </c>
      <c r="K163" s="88">
        <v>9.16</v>
      </c>
      <c r="L163" s="88">
        <v>9.16</v>
      </c>
      <c r="M163" s="90">
        <v>9.1</v>
      </c>
      <c r="N163" s="91" t="s">
        <v>24</v>
      </c>
      <c r="O163" s="91" t="s">
        <v>24</v>
      </c>
      <c r="P163" s="91" t="s">
        <v>24</v>
      </c>
      <c r="Q163" s="91" t="s">
        <v>23</v>
      </c>
      <c r="R163" s="76"/>
      <c r="S163" s="76"/>
    </row>
    <row r="164" spans="1:19">
      <c r="A164" s="93" t="s">
        <v>29</v>
      </c>
      <c r="B164" s="93" t="s">
        <v>29</v>
      </c>
      <c r="C164" s="93" t="s">
        <v>29</v>
      </c>
      <c r="D164" s="93" t="s">
        <v>29</v>
      </c>
      <c r="E164" s="93" t="s">
        <v>29</v>
      </c>
      <c r="F164" s="88">
        <v>11.09</v>
      </c>
      <c r="G164" s="88">
        <v>11.09</v>
      </c>
      <c r="H164" s="88">
        <v>11.09</v>
      </c>
      <c r="I164" s="88">
        <v>1.37</v>
      </c>
      <c r="J164" s="88">
        <v>1.37</v>
      </c>
      <c r="K164" s="88">
        <v>1.37</v>
      </c>
      <c r="L164" s="88">
        <v>1.37</v>
      </c>
      <c r="M164" s="90" t="s">
        <v>29</v>
      </c>
      <c r="N164" s="94" t="s">
        <v>29</v>
      </c>
      <c r="O164" s="94" t="s">
        <v>29</v>
      </c>
      <c r="P164" s="94" t="s">
        <v>29</v>
      </c>
      <c r="Q164" s="94" t="s">
        <v>29</v>
      </c>
      <c r="R164" s="76"/>
      <c r="S164" s="76"/>
    </row>
    <row r="165" spans="1:19">
      <c r="A165" s="93" t="s">
        <v>29</v>
      </c>
      <c r="B165" s="93" t="s">
        <v>29</v>
      </c>
      <c r="C165" s="93" t="s">
        <v>29</v>
      </c>
      <c r="D165" s="93" t="s">
        <v>29</v>
      </c>
      <c r="E165" s="93" t="s">
        <v>29</v>
      </c>
      <c r="F165" s="88" t="s">
        <v>42</v>
      </c>
      <c r="G165" s="88" t="s">
        <v>42</v>
      </c>
      <c r="H165" s="88" t="s">
        <v>42</v>
      </c>
      <c r="I165" s="88">
        <v>1.38</v>
      </c>
      <c r="J165" s="88">
        <v>1.38</v>
      </c>
      <c r="K165" s="88">
        <v>1.38</v>
      </c>
      <c r="L165" s="88">
        <v>1.38</v>
      </c>
      <c r="M165" s="90" t="s">
        <v>29</v>
      </c>
      <c r="N165" s="94" t="s">
        <v>29</v>
      </c>
      <c r="O165" s="94" t="s">
        <v>29</v>
      </c>
      <c r="P165" s="94" t="s">
        <v>29</v>
      </c>
      <c r="Q165" s="94" t="s">
        <v>29</v>
      </c>
      <c r="R165" s="76"/>
      <c r="S165" s="76"/>
    </row>
    <row r="166" spans="1:19">
      <c r="A166" s="93" t="s">
        <v>29</v>
      </c>
      <c r="B166" s="93" t="s">
        <v>29</v>
      </c>
      <c r="C166" s="93" t="s">
        <v>29</v>
      </c>
      <c r="D166" s="93" t="s">
        <v>29</v>
      </c>
      <c r="E166" s="93" t="s">
        <v>29</v>
      </c>
      <c r="F166" s="93" t="s">
        <v>29</v>
      </c>
      <c r="G166" s="93" t="s">
        <v>29</v>
      </c>
      <c r="H166" s="93" t="s">
        <v>29</v>
      </c>
      <c r="I166" s="88">
        <v>1.44</v>
      </c>
      <c r="J166" s="88">
        <v>1.44</v>
      </c>
      <c r="K166" s="88">
        <v>1.44</v>
      </c>
      <c r="L166" s="88" t="s">
        <v>29</v>
      </c>
      <c r="M166" s="88" t="s">
        <v>29</v>
      </c>
      <c r="N166" s="88" t="s">
        <v>29</v>
      </c>
      <c r="O166" s="88" t="s">
        <v>29</v>
      </c>
      <c r="P166" s="88" t="s">
        <v>29</v>
      </c>
      <c r="Q166" s="88" t="s">
        <v>29</v>
      </c>
      <c r="R166" s="76"/>
      <c r="S166" s="76"/>
    </row>
    <row r="167" spans="1:19">
      <c r="A167" s="93" t="s">
        <v>29</v>
      </c>
      <c r="B167" s="93" t="s">
        <v>29</v>
      </c>
      <c r="C167" s="93" t="s">
        <v>29</v>
      </c>
      <c r="D167" s="93" t="s">
        <v>29</v>
      </c>
      <c r="E167" s="93" t="s">
        <v>29</v>
      </c>
      <c r="F167" s="88" t="s">
        <v>29</v>
      </c>
      <c r="G167" s="88" t="s">
        <v>29</v>
      </c>
      <c r="H167" s="88" t="s">
        <v>29</v>
      </c>
      <c r="I167" s="88">
        <v>1.45</v>
      </c>
      <c r="J167" s="88">
        <v>1.45</v>
      </c>
      <c r="K167" s="88" t="s">
        <v>29</v>
      </c>
      <c r="L167" s="88" t="s">
        <v>29</v>
      </c>
      <c r="M167" s="88" t="s">
        <v>29</v>
      </c>
      <c r="N167" s="88" t="s">
        <v>29</v>
      </c>
      <c r="O167" s="88" t="s">
        <v>29</v>
      </c>
      <c r="P167" s="88" t="s">
        <v>29</v>
      </c>
      <c r="Q167" s="88" t="s">
        <v>29</v>
      </c>
      <c r="R167" s="76"/>
      <c r="S167" s="76"/>
    </row>
    <row r="168" spans="1:19">
      <c r="A168" s="93" t="s">
        <v>29</v>
      </c>
      <c r="B168" s="93" t="s">
        <v>29</v>
      </c>
      <c r="C168" s="93" t="s">
        <v>29</v>
      </c>
      <c r="D168" s="93" t="s">
        <v>29</v>
      </c>
      <c r="E168" s="93" t="s">
        <v>29</v>
      </c>
      <c r="F168" s="88" t="s">
        <v>29</v>
      </c>
      <c r="G168" s="88" t="s">
        <v>29</v>
      </c>
      <c r="H168" s="88" t="s">
        <v>29</v>
      </c>
      <c r="I168" s="88">
        <v>1.46</v>
      </c>
      <c r="J168" s="88">
        <v>1.46</v>
      </c>
      <c r="K168" s="88" t="s">
        <v>29</v>
      </c>
      <c r="L168" s="88" t="s">
        <v>29</v>
      </c>
      <c r="M168" s="88" t="s">
        <v>29</v>
      </c>
      <c r="N168" s="88" t="s">
        <v>29</v>
      </c>
      <c r="O168" s="88" t="s">
        <v>29</v>
      </c>
      <c r="P168" s="88" t="s">
        <v>29</v>
      </c>
      <c r="Q168" s="88" t="s">
        <v>29</v>
      </c>
      <c r="R168" s="76"/>
      <c r="S168" s="76"/>
    </row>
    <row r="169" spans="1:19">
      <c r="A169" s="93" t="s">
        <v>29</v>
      </c>
      <c r="B169" s="93" t="s">
        <v>29</v>
      </c>
      <c r="C169" s="93" t="s">
        <v>29</v>
      </c>
      <c r="D169" s="93" t="s">
        <v>29</v>
      </c>
      <c r="E169" s="93" t="s">
        <v>29</v>
      </c>
      <c r="F169" s="94" t="s">
        <v>29</v>
      </c>
      <c r="G169" s="94" t="s">
        <v>29</v>
      </c>
      <c r="H169" s="94" t="s">
        <v>29</v>
      </c>
      <c r="I169" s="93">
        <v>3.01</v>
      </c>
      <c r="J169" s="93">
        <v>3.01</v>
      </c>
      <c r="K169" s="93">
        <v>3.01</v>
      </c>
      <c r="L169" s="93">
        <v>3.01</v>
      </c>
      <c r="M169" s="91">
        <v>3.01</v>
      </c>
      <c r="N169" s="91" t="s">
        <v>104</v>
      </c>
      <c r="O169" s="91" t="s">
        <v>104</v>
      </c>
      <c r="P169" s="91" t="s">
        <v>50</v>
      </c>
      <c r="Q169" s="91" t="s">
        <v>51</v>
      </c>
      <c r="R169" s="76"/>
      <c r="S169" s="76"/>
    </row>
    <row r="170" spans="1:19">
      <c r="A170" s="93" t="s">
        <v>29</v>
      </c>
      <c r="B170" s="93" t="s">
        <v>29</v>
      </c>
      <c r="C170" s="93" t="s">
        <v>29</v>
      </c>
      <c r="D170" s="93" t="s">
        <v>29</v>
      </c>
      <c r="E170" s="93" t="s">
        <v>29</v>
      </c>
      <c r="F170" s="94" t="s">
        <v>29</v>
      </c>
      <c r="G170" s="94" t="s">
        <v>29</v>
      </c>
      <c r="H170" s="94" t="s">
        <v>29</v>
      </c>
      <c r="I170" s="93">
        <v>3.02</v>
      </c>
      <c r="J170" s="93">
        <v>3.02</v>
      </c>
      <c r="K170" s="93">
        <v>3.02</v>
      </c>
      <c r="L170" s="93">
        <v>3.02</v>
      </c>
      <c r="M170" s="91">
        <v>3.02</v>
      </c>
      <c r="N170" s="94" t="s">
        <v>29</v>
      </c>
      <c r="O170" s="94" t="s">
        <v>29</v>
      </c>
      <c r="P170" s="94" t="s">
        <v>29</v>
      </c>
      <c r="Q170" s="94" t="s">
        <v>29</v>
      </c>
      <c r="R170" s="76"/>
      <c r="S170" s="76"/>
    </row>
    <row r="171" spans="1:19">
      <c r="A171" s="93" t="s">
        <v>29</v>
      </c>
      <c r="B171" s="93" t="s">
        <v>29</v>
      </c>
      <c r="C171" s="93" t="s">
        <v>29</v>
      </c>
      <c r="D171" s="93" t="s">
        <v>29</v>
      </c>
      <c r="E171" s="93" t="s">
        <v>29</v>
      </c>
      <c r="F171" s="94" t="s">
        <v>29</v>
      </c>
      <c r="G171" s="94" t="s">
        <v>29</v>
      </c>
      <c r="H171" s="94" t="s">
        <v>29</v>
      </c>
      <c r="I171" s="93">
        <v>3.03</v>
      </c>
      <c r="J171" s="93">
        <v>3.03</v>
      </c>
      <c r="K171" s="93">
        <v>3.03</v>
      </c>
      <c r="L171" s="93">
        <v>3.03</v>
      </c>
      <c r="M171" s="91">
        <v>3.03</v>
      </c>
      <c r="N171" s="91" t="s">
        <v>105</v>
      </c>
      <c r="O171" s="91" t="s">
        <v>105</v>
      </c>
      <c r="P171" s="91" t="s">
        <v>29</v>
      </c>
      <c r="Q171" s="91" t="s">
        <v>29</v>
      </c>
      <c r="R171" s="76"/>
      <c r="S171" s="76"/>
    </row>
    <row r="172" spans="1:19">
      <c r="A172" s="93" t="s">
        <v>29</v>
      </c>
      <c r="B172" s="93" t="s">
        <v>29</v>
      </c>
      <c r="C172" s="93" t="s">
        <v>29</v>
      </c>
      <c r="D172" s="93" t="s">
        <v>29</v>
      </c>
      <c r="E172" s="93" t="s">
        <v>29</v>
      </c>
      <c r="F172" s="94" t="s">
        <v>29</v>
      </c>
      <c r="G172" s="94" t="s">
        <v>29</v>
      </c>
      <c r="H172" s="94" t="s">
        <v>29</v>
      </c>
      <c r="I172" s="93">
        <v>3.05</v>
      </c>
      <c r="J172" s="93">
        <v>3.05</v>
      </c>
      <c r="K172" s="93">
        <v>3.05</v>
      </c>
      <c r="L172" s="93">
        <v>3.05</v>
      </c>
      <c r="M172" s="91">
        <v>3.05</v>
      </c>
      <c r="N172" s="91" t="s">
        <v>106</v>
      </c>
      <c r="O172" s="91" t="s">
        <v>106</v>
      </c>
      <c r="P172" s="91" t="s">
        <v>29</v>
      </c>
      <c r="Q172" s="91" t="s">
        <v>29</v>
      </c>
      <c r="R172" s="76"/>
      <c r="S172" s="76"/>
    </row>
    <row r="173" spans="1:19">
      <c r="A173" s="93" t="s">
        <v>29</v>
      </c>
      <c r="B173" s="93" t="s">
        <v>29</v>
      </c>
      <c r="C173" s="93" t="s">
        <v>29</v>
      </c>
      <c r="D173" s="93" t="s">
        <v>29</v>
      </c>
      <c r="E173" s="93" t="s">
        <v>29</v>
      </c>
      <c r="F173" s="93" t="s">
        <v>29</v>
      </c>
      <c r="G173" s="93" t="s">
        <v>29</v>
      </c>
      <c r="H173" s="93" t="s">
        <v>29</v>
      </c>
      <c r="I173" s="93">
        <v>3.06</v>
      </c>
      <c r="J173" s="93">
        <v>3.06</v>
      </c>
      <c r="K173" s="93">
        <v>3.06</v>
      </c>
      <c r="L173" s="93">
        <v>3.06</v>
      </c>
      <c r="M173" s="91">
        <v>3.06</v>
      </c>
      <c r="N173" s="94" t="s">
        <v>29</v>
      </c>
      <c r="O173" s="94" t="s">
        <v>29</v>
      </c>
      <c r="P173" s="94" t="s">
        <v>29</v>
      </c>
      <c r="Q173" s="94" t="s">
        <v>29</v>
      </c>
      <c r="R173" s="76"/>
      <c r="S173" s="76"/>
    </row>
    <row r="174" spans="1:19">
      <c r="A174" s="93" t="s">
        <v>29</v>
      </c>
      <c r="B174" s="93" t="s">
        <v>29</v>
      </c>
      <c r="C174" s="93" t="s">
        <v>29</v>
      </c>
      <c r="D174" s="93" t="s">
        <v>29</v>
      </c>
      <c r="E174" s="93" t="s">
        <v>29</v>
      </c>
      <c r="F174" s="88" t="s">
        <v>29</v>
      </c>
      <c r="G174" s="88" t="s">
        <v>29</v>
      </c>
      <c r="H174" s="88" t="s">
        <v>29</v>
      </c>
      <c r="I174" s="88">
        <v>4.1100000000000003</v>
      </c>
      <c r="J174" s="88">
        <v>4.1100000000000003</v>
      </c>
      <c r="K174" s="88">
        <v>4.1100000000000003</v>
      </c>
      <c r="L174" s="88" t="s">
        <v>29</v>
      </c>
      <c r="M174" s="88" t="s">
        <v>29</v>
      </c>
      <c r="N174" s="88" t="s">
        <v>29</v>
      </c>
      <c r="O174" s="88" t="s">
        <v>29</v>
      </c>
      <c r="P174" s="88" t="s">
        <v>29</v>
      </c>
      <c r="Q174" s="88" t="s">
        <v>29</v>
      </c>
      <c r="R174" s="76"/>
      <c r="S174" s="76"/>
    </row>
    <row r="175" spans="1:19">
      <c r="A175" s="93" t="s">
        <v>29</v>
      </c>
      <c r="B175" s="93" t="s">
        <v>29</v>
      </c>
      <c r="C175" s="93" t="s">
        <v>29</v>
      </c>
      <c r="D175" s="93" t="s">
        <v>29</v>
      </c>
      <c r="E175" s="93" t="s">
        <v>29</v>
      </c>
      <c r="F175" s="88" t="s">
        <v>29</v>
      </c>
      <c r="G175" s="88" t="s">
        <v>29</v>
      </c>
      <c r="H175" s="88" t="s">
        <v>29</v>
      </c>
      <c r="I175" s="88">
        <v>4.12</v>
      </c>
      <c r="J175" s="88">
        <v>4.12</v>
      </c>
      <c r="K175" s="88">
        <v>4.12</v>
      </c>
      <c r="L175" s="88" t="s">
        <v>29</v>
      </c>
      <c r="M175" s="88" t="s">
        <v>29</v>
      </c>
      <c r="N175" s="88" t="s">
        <v>29</v>
      </c>
      <c r="O175" s="88" t="s">
        <v>29</v>
      </c>
      <c r="P175" s="88" t="s">
        <v>29</v>
      </c>
      <c r="Q175" s="88" t="s">
        <v>29</v>
      </c>
      <c r="R175" s="76"/>
      <c r="S175" s="76"/>
    </row>
    <row r="176" spans="1:19">
      <c r="A176" s="93" t="s">
        <v>29</v>
      </c>
      <c r="B176" s="93" t="s">
        <v>29</v>
      </c>
      <c r="C176" s="93" t="s">
        <v>29</v>
      </c>
      <c r="D176" s="93" t="s">
        <v>29</v>
      </c>
      <c r="E176" s="93" t="s">
        <v>29</v>
      </c>
      <c r="F176" s="91" t="s">
        <v>29</v>
      </c>
      <c r="G176" s="91" t="s">
        <v>29</v>
      </c>
      <c r="H176" s="91" t="s">
        <v>29</v>
      </c>
      <c r="I176" s="88">
        <v>9.07</v>
      </c>
      <c r="J176" s="88">
        <v>9.07</v>
      </c>
      <c r="K176" s="88">
        <v>9.07</v>
      </c>
      <c r="L176" s="88">
        <v>9.07</v>
      </c>
      <c r="M176" s="90" t="s">
        <v>29</v>
      </c>
      <c r="N176" s="91" t="s">
        <v>29</v>
      </c>
      <c r="O176" s="91" t="s">
        <v>29</v>
      </c>
      <c r="P176" s="91" t="s">
        <v>29</v>
      </c>
      <c r="Q176" s="91" t="s">
        <v>29</v>
      </c>
      <c r="R176" s="76"/>
      <c r="S176" s="76"/>
    </row>
    <row r="177" spans="1:19">
      <c r="A177" s="93" t="s">
        <v>29</v>
      </c>
      <c r="B177" s="93" t="s">
        <v>29</v>
      </c>
      <c r="C177" s="93" t="s">
        <v>29</v>
      </c>
      <c r="D177" s="93" t="s">
        <v>29</v>
      </c>
      <c r="E177" s="93" t="s">
        <v>29</v>
      </c>
      <c r="F177" s="91" t="s">
        <v>29</v>
      </c>
      <c r="G177" s="91" t="s">
        <v>29</v>
      </c>
      <c r="H177" s="91" t="s">
        <v>29</v>
      </c>
      <c r="I177" s="88">
        <v>9.15</v>
      </c>
      <c r="J177" s="88">
        <v>9.15</v>
      </c>
      <c r="K177" s="88">
        <v>9.15</v>
      </c>
      <c r="L177" s="88">
        <v>9.15</v>
      </c>
      <c r="M177" s="90" t="s">
        <v>29</v>
      </c>
      <c r="N177" s="94" t="s">
        <v>29</v>
      </c>
      <c r="O177" s="94" t="s">
        <v>29</v>
      </c>
      <c r="P177" s="94" t="s">
        <v>29</v>
      </c>
      <c r="Q177" s="94" t="s">
        <v>29</v>
      </c>
      <c r="R177" s="76"/>
      <c r="S177" s="76"/>
    </row>
    <row r="178" spans="1:19">
      <c r="A178" s="93" t="s">
        <v>29</v>
      </c>
      <c r="B178" s="93" t="s">
        <v>29</v>
      </c>
      <c r="C178" s="93" t="s">
        <v>29</v>
      </c>
      <c r="D178" s="93" t="s">
        <v>29</v>
      </c>
      <c r="E178" s="93" t="s">
        <v>29</v>
      </c>
      <c r="F178" s="88" t="s">
        <v>29</v>
      </c>
      <c r="G178" s="88" t="s">
        <v>29</v>
      </c>
      <c r="H178" s="88" t="s">
        <v>29</v>
      </c>
      <c r="I178" s="88" t="s">
        <v>29</v>
      </c>
      <c r="J178" s="88">
        <v>1.41</v>
      </c>
      <c r="K178" s="88">
        <v>1.41</v>
      </c>
      <c r="L178" s="88">
        <v>1.41</v>
      </c>
      <c r="M178" s="90">
        <v>9.07</v>
      </c>
      <c r="N178" s="94" t="s">
        <v>29</v>
      </c>
      <c r="O178" s="94" t="s">
        <v>29</v>
      </c>
      <c r="P178" s="94" t="s">
        <v>29</v>
      </c>
      <c r="Q178" s="94" t="s">
        <v>29</v>
      </c>
      <c r="R178" s="76"/>
      <c r="S178" s="76"/>
    </row>
    <row r="179" spans="1:19">
      <c r="A179" s="93" t="s">
        <v>29</v>
      </c>
      <c r="B179" s="93" t="s">
        <v>29</v>
      </c>
      <c r="C179" s="93" t="s">
        <v>29</v>
      </c>
      <c r="D179" s="93" t="s">
        <v>29</v>
      </c>
      <c r="E179" s="93" t="s">
        <v>29</v>
      </c>
      <c r="F179" s="93" t="s">
        <v>29</v>
      </c>
      <c r="G179" s="93" t="s">
        <v>29</v>
      </c>
      <c r="H179" s="93" t="s">
        <v>29</v>
      </c>
      <c r="I179" s="93" t="s">
        <v>29</v>
      </c>
      <c r="J179" s="92" t="s">
        <v>93</v>
      </c>
      <c r="K179" s="92" t="s">
        <v>93</v>
      </c>
      <c r="L179" s="93" t="s">
        <v>29</v>
      </c>
      <c r="M179" s="93" t="s">
        <v>29</v>
      </c>
      <c r="N179" s="93" t="s">
        <v>29</v>
      </c>
      <c r="O179" s="93" t="s">
        <v>107</v>
      </c>
      <c r="P179" s="93" t="s">
        <v>29</v>
      </c>
      <c r="Q179" s="93" t="s">
        <v>29</v>
      </c>
      <c r="R179" s="76"/>
      <c r="S179" s="76"/>
    </row>
    <row r="180" spans="1:19">
      <c r="A180" s="93" t="s">
        <v>29</v>
      </c>
      <c r="B180" s="93" t="s">
        <v>29</v>
      </c>
      <c r="C180" s="93" t="s">
        <v>29</v>
      </c>
      <c r="D180" s="93" t="s">
        <v>29</v>
      </c>
      <c r="E180" s="93" t="s">
        <v>29</v>
      </c>
      <c r="F180" s="88" t="s">
        <v>29</v>
      </c>
      <c r="G180" s="88" t="s">
        <v>29</v>
      </c>
      <c r="H180" s="88" t="s">
        <v>29</v>
      </c>
      <c r="I180" s="88" t="s">
        <v>29</v>
      </c>
      <c r="J180" s="88">
        <v>8.02</v>
      </c>
      <c r="K180" s="88">
        <v>8.02</v>
      </c>
      <c r="L180" s="88">
        <v>8.02</v>
      </c>
      <c r="M180" s="90">
        <v>8.01</v>
      </c>
      <c r="N180" s="91" t="s">
        <v>127</v>
      </c>
      <c r="O180" s="91" t="s">
        <v>127</v>
      </c>
      <c r="P180" s="91" t="s">
        <v>127</v>
      </c>
      <c r="Q180" s="91" t="s">
        <v>127</v>
      </c>
      <c r="R180" s="76"/>
      <c r="S180" s="76"/>
    </row>
    <row r="181" spans="1:19">
      <c r="A181" s="93" t="s">
        <v>29</v>
      </c>
      <c r="B181" s="93" t="s">
        <v>29</v>
      </c>
      <c r="C181" s="93" t="s">
        <v>29</v>
      </c>
      <c r="D181" s="93" t="s">
        <v>29</v>
      </c>
      <c r="E181" s="93" t="s">
        <v>29</v>
      </c>
      <c r="F181" s="88" t="s">
        <v>29</v>
      </c>
      <c r="G181" s="88" t="s">
        <v>29</v>
      </c>
      <c r="H181" s="88" t="s">
        <v>29</v>
      </c>
      <c r="I181" s="88" t="s">
        <v>29</v>
      </c>
      <c r="J181" s="88" t="s">
        <v>29</v>
      </c>
      <c r="K181" s="88" t="s">
        <v>29</v>
      </c>
      <c r="L181" s="88" t="s">
        <v>29</v>
      </c>
      <c r="M181" s="90" t="s">
        <v>29</v>
      </c>
      <c r="N181" s="91" t="s">
        <v>128</v>
      </c>
      <c r="O181" s="91" t="s">
        <v>128</v>
      </c>
      <c r="P181" s="91" t="s">
        <v>128</v>
      </c>
      <c r="Q181" s="91" t="s">
        <v>128</v>
      </c>
      <c r="R181" s="76"/>
      <c r="S181" s="76"/>
    </row>
    <row r="182" spans="1:19">
      <c r="A182" s="93" t="s">
        <v>29</v>
      </c>
      <c r="B182" s="93" t="s">
        <v>29</v>
      </c>
      <c r="C182" s="93" t="s">
        <v>29</v>
      </c>
      <c r="D182" s="93" t="s">
        <v>29</v>
      </c>
      <c r="E182" s="93" t="s">
        <v>29</v>
      </c>
      <c r="F182" s="88" t="s">
        <v>29</v>
      </c>
      <c r="G182" s="88" t="s">
        <v>29</v>
      </c>
      <c r="H182" s="88" t="s">
        <v>29</v>
      </c>
      <c r="I182" s="88" t="s">
        <v>29</v>
      </c>
      <c r="J182" s="88" t="s">
        <v>29</v>
      </c>
      <c r="K182" s="88" t="s">
        <v>29</v>
      </c>
      <c r="L182" s="88" t="s">
        <v>29</v>
      </c>
      <c r="M182" s="90" t="s">
        <v>29</v>
      </c>
      <c r="N182" s="91" t="s">
        <v>129</v>
      </c>
      <c r="O182" s="91" t="s">
        <v>129</v>
      </c>
      <c r="P182" s="91" t="s">
        <v>129</v>
      </c>
      <c r="Q182" s="91" t="s">
        <v>129</v>
      </c>
      <c r="R182" s="76"/>
      <c r="S182" s="76"/>
    </row>
    <row r="183" spans="1:19">
      <c r="A183" s="93" t="s">
        <v>29</v>
      </c>
      <c r="B183" s="93" t="s">
        <v>29</v>
      </c>
      <c r="C183" s="93" t="s">
        <v>29</v>
      </c>
      <c r="D183" s="93" t="s">
        <v>29</v>
      </c>
      <c r="E183" s="93" t="s">
        <v>29</v>
      </c>
      <c r="F183" s="88" t="s">
        <v>29</v>
      </c>
      <c r="G183" s="88" t="s">
        <v>29</v>
      </c>
      <c r="H183" s="88" t="s">
        <v>29</v>
      </c>
      <c r="I183" s="88" t="s">
        <v>29</v>
      </c>
      <c r="J183" s="88" t="s">
        <v>29</v>
      </c>
      <c r="K183" s="88" t="s">
        <v>29</v>
      </c>
      <c r="L183" s="88" t="s">
        <v>29</v>
      </c>
      <c r="M183" s="90" t="s">
        <v>29</v>
      </c>
      <c r="N183" s="91" t="s">
        <v>131</v>
      </c>
      <c r="O183" s="91" t="s">
        <v>131</v>
      </c>
      <c r="P183" s="91" t="s">
        <v>131</v>
      </c>
      <c r="Q183" s="91" t="s">
        <v>131</v>
      </c>
      <c r="R183" s="76"/>
      <c r="S183" s="76"/>
    </row>
    <row r="184" spans="1:19">
      <c r="A184" s="93" t="s">
        <v>29</v>
      </c>
      <c r="B184" s="93" t="s">
        <v>29</v>
      </c>
      <c r="C184" s="93" t="s">
        <v>29</v>
      </c>
      <c r="D184" s="93" t="s">
        <v>29</v>
      </c>
      <c r="E184" s="93" t="s">
        <v>29</v>
      </c>
      <c r="F184" s="88" t="s">
        <v>29</v>
      </c>
      <c r="G184" s="88" t="s">
        <v>29</v>
      </c>
      <c r="H184" s="88" t="s">
        <v>29</v>
      </c>
      <c r="I184" s="88" t="s">
        <v>29</v>
      </c>
      <c r="J184" s="88" t="s">
        <v>29</v>
      </c>
      <c r="K184" s="88" t="s">
        <v>29</v>
      </c>
      <c r="L184" s="88" t="s">
        <v>29</v>
      </c>
      <c r="M184" s="90" t="s">
        <v>29</v>
      </c>
      <c r="N184" s="91" t="s">
        <v>133</v>
      </c>
      <c r="O184" s="91" t="s">
        <v>133</v>
      </c>
      <c r="P184" s="91" t="s">
        <v>133</v>
      </c>
      <c r="Q184" s="91" t="s">
        <v>133</v>
      </c>
      <c r="R184" s="76"/>
      <c r="S184" s="76"/>
    </row>
    <row r="185" spans="1:19">
      <c r="A185" s="93" t="s">
        <v>29</v>
      </c>
      <c r="B185" s="93" t="s">
        <v>29</v>
      </c>
      <c r="C185" s="93" t="s">
        <v>29</v>
      </c>
      <c r="D185" s="93" t="s">
        <v>29</v>
      </c>
      <c r="E185" s="93" t="s">
        <v>29</v>
      </c>
      <c r="F185" s="88" t="s">
        <v>29</v>
      </c>
      <c r="G185" s="88" t="s">
        <v>29</v>
      </c>
      <c r="H185" s="88" t="s">
        <v>29</v>
      </c>
      <c r="I185" s="88" t="s">
        <v>29</v>
      </c>
      <c r="J185" s="88" t="s">
        <v>29</v>
      </c>
      <c r="K185" s="88" t="s">
        <v>29</v>
      </c>
      <c r="L185" s="88" t="s">
        <v>29</v>
      </c>
      <c r="M185" s="90" t="s">
        <v>29</v>
      </c>
      <c r="N185" s="91" t="s">
        <v>135</v>
      </c>
      <c r="O185" s="91" t="s">
        <v>135</v>
      </c>
      <c r="P185" s="91" t="s">
        <v>135</v>
      </c>
      <c r="Q185" s="91" t="s">
        <v>135</v>
      </c>
      <c r="R185" s="76"/>
      <c r="S185" s="76"/>
    </row>
    <row r="186" spans="1:19">
      <c r="A186" s="93" t="s">
        <v>29</v>
      </c>
      <c r="B186" s="93" t="s">
        <v>29</v>
      </c>
      <c r="C186" s="93" t="s">
        <v>29</v>
      </c>
      <c r="D186" s="93" t="s">
        <v>29</v>
      </c>
      <c r="E186" s="93" t="s">
        <v>29</v>
      </c>
      <c r="F186" s="88" t="s">
        <v>29</v>
      </c>
      <c r="G186" s="88" t="s">
        <v>29</v>
      </c>
      <c r="H186" s="88" t="s">
        <v>29</v>
      </c>
      <c r="I186" s="88" t="s">
        <v>29</v>
      </c>
      <c r="J186" s="88" t="s">
        <v>29</v>
      </c>
      <c r="K186" s="88" t="s">
        <v>29</v>
      </c>
      <c r="L186" s="88" t="s">
        <v>29</v>
      </c>
      <c r="M186" s="90" t="s">
        <v>29</v>
      </c>
      <c r="N186" s="91" t="s">
        <v>138</v>
      </c>
      <c r="O186" s="91" t="s">
        <v>138</v>
      </c>
      <c r="P186" s="91" t="s">
        <v>138</v>
      </c>
      <c r="Q186" s="91" t="s">
        <v>138</v>
      </c>
      <c r="R186" s="76"/>
      <c r="S186" s="76"/>
    </row>
    <row r="187" spans="1:19">
      <c r="A187" s="93" t="s">
        <v>29</v>
      </c>
      <c r="B187" s="93" t="s">
        <v>29</v>
      </c>
      <c r="C187" s="93" t="s">
        <v>29</v>
      </c>
      <c r="D187" s="93" t="s">
        <v>29</v>
      </c>
      <c r="E187" s="93" t="s">
        <v>29</v>
      </c>
      <c r="F187" s="88" t="s">
        <v>29</v>
      </c>
      <c r="G187" s="88" t="s">
        <v>29</v>
      </c>
      <c r="H187" s="88" t="s">
        <v>29</v>
      </c>
      <c r="I187" s="88" t="s">
        <v>29</v>
      </c>
      <c r="J187" s="88" t="s">
        <v>29</v>
      </c>
      <c r="K187" s="88" t="s">
        <v>29</v>
      </c>
      <c r="L187" s="88" t="s">
        <v>29</v>
      </c>
      <c r="M187" s="90" t="s">
        <v>29</v>
      </c>
      <c r="N187" s="91" t="s">
        <v>139</v>
      </c>
      <c r="O187" s="91" t="s">
        <v>139</v>
      </c>
      <c r="P187" s="91" t="s">
        <v>139</v>
      </c>
      <c r="Q187" s="91" t="s">
        <v>139</v>
      </c>
      <c r="R187" s="76"/>
      <c r="S187" s="76"/>
    </row>
    <row r="188" spans="1:19">
      <c r="A188" s="93" t="s">
        <v>29</v>
      </c>
      <c r="B188" s="93" t="s">
        <v>29</v>
      </c>
      <c r="C188" s="93" t="s">
        <v>29</v>
      </c>
      <c r="D188" s="93" t="s">
        <v>29</v>
      </c>
      <c r="E188" s="93" t="s">
        <v>29</v>
      </c>
      <c r="F188" s="88" t="s">
        <v>29</v>
      </c>
      <c r="G188" s="88" t="s">
        <v>29</v>
      </c>
      <c r="H188" s="88" t="s">
        <v>29</v>
      </c>
      <c r="I188" s="88" t="s">
        <v>29</v>
      </c>
      <c r="J188" s="88" t="s">
        <v>29</v>
      </c>
      <c r="K188" s="88" t="s">
        <v>29</v>
      </c>
      <c r="L188" s="88" t="s">
        <v>29</v>
      </c>
      <c r="M188" s="90" t="s">
        <v>29</v>
      </c>
      <c r="N188" s="91" t="s">
        <v>141</v>
      </c>
      <c r="O188" s="91" t="s">
        <v>141</v>
      </c>
      <c r="P188" s="91" t="s">
        <v>141</v>
      </c>
      <c r="Q188" s="91" t="s">
        <v>141</v>
      </c>
      <c r="R188" s="76"/>
      <c r="S188" s="76"/>
    </row>
    <row r="189" spans="1:19">
      <c r="A189" s="93" t="s">
        <v>29</v>
      </c>
      <c r="B189" s="93" t="s">
        <v>29</v>
      </c>
      <c r="C189" s="93" t="s">
        <v>29</v>
      </c>
      <c r="D189" s="93" t="s">
        <v>29</v>
      </c>
      <c r="E189" s="93" t="s">
        <v>29</v>
      </c>
      <c r="F189" s="88" t="s">
        <v>29</v>
      </c>
      <c r="G189" s="88" t="s">
        <v>29</v>
      </c>
      <c r="H189" s="88" t="s">
        <v>29</v>
      </c>
      <c r="I189" s="88" t="s">
        <v>29</v>
      </c>
      <c r="J189" s="88" t="s">
        <v>29</v>
      </c>
      <c r="K189" s="88" t="s">
        <v>29</v>
      </c>
      <c r="L189" s="88" t="s">
        <v>29</v>
      </c>
      <c r="M189" s="90" t="s">
        <v>29</v>
      </c>
      <c r="N189" s="91" t="s">
        <v>145</v>
      </c>
      <c r="O189" s="91" t="s">
        <v>145</v>
      </c>
      <c r="P189" s="91" t="s">
        <v>145</v>
      </c>
      <c r="Q189" s="91" t="s">
        <v>145</v>
      </c>
      <c r="R189" s="76"/>
      <c r="S189" s="76"/>
    </row>
    <row r="190" spans="1:19">
      <c r="A190" s="93" t="s">
        <v>29</v>
      </c>
      <c r="B190" s="93" t="s">
        <v>29</v>
      </c>
      <c r="C190" s="93" t="s">
        <v>29</v>
      </c>
      <c r="D190" s="93" t="s">
        <v>29</v>
      </c>
      <c r="E190" s="93" t="s">
        <v>29</v>
      </c>
      <c r="F190" s="88" t="s">
        <v>29</v>
      </c>
      <c r="G190" s="88" t="s">
        <v>29</v>
      </c>
      <c r="H190" s="88" t="s">
        <v>29</v>
      </c>
      <c r="I190" s="88" t="s">
        <v>29</v>
      </c>
      <c r="J190" s="88" t="s">
        <v>29</v>
      </c>
      <c r="K190" s="88" t="s">
        <v>29</v>
      </c>
      <c r="L190" s="88" t="s">
        <v>29</v>
      </c>
      <c r="M190" s="90" t="s">
        <v>29</v>
      </c>
      <c r="N190" s="91" t="s">
        <v>146</v>
      </c>
      <c r="O190" s="91" t="s">
        <v>146</v>
      </c>
      <c r="P190" s="91" t="s">
        <v>146</v>
      </c>
      <c r="Q190" s="91" t="s">
        <v>146</v>
      </c>
      <c r="R190" s="76"/>
      <c r="S190" s="76"/>
    </row>
    <row r="191" spans="1:19">
      <c r="A191" s="93" t="s">
        <v>29</v>
      </c>
      <c r="B191" s="93" t="s">
        <v>29</v>
      </c>
      <c r="C191" s="93" t="s">
        <v>29</v>
      </c>
      <c r="D191" s="93" t="s">
        <v>29</v>
      </c>
      <c r="E191" s="93" t="s">
        <v>29</v>
      </c>
      <c r="F191" s="88" t="s">
        <v>29</v>
      </c>
      <c r="G191" s="88" t="s">
        <v>29</v>
      </c>
      <c r="H191" s="88" t="s">
        <v>29</v>
      </c>
      <c r="I191" s="88" t="s">
        <v>29</v>
      </c>
      <c r="J191" s="88" t="s">
        <v>29</v>
      </c>
      <c r="K191" s="88" t="s">
        <v>29</v>
      </c>
      <c r="L191" s="88" t="s">
        <v>29</v>
      </c>
      <c r="M191" s="90" t="s">
        <v>29</v>
      </c>
      <c r="N191" s="91" t="s">
        <v>147</v>
      </c>
      <c r="O191" s="91" t="s">
        <v>147</v>
      </c>
      <c r="P191" s="91" t="s">
        <v>147</v>
      </c>
      <c r="Q191" s="91" t="s">
        <v>147</v>
      </c>
      <c r="R191" s="76"/>
      <c r="S191" s="76"/>
    </row>
    <row r="192" spans="1:19">
      <c r="A192" s="93" t="s">
        <v>29</v>
      </c>
      <c r="B192" s="93" t="s">
        <v>29</v>
      </c>
      <c r="C192" s="93" t="s">
        <v>29</v>
      </c>
      <c r="D192" s="93" t="s">
        <v>29</v>
      </c>
      <c r="E192" s="93" t="s">
        <v>29</v>
      </c>
      <c r="F192" s="88" t="s">
        <v>29</v>
      </c>
      <c r="G192" s="88" t="s">
        <v>29</v>
      </c>
      <c r="H192" s="88" t="s">
        <v>29</v>
      </c>
      <c r="I192" s="88" t="s">
        <v>29</v>
      </c>
      <c r="J192" s="88" t="s">
        <v>29</v>
      </c>
      <c r="K192" s="88" t="s">
        <v>29</v>
      </c>
      <c r="L192" s="88" t="s">
        <v>29</v>
      </c>
      <c r="M192" s="90" t="s">
        <v>29</v>
      </c>
      <c r="N192" s="91" t="s">
        <v>150</v>
      </c>
      <c r="O192" s="91" t="s">
        <v>150</v>
      </c>
      <c r="P192" s="91" t="s">
        <v>150</v>
      </c>
      <c r="Q192" s="91" t="s">
        <v>150</v>
      </c>
      <c r="R192" s="76"/>
      <c r="S192" s="76"/>
    </row>
    <row r="193" spans="1:19">
      <c r="A193" s="93" t="s">
        <v>29</v>
      </c>
      <c r="B193" s="93" t="s">
        <v>29</v>
      </c>
      <c r="C193" s="93" t="s">
        <v>29</v>
      </c>
      <c r="D193" s="93" t="s">
        <v>29</v>
      </c>
      <c r="E193" s="93" t="s">
        <v>29</v>
      </c>
      <c r="F193" s="88" t="s">
        <v>29</v>
      </c>
      <c r="G193" s="88" t="s">
        <v>29</v>
      </c>
      <c r="H193" s="88" t="s">
        <v>29</v>
      </c>
      <c r="I193" s="88" t="s">
        <v>29</v>
      </c>
      <c r="J193" s="88" t="s">
        <v>29</v>
      </c>
      <c r="K193" s="88" t="s">
        <v>29</v>
      </c>
      <c r="L193" s="88" t="s">
        <v>29</v>
      </c>
      <c r="M193" s="90" t="s">
        <v>29</v>
      </c>
      <c r="N193" s="91" t="s">
        <v>151</v>
      </c>
      <c r="O193" s="91" t="s">
        <v>151</v>
      </c>
      <c r="P193" s="91" t="s">
        <v>151</v>
      </c>
      <c r="Q193" s="91" t="s">
        <v>151</v>
      </c>
      <c r="R193" s="76"/>
      <c r="S193" s="76"/>
    </row>
    <row r="194" spans="1:19">
      <c r="A194" s="93" t="s">
        <v>29</v>
      </c>
      <c r="B194" s="93" t="s">
        <v>29</v>
      </c>
      <c r="C194" s="93" t="s">
        <v>29</v>
      </c>
      <c r="D194" s="93" t="s">
        <v>29</v>
      </c>
      <c r="E194" s="93" t="s">
        <v>29</v>
      </c>
      <c r="F194" s="88" t="s">
        <v>29</v>
      </c>
      <c r="G194" s="88" t="s">
        <v>29</v>
      </c>
      <c r="H194" s="88" t="s">
        <v>29</v>
      </c>
      <c r="I194" s="88" t="s">
        <v>29</v>
      </c>
      <c r="J194" s="88" t="s">
        <v>29</v>
      </c>
      <c r="K194" s="88" t="s">
        <v>29</v>
      </c>
      <c r="L194" s="88" t="s">
        <v>29</v>
      </c>
      <c r="M194" s="90" t="s">
        <v>29</v>
      </c>
      <c r="N194" s="91" t="s">
        <v>166</v>
      </c>
      <c r="O194" s="91" t="s">
        <v>166</v>
      </c>
      <c r="P194" s="91" t="s">
        <v>166</v>
      </c>
      <c r="Q194" s="91" t="s">
        <v>166</v>
      </c>
      <c r="R194" s="76"/>
      <c r="S194" s="76"/>
    </row>
    <row r="195" spans="1:19">
      <c r="A195" s="93" t="s">
        <v>29</v>
      </c>
      <c r="B195" s="93" t="s">
        <v>29</v>
      </c>
      <c r="C195" s="93" t="s">
        <v>29</v>
      </c>
      <c r="D195" s="93" t="s">
        <v>29</v>
      </c>
      <c r="E195" s="93" t="s">
        <v>29</v>
      </c>
      <c r="F195" s="88" t="s">
        <v>29</v>
      </c>
      <c r="G195" s="88" t="s">
        <v>29</v>
      </c>
      <c r="H195" s="88" t="s">
        <v>29</v>
      </c>
      <c r="I195" s="88" t="s">
        <v>29</v>
      </c>
      <c r="J195" s="88" t="s">
        <v>29</v>
      </c>
      <c r="K195" s="88" t="s">
        <v>29</v>
      </c>
      <c r="L195" s="88" t="s">
        <v>29</v>
      </c>
      <c r="M195" s="90" t="s">
        <v>29</v>
      </c>
      <c r="N195" s="91" t="s">
        <v>167</v>
      </c>
      <c r="O195" s="91" t="s">
        <v>167</v>
      </c>
      <c r="P195" s="91" t="s">
        <v>167</v>
      </c>
      <c r="Q195" s="91" t="s">
        <v>167</v>
      </c>
      <c r="R195" s="76"/>
      <c r="S195" s="76"/>
    </row>
    <row r="196" spans="1:19">
      <c r="A196" s="93" t="s">
        <v>29</v>
      </c>
      <c r="B196" s="93" t="s">
        <v>29</v>
      </c>
      <c r="C196" s="93" t="s">
        <v>29</v>
      </c>
      <c r="D196" s="93" t="s">
        <v>29</v>
      </c>
      <c r="E196" s="93" t="s">
        <v>29</v>
      </c>
      <c r="F196" s="88" t="s">
        <v>29</v>
      </c>
      <c r="G196" s="88" t="s">
        <v>29</v>
      </c>
      <c r="H196" s="88" t="s">
        <v>29</v>
      </c>
      <c r="I196" s="88" t="s">
        <v>29</v>
      </c>
      <c r="J196" s="88" t="s">
        <v>29</v>
      </c>
      <c r="K196" s="88" t="s">
        <v>29</v>
      </c>
      <c r="L196" s="88" t="s">
        <v>29</v>
      </c>
      <c r="M196" s="90" t="s">
        <v>29</v>
      </c>
      <c r="N196" s="91" t="s">
        <v>171</v>
      </c>
      <c r="O196" s="91" t="s">
        <v>171</v>
      </c>
      <c r="P196" s="91" t="s">
        <v>171</v>
      </c>
      <c r="Q196" s="91" t="s">
        <v>171</v>
      </c>
      <c r="R196" s="76"/>
      <c r="S196" s="76"/>
    </row>
    <row r="197" spans="1:19">
      <c r="A197" s="93" t="s">
        <v>29</v>
      </c>
      <c r="B197" s="93" t="s">
        <v>29</v>
      </c>
      <c r="C197" s="93" t="s">
        <v>29</v>
      </c>
      <c r="D197" s="93" t="s">
        <v>29</v>
      </c>
      <c r="E197" s="93" t="s">
        <v>29</v>
      </c>
      <c r="F197" s="88" t="s">
        <v>29</v>
      </c>
      <c r="G197" s="88" t="s">
        <v>29</v>
      </c>
      <c r="H197" s="88" t="s">
        <v>29</v>
      </c>
      <c r="I197" s="88" t="s">
        <v>29</v>
      </c>
      <c r="J197" s="88" t="s">
        <v>29</v>
      </c>
      <c r="K197" s="88" t="s">
        <v>29</v>
      </c>
      <c r="L197" s="88" t="s">
        <v>29</v>
      </c>
      <c r="M197" s="90" t="s">
        <v>29</v>
      </c>
      <c r="N197" s="91" t="s">
        <v>59</v>
      </c>
      <c r="O197" s="91" t="s">
        <v>59</v>
      </c>
      <c r="P197" s="91" t="s">
        <v>59</v>
      </c>
      <c r="Q197" s="91" t="s">
        <v>59</v>
      </c>
      <c r="R197" s="76"/>
      <c r="S197" s="76"/>
    </row>
    <row r="198" spans="1:19">
      <c r="A198" s="93" t="s">
        <v>29</v>
      </c>
      <c r="B198" s="93" t="s">
        <v>29</v>
      </c>
      <c r="C198" s="93" t="s">
        <v>29</v>
      </c>
      <c r="D198" s="93" t="s">
        <v>29</v>
      </c>
      <c r="E198" s="93" t="s">
        <v>29</v>
      </c>
      <c r="F198" s="88" t="s">
        <v>29</v>
      </c>
      <c r="G198" s="88" t="s">
        <v>29</v>
      </c>
      <c r="H198" s="88" t="s">
        <v>29</v>
      </c>
      <c r="I198" s="88" t="s">
        <v>29</v>
      </c>
      <c r="J198" s="88" t="s">
        <v>29</v>
      </c>
      <c r="K198" s="88" t="s">
        <v>29</v>
      </c>
      <c r="L198" s="88" t="s">
        <v>29</v>
      </c>
      <c r="M198" s="90" t="s">
        <v>29</v>
      </c>
      <c r="N198" s="91" t="s">
        <v>98</v>
      </c>
      <c r="O198" s="91" t="s">
        <v>98</v>
      </c>
      <c r="P198" s="91" t="s">
        <v>97</v>
      </c>
      <c r="Q198" s="91" t="s">
        <v>97</v>
      </c>
      <c r="R198" s="76"/>
      <c r="S198" s="76"/>
    </row>
    <row r="199" spans="1:19">
      <c r="A199" s="93" t="s">
        <v>29</v>
      </c>
      <c r="B199" s="93" t="s">
        <v>29</v>
      </c>
      <c r="C199" s="93" t="s">
        <v>29</v>
      </c>
      <c r="D199" s="93" t="s">
        <v>29</v>
      </c>
      <c r="E199" s="93" t="s">
        <v>29</v>
      </c>
      <c r="F199" s="88" t="s">
        <v>29</v>
      </c>
      <c r="G199" s="88" t="s">
        <v>29</v>
      </c>
      <c r="H199" s="88" t="s">
        <v>29</v>
      </c>
      <c r="I199" s="88" t="s">
        <v>29</v>
      </c>
      <c r="J199" s="88" t="s">
        <v>29</v>
      </c>
      <c r="K199" s="88" t="s">
        <v>29</v>
      </c>
      <c r="L199" s="88" t="s">
        <v>29</v>
      </c>
      <c r="M199" s="90" t="s">
        <v>29</v>
      </c>
      <c r="N199" s="91" t="s">
        <v>99</v>
      </c>
      <c r="O199" s="91" t="s">
        <v>99</v>
      </c>
      <c r="P199" s="91" t="s">
        <v>98</v>
      </c>
      <c r="Q199" s="91" t="s">
        <v>98</v>
      </c>
      <c r="R199" s="76"/>
      <c r="S199" s="76"/>
    </row>
    <row r="200" spans="1:19">
      <c r="A200" s="93" t="s">
        <v>29</v>
      </c>
      <c r="B200" s="93" t="s">
        <v>29</v>
      </c>
      <c r="C200" s="93" t="s">
        <v>29</v>
      </c>
      <c r="D200" s="93" t="s">
        <v>29</v>
      </c>
      <c r="E200" s="93" t="s">
        <v>29</v>
      </c>
      <c r="F200" s="88" t="s">
        <v>29</v>
      </c>
      <c r="G200" s="88" t="s">
        <v>29</v>
      </c>
      <c r="H200" s="88" t="s">
        <v>29</v>
      </c>
      <c r="I200" s="88" t="s">
        <v>29</v>
      </c>
      <c r="J200" s="88" t="s">
        <v>29</v>
      </c>
      <c r="K200" s="88" t="s">
        <v>29</v>
      </c>
      <c r="L200" s="88" t="s">
        <v>29</v>
      </c>
      <c r="M200" s="90" t="s">
        <v>29</v>
      </c>
      <c r="N200" s="91" t="s">
        <v>100</v>
      </c>
      <c r="O200" s="91" t="s">
        <v>100</v>
      </c>
      <c r="P200" s="91" t="s">
        <v>99</v>
      </c>
      <c r="Q200" s="91" t="s">
        <v>99</v>
      </c>
      <c r="R200" s="76"/>
      <c r="S200" s="76"/>
    </row>
    <row r="201" spans="1:19">
      <c r="A201" s="93" t="s">
        <v>29</v>
      </c>
      <c r="B201" s="93" t="s">
        <v>29</v>
      </c>
      <c r="C201" s="93" t="s">
        <v>29</v>
      </c>
      <c r="D201" s="93" t="s">
        <v>29</v>
      </c>
      <c r="E201" s="93" t="s">
        <v>29</v>
      </c>
      <c r="F201" s="88" t="s">
        <v>29</v>
      </c>
      <c r="G201" s="88" t="s">
        <v>29</v>
      </c>
      <c r="H201" s="88" t="s">
        <v>29</v>
      </c>
      <c r="I201" s="88" t="s">
        <v>29</v>
      </c>
      <c r="J201" s="88" t="s">
        <v>29</v>
      </c>
      <c r="K201" s="88" t="s">
        <v>29</v>
      </c>
      <c r="L201" s="88" t="s">
        <v>29</v>
      </c>
      <c r="M201" s="90" t="s">
        <v>29</v>
      </c>
      <c r="N201" s="91" t="s">
        <v>110</v>
      </c>
      <c r="O201" s="91" t="s">
        <v>110</v>
      </c>
      <c r="P201" s="91" t="s">
        <v>110</v>
      </c>
      <c r="Q201" s="91" t="s">
        <v>29</v>
      </c>
      <c r="R201" s="76"/>
      <c r="S201" s="76"/>
    </row>
    <row r="202" spans="1:19">
      <c r="A202" s="93" t="s">
        <v>29</v>
      </c>
      <c r="B202" s="93" t="s">
        <v>29</v>
      </c>
      <c r="C202" s="93" t="s">
        <v>29</v>
      </c>
      <c r="D202" s="93" t="s">
        <v>29</v>
      </c>
      <c r="E202" s="93" t="s">
        <v>29</v>
      </c>
      <c r="F202" s="88" t="s">
        <v>29</v>
      </c>
      <c r="G202" s="88" t="s">
        <v>29</v>
      </c>
      <c r="H202" s="88" t="s">
        <v>29</v>
      </c>
      <c r="I202" s="88" t="s">
        <v>29</v>
      </c>
      <c r="J202" s="88" t="s">
        <v>29</v>
      </c>
      <c r="K202" s="88" t="s">
        <v>29</v>
      </c>
      <c r="L202" s="88" t="s">
        <v>29</v>
      </c>
      <c r="M202" s="90" t="s">
        <v>29</v>
      </c>
      <c r="N202" s="91" t="s">
        <v>112</v>
      </c>
      <c r="O202" s="91" t="s">
        <v>112</v>
      </c>
      <c r="P202" s="91" t="s">
        <v>112</v>
      </c>
      <c r="Q202" s="91" t="s">
        <v>29</v>
      </c>
      <c r="R202" s="76"/>
      <c r="S202" s="76"/>
    </row>
    <row r="203" spans="1:19">
      <c r="A203" s="93" t="s">
        <v>29</v>
      </c>
      <c r="B203" s="93" t="s">
        <v>29</v>
      </c>
      <c r="C203" s="93" t="s">
        <v>29</v>
      </c>
      <c r="D203" s="93" t="s">
        <v>29</v>
      </c>
      <c r="E203" s="93" t="s">
        <v>29</v>
      </c>
      <c r="F203" s="88" t="s">
        <v>29</v>
      </c>
      <c r="G203" s="88" t="s">
        <v>29</v>
      </c>
      <c r="H203" s="88" t="s">
        <v>29</v>
      </c>
      <c r="I203" s="88" t="s">
        <v>29</v>
      </c>
      <c r="J203" s="88" t="s">
        <v>29</v>
      </c>
      <c r="K203" s="88" t="s">
        <v>29</v>
      </c>
      <c r="L203" s="88" t="s">
        <v>29</v>
      </c>
      <c r="M203" s="90" t="s">
        <v>29</v>
      </c>
      <c r="N203" s="91" t="s">
        <v>26</v>
      </c>
      <c r="O203" s="91" t="s">
        <v>26</v>
      </c>
      <c r="P203" s="91" t="s">
        <v>26</v>
      </c>
      <c r="Q203" s="91" t="s">
        <v>29</v>
      </c>
      <c r="R203" s="76"/>
      <c r="S203" s="76"/>
    </row>
    <row r="204" spans="1:19">
      <c r="A204" s="93" t="s">
        <v>29</v>
      </c>
      <c r="B204" s="93" t="s">
        <v>29</v>
      </c>
      <c r="C204" s="93" t="s">
        <v>29</v>
      </c>
      <c r="D204" s="93" t="s">
        <v>29</v>
      </c>
      <c r="E204" s="93" t="s">
        <v>29</v>
      </c>
      <c r="F204" s="88" t="s">
        <v>29</v>
      </c>
      <c r="G204" s="88" t="s">
        <v>29</v>
      </c>
      <c r="H204" s="88" t="s">
        <v>29</v>
      </c>
      <c r="I204" s="88" t="s">
        <v>29</v>
      </c>
      <c r="J204" s="88" t="s">
        <v>29</v>
      </c>
      <c r="K204" s="88" t="s">
        <v>29</v>
      </c>
      <c r="L204" s="88" t="s">
        <v>29</v>
      </c>
      <c r="M204" s="90" t="s">
        <v>29</v>
      </c>
      <c r="N204" s="91" t="s">
        <v>181</v>
      </c>
      <c r="O204" s="91" t="s">
        <v>181</v>
      </c>
      <c r="P204" s="91" t="s">
        <v>181</v>
      </c>
      <c r="Q204" s="91" t="s">
        <v>29</v>
      </c>
      <c r="R204" s="76"/>
      <c r="S204" s="76"/>
    </row>
    <row r="205" spans="1:19">
      <c r="A205" s="93" t="s">
        <v>29</v>
      </c>
      <c r="B205" s="93" t="s">
        <v>29</v>
      </c>
      <c r="C205" s="93" t="s">
        <v>29</v>
      </c>
      <c r="D205" s="93" t="s">
        <v>29</v>
      </c>
      <c r="E205" s="93" t="s">
        <v>29</v>
      </c>
      <c r="F205" s="88" t="s">
        <v>29</v>
      </c>
      <c r="G205" s="88" t="s">
        <v>29</v>
      </c>
      <c r="H205" s="88" t="s">
        <v>29</v>
      </c>
      <c r="I205" s="88" t="s">
        <v>29</v>
      </c>
      <c r="J205" s="88" t="s">
        <v>29</v>
      </c>
      <c r="K205" s="88" t="s">
        <v>29</v>
      </c>
      <c r="L205" s="88" t="s">
        <v>29</v>
      </c>
      <c r="M205" s="90" t="s">
        <v>29</v>
      </c>
      <c r="N205" s="91" t="s">
        <v>19</v>
      </c>
      <c r="O205" s="91" t="s">
        <v>19</v>
      </c>
      <c r="P205" s="91" t="s">
        <v>29</v>
      </c>
      <c r="Q205" s="91" t="s">
        <v>29</v>
      </c>
      <c r="R205" s="76"/>
      <c r="S205" s="76"/>
    </row>
    <row r="206" spans="1:19">
      <c r="A206" s="93" t="s">
        <v>29</v>
      </c>
      <c r="B206" s="93" t="s">
        <v>29</v>
      </c>
      <c r="C206" s="93" t="s">
        <v>29</v>
      </c>
      <c r="D206" s="93" t="s">
        <v>29</v>
      </c>
      <c r="E206" s="93" t="s">
        <v>29</v>
      </c>
      <c r="F206" s="88" t="s">
        <v>29</v>
      </c>
      <c r="G206" s="88" t="s">
        <v>29</v>
      </c>
      <c r="H206" s="88" t="s">
        <v>29</v>
      </c>
      <c r="I206" s="88" t="s">
        <v>29</v>
      </c>
      <c r="J206" s="88" t="s">
        <v>29</v>
      </c>
      <c r="K206" s="88" t="s">
        <v>29</v>
      </c>
      <c r="L206" s="88" t="s">
        <v>29</v>
      </c>
      <c r="M206" s="90" t="s">
        <v>29</v>
      </c>
      <c r="N206" s="91" t="s">
        <v>45</v>
      </c>
      <c r="O206" s="91" t="s">
        <v>29</v>
      </c>
      <c r="P206" s="91" t="s">
        <v>29</v>
      </c>
      <c r="Q206" s="91" t="s">
        <v>29</v>
      </c>
      <c r="R206" s="76"/>
      <c r="S206" s="76"/>
    </row>
    <row r="207" spans="1:19">
      <c r="A207" s="93" t="s">
        <v>29</v>
      </c>
      <c r="B207" s="93" t="s">
        <v>29</v>
      </c>
      <c r="C207" s="93" t="s">
        <v>29</v>
      </c>
      <c r="D207" s="93" t="s">
        <v>29</v>
      </c>
      <c r="E207" s="93" t="s">
        <v>29</v>
      </c>
      <c r="F207" s="88" t="s">
        <v>29</v>
      </c>
      <c r="G207" s="88" t="s">
        <v>29</v>
      </c>
      <c r="H207" s="88" t="s">
        <v>29</v>
      </c>
      <c r="I207" s="88" t="s">
        <v>29</v>
      </c>
      <c r="J207" s="88" t="s">
        <v>29</v>
      </c>
      <c r="K207" s="88" t="s">
        <v>29</v>
      </c>
      <c r="L207" s="88" t="s">
        <v>29</v>
      </c>
      <c r="M207" s="90" t="s">
        <v>29</v>
      </c>
      <c r="N207" s="91" t="s">
        <v>115</v>
      </c>
      <c r="O207" s="91" t="s">
        <v>115</v>
      </c>
      <c r="P207" s="91" t="s">
        <v>115</v>
      </c>
      <c r="Q207" s="91" t="s">
        <v>114</v>
      </c>
      <c r="R207" s="76"/>
      <c r="S207" s="76"/>
    </row>
    <row r="208" spans="1:19">
      <c r="A208" s="98" t="s">
        <v>29</v>
      </c>
      <c r="B208" s="98" t="s">
        <v>29</v>
      </c>
      <c r="C208" s="98" t="s">
        <v>29</v>
      </c>
      <c r="D208" s="98" t="s">
        <v>29</v>
      </c>
      <c r="E208" s="98" t="s">
        <v>29</v>
      </c>
      <c r="F208" s="85" t="s">
        <v>29</v>
      </c>
      <c r="G208" s="85" t="s">
        <v>29</v>
      </c>
      <c r="H208" s="85" t="s">
        <v>29</v>
      </c>
      <c r="I208" s="85" t="s">
        <v>29</v>
      </c>
      <c r="J208" s="85" t="s">
        <v>29</v>
      </c>
      <c r="K208" s="85" t="s">
        <v>29</v>
      </c>
      <c r="L208" s="85" t="s">
        <v>29</v>
      </c>
      <c r="M208" s="86" t="s">
        <v>29</v>
      </c>
      <c r="N208" s="91" t="s">
        <v>14</v>
      </c>
      <c r="O208" s="91" t="s">
        <v>14</v>
      </c>
      <c r="P208" s="91" t="s">
        <v>14</v>
      </c>
      <c r="Q208" s="91" t="s">
        <v>116</v>
      </c>
      <c r="R208" s="76"/>
      <c r="S208" s="76"/>
    </row>
    <row r="209" spans="1:21">
      <c r="A209" s="98" t="s">
        <v>29</v>
      </c>
      <c r="B209" s="98" t="s">
        <v>29</v>
      </c>
      <c r="C209" s="98" t="s">
        <v>29</v>
      </c>
      <c r="D209" s="98" t="s">
        <v>29</v>
      </c>
      <c r="E209" s="98" t="s">
        <v>29</v>
      </c>
      <c r="F209" s="85" t="s">
        <v>29</v>
      </c>
      <c r="G209" s="85" t="s">
        <v>29</v>
      </c>
      <c r="H209" s="85" t="s">
        <v>29</v>
      </c>
      <c r="I209" s="85" t="s">
        <v>29</v>
      </c>
      <c r="J209" s="85" t="s">
        <v>29</v>
      </c>
      <c r="K209" s="85" t="s">
        <v>29</v>
      </c>
      <c r="L209" s="85" t="s">
        <v>29</v>
      </c>
      <c r="M209" s="86" t="s">
        <v>29</v>
      </c>
      <c r="N209" s="91" t="s">
        <v>16</v>
      </c>
      <c r="O209" s="91" t="s">
        <v>16</v>
      </c>
      <c r="P209" s="91" t="s">
        <v>16</v>
      </c>
      <c r="Q209" s="91" t="s">
        <v>15</v>
      </c>
      <c r="R209" s="76"/>
      <c r="S209" s="76"/>
    </row>
    <row r="210" spans="1:21">
      <c r="A210" s="98" t="s">
        <v>29</v>
      </c>
      <c r="B210" s="98" t="s">
        <v>29</v>
      </c>
      <c r="C210" s="98" t="s">
        <v>29</v>
      </c>
      <c r="D210" s="98" t="s">
        <v>29</v>
      </c>
      <c r="E210" s="98" t="s">
        <v>29</v>
      </c>
      <c r="F210" s="85" t="s">
        <v>29</v>
      </c>
      <c r="G210" s="85" t="s">
        <v>29</v>
      </c>
      <c r="H210" s="85" t="s">
        <v>29</v>
      </c>
      <c r="I210" s="85" t="s">
        <v>29</v>
      </c>
      <c r="J210" s="85" t="s">
        <v>29</v>
      </c>
      <c r="K210" s="85" t="s">
        <v>29</v>
      </c>
      <c r="L210" s="85" t="s">
        <v>29</v>
      </c>
      <c r="M210" s="86" t="s">
        <v>29</v>
      </c>
      <c r="N210" s="91" t="s">
        <v>18</v>
      </c>
      <c r="O210" s="91" t="s">
        <v>18</v>
      </c>
      <c r="P210" s="91" t="s">
        <v>18</v>
      </c>
      <c r="Q210" s="91" t="s">
        <v>17</v>
      </c>
      <c r="R210" s="76"/>
      <c r="S210" s="76"/>
    </row>
    <row r="211" spans="1:21">
      <c r="A211" s="98" t="s">
        <v>29</v>
      </c>
      <c r="B211" s="98" t="s">
        <v>29</v>
      </c>
      <c r="C211" s="98" t="s">
        <v>29</v>
      </c>
      <c r="D211" s="98" t="s">
        <v>29</v>
      </c>
      <c r="E211" s="98" t="s">
        <v>29</v>
      </c>
      <c r="F211" s="98" t="s">
        <v>29</v>
      </c>
      <c r="G211" s="98" t="s">
        <v>29</v>
      </c>
      <c r="H211" s="98" t="s">
        <v>29</v>
      </c>
      <c r="I211" s="98" t="s">
        <v>29</v>
      </c>
      <c r="J211" s="98" t="s">
        <v>29</v>
      </c>
      <c r="K211" s="98" t="s">
        <v>29</v>
      </c>
      <c r="L211" s="98" t="s">
        <v>29</v>
      </c>
      <c r="M211" s="89" t="s">
        <v>29</v>
      </c>
      <c r="N211" s="91" t="s">
        <v>29</v>
      </c>
      <c r="O211" s="91" t="s">
        <v>107</v>
      </c>
      <c r="P211" s="91" t="s">
        <v>29</v>
      </c>
      <c r="Q211" s="91" t="s">
        <v>29</v>
      </c>
      <c r="R211" s="76"/>
      <c r="S211" s="76"/>
    </row>
    <row r="212" spans="1:21">
      <c r="A212" s="93" t="s">
        <v>29</v>
      </c>
      <c r="B212" s="93" t="s">
        <v>29</v>
      </c>
      <c r="C212" s="93" t="s">
        <v>29</v>
      </c>
      <c r="D212" s="93" t="s">
        <v>29</v>
      </c>
      <c r="E212" s="93" t="s">
        <v>29</v>
      </c>
      <c r="F212" s="93" t="s">
        <v>29</v>
      </c>
      <c r="G212" s="93" t="s">
        <v>29</v>
      </c>
      <c r="H212" s="93" t="s">
        <v>29</v>
      </c>
      <c r="I212" s="93" t="s">
        <v>29</v>
      </c>
      <c r="J212" s="93" t="s">
        <v>29</v>
      </c>
      <c r="K212" s="93" t="s">
        <v>29</v>
      </c>
      <c r="L212" s="93" t="s">
        <v>29</v>
      </c>
      <c r="M212" s="91" t="s">
        <v>29</v>
      </c>
      <c r="N212" s="91" t="s">
        <v>29</v>
      </c>
      <c r="O212" s="91" t="s">
        <v>29</v>
      </c>
      <c r="P212" s="91" t="s">
        <v>104</v>
      </c>
      <c r="Q212" s="91" t="s">
        <v>107</v>
      </c>
      <c r="R212" s="76"/>
      <c r="S212" s="76"/>
    </row>
    <row r="213" spans="1:21">
      <c r="A213" s="102">
        <f>COUNTIF(A7:A207,"&lt;&gt;-")</f>
        <v>128</v>
      </c>
      <c r="B213" s="102">
        <f>COUNTIF(B7:B207,"&lt;&gt;-")</f>
        <v>131</v>
      </c>
      <c r="C213" s="102">
        <f>COUNTIF(C7:C207,"&lt;&gt;-")</f>
        <v>133</v>
      </c>
      <c r="D213" s="102">
        <f>COUNTIF(D7:D207,"&lt;&gt;-")</f>
        <v>131</v>
      </c>
      <c r="E213" s="102">
        <f>COUNTIF(E7:E194,"&lt;&gt;-")</f>
        <v>130</v>
      </c>
      <c r="F213" s="102">
        <f>COUNTIF(F7:F194,"&lt;&gt;-")</f>
        <v>133</v>
      </c>
      <c r="G213" s="102">
        <f t="shared" ref="G213:Q213" si="0">COUNTIF(G7:G194,"&lt;&gt;-")</f>
        <v>130</v>
      </c>
      <c r="H213" s="102">
        <f t="shared" si="0"/>
        <v>129</v>
      </c>
      <c r="I213" s="102">
        <v>140</v>
      </c>
      <c r="J213" s="102">
        <f t="shared" si="0"/>
        <v>135</v>
      </c>
      <c r="K213" s="102">
        <f t="shared" si="0"/>
        <v>125</v>
      </c>
      <c r="L213" s="102">
        <f t="shared" si="0"/>
        <v>113</v>
      </c>
      <c r="M213" s="102">
        <f t="shared" si="0"/>
        <v>92</v>
      </c>
      <c r="N213" s="102">
        <f t="shared" si="0"/>
        <v>87</v>
      </c>
      <c r="O213" s="102">
        <f t="shared" si="0"/>
        <v>87</v>
      </c>
      <c r="P213" s="102">
        <f t="shared" si="0"/>
        <v>79</v>
      </c>
      <c r="Q213" s="102">
        <f t="shared" si="0"/>
        <v>74</v>
      </c>
      <c r="R213" s="76"/>
      <c r="S213" s="76"/>
    </row>
    <row r="214" spans="1:21">
      <c r="G214" s="103"/>
      <c r="H214" s="103"/>
      <c r="I214" s="103"/>
      <c r="J214" s="103"/>
      <c r="K214" s="103"/>
      <c r="L214" s="103"/>
      <c r="M214" s="103"/>
      <c r="N214" s="103"/>
      <c r="O214" s="103"/>
      <c r="P214" s="103"/>
      <c r="R214" s="76"/>
      <c r="S214" s="76"/>
    </row>
    <row r="215" spans="1:21" ht="13">
      <c r="A215" s="76" t="s">
        <v>48</v>
      </c>
      <c r="H215" s="76"/>
      <c r="I215" s="76"/>
      <c r="J215" s="65"/>
      <c r="K215" s="65"/>
      <c r="N215" s="77"/>
      <c r="O215" s="77"/>
      <c r="P215" s="104"/>
      <c r="Q215" s="104"/>
      <c r="R215" s="104"/>
      <c r="S215" s="104"/>
      <c r="T215" s="101"/>
      <c r="U215" s="101"/>
    </row>
    <row r="216" spans="1:21" ht="9.75" customHeight="1">
      <c r="H216" s="76"/>
      <c r="I216" s="65"/>
      <c r="J216" s="65"/>
      <c r="N216" s="77"/>
      <c r="R216" s="76"/>
      <c r="T216" s="77"/>
    </row>
    <row r="217" spans="1:21">
      <c r="H217" s="76"/>
      <c r="N217" s="77"/>
      <c r="R217" s="76"/>
      <c r="T217" s="77"/>
    </row>
    <row r="218" spans="1:21">
      <c r="H218" s="76"/>
      <c r="N218" s="77"/>
      <c r="R218" s="76"/>
      <c r="T218" s="77"/>
    </row>
  </sheetData>
  <pageMargins left="0.55118110236220474" right="0.39370078740157483" top="0.31496062992125984" bottom="0.35433070866141736" header="0.23622047244094491" footer="0.23622047244094491"/>
  <pageSetup paperSize="9" scale="59" fitToHeight="2" orientation="landscape"/>
  <headerFooter alignWithMargins="0">
    <oddFooter>&amp;R&amp;P/&amp;N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7F48-4289-8146-82EC-03B73793FC89}">
  <sheetPr>
    <pageSetUpPr fitToPage="1"/>
  </sheetPr>
  <dimension ref="A1:C87"/>
  <sheetViews>
    <sheetView topLeftCell="A70" workbookViewId="0">
      <selection activeCell="A77" sqref="A77"/>
    </sheetView>
  </sheetViews>
  <sheetFormatPr baseColWidth="10" defaultColWidth="11.3984375" defaultRowHeight="13"/>
  <cols>
    <col min="1" max="1" width="25.59765625" style="602" customWidth="1"/>
    <col min="2" max="2" width="23" style="602" customWidth="1"/>
    <col min="3" max="3" width="28.59765625" style="602" customWidth="1"/>
    <col min="4" max="4" width="7.796875" style="602" customWidth="1"/>
    <col min="5" max="5" width="4.59765625" style="602" customWidth="1"/>
    <col min="6" max="16384" width="11.3984375" style="602"/>
  </cols>
  <sheetData>
    <row r="1" spans="1:2" ht="14">
      <c r="A1" s="1856" t="s">
        <v>2448</v>
      </c>
    </row>
    <row r="2" spans="1:2" ht="16">
      <c r="A2" s="1893"/>
    </row>
    <row r="3" spans="1:2" ht="14">
      <c r="A3" s="1856" t="s">
        <v>2449</v>
      </c>
    </row>
    <row r="4" spans="1:2" ht="15.75" customHeight="1"/>
    <row r="5" spans="1:2" ht="21" customHeight="1">
      <c r="A5" s="1894" t="s">
        <v>2450</v>
      </c>
      <c r="B5" s="1859" t="s">
        <v>2423</v>
      </c>
    </row>
    <row r="6" spans="1:2" ht="18.75" customHeight="1">
      <c r="A6" s="1860" t="s">
        <v>2424</v>
      </c>
      <c r="B6" s="1861" t="s">
        <v>2451</v>
      </c>
    </row>
    <row r="7" spans="1:2" ht="41.25" customHeight="1">
      <c r="A7" s="1862" t="s">
        <v>2385</v>
      </c>
      <c r="B7" s="1863" t="s">
        <v>2426</v>
      </c>
    </row>
    <row r="8" spans="1:2" ht="22.5" customHeight="1">
      <c r="A8" s="1864" t="s">
        <v>2452</v>
      </c>
      <c r="B8" s="1865" t="s">
        <v>29</v>
      </c>
    </row>
    <row r="9" spans="1:2" ht="14">
      <c r="A9" s="1864" t="s">
        <v>2453</v>
      </c>
      <c r="B9" s="1866">
        <v>0.1</v>
      </c>
    </row>
    <row r="10" spans="1:2" ht="14">
      <c r="A10" s="1864" t="s">
        <v>2454</v>
      </c>
      <c r="B10" s="1866">
        <v>0.2</v>
      </c>
    </row>
    <row r="11" spans="1:2" ht="14">
      <c r="A11" s="1864" t="s">
        <v>2455</v>
      </c>
      <c r="B11" s="1866">
        <v>0.35</v>
      </c>
    </row>
    <row r="12" spans="1:2" ht="14">
      <c r="A12" s="1864" t="s">
        <v>2456</v>
      </c>
      <c r="B12" s="1866">
        <v>0.4</v>
      </c>
    </row>
    <row r="13" spans="1:2" ht="25.5" customHeight="1">
      <c r="A13" s="1867"/>
    </row>
    <row r="14" spans="1:2" ht="21" customHeight="1">
      <c r="A14" s="1894" t="s">
        <v>2450</v>
      </c>
      <c r="B14" s="1868" t="s">
        <v>2431</v>
      </c>
    </row>
    <row r="15" spans="1:2" ht="19.5" customHeight="1">
      <c r="A15" s="1869" t="s">
        <v>2424</v>
      </c>
      <c r="B15" s="1870" t="s">
        <v>2451</v>
      </c>
    </row>
    <row r="16" spans="1:2" ht="42" customHeight="1">
      <c r="A16" s="1862" t="s">
        <v>2385</v>
      </c>
      <c r="B16" s="1863" t="s">
        <v>2426</v>
      </c>
    </row>
    <row r="17" spans="1:3" ht="24" customHeight="1">
      <c r="A17" s="1895" t="s">
        <v>2457</v>
      </c>
      <c r="B17" s="1865" t="s">
        <v>29</v>
      </c>
    </row>
    <row r="18" spans="1:3" ht="14">
      <c r="A18" s="1896" t="s">
        <v>2458</v>
      </c>
      <c r="B18" s="1871">
        <v>0.08</v>
      </c>
    </row>
    <row r="19" spans="1:3" ht="14">
      <c r="A19" s="1864" t="s">
        <v>2454</v>
      </c>
      <c r="B19" s="1871">
        <v>0.15</v>
      </c>
    </row>
    <row r="20" spans="1:3" ht="14">
      <c r="A20" s="1864" t="s">
        <v>2455</v>
      </c>
      <c r="B20" s="1871">
        <v>0.3</v>
      </c>
    </row>
    <row r="21" spans="1:3" ht="14">
      <c r="A21" s="1864" t="s">
        <v>2456</v>
      </c>
      <c r="B21" s="1866">
        <v>0.4</v>
      </c>
    </row>
    <row r="22" spans="1:3" ht="24" customHeight="1">
      <c r="A22" s="1867"/>
    </row>
    <row r="23" spans="1:3" ht="21" customHeight="1">
      <c r="A23" s="1894" t="s">
        <v>2450</v>
      </c>
      <c r="B23" s="1868" t="s">
        <v>2432</v>
      </c>
      <c r="C23" s="1872"/>
    </row>
    <row r="24" spans="1:3" ht="21.75" customHeight="1">
      <c r="A24" s="1869" t="s">
        <v>2424</v>
      </c>
      <c r="B24" s="1870" t="s">
        <v>2451</v>
      </c>
      <c r="C24" s="1873"/>
    </row>
    <row r="25" spans="1:3" ht="21" customHeight="1">
      <c r="A25" s="2037" t="s">
        <v>2385</v>
      </c>
      <c r="B25" s="2039" t="s">
        <v>2426</v>
      </c>
      <c r="C25" s="1880" t="s">
        <v>2433</v>
      </c>
    </row>
    <row r="26" spans="1:3" ht="29.25" customHeight="1">
      <c r="A26" s="2038"/>
      <c r="B26" s="2040"/>
      <c r="C26" s="1875" t="s">
        <v>2434</v>
      </c>
    </row>
    <row r="27" spans="1:3" ht="18.75" customHeight="1">
      <c r="A27" s="1886" t="s">
        <v>2459</v>
      </c>
      <c r="B27" s="1865" t="s">
        <v>29</v>
      </c>
      <c r="C27" s="1881" t="s">
        <v>29</v>
      </c>
    </row>
    <row r="28" spans="1:3" ht="14">
      <c r="A28" s="1864" t="s">
        <v>2460</v>
      </c>
      <c r="B28" s="1866">
        <v>0.08</v>
      </c>
      <c r="C28" s="1877">
        <v>170</v>
      </c>
    </row>
    <row r="29" spans="1:3" ht="14">
      <c r="A29" s="1864" t="s">
        <v>2454</v>
      </c>
      <c r="B29" s="1866">
        <v>0.15</v>
      </c>
      <c r="C29" s="1877">
        <v>370</v>
      </c>
    </row>
    <row r="30" spans="1:3" ht="14">
      <c r="A30" s="1864" t="s">
        <v>2455</v>
      </c>
      <c r="B30" s="1866">
        <v>0.3</v>
      </c>
      <c r="C30" s="1877">
        <v>970</v>
      </c>
    </row>
    <row r="31" spans="1:3" ht="14">
      <c r="A31" s="1864" t="s">
        <v>2456</v>
      </c>
      <c r="B31" s="1866">
        <v>0.4</v>
      </c>
      <c r="C31" s="1877">
        <v>1270</v>
      </c>
    </row>
    <row r="32" spans="1:3" ht="25.5" customHeight="1">
      <c r="A32" s="1867"/>
    </row>
    <row r="33" spans="1:3" ht="15" customHeight="1">
      <c r="A33" s="1867"/>
    </row>
    <row r="34" spans="1:3" ht="21" customHeight="1">
      <c r="A34" s="1894" t="s">
        <v>2450</v>
      </c>
      <c r="B34" s="1878">
        <v>2004</v>
      </c>
      <c r="C34" s="1872"/>
    </row>
    <row r="35" spans="1:3" ht="21.75" customHeight="1">
      <c r="A35" s="1869" t="s">
        <v>2424</v>
      </c>
      <c r="B35" s="1879" t="s">
        <v>2461</v>
      </c>
      <c r="C35" s="1873"/>
    </row>
    <row r="36" spans="1:3" ht="19.5" customHeight="1">
      <c r="A36" s="2037" t="s">
        <v>2385</v>
      </c>
      <c r="B36" s="2039" t="s">
        <v>2426</v>
      </c>
      <c r="C36" s="1880" t="s">
        <v>2433</v>
      </c>
    </row>
    <row r="37" spans="1:3" ht="42" customHeight="1">
      <c r="A37" s="2038"/>
      <c r="B37" s="2040"/>
      <c r="C37" s="1875" t="s">
        <v>2436</v>
      </c>
    </row>
    <row r="38" spans="1:3" ht="16.5" customHeight="1">
      <c r="A38" s="1895" t="s">
        <v>2462</v>
      </c>
      <c r="B38" s="1865" t="s">
        <v>29</v>
      </c>
      <c r="C38" s="1881" t="s">
        <v>29</v>
      </c>
    </row>
    <row r="39" spans="1:3" ht="14">
      <c r="A39" s="1864" t="s">
        <v>2460</v>
      </c>
      <c r="B39" s="1871">
        <v>0.03</v>
      </c>
      <c r="C39" s="1877">
        <v>80</v>
      </c>
    </row>
    <row r="40" spans="1:3" ht="14">
      <c r="A40" s="1864" t="s">
        <v>2454</v>
      </c>
      <c r="B40" s="1871">
        <v>0.09</v>
      </c>
      <c r="C40" s="1877">
        <v>240</v>
      </c>
    </row>
    <row r="41" spans="1:3" ht="14">
      <c r="A41" s="1864" t="s">
        <v>2455</v>
      </c>
      <c r="B41" s="1871">
        <v>0.24</v>
      </c>
      <c r="C41" s="1877">
        <v>720</v>
      </c>
    </row>
    <row r="42" spans="1:3" ht="14">
      <c r="A42" s="1864" t="s">
        <v>2456</v>
      </c>
      <c r="B42" s="1871">
        <v>0.3</v>
      </c>
      <c r="C42" s="1877">
        <v>960</v>
      </c>
    </row>
    <row r="43" spans="1:3" ht="22.5" customHeight="1">
      <c r="A43" s="1867"/>
    </row>
    <row r="44" spans="1:3" ht="21" customHeight="1">
      <c r="A44" s="1894" t="s">
        <v>2450</v>
      </c>
      <c r="B44" s="1878">
        <v>2005</v>
      </c>
      <c r="C44" s="1872"/>
    </row>
    <row r="45" spans="1:3" ht="21" customHeight="1">
      <c r="A45" s="1869" t="s">
        <v>2424</v>
      </c>
      <c r="B45" s="1870" t="s">
        <v>2463</v>
      </c>
      <c r="C45" s="1873"/>
    </row>
    <row r="46" spans="1:3" ht="20.25" customHeight="1">
      <c r="A46" s="2037" t="s">
        <v>2385</v>
      </c>
      <c r="B46" s="2039" t="s">
        <v>2426</v>
      </c>
      <c r="C46" s="1880" t="s">
        <v>2433</v>
      </c>
    </row>
    <row r="47" spans="1:3" ht="41.25" customHeight="1">
      <c r="A47" s="2038"/>
      <c r="B47" s="2040"/>
      <c r="C47" s="1883" t="s">
        <v>2436</v>
      </c>
    </row>
    <row r="48" spans="1:3" ht="15" customHeight="1">
      <c r="A48" s="1864" t="s">
        <v>2464</v>
      </c>
      <c r="B48" s="1865" t="s">
        <v>29</v>
      </c>
      <c r="C48" s="1881" t="s">
        <v>29</v>
      </c>
    </row>
    <row r="49" spans="1:3" ht="14">
      <c r="A49" s="1884" t="s">
        <v>2465</v>
      </c>
      <c r="B49" s="1871">
        <v>0.5</v>
      </c>
      <c r="C49" s="1877">
        <v>160</v>
      </c>
    </row>
    <row r="50" spans="1:3" ht="14">
      <c r="A50" s="1884" t="s">
        <v>2466</v>
      </c>
      <c r="B50" s="1871">
        <v>0.5</v>
      </c>
      <c r="C50" s="1877">
        <v>560</v>
      </c>
    </row>
    <row r="51" spans="1:3" ht="14">
      <c r="A51" s="1864" t="s">
        <v>2391</v>
      </c>
      <c r="B51" s="1871">
        <v>0.5</v>
      </c>
      <c r="C51" s="1881">
        <v>960</v>
      </c>
    </row>
    <row r="52" spans="1:3" ht="14">
      <c r="A52" s="1884" t="s">
        <v>2392</v>
      </c>
      <c r="B52" s="1871">
        <v>0.5</v>
      </c>
      <c r="C52" s="1877">
        <v>1360</v>
      </c>
    </row>
    <row r="53" spans="1:3" ht="14">
      <c r="A53" s="1884" t="s">
        <v>2393</v>
      </c>
      <c r="B53" s="1871">
        <v>0.5</v>
      </c>
      <c r="C53" s="1877">
        <v>1760</v>
      </c>
    </row>
    <row r="54" spans="1:3" ht="22.5" customHeight="1">
      <c r="A54" s="1891"/>
    </row>
    <row r="55" spans="1:3" ht="23.25" customHeight="1">
      <c r="A55" s="1894" t="s">
        <v>2450</v>
      </c>
      <c r="B55" s="1868" t="s">
        <v>2440</v>
      </c>
      <c r="C55" s="1872"/>
    </row>
    <row r="56" spans="1:3" ht="21" customHeight="1">
      <c r="A56" s="1869" t="s">
        <v>2424</v>
      </c>
      <c r="B56" s="1885" t="s">
        <v>2467</v>
      </c>
      <c r="C56" s="1873"/>
    </row>
    <row r="57" spans="1:3" ht="20.25" customHeight="1">
      <c r="A57" s="2037" t="s">
        <v>2385</v>
      </c>
      <c r="B57" s="2039" t="s">
        <v>2426</v>
      </c>
      <c r="C57" s="1880" t="s">
        <v>2433</v>
      </c>
    </row>
    <row r="58" spans="1:3" ht="41.25" customHeight="1">
      <c r="A58" s="2038"/>
      <c r="B58" s="2040"/>
      <c r="C58" s="1883" t="s">
        <v>2436</v>
      </c>
    </row>
    <row r="59" spans="1:3" ht="12.75" customHeight="1">
      <c r="A59" s="1864" t="s">
        <v>2464</v>
      </c>
      <c r="B59" s="1865" t="s">
        <v>29</v>
      </c>
      <c r="C59" s="1881" t="s">
        <v>29</v>
      </c>
    </row>
    <row r="60" spans="1:3" ht="14">
      <c r="A60" s="1886" t="s">
        <v>2465</v>
      </c>
      <c r="B60" s="1887">
        <v>0.5</v>
      </c>
      <c r="C60" s="1876">
        <v>160</v>
      </c>
    </row>
    <row r="61" spans="1:3" ht="14">
      <c r="A61" s="1886" t="s">
        <v>2466</v>
      </c>
      <c r="B61" s="1887">
        <v>0.5</v>
      </c>
      <c r="C61" s="1876">
        <v>560</v>
      </c>
    </row>
    <row r="62" spans="1:3" ht="14">
      <c r="A62" s="1886" t="s">
        <v>2391</v>
      </c>
      <c r="B62" s="1887">
        <v>0.5</v>
      </c>
      <c r="C62" s="1876">
        <v>960</v>
      </c>
    </row>
    <row r="63" spans="1:3" ht="14">
      <c r="A63" s="1886" t="s">
        <v>2392</v>
      </c>
      <c r="B63" s="1887">
        <v>0.5</v>
      </c>
      <c r="C63" s="1876">
        <v>1360</v>
      </c>
    </row>
    <row r="64" spans="1:3" ht="14">
      <c r="A64" s="1886" t="s">
        <v>2393</v>
      </c>
      <c r="B64" s="1887">
        <v>0.5</v>
      </c>
      <c r="C64" s="1876">
        <v>1760</v>
      </c>
    </row>
    <row r="65" spans="1:3" ht="22.5" customHeight="1">
      <c r="A65" s="1891"/>
    </row>
    <row r="66" spans="1:3" ht="23.25" customHeight="1">
      <c r="A66" s="1894" t="s">
        <v>2450</v>
      </c>
      <c r="B66" s="1868" t="s">
        <v>2442</v>
      </c>
      <c r="C66" s="1872"/>
    </row>
    <row r="67" spans="1:3" ht="21" customHeight="1">
      <c r="A67" s="1869" t="s">
        <v>2424</v>
      </c>
      <c r="B67" s="1888" t="s">
        <v>2467</v>
      </c>
      <c r="C67" s="1873"/>
    </row>
    <row r="68" spans="1:3" ht="20.25" customHeight="1">
      <c r="A68" s="2037" t="s">
        <v>2385</v>
      </c>
      <c r="B68" s="2039" t="s">
        <v>2426</v>
      </c>
      <c r="C68" s="1880" t="s">
        <v>2433</v>
      </c>
    </row>
    <row r="69" spans="1:3" ht="41.25" customHeight="1">
      <c r="A69" s="2038"/>
      <c r="B69" s="2040"/>
      <c r="C69" s="1889" t="s">
        <v>2443</v>
      </c>
    </row>
    <row r="70" spans="1:3" ht="12.75" customHeight="1">
      <c r="A70" s="1864" t="s">
        <v>2464</v>
      </c>
      <c r="B70" s="1865" t="s">
        <v>29</v>
      </c>
      <c r="C70" s="1897" t="s">
        <v>29</v>
      </c>
    </row>
    <row r="71" spans="1:3" ht="14">
      <c r="A71" s="1886" t="s">
        <v>2465</v>
      </c>
      <c r="B71" s="1887">
        <v>0.5</v>
      </c>
      <c r="C71" s="1889">
        <f>(0.7*(500-300))</f>
        <v>140</v>
      </c>
    </row>
    <row r="72" spans="1:3" ht="14">
      <c r="A72" s="1886" t="s">
        <v>2466</v>
      </c>
      <c r="B72" s="1887">
        <v>0.5</v>
      </c>
      <c r="C72" s="1889">
        <f>(0.7*(1000-300))</f>
        <v>489.99999999999994</v>
      </c>
    </row>
    <row r="73" spans="1:3" ht="14">
      <c r="A73" s="1886" t="s">
        <v>2391</v>
      </c>
      <c r="B73" s="1887">
        <v>0.5</v>
      </c>
      <c r="C73" s="1889">
        <f>(0.7*(1500-300))</f>
        <v>840</v>
      </c>
    </row>
    <row r="74" spans="1:3" ht="14">
      <c r="A74" s="1886" t="s">
        <v>2392</v>
      </c>
      <c r="B74" s="1887">
        <v>0.5</v>
      </c>
      <c r="C74" s="1889">
        <f>(0.7*(2000-300))</f>
        <v>1190</v>
      </c>
    </row>
    <row r="75" spans="1:3" ht="14">
      <c r="A75" s="1886" t="s">
        <v>2393</v>
      </c>
      <c r="B75" s="1887">
        <v>0.5</v>
      </c>
      <c r="C75" s="1889">
        <f>(0.7*(2500-300))</f>
        <v>1540</v>
      </c>
    </row>
    <row r="76" spans="1:3" ht="15.75" customHeight="1">
      <c r="A76" s="1898" t="s">
        <v>2305</v>
      </c>
    </row>
    <row r="77" spans="1:3" ht="9" customHeight="1">
      <c r="A77" s="63"/>
    </row>
    <row r="78" spans="1:3">
      <c r="A78" s="63" t="s">
        <v>2444</v>
      </c>
    </row>
    <row r="79" spans="1:3">
      <c r="A79" s="63"/>
    </row>
    <row r="80" spans="1:3">
      <c r="A80" s="63" t="s">
        <v>2468</v>
      </c>
    </row>
    <row r="81" spans="1:1">
      <c r="A81" s="63" t="s">
        <v>2469</v>
      </c>
    </row>
    <row r="82" spans="1:1">
      <c r="A82" s="63" t="s">
        <v>2446</v>
      </c>
    </row>
    <row r="83" spans="1:1">
      <c r="A83" s="63"/>
    </row>
    <row r="84" spans="1:1">
      <c r="A84" s="1892" t="s">
        <v>2447</v>
      </c>
    </row>
    <row r="85" spans="1:1">
      <c r="A85" s="63"/>
    </row>
    <row r="86" spans="1:1">
      <c r="A86" s="63"/>
    </row>
    <row r="87" spans="1:1">
      <c r="A87" s="63"/>
    </row>
  </sheetData>
  <mergeCells count="10">
    <mergeCell ref="A57:A58"/>
    <mergeCell ref="B57:B58"/>
    <mergeCell ref="A68:A69"/>
    <mergeCell ref="B68:B69"/>
    <mergeCell ref="A25:A26"/>
    <mergeCell ref="B25:B26"/>
    <mergeCell ref="A36:A37"/>
    <mergeCell ref="B36:B37"/>
    <mergeCell ref="A46:A47"/>
    <mergeCell ref="B46:B47"/>
  </mergeCells>
  <pageMargins left="0.62992125984251968" right="0.35433070866141736" top="0.35433070866141736" bottom="0.39370078740157483" header="0.23622047244094491" footer="0.19685039370078741"/>
  <pageSetup paperSize="9" fitToHeight="2" orientation="portrait"/>
  <headerFooter alignWithMargins="0"/>
  <rowBreaks count="1" manualBreakCount="1">
    <brk id="3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66EA-2520-2C4B-A36F-B265B69C4EF3}">
  <sheetPr>
    <pageSetUpPr fitToPage="1"/>
  </sheetPr>
  <dimension ref="A1:C85"/>
  <sheetViews>
    <sheetView topLeftCell="A58" workbookViewId="0">
      <selection activeCell="A76" sqref="A76"/>
    </sheetView>
  </sheetViews>
  <sheetFormatPr baseColWidth="10" defaultColWidth="11.3984375" defaultRowHeight="13"/>
  <cols>
    <col min="1" max="1" width="23.19921875" style="602" customWidth="1"/>
    <col min="2" max="2" width="23.3984375" style="602" customWidth="1"/>
    <col min="3" max="3" width="28.796875" style="602" customWidth="1"/>
    <col min="4" max="4" width="13.3984375" style="602" customWidth="1"/>
    <col min="5" max="5" width="6" style="602" customWidth="1"/>
    <col min="6" max="16384" width="11.3984375" style="602"/>
  </cols>
  <sheetData>
    <row r="1" spans="1:2" ht="14">
      <c r="A1" s="1856" t="s">
        <v>2420</v>
      </c>
    </row>
    <row r="2" spans="1:2" ht="14">
      <c r="A2" s="1857"/>
    </row>
    <row r="3" spans="1:2" ht="14">
      <c r="A3" s="1856" t="s">
        <v>2421</v>
      </c>
    </row>
    <row r="4" spans="1:2" ht="25.5" customHeight="1"/>
    <row r="5" spans="1:2" ht="21.75" customHeight="1">
      <c r="A5" s="1858" t="s">
        <v>2422</v>
      </c>
      <c r="B5" s="1859" t="s">
        <v>2423</v>
      </c>
    </row>
    <row r="6" spans="1:2" ht="21.75" customHeight="1">
      <c r="A6" s="1860" t="s">
        <v>2424</v>
      </c>
      <c r="B6" s="1861" t="s">
        <v>2425</v>
      </c>
    </row>
    <row r="7" spans="1:2" ht="43.5" customHeight="1">
      <c r="A7" s="1862" t="s">
        <v>2385</v>
      </c>
      <c r="B7" s="1863" t="s">
        <v>2426</v>
      </c>
    </row>
    <row r="8" spans="1:2" ht="22.5" customHeight="1">
      <c r="A8" s="1864" t="s">
        <v>2427</v>
      </c>
      <c r="B8" s="1865" t="s">
        <v>29</v>
      </c>
    </row>
    <row r="9" spans="1:2" ht="14">
      <c r="A9" s="1864" t="s">
        <v>2428</v>
      </c>
      <c r="B9" s="1866">
        <v>0.2</v>
      </c>
    </row>
    <row r="10" spans="1:2" ht="14">
      <c r="A10" s="1864" t="s">
        <v>2429</v>
      </c>
      <c r="B10" s="1866">
        <v>0.35</v>
      </c>
    </row>
    <row r="11" spans="1:2" ht="14">
      <c r="A11" s="1864" t="s">
        <v>2430</v>
      </c>
      <c r="B11" s="1866">
        <v>0.4</v>
      </c>
    </row>
    <row r="12" spans="1:2" ht="34.5" customHeight="1">
      <c r="A12" s="1867"/>
    </row>
    <row r="13" spans="1:2" ht="21.75" customHeight="1">
      <c r="A13" s="1858" t="s">
        <v>2422</v>
      </c>
      <c r="B13" s="1868" t="s">
        <v>2431</v>
      </c>
    </row>
    <row r="14" spans="1:2" ht="17.25" customHeight="1">
      <c r="A14" s="1869" t="s">
        <v>2424</v>
      </c>
      <c r="B14" s="1870" t="s">
        <v>2425</v>
      </c>
    </row>
    <row r="15" spans="1:2" ht="33" customHeight="1">
      <c r="A15" s="1862" t="s">
        <v>2385</v>
      </c>
      <c r="B15" s="1863" t="s">
        <v>2426</v>
      </c>
    </row>
    <row r="16" spans="1:2" ht="20.25" customHeight="1">
      <c r="A16" s="1864" t="s">
        <v>2427</v>
      </c>
      <c r="B16" s="1865" t="s">
        <v>29</v>
      </c>
    </row>
    <row r="17" spans="1:3" ht="14">
      <c r="A17" s="1864" t="s">
        <v>2428</v>
      </c>
      <c r="B17" s="1871">
        <v>0.15</v>
      </c>
    </row>
    <row r="18" spans="1:3" ht="14">
      <c r="A18" s="1864" t="s">
        <v>2429</v>
      </c>
      <c r="B18" s="1871">
        <v>0.3</v>
      </c>
    </row>
    <row r="19" spans="1:3" ht="14">
      <c r="A19" s="1864" t="s">
        <v>2430</v>
      </c>
      <c r="B19" s="1866">
        <v>0.4</v>
      </c>
    </row>
    <row r="20" spans="1:3" ht="30.75" customHeight="1">
      <c r="A20" s="1867"/>
    </row>
    <row r="21" spans="1:3" ht="20.25" customHeight="1">
      <c r="A21" s="1858" t="s">
        <v>2422</v>
      </c>
      <c r="B21" s="1868" t="s">
        <v>2432</v>
      </c>
      <c r="C21" s="1872"/>
    </row>
    <row r="22" spans="1:3" ht="25.5" customHeight="1">
      <c r="A22" s="1869" t="s">
        <v>2424</v>
      </c>
      <c r="B22" s="1870" t="s">
        <v>2425</v>
      </c>
      <c r="C22" s="1873"/>
    </row>
    <row r="23" spans="1:3" ht="28">
      <c r="A23" s="2037" t="s">
        <v>2385</v>
      </c>
      <c r="B23" s="2039" t="s">
        <v>2426</v>
      </c>
      <c r="C23" s="1874" t="s">
        <v>2433</v>
      </c>
    </row>
    <row r="24" spans="1:3" ht="39" customHeight="1">
      <c r="A24" s="2038"/>
      <c r="B24" s="2040"/>
      <c r="C24" s="1875" t="s">
        <v>2434</v>
      </c>
    </row>
    <row r="25" spans="1:3" ht="19.5" customHeight="1">
      <c r="A25" s="1864" t="s">
        <v>2427</v>
      </c>
      <c r="B25" s="1865" t="s">
        <v>29</v>
      </c>
      <c r="C25" s="1876" t="s">
        <v>29</v>
      </c>
    </row>
    <row r="26" spans="1:3" ht="14">
      <c r="A26" s="1864" t="s">
        <v>2428</v>
      </c>
      <c r="B26" s="1866">
        <v>0.15</v>
      </c>
      <c r="C26" s="1877">
        <v>150</v>
      </c>
    </row>
    <row r="27" spans="1:3" ht="14">
      <c r="A27" s="1864" t="s">
        <v>2429</v>
      </c>
      <c r="B27" s="1866">
        <v>0.3</v>
      </c>
      <c r="C27" s="1877">
        <v>300</v>
      </c>
    </row>
    <row r="28" spans="1:3" ht="14">
      <c r="A28" s="1864" t="s">
        <v>2430</v>
      </c>
      <c r="B28" s="1866">
        <v>0.4</v>
      </c>
      <c r="C28" s="1877">
        <v>375</v>
      </c>
    </row>
    <row r="29" spans="1:3" ht="30.75" customHeight="1">
      <c r="A29" s="1867"/>
    </row>
    <row r="30" spans="1:3" ht="18.75" customHeight="1">
      <c r="A30" s="1867"/>
    </row>
    <row r="31" spans="1:3" ht="15.75" customHeight="1">
      <c r="A31" s="1858" t="s">
        <v>2422</v>
      </c>
      <c r="B31" s="1878">
        <v>2004</v>
      </c>
      <c r="C31" s="1872"/>
    </row>
    <row r="32" spans="1:3" ht="29.25" customHeight="1">
      <c r="A32" s="1869" t="s">
        <v>2424</v>
      </c>
      <c r="B32" s="1879" t="s">
        <v>2435</v>
      </c>
      <c r="C32" s="1873"/>
    </row>
    <row r="33" spans="1:3" ht="19.5" customHeight="1">
      <c r="A33" s="2037" t="s">
        <v>2385</v>
      </c>
      <c r="B33" s="2039" t="s">
        <v>2426</v>
      </c>
      <c r="C33" s="1880" t="s">
        <v>2433</v>
      </c>
    </row>
    <row r="34" spans="1:3" ht="49.5" customHeight="1">
      <c r="A34" s="2038"/>
      <c r="B34" s="2040"/>
      <c r="C34" s="1875" t="s">
        <v>2436</v>
      </c>
    </row>
    <row r="35" spans="1:3" ht="15" customHeight="1">
      <c r="A35" s="1864" t="s">
        <v>2427</v>
      </c>
      <c r="B35" s="1865" t="s">
        <v>29</v>
      </c>
      <c r="C35" s="1881" t="s">
        <v>29</v>
      </c>
    </row>
    <row r="36" spans="1:3" ht="14">
      <c r="A36" s="1864" t="s">
        <v>2428</v>
      </c>
      <c r="B36" s="1871">
        <v>0.21</v>
      </c>
      <c r="C36" s="1877">
        <v>120</v>
      </c>
    </row>
    <row r="37" spans="1:3" ht="14">
      <c r="A37" s="1864" t="s">
        <v>2429</v>
      </c>
      <c r="B37" s="1882">
        <v>0.37</v>
      </c>
      <c r="C37" s="1877">
        <v>240</v>
      </c>
    </row>
    <row r="38" spans="1:3" ht="14">
      <c r="A38" s="1864" t="s">
        <v>2430</v>
      </c>
      <c r="B38" s="1871">
        <v>0.43</v>
      </c>
      <c r="C38" s="1877">
        <v>300</v>
      </c>
    </row>
    <row r="39" spans="1:3" ht="26.25" customHeight="1">
      <c r="A39" s="1867"/>
    </row>
    <row r="40" spans="1:3" ht="20.25" customHeight="1">
      <c r="A40" s="1858" t="s">
        <v>2422</v>
      </c>
      <c r="B40" s="1878">
        <v>2005</v>
      </c>
      <c r="C40" s="1872"/>
    </row>
    <row r="41" spans="1:3" ht="18" customHeight="1">
      <c r="A41" s="1869" t="s">
        <v>2424</v>
      </c>
      <c r="B41" s="1870" t="s">
        <v>2437</v>
      </c>
      <c r="C41" s="1873"/>
    </row>
    <row r="42" spans="1:3" ht="19.5" customHeight="1">
      <c r="A42" s="2037" t="s">
        <v>2385</v>
      </c>
      <c r="B42" s="2039" t="s">
        <v>2426</v>
      </c>
      <c r="C42" s="1880" t="s">
        <v>2433</v>
      </c>
    </row>
    <row r="43" spans="1:3" ht="42.75" customHeight="1">
      <c r="A43" s="2038"/>
      <c r="B43" s="2040"/>
      <c r="C43" s="1883" t="s">
        <v>2436</v>
      </c>
    </row>
    <row r="44" spans="1:3" ht="15.75" customHeight="1">
      <c r="A44" s="1864" t="s">
        <v>2427</v>
      </c>
      <c r="B44" s="1865" t="s">
        <v>29</v>
      </c>
      <c r="C44" s="1881" t="s">
        <v>29</v>
      </c>
    </row>
    <row r="45" spans="1:3" ht="14">
      <c r="A45" s="1884" t="s">
        <v>2401</v>
      </c>
      <c r="B45" s="1871">
        <v>0.5</v>
      </c>
      <c r="C45" s="1877">
        <v>80</v>
      </c>
    </row>
    <row r="46" spans="1:3" ht="14">
      <c r="A46" s="1884" t="s">
        <v>2402</v>
      </c>
      <c r="B46" s="1871">
        <v>0.5</v>
      </c>
      <c r="C46" s="1877">
        <v>160</v>
      </c>
    </row>
    <row r="47" spans="1:3" ht="14">
      <c r="A47" s="1864" t="s">
        <v>2403</v>
      </c>
      <c r="B47" s="1871">
        <v>0.5</v>
      </c>
      <c r="C47" s="1881">
        <v>240</v>
      </c>
    </row>
    <row r="48" spans="1:3" ht="14">
      <c r="A48" s="1884" t="s">
        <v>2438</v>
      </c>
      <c r="B48" s="1871">
        <v>0.5</v>
      </c>
      <c r="C48" s="1877">
        <v>320</v>
      </c>
    </row>
    <row r="49" spans="1:3" ht="14">
      <c r="A49" s="1884" t="s">
        <v>2405</v>
      </c>
      <c r="B49" s="1871">
        <v>0.5</v>
      </c>
      <c r="C49" s="1877">
        <v>400</v>
      </c>
    </row>
    <row r="50" spans="1:3" ht="14">
      <c r="A50" s="1884" t="s">
        <v>2439</v>
      </c>
      <c r="B50" s="1871">
        <v>0.5</v>
      </c>
      <c r="C50" s="1877">
        <v>480</v>
      </c>
    </row>
    <row r="51" spans="1:3" ht="29.25" customHeight="1">
      <c r="A51" s="63"/>
    </row>
    <row r="52" spans="1:3" ht="20.25" customHeight="1">
      <c r="A52" s="1858" t="s">
        <v>2422</v>
      </c>
      <c r="B52" s="1868" t="s">
        <v>2440</v>
      </c>
      <c r="C52" s="1872"/>
    </row>
    <row r="53" spans="1:3" ht="18" customHeight="1">
      <c r="A53" s="1869" t="s">
        <v>2424</v>
      </c>
      <c r="B53" s="1885" t="s">
        <v>2441</v>
      </c>
      <c r="C53" s="1873"/>
    </row>
    <row r="54" spans="1:3" ht="20.25" customHeight="1">
      <c r="A54" s="2037" t="s">
        <v>2385</v>
      </c>
      <c r="B54" s="2039" t="s">
        <v>2426</v>
      </c>
      <c r="C54" s="1880" t="s">
        <v>2433</v>
      </c>
    </row>
    <row r="55" spans="1:3" ht="39" customHeight="1">
      <c r="A55" s="2038"/>
      <c r="B55" s="2040"/>
      <c r="C55" s="1883" t="s">
        <v>2436</v>
      </c>
    </row>
    <row r="56" spans="1:3" ht="14.25" customHeight="1">
      <c r="A56" s="1864" t="s">
        <v>2427</v>
      </c>
      <c r="B56" s="1865" t="s">
        <v>29</v>
      </c>
      <c r="C56" s="1881" t="s">
        <v>29</v>
      </c>
    </row>
    <row r="57" spans="1:3" ht="14">
      <c r="A57" s="1886" t="s">
        <v>2401</v>
      </c>
      <c r="B57" s="1887">
        <v>0.5</v>
      </c>
      <c r="C57" s="1876">
        <v>80</v>
      </c>
    </row>
    <row r="58" spans="1:3" ht="14">
      <c r="A58" s="1886" t="s">
        <v>2402</v>
      </c>
      <c r="B58" s="1887">
        <v>0.5</v>
      </c>
      <c r="C58" s="1876">
        <v>160</v>
      </c>
    </row>
    <row r="59" spans="1:3" ht="14">
      <c r="A59" s="1886" t="s">
        <v>2403</v>
      </c>
      <c r="B59" s="1887">
        <v>0.5</v>
      </c>
      <c r="C59" s="1876">
        <v>240</v>
      </c>
    </row>
    <row r="60" spans="1:3" ht="14">
      <c r="A60" s="1886" t="s">
        <v>2438</v>
      </c>
      <c r="B60" s="1887">
        <v>0.5</v>
      </c>
      <c r="C60" s="1876">
        <v>320</v>
      </c>
    </row>
    <row r="61" spans="1:3" ht="14">
      <c r="A61" s="1886" t="s">
        <v>2405</v>
      </c>
      <c r="B61" s="1887">
        <v>0.5</v>
      </c>
      <c r="C61" s="1876">
        <v>400</v>
      </c>
    </row>
    <row r="62" spans="1:3" ht="14">
      <c r="A62" s="1886" t="s">
        <v>2439</v>
      </c>
      <c r="B62" s="1887">
        <v>0.5</v>
      </c>
      <c r="C62" s="1876">
        <v>480</v>
      </c>
    </row>
    <row r="63" spans="1:3" ht="29.25" customHeight="1">
      <c r="A63" s="63"/>
    </row>
    <row r="64" spans="1:3" ht="20.25" customHeight="1">
      <c r="A64" s="1858" t="s">
        <v>2422</v>
      </c>
      <c r="B64" s="1868" t="s">
        <v>2442</v>
      </c>
      <c r="C64" s="1872"/>
    </row>
    <row r="65" spans="1:3" ht="18" customHeight="1">
      <c r="A65" s="1869" t="s">
        <v>2424</v>
      </c>
      <c r="B65" s="1888" t="s">
        <v>2441</v>
      </c>
      <c r="C65" s="1873"/>
    </row>
    <row r="66" spans="1:3" ht="20.25" customHeight="1">
      <c r="A66" s="2037" t="s">
        <v>2385</v>
      </c>
      <c r="B66" s="2039" t="s">
        <v>2426</v>
      </c>
      <c r="C66" s="1880" t="s">
        <v>2433</v>
      </c>
    </row>
    <row r="67" spans="1:3" ht="39" customHeight="1">
      <c r="A67" s="2038"/>
      <c r="B67" s="2040"/>
      <c r="C67" s="1889" t="s">
        <v>2443</v>
      </c>
    </row>
    <row r="68" spans="1:3" ht="14.25" customHeight="1">
      <c r="A68" s="1864" t="s">
        <v>2427</v>
      </c>
      <c r="B68" s="1865" t="s">
        <v>29</v>
      </c>
      <c r="C68" s="1890" t="s">
        <v>29</v>
      </c>
    </row>
    <row r="69" spans="1:3" ht="14">
      <c r="A69" s="1886" t="s">
        <v>2401</v>
      </c>
      <c r="B69" s="1887">
        <v>0.5</v>
      </c>
      <c r="C69" s="1877">
        <v>70</v>
      </c>
    </row>
    <row r="70" spans="1:3" ht="14">
      <c r="A70" s="1886" t="s">
        <v>2402</v>
      </c>
      <c r="B70" s="1887">
        <v>0.5</v>
      </c>
      <c r="C70" s="1877">
        <v>140</v>
      </c>
    </row>
    <row r="71" spans="1:3" ht="14">
      <c r="A71" s="1886" t="s">
        <v>2403</v>
      </c>
      <c r="B71" s="1887">
        <v>0.5</v>
      </c>
      <c r="C71" s="1877">
        <v>210</v>
      </c>
    </row>
    <row r="72" spans="1:3" ht="14">
      <c r="A72" s="1886" t="s">
        <v>2438</v>
      </c>
      <c r="B72" s="1887">
        <v>0.5</v>
      </c>
      <c r="C72" s="1877">
        <v>280</v>
      </c>
    </row>
    <row r="73" spans="1:3" ht="14">
      <c r="A73" s="1886" t="s">
        <v>2405</v>
      </c>
      <c r="B73" s="1887">
        <v>0.5</v>
      </c>
      <c r="C73" s="1877">
        <v>350</v>
      </c>
    </row>
    <row r="74" spans="1:3" ht="14">
      <c r="A74" s="1886" t="s">
        <v>2439</v>
      </c>
      <c r="B74" s="1887">
        <v>0.5</v>
      </c>
      <c r="C74" s="1877">
        <v>420</v>
      </c>
    </row>
    <row r="75" spans="1:3">
      <c r="A75" s="1891" t="s">
        <v>2305</v>
      </c>
    </row>
    <row r="76" spans="1:3">
      <c r="A76" s="1891"/>
    </row>
    <row r="77" spans="1:3">
      <c r="A77" s="63" t="s">
        <v>2444</v>
      </c>
    </row>
    <row r="78" spans="1:3">
      <c r="A78" s="63"/>
    </row>
    <row r="79" spans="1:3">
      <c r="A79" s="63" t="s">
        <v>2445</v>
      </c>
    </row>
    <row r="80" spans="1:3">
      <c r="A80" s="63" t="s">
        <v>2446</v>
      </c>
    </row>
    <row r="81" spans="1:1">
      <c r="A81" s="63"/>
    </row>
    <row r="82" spans="1:1">
      <c r="A82" s="1892" t="s">
        <v>2447</v>
      </c>
    </row>
    <row r="83" spans="1:1">
      <c r="A83" s="63"/>
    </row>
    <row r="84" spans="1:1">
      <c r="A84" s="63"/>
    </row>
    <row r="85" spans="1:1">
      <c r="A85" s="63"/>
    </row>
  </sheetData>
  <mergeCells count="10">
    <mergeCell ref="A54:A55"/>
    <mergeCell ref="B54:B55"/>
    <mergeCell ref="A66:A67"/>
    <mergeCell ref="B66:B67"/>
    <mergeCell ref="A23:A24"/>
    <mergeCell ref="B23:B24"/>
    <mergeCell ref="A33:A34"/>
    <mergeCell ref="B33:B34"/>
    <mergeCell ref="A42:A43"/>
    <mergeCell ref="B42:B43"/>
  </mergeCells>
  <pageMargins left="0.47" right="0.6" top="0.48" bottom="0.54" header="0.35" footer="0.33"/>
  <pageSetup paperSize="9" scale="97" fitToHeight="2" orientation="portrait"/>
  <headerFooter alignWithMargins="0"/>
  <rowBreaks count="1" manualBreakCount="1">
    <brk id="2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11FC-F055-3543-B6E4-2DA65FA0403C}">
  <sheetPr>
    <pageSetUpPr fitToPage="1"/>
  </sheetPr>
  <dimension ref="A1:O59"/>
  <sheetViews>
    <sheetView topLeftCell="A26" workbookViewId="0">
      <selection activeCell="A38" sqref="A38"/>
    </sheetView>
  </sheetViews>
  <sheetFormatPr baseColWidth="10" defaultRowHeight="13"/>
  <cols>
    <col min="1" max="1" width="24.796875" customWidth="1"/>
    <col min="2" max="2" width="14.3984375" customWidth="1"/>
    <col min="3" max="3" width="14.59765625" customWidth="1"/>
    <col min="4" max="4" width="14.3984375" customWidth="1"/>
    <col min="5" max="5" width="14.59765625" customWidth="1"/>
    <col min="6" max="6" width="10" customWidth="1"/>
    <col min="7" max="7" width="9.59765625" customWidth="1"/>
    <col min="8" max="8" width="10.59765625" customWidth="1"/>
    <col min="9" max="9" width="11.19921875" customWidth="1"/>
  </cols>
  <sheetData>
    <row r="1" spans="1:10" ht="14">
      <c r="A1" s="1008" t="s">
        <v>2379</v>
      </c>
      <c r="B1" s="301"/>
      <c r="C1" s="301"/>
      <c r="D1" s="301"/>
      <c r="E1" s="301"/>
      <c r="F1" s="301"/>
      <c r="G1" s="301"/>
      <c r="H1" s="301"/>
      <c r="I1" s="301"/>
    </row>
    <row r="2" spans="1:10" ht="14">
      <c r="A2" s="301"/>
      <c r="B2" s="301"/>
      <c r="C2" s="301"/>
      <c r="D2" s="301"/>
      <c r="E2" s="301"/>
      <c r="F2" s="301"/>
      <c r="G2" s="301"/>
      <c r="H2" s="301"/>
      <c r="I2" s="301"/>
    </row>
    <row r="3" spans="1:10" ht="39.75" customHeight="1">
      <c r="A3" s="2041" t="s">
        <v>2380</v>
      </c>
      <c r="B3" s="2041"/>
      <c r="C3" s="2041"/>
      <c r="D3" s="2041"/>
      <c r="E3" s="2041"/>
      <c r="F3" s="2041"/>
      <c r="G3" s="2041"/>
      <c r="H3" s="2041"/>
      <c r="I3" s="2041"/>
      <c r="J3" s="702"/>
    </row>
    <row r="4" spans="1:10" ht="20.25" customHeight="1">
      <c r="A4" s="1833"/>
      <c r="B4" s="1834"/>
      <c r="C4" s="1834"/>
      <c r="D4" s="1834"/>
      <c r="E4" s="1834"/>
      <c r="F4" s="1834"/>
      <c r="G4" s="1834"/>
      <c r="H4" s="1834"/>
      <c r="I4" s="1834"/>
      <c r="J4" s="702"/>
    </row>
    <row r="5" spans="1:10" ht="18.75" customHeight="1">
      <c r="A5" s="1835"/>
      <c r="B5" s="1836"/>
      <c r="C5" s="1836"/>
      <c r="D5" s="1836"/>
      <c r="E5" s="1836"/>
      <c r="G5" s="23"/>
    </row>
    <row r="6" spans="1:10" ht="23.25" customHeight="1">
      <c r="A6" s="2042" t="s">
        <v>2381</v>
      </c>
      <c r="B6" s="2043"/>
      <c r="C6" s="2044"/>
      <c r="D6" s="4"/>
      <c r="E6" s="3"/>
      <c r="F6" s="3"/>
      <c r="G6" s="3"/>
      <c r="H6" s="3"/>
      <c r="I6" s="3"/>
    </row>
    <row r="7" spans="1:10" ht="28.5" customHeight="1">
      <c r="A7" s="2045" t="s">
        <v>2382</v>
      </c>
      <c r="B7" s="2046"/>
      <c r="C7" s="2046"/>
      <c r="D7" s="2047" t="s">
        <v>2383</v>
      </c>
      <c r="E7" s="2048"/>
      <c r="F7" s="2047" t="s">
        <v>2384</v>
      </c>
      <c r="G7" s="2049"/>
      <c r="H7" s="2049"/>
      <c r="I7" s="2048"/>
    </row>
    <row r="8" spans="1:10" ht="41.25" customHeight="1">
      <c r="A8" s="1837" t="s">
        <v>2385</v>
      </c>
      <c r="B8" s="1838" t="s">
        <v>2386</v>
      </c>
      <c r="C8" s="1839" t="s">
        <v>2387</v>
      </c>
      <c r="D8" s="1838" t="s">
        <v>2386</v>
      </c>
      <c r="E8" s="1840" t="s">
        <v>2387</v>
      </c>
      <c r="F8" s="2050" t="s">
        <v>2386</v>
      </c>
      <c r="G8" s="2051"/>
      <c r="H8" s="2052" t="s">
        <v>2387</v>
      </c>
      <c r="I8" s="2053"/>
    </row>
    <row r="9" spans="1:10" ht="13.5" customHeight="1">
      <c r="A9" s="1841" t="s">
        <v>2388</v>
      </c>
      <c r="B9" s="1842">
        <v>2.1729245325335489E-2</v>
      </c>
      <c r="C9" s="1843">
        <v>1.7884994153207545E-2</v>
      </c>
      <c r="D9" s="1844">
        <v>4753.4931409515902</v>
      </c>
      <c r="E9" s="1845">
        <v>5753.4931409515902</v>
      </c>
      <c r="F9" s="1844" t="s">
        <v>29</v>
      </c>
      <c r="G9" s="1844" t="s">
        <v>29</v>
      </c>
      <c r="H9" s="1845" t="s">
        <v>29</v>
      </c>
      <c r="I9" s="1845" t="s">
        <v>29</v>
      </c>
    </row>
    <row r="10" spans="1:10" ht="13.5" customHeight="1">
      <c r="A10" s="1846" t="s">
        <v>2389</v>
      </c>
      <c r="B10" s="1847">
        <v>2.2403408596664898E-2</v>
      </c>
      <c r="C10" s="1843">
        <v>1.7697139722636868E-2</v>
      </c>
      <c r="D10" s="1844">
        <v>4613.4931409515902</v>
      </c>
      <c r="E10" s="1845">
        <v>5813.4931409515902</v>
      </c>
      <c r="F10" s="1844">
        <v>140</v>
      </c>
      <c r="G10" s="1847">
        <v>2.9452025247263477E-2</v>
      </c>
      <c r="H10" s="1845">
        <v>-60</v>
      </c>
      <c r="I10" s="1843">
        <v>-1.0428447298031608E-2</v>
      </c>
    </row>
    <row r="11" spans="1:10" ht="13.5" customHeight="1">
      <c r="A11" s="1846" t="s">
        <v>2390</v>
      </c>
      <c r="B11" s="1847">
        <v>2.4287223945702152E-2</v>
      </c>
      <c r="C11" s="1843">
        <v>1.7244326717997804E-2</v>
      </c>
      <c r="D11" s="1844">
        <v>4263.4931409515902</v>
      </c>
      <c r="E11" s="1845">
        <v>5963.4931409515902</v>
      </c>
      <c r="F11" s="1844">
        <v>490</v>
      </c>
      <c r="G11" s="1847">
        <v>0.10308208836542217</v>
      </c>
      <c r="H11" s="1845">
        <v>-210</v>
      </c>
      <c r="I11" s="1843">
        <v>-3.6499565543110631E-2</v>
      </c>
    </row>
    <row r="12" spans="1:10" ht="13.5" customHeight="1">
      <c r="A12" s="1846" t="s">
        <v>2391</v>
      </c>
      <c r="B12" s="1847">
        <v>2.6516929218232788E-2</v>
      </c>
      <c r="C12" s="1843">
        <v>1.6814107669415046E-2</v>
      </c>
      <c r="D12" s="1844">
        <v>3913.4931409515902</v>
      </c>
      <c r="E12" s="1845">
        <v>6113.4931409515902</v>
      </c>
      <c r="F12" s="1844">
        <v>840</v>
      </c>
      <c r="G12" s="1847">
        <v>0.17671215148358085</v>
      </c>
      <c r="H12" s="1845">
        <v>-360</v>
      </c>
      <c r="I12" s="1843">
        <v>-6.257068378818964E-2</v>
      </c>
    </row>
    <row r="13" spans="1:10" ht="13.5" customHeight="1">
      <c r="A13" s="1846" t="s">
        <v>2392</v>
      </c>
      <c r="B13" s="1847">
        <v>2.9197418250805907E-2</v>
      </c>
      <c r="C13" s="1843">
        <v>1.6404832687198168E-2</v>
      </c>
      <c r="D13" s="1844">
        <v>3563.4931409515902</v>
      </c>
      <c r="E13" s="1845">
        <v>6263.4931409515902</v>
      </c>
      <c r="F13" s="1844">
        <v>1190</v>
      </c>
      <c r="G13" s="1847">
        <v>0.25034221460173955</v>
      </c>
      <c r="H13" s="1845">
        <v>-510</v>
      </c>
      <c r="I13" s="1843">
        <v>-8.8641802033268671E-2</v>
      </c>
    </row>
    <row r="14" spans="1:10" ht="13.5" customHeight="1">
      <c r="A14" s="1846" t="s">
        <v>2393</v>
      </c>
      <c r="B14" s="1847">
        <v>3.2480767559308177E-2</v>
      </c>
      <c r="C14" s="1843">
        <v>1.6015008705340339E-2</v>
      </c>
      <c r="D14" s="1844">
        <v>3213.4931409515902</v>
      </c>
      <c r="E14" s="1845">
        <v>6413.4931409515902</v>
      </c>
      <c r="F14" s="1844">
        <v>1540</v>
      </c>
      <c r="G14" s="1847">
        <v>0.32397227771989823</v>
      </c>
      <c r="H14" s="1845">
        <v>-660</v>
      </c>
      <c r="I14" s="1843">
        <v>-0.11471292027834769</v>
      </c>
    </row>
    <row r="15" spans="1:10" ht="45.75" customHeight="1">
      <c r="A15" s="1835"/>
      <c r="B15" s="1836"/>
      <c r="C15" s="1836"/>
      <c r="D15" s="1836"/>
      <c r="E15" s="1836"/>
      <c r="G15" s="23"/>
    </row>
    <row r="16" spans="1:10" ht="24.75" customHeight="1">
      <c r="A16" s="2042" t="s">
        <v>2394</v>
      </c>
      <c r="B16" s="2043"/>
      <c r="C16" s="2044"/>
      <c r="D16" s="4"/>
      <c r="E16" s="4"/>
      <c r="F16" s="4"/>
      <c r="G16" s="4"/>
      <c r="H16" s="4"/>
      <c r="I16" s="4"/>
    </row>
    <row r="17" spans="1:9" ht="30" customHeight="1">
      <c r="A17" s="2045" t="s">
        <v>2395</v>
      </c>
      <c r="B17" s="2046"/>
      <c r="C17" s="2046"/>
      <c r="D17" s="2047" t="s">
        <v>2383</v>
      </c>
      <c r="E17" s="2048"/>
      <c r="F17" s="2047" t="s">
        <v>2384</v>
      </c>
      <c r="G17" s="2049"/>
      <c r="H17" s="2049"/>
      <c r="I17" s="2048"/>
    </row>
    <row r="18" spans="1:9" ht="36.75" customHeight="1">
      <c r="A18" s="1837" t="s">
        <v>2385</v>
      </c>
      <c r="B18" s="1838" t="s">
        <v>2386</v>
      </c>
      <c r="C18" s="1839" t="s">
        <v>2387</v>
      </c>
      <c r="D18" s="1838" t="s">
        <v>2386</v>
      </c>
      <c r="E18" s="1840" t="s">
        <v>2387</v>
      </c>
      <c r="F18" s="2050" t="s">
        <v>2386</v>
      </c>
      <c r="G18" s="2051"/>
      <c r="H18" s="2052" t="s">
        <v>2387</v>
      </c>
      <c r="I18" s="2053"/>
    </row>
    <row r="19" spans="1:9" ht="15" customHeight="1">
      <c r="A19" s="1841" t="s">
        <v>2388</v>
      </c>
      <c r="B19" s="1842">
        <v>2.9604520253573741E-2</v>
      </c>
      <c r="C19" s="1843">
        <v>2.395178210082527E-2</v>
      </c>
      <c r="D19" s="1844">
        <v>4362.6402732184433</v>
      </c>
      <c r="E19" s="1845">
        <v>5362.6402732184433</v>
      </c>
      <c r="F19" s="1844" t="s">
        <v>29</v>
      </c>
      <c r="G19" s="1844" t="s">
        <v>29</v>
      </c>
      <c r="H19" s="1845" t="s">
        <v>29</v>
      </c>
      <c r="I19" s="1845" t="s">
        <v>29</v>
      </c>
    </row>
    <row r="20" spans="1:9" ht="15" customHeight="1">
      <c r="A20" s="1846" t="s">
        <v>2389</v>
      </c>
      <c r="B20" s="1847">
        <v>3.0616097144011256E-2</v>
      </c>
      <c r="C20" s="1843">
        <v>2.3680486524662481E-2</v>
      </c>
      <c r="D20" s="1844">
        <v>4222.6402732184433</v>
      </c>
      <c r="E20" s="1845">
        <v>5422.6402732184433</v>
      </c>
      <c r="F20" s="1844">
        <v>140</v>
      </c>
      <c r="G20" s="1847">
        <v>3.2090658691122848E-2</v>
      </c>
      <c r="H20" s="1845">
        <v>-60</v>
      </c>
      <c r="I20" s="1843">
        <v>-1.1188518517575371E-2</v>
      </c>
    </row>
    <row r="21" spans="1:9" ht="15" customHeight="1">
      <c r="A21" s="1846" t="s">
        <v>2390</v>
      </c>
      <c r="B21" s="1847">
        <v>3.347573474019061E-2</v>
      </c>
      <c r="C21" s="1843">
        <v>2.3028394995308066E-2</v>
      </c>
      <c r="D21" s="1844">
        <v>3872.6402732184433</v>
      </c>
      <c r="E21" s="1845">
        <v>5572.6402732184433</v>
      </c>
      <c r="F21" s="1844">
        <v>490</v>
      </c>
      <c r="G21" s="1847">
        <v>0.11231730541892997</v>
      </c>
      <c r="H21" s="1845">
        <v>-210</v>
      </c>
      <c r="I21" s="1843">
        <v>-3.9159814811513802E-2</v>
      </c>
    </row>
    <row r="22" spans="1:9" ht="15" customHeight="1">
      <c r="A22" s="1846" t="s">
        <v>2391</v>
      </c>
      <c r="B22" s="1847">
        <v>3.6924606504898927E-2</v>
      </c>
      <c r="C22" s="1843">
        <v>2.2411254416215609E-2</v>
      </c>
      <c r="D22" s="1844">
        <v>3522.6402732184433</v>
      </c>
      <c r="E22" s="1845">
        <v>5722.6402732184433</v>
      </c>
      <c r="F22" s="1844">
        <v>840</v>
      </c>
      <c r="G22" s="1847">
        <v>0.19254395214673709</v>
      </c>
      <c r="H22" s="1845">
        <v>-360</v>
      </c>
      <c r="I22" s="1843">
        <v>-6.7131111105452224E-2</v>
      </c>
    </row>
    <row r="23" spans="1:9" ht="15" customHeight="1">
      <c r="A23" s="1846" t="s">
        <v>2392</v>
      </c>
      <c r="B23" s="1847">
        <v>4.1165749940418328E-2</v>
      </c>
      <c r="C23" s="1843">
        <v>2.1826328163008446E-2</v>
      </c>
      <c r="D23" s="1844">
        <v>3172.6402732184433</v>
      </c>
      <c r="E23" s="1845">
        <v>5872.6402732184433</v>
      </c>
      <c r="F23" s="1844">
        <v>1190</v>
      </c>
      <c r="G23" s="1847">
        <v>0.27277059887454425</v>
      </c>
      <c r="H23" s="1845">
        <v>-510</v>
      </c>
      <c r="I23" s="1843">
        <v>-9.5102407399390659E-2</v>
      </c>
    </row>
    <row r="24" spans="1:9" ht="15" customHeight="1">
      <c r="A24" s="1846" t="s">
        <v>2393</v>
      </c>
      <c r="B24" s="1847">
        <v>4.6507590545173727E-2</v>
      </c>
      <c r="C24" s="1843">
        <v>2.127115804423152E-2</v>
      </c>
      <c r="D24" s="1844">
        <v>2822.6402732184433</v>
      </c>
      <c r="E24" s="1845">
        <v>6022.6402732184433</v>
      </c>
      <c r="F24" s="1844">
        <v>1540</v>
      </c>
      <c r="G24" s="1847">
        <v>0.35299724560235135</v>
      </c>
      <c r="H24" s="1845">
        <v>-660</v>
      </c>
      <c r="I24" s="1843">
        <v>-0.12307370369332908</v>
      </c>
    </row>
    <row r="25" spans="1:9" ht="39.75" customHeight="1">
      <c r="A25" s="1835"/>
      <c r="B25" s="1836"/>
      <c r="C25" s="1836"/>
      <c r="D25" s="1836"/>
      <c r="E25" s="1836"/>
      <c r="G25" s="23"/>
    </row>
    <row r="26" spans="1:9" ht="24" customHeight="1">
      <c r="A26" s="2042" t="s">
        <v>2396</v>
      </c>
      <c r="B26" s="2043"/>
      <c r="C26" s="2044"/>
      <c r="D26" s="4"/>
      <c r="E26" s="3"/>
      <c r="F26" s="3"/>
      <c r="G26" s="3"/>
      <c r="H26" s="3"/>
      <c r="I26" s="3"/>
    </row>
    <row r="27" spans="1:9" ht="31.5" customHeight="1">
      <c r="A27" s="2045" t="s">
        <v>2397</v>
      </c>
      <c r="B27" s="2046"/>
      <c r="C27" s="2046"/>
      <c r="D27" s="2047" t="s">
        <v>2398</v>
      </c>
      <c r="E27" s="2048"/>
      <c r="F27" s="2047" t="s">
        <v>2399</v>
      </c>
      <c r="G27" s="2049"/>
      <c r="H27" s="2049"/>
      <c r="I27" s="2048"/>
    </row>
    <row r="28" spans="1:9" ht="39" customHeight="1">
      <c r="A28" s="1837" t="s">
        <v>2385</v>
      </c>
      <c r="B28" s="1838" t="s">
        <v>2386</v>
      </c>
      <c r="C28" s="1839" t="s">
        <v>2400</v>
      </c>
      <c r="D28" s="1838" t="s">
        <v>2386</v>
      </c>
      <c r="E28" s="1840" t="s">
        <v>2400</v>
      </c>
      <c r="F28" s="2050" t="s">
        <v>2386</v>
      </c>
      <c r="G28" s="2051"/>
      <c r="H28" s="2052" t="s">
        <v>2400</v>
      </c>
      <c r="I28" s="2053"/>
    </row>
    <row r="29" spans="1:9" ht="15" customHeight="1">
      <c r="A29" s="1841" t="s">
        <v>2388</v>
      </c>
      <c r="B29" s="1842">
        <v>2.4394141549930692E-2</v>
      </c>
      <c r="C29" s="1843">
        <v>1.8390572438341302E-2</v>
      </c>
      <c r="D29" s="1844">
        <v>1098.2996964633103</v>
      </c>
      <c r="E29" s="1845">
        <v>1448.2996964633103</v>
      </c>
      <c r="F29" s="1844" t="s">
        <v>29</v>
      </c>
      <c r="G29" s="1844" t="s">
        <v>29</v>
      </c>
      <c r="H29" s="1845" t="s">
        <v>29</v>
      </c>
      <c r="I29" s="1845" t="s">
        <v>29</v>
      </c>
    </row>
    <row r="30" spans="1:9" ht="15" customHeight="1">
      <c r="A30" s="1846" t="s">
        <v>2401</v>
      </c>
      <c r="B30" s="1847">
        <v>2.6098075456360892E-2</v>
      </c>
      <c r="C30" s="1843">
        <v>1.8010640037690706E-2</v>
      </c>
      <c r="D30" s="1844">
        <v>1028.2996964633103</v>
      </c>
      <c r="E30" s="1845">
        <v>1478.2996964633103</v>
      </c>
      <c r="F30" s="1844">
        <v>70</v>
      </c>
      <c r="G30" s="1847">
        <v>6.3734880584425627E-2</v>
      </c>
      <c r="H30" s="1845">
        <v>-30</v>
      </c>
      <c r="I30" s="1843">
        <v>-2.0713944823201162E-2</v>
      </c>
    </row>
    <row r="31" spans="1:9" ht="15" customHeight="1">
      <c r="A31" s="1846" t="s">
        <v>2402</v>
      </c>
      <c r="B31" s="1847">
        <v>2.8057925113153193E-2</v>
      </c>
      <c r="C31" s="1843">
        <v>1.7646088004302563E-2</v>
      </c>
      <c r="D31" s="1844">
        <v>958.29969646331028</v>
      </c>
      <c r="E31" s="1845">
        <v>1508.2996964633103</v>
      </c>
      <c r="F31" s="1844">
        <v>140</v>
      </c>
      <c r="G31" s="1847">
        <v>0.12746976116885125</v>
      </c>
      <c r="H31" s="1845">
        <v>-60</v>
      </c>
      <c r="I31" s="1843">
        <v>-4.1427889646402323E-2</v>
      </c>
    </row>
    <row r="32" spans="1:9" ht="15" customHeight="1">
      <c r="A32" s="1846" t="s">
        <v>2403</v>
      </c>
      <c r="B32" s="1847">
        <v>3.0336026053956688E-2</v>
      </c>
      <c r="C32" s="1843">
        <v>1.72960009282912E-2</v>
      </c>
      <c r="D32" s="1844">
        <v>888.29969646331028</v>
      </c>
      <c r="E32" s="1845">
        <v>1538.2996964633103</v>
      </c>
      <c r="F32" s="1844">
        <v>210</v>
      </c>
      <c r="G32" s="1847">
        <v>0.19120464175327689</v>
      </c>
      <c r="H32" s="1845">
        <v>-90</v>
      </c>
      <c r="I32" s="1843">
        <v>-6.2141834469603488E-2</v>
      </c>
    </row>
    <row r="33" spans="1:15" ht="15" customHeight="1">
      <c r="A33" s="1846" t="s">
        <v>2404</v>
      </c>
      <c r="B33" s="1847">
        <v>3.3016747576017247E-2</v>
      </c>
      <c r="C33" s="1843">
        <v>1.6959534631166617E-2</v>
      </c>
      <c r="D33" s="1844">
        <v>818.29969646331028</v>
      </c>
      <c r="E33" s="1845">
        <v>1568.2996964633103</v>
      </c>
      <c r="F33" s="1844">
        <v>280</v>
      </c>
      <c r="G33" s="1847">
        <v>0.25493952233770251</v>
      </c>
      <c r="H33" s="1845">
        <v>-120</v>
      </c>
      <c r="I33" s="1843">
        <v>-8.2855779292804646E-2</v>
      </c>
    </row>
    <row r="34" spans="1:15" ht="15" customHeight="1">
      <c r="A34" s="1846" t="s">
        <v>2405</v>
      </c>
      <c r="B34" s="1847">
        <v>3.6725735900597023E-2</v>
      </c>
      <c r="C34" s="1843">
        <v>1.6742403342419721E-2</v>
      </c>
      <c r="D34" s="1844">
        <v>738.29969646331028</v>
      </c>
      <c r="E34" s="1845">
        <v>1588.2996964633103</v>
      </c>
      <c r="F34" s="1844">
        <v>360</v>
      </c>
      <c r="G34" s="1847">
        <v>0.3277793858627604</v>
      </c>
      <c r="H34" s="1845">
        <v>-140</v>
      </c>
      <c r="I34" s="1843">
        <v>-9.6665075841605427E-2</v>
      </c>
    </row>
    <row r="35" spans="1:15" ht="15" customHeight="1">
      <c r="A35" s="1846" t="s">
        <v>2406</v>
      </c>
      <c r="B35" s="1847">
        <v>4.0104650167272604E-2</v>
      </c>
      <c r="C35" s="1843">
        <v>1.6324403802601362E-2</v>
      </c>
      <c r="D35" s="1844">
        <v>678.29969646331028</v>
      </c>
      <c r="E35" s="1845">
        <v>1628.2996964633103</v>
      </c>
      <c r="F35" s="1844">
        <v>420</v>
      </c>
      <c r="G35" s="1847">
        <v>0.38240928350655379</v>
      </c>
      <c r="H35" s="1845">
        <v>-180</v>
      </c>
      <c r="I35" s="1843">
        <v>-0.12428366893920698</v>
      </c>
    </row>
    <row r="36" spans="1:15" ht="11.25" customHeight="1">
      <c r="A36" s="1848"/>
      <c r="B36" s="1849"/>
      <c r="C36" s="1849"/>
      <c r="D36" s="1850"/>
      <c r="E36" s="1850"/>
      <c r="F36" s="1850"/>
      <c r="G36" s="1849"/>
      <c r="H36" s="1850"/>
      <c r="I36" s="1849"/>
      <c r="L36" s="154"/>
      <c r="M36" s="154"/>
      <c r="N36" s="154"/>
      <c r="O36" s="154"/>
    </row>
    <row r="37" spans="1:15">
      <c r="A37" s="1851" t="s">
        <v>2305</v>
      </c>
    </row>
    <row r="38" spans="1:15">
      <c r="A38" s="3"/>
    </row>
    <row r="39" spans="1:15">
      <c r="A39" s="1851" t="s">
        <v>2407</v>
      </c>
      <c r="C39" s="1852"/>
    </row>
    <row r="40" spans="1:15">
      <c r="A40" s="3"/>
    </row>
    <row r="41" spans="1:15">
      <c r="A41" s="55" t="s">
        <v>2408</v>
      </c>
    </row>
    <row r="42" spans="1:15">
      <c r="A42" s="55" t="s">
        <v>2409</v>
      </c>
    </row>
    <row r="43" spans="1:15">
      <c r="A43" s="55" t="s">
        <v>2410</v>
      </c>
    </row>
    <row r="44" spans="1:15">
      <c r="A44" s="55" t="s">
        <v>2411</v>
      </c>
    </row>
    <row r="45" spans="1:15">
      <c r="A45" s="55" t="s">
        <v>2412</v>
      </c>
    </row>
    <row r="46" spans="1:15">
      <c r="A46" s="1853" t="s">
        <v>2413</v>
      </c>
    </row>
    <row r="47" spans="1:15">
      <c r="A47" s="1853" t="s">
        <v>2414</v>
      </c>
    </row>
    <row r="48" spans="1:15">
      <c r="A48" s="1853" t="s">
        <v>2415</v>
      </c>
    </row>
    <row r="49" spans="1:5">
      <c r="A49" s="55" t="s">
        <v>2416</v>
      </c>
    </row>
    <row r="50" spans="1:5">
      <c r="A50" s="198" t="s">
        <v>2417</v>
      </c>
    </row>
    <row r="51" spans="1:5">
      <c r="A51" s="1854" t="s">
        <v>2418</v>
      </c>
    </row>
    <row r="54" spans="1:5">
      <c r="A54" s="280"/>
    </row>
    <row r="57" spans="1:5">
      <c r="A57" s="23"/>
      <c r="B57" s="23"/>
      <c r="C57" s="23"/>
      <c r="D57" s="23"/>
      <c r="E57" s="23"/>
    </row>
    <row r="59" spans="1:5">
      <c r="A59" s="1855" t="s">
        <v>2419</v>
      </c>
      <c r="B59" s="11"/>
      <c r="C59" s="11"/>
      <c r="D59" s="11"/>
      <c r="E59" s="11"/>
    </row>
  </sheetData>
  <mergeCells count="19">
    <mergeCell ref="A26:C26"/>
    <mergeCell ref="A27:C27"/>
    <mergeCell ref="D27:E27"/>
    <mergeCell ref="F27:I27"/>
    <mergeCell ref="F28:G28"/>
    <mergeCell ref="H28:I28"/>
    <mergeCell ref="A16:C16"/>
    <mergeCell ref="A17:C17"/>
    <mergeCell ref="D17:E17"/>
    <mergeCell ref="F17:I17"/>
    <mergeCell ref="F18:G18"/>
    <mergeCell ref="H18:I18"/>
    <mergeCell ref="A3:I3"/>
    <mergeCell ref="A6:C6"/>
    <mergeCell ref="A7:C7"/>
    <mergeCell ref="D7:E7"/>
    <mergeCell ref="F7:I7"/>
    <mergeCell ref="F8:G8"/>
    <mergeCell ref="H8:I8"/>
  </mergeCells>
  <pageMargins left="0.4" right="0.31" top="0.48" bottom="0.42" header="0.28999999999999998" footer="0.31"/>
  <pageSetup paperSize="9" scale="77" fitToHeight="3"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0EA8-EE11-0A4F-83DE-B13A86F69DA8}">
  <sheetPr>
    <pageSetUpPr fitToPage="1"/>
  </sheetPr>
  <dimension ref="A1:R71"/>
  <sheetViews>
    <sheetView zoomScale="115" zoomScaleNormal="115" workbookViewId="0">
      <pane ySplit="5" topLeftCell="A6" activePane="bottomLeft" state="frozen"/>
      <selection pane="bottomLeft" activeCell="T11" sqref="T11"/>
    </sheetView>
  </sheetViews>
  <sheetFormatPr baseColWidth="10" defaultColWidth="11.59765625" defaultRowHeight="13"/>
  <cols>
    <col min="1" max="1" width="2.59765625" style="1121" customWidth="1"/>
    <col min="2" max="2" width="18.59765625" style="1181" customWidth="1"/>
    <col min="3" max="6" width="7.796875" style="1121" hidden="1" customWidth="1"/>
    <col min="7" max="8" width="7.796875" style="1121" customWidth="1"/>
    <col min="9" max="9" width="7.796875" style="1123" customWidth="1"/>
    <col min="10" max="10" width="7.796875" style="1121" customWidth="1"/>
    <col min="11" max="11" width="7.796875" style="1124" customWidth="1"/>
    <col min="12" max="13" width="7.796875" style="1121" customWidth="1"/>
    <col min="14" max="14" width="7.796875" style="1125" customWidth="1"/>
    <col min="15" max="15" width="7.796875" style="1121" customWidth="1"/>
    <col min="16" max="16" width="8.3984375" style="1121" customWidth="1"/>
    <col min="17" max="18" width="8.59765625" style="1121" customWidth="1"/>
    <col min="19" max="16384" width="11.59765625" style="1121"/>
  </cols>
  <sheetData>
    <row r="1" spans="1:18">
      <c r="B1" s="1122" t="s">
        <v>192</v>
      </c>
    </row>
    <row r="3" spans="1:18">
      <c r="B3" s="1122" t="s">
        <v>1675</v>
      </c>
    </row>
    <row r="4" spans="1:18">
      <c r="A4" s="1126"/>
      <c r="B4" s="1127"/>
      <c r="C4" s="1126"/>
      <c r="D4" s="1126"/>
      <c r="E4" s="1126"/>
      <c r="F4" s="1126"/>
      <c r="G4" s="1126"/>
      <c r="H4" s="1126"/>
      <c r="I4" s="1128"/>
      <c r="J4" s="1126"/>
      <c r="K4" s="1129"/>
      <c r="L4" s="1126"/>
      <c r="M4" s="1126"/>
      <c r="N4" s="1130"/>
      <c r="O4" s="1126"/>
      <c r="P4" s="1126"/>
      <c r="Q4" s="1126"/>
      <c r="R4" s="1126"/>
    </row>
    <row r="5" spans="1:18" ht="49.75" customHeight="1">
      <c r="A5" s="1131"/>
      <c r="B5" s="1132"/>
      <c r="C5" s="1133">
        <v>2000</v>
      </c>
      <c r="D5" s="1134">
        <v>2001</v>
      </c>
      <c r="E5" s="1133">
        <v>2002</v>
      </c>
      <c r="F5" s="1134">
        <v>2003</v>
      </c>
      <c r="G5" s="1133">
        <v>2004</v>
      </c>
      <c r="H5" s="1134">
        <v>2005</v>
      </c>
      <c r="I5" s="1135">
        <v>2006</v>
      </c>
      <c r="J5" s="1136">
        <v>2007</v>
      </c>
      <c r="K5" s="1137">
        <v>2008</v>
      </c>
      <c r="L5" s="1138">
        <v>2009</v>
      </c>
      <c r="M5" s="1137">
        <v>2010</v>
      </c>
      <c r="N5" s="1138">
        <v>2011</v>
      </c>
      <c r="O5" s="1137">
        <v>2012</v>
      </c>
      <c r="P5" s="1139" t="s">
        <v>1676</v>
      </c>
      <c r="Q5" s="1140">
        <v>2013</v>
      </c>
      <c r="R5" s="1141">
        <v>2014</v>
      </c>
    </row>
    <row r="6" spans="1:18" ht="14" thickBot="1">
      <c r="A6" s="1142">
        <v>1</v>
      </c>
      <c r="B6" s="1143" t="s">
        <v>620</v>
      </c>
      <c r="C6" s="1144">
        <v>7265.1130000000003</v>
      </c>
      <c r="D6" s="1145">
        <v>7301.05</v>
      </c>
      <c r="E6" s="1146">
        <v>7344.6319999999996</v>
      </c>
      <c r="F6" s="1145">
        <v>7372.5050000000001</v>
      </c>
      <c r="G6" s="1146">
        <v>7383.5739999999996</v>
      </c>
      <c r="H6" s="1145">
        <v>7435.8649999999998</v>
      </c>
      <c r="I6" s="1146">
        <v>7478.4290000000001</v>
      </c>
      <c r="J6" s="1145">
        <v>7537.5873800000008</v>
      </c>
      <c r="K6" s="1144">
        <v>7615.5633200000002</v>
      </c>
      <c r="L6" s="1147">
        <v>7708.8515100000004</v>
      </c>
      <c r="M6" s="1144">
        <v>7779.661790000001</v>
      </c>
      <c r="N6" s="1147">
        <v>7862.7704599999988</v>
      </c>
      <c r="O6" s="1144">
        <v>7953.3573899999974</v>
      </c>
      <c r="P6" s="1148">
        <v>1.1520993835549165E-2</v>
      </c>
      <c r="Q6" s="1149"/>
      <c r="R6" s="1150"/>
    </row>
    <row r="7" spans="1:18" ht="14" thickBot="1">
      <c r="A7" s="1151"/>
      <c r="B7" s="1152" t="s">
        <v>1677</v>
      </c>
      <c r="C7" s="1153">
        <v>7263.2904821520033</v>
      </c>
      <c r="D7" s="1154">
        <v>7277.9087635100614</v>
      </c>
      <c r="E7" s="1155">
        <v>7294.8725866470413</v>
      </c>
      <c r="F7" s="1154">
        <v>7381</v>
      </c>
      <c r="G7" s="1155">
        <v>7369</v>
      </c>
      <c r="H7" s="1154">
        <v>7439</v>
      </c>
      <c r="I7" s="1155">
        <v>7479.1931914420002</v>
      </c>
      <c r="J7" s="1154">
        <v>7540.1476616999998</v>
      </c>
      <c r="K7" s="1153">
        <v>7616.5542101510009</v>
      </c>
      <c r="L7" s="1156">
        <v>7702.4292549230004</v>
      </c>
      <c r="M7" s="1153">
        <v>7781.1743319099996</v>
      </c>
      <c r="N7" s="1154">
        <v>7860.2017131350012</v>
      </c>
      <c r="O7" s="1155">
        <v>7951.8848797159999</v>
      </c>
      <c r="P7" s="1157"/>
      <c r="Q7" s="1155">
        <v>8052.6909999999998</v>
      </c>
      <c r="R7" s="1154"/>
    </row>
    <row r="8" spans="1:18" ht="14" thickBot="1">
      <c r="A8" s="1151"/>
      <c r="B8" s="1152" t="s">
        <v>1678</v>
      </c>
      <c r="C8" s="1158">
        <v>-2.5085884390196878E-4</v>
      </c>
      <c r="D8" s="1159">
        <v>-3.1695764978926233E-3</v>
      </c>
      <c r="E8" s="1160">
        <v>-6.774936219126837E-3</v>
      </c>
      <c r="F8" s="1159">
        <v>1.1522542202413444E-3</v>
      </c>
      <c r="G8" s="1160">
        <v>-1.9738408526818185E-3</v>
      </c>
      <c r="H8" s="1159">
        <v>4.2160528734713765E-4</v>
      </c>
      <c r="I8" s="1160">
        <v>1.0218609309520232E-4</v>
      </c>
      <c r="J8" s="1159">
        <v>3.3966859300260666E-4</v>
      </c>
      <c r="K8" s="1160">
        <v>1.3011383522987252E-4</v>
      </c>
      <c r="L8" s="1159">
        <v>-8.3310141188597253E-4</v>
      </c>
      <c r="M8" s="1160">
        <v>1.9442257913349081E-4</v>
      </c>
      <c r="N8" s="1159">
        <v>-3.266974252987831E-4</v>
      </c>
      <c r="O8" s="1160">
        <v>-1.8514323093898888E-4</v>
      </c>
      <c r="P8" s="1161"/>
      <c r="Q8" s="1155"/>
      <c r="R8" s="1154"/>
    </row>
    <row r="9" spans="1:18" ht="14" thickBot="1">
      <c r="A9" s="1151"/>
      <c r="B9" s="1152" t="s">
        <v>1679</v>
      </c>
      <c r="C9" s="1162" t="s">
        <v>29</v>
      </c>
      <c r="D9" s="1154">
        <v>7254.1157733654136</v>
      </c>
      <c r="E9" s="1155">
        <v>7163.7307153205684</v>
      </c>
      <c r="F9" s="1154">
        <v>7316.3455001697612</v>
      </c>
      <c r="G9" s="1155">
        <v>7362</v>
      </c>
      <c r="H9" s="1154">
        <v>7463</v>
      </c>
      <c r="I9" s="1155">
        <v>7592</v>
      </c>
      <c r="J9" s="1154">
        <v>7673.1906940349973</v>
      </c>
      <c r="K9" s="1153">
        <v>7691.2806604670004</v>
      </c>
      <c r="L9" s="1156">
        <v>7722.3599757610018</v>
      </c>
      <c r="M9" s="1153">
        <v>7651.4778619709978</v>
      </c>
      <c r="N9" s="1156">
        <v>7808.2453008929997</v>
      </c>
      <c r="O9" s="1155">
        <v>7901.3771749259986</v>
      </c>
      <c r="P9" s="1161"/>
      <c r="Q9" s="1155">
        <v>8015.8370450559996</v>
      </c>
      <c r="R9" s="1154">
        <v>8157.393</v>
      </c>
    </row>
    <row r="10" spans="1:18" ht="14" thickBot="1">
      <c r="A10" s="1151"/>
      <c r="B10" s="1163"/>
      <c r="C10" s="1164"/>
      <c r="D10" s="1165"/>
      <c r="E10" s="1166"/>
      <c r="F10" s="1165"/>
      <c r="G10" s="1166"/>
      <c r="H10" s="1165"/>
      <c r="I10" s="1166"/>
      <c r="J10" s="1165"/>
      <c r="K10" s="1164"/>
      <c r="L10" s="1156"/>
      <c r="M10" s="1153"/>
      <c r="N10" s="1156"/>
      <c r="O10" s="1153"/>
      <c r="P10" s="1161"/>
      <c r="Q10" s="1153"/>
      <c r="R10" s="1156"/>
    </row>
    <row r="11" spans="1:18" ht="14" thickBot="1">
      <c r="A11" s="1167">
        <v>2</v>
      </c>
      <c r="B11" s="1168" t="s">
        <v>1235</v>
      </c>
      <c r="C11" s="1164">
        <v>13441.654683999999</v>
      </c>
      <c r="D11" s="1165">
        <v>13997.312</v>
      </c>
      <c r="E11" s="1166">
        <v>15355.045232</v>
      </c>
      <c r="F11" s="1165">
        <v>16820.111152000001</v>
      </c>
      <c r="G11" s="1166">
        <v>18029.704831999999</v>
      </c>
      <c r="H11" s="1165">
        <v>18496.419615660001</v>
      </c>
      <c r="I11" s="1166">
        <v>19314.688173570001</v>
      </c>
      <c r="J11" s="1165">
        <v>19689.141486260003</v>
      </c>
      <c r="K11" s="1164">
        <v>19692.267223940002</v>
      </c>
      <c r="L11" s="1169">
        <v>20124.767119560001</v>
      </c>
      <c r="M11" s="1164">
        <v>22051.439907320004</v>
      </c>
      <c r="N11" s="1169">
        <v>23631.189258279996</v>
      </c>
      <c r="O11" s="1164">
        <v>24458.40065327</v>
      </c>
      <c r="P11" s="1161">
        <v>3.500506834204975E-2</v>
      </c>
      <c r="Q11" s="1153"/>
      <c r="R11" s="1156"/>
    </row>
    <row r="12" spans="1:18" ht="14" thickBot="1">
      <c r="A12" s="1151"/>
      <c r="B12" s="1152" t="str">
        <f>B$7</f>
        <v>Schätzung</v>
      </c>
      <c r="C12" s="1153">
        <v>13389.707699910003</v>
      </c>
      <c r="D12" s="1154">
        <v>13989.048404499999</v>
      </c>
      <c r="E12" s="1155">
        <v>15274.144299349999</v>
      </c>
      <c r="F12" s="1154">
        <v>16841</v>
      </c>
      <c r="G12" s="1155">
        <v>18003</v>
      </c>
      <c r="H12" s="1154">
        <v>18529</v>
      </c>
      <c r="I12" s="1155">
        <v>19330</v>
      </c>
      <c r="J12" s="1154">
        <v>19702.417918889994</v>
      </c>
      <c r="K12" s="1153">
        <v>19699.635458489996</v>
      </c>
      <c r="L12" s="1156">
        <v>20167.370254750007</v>
      </c>
      <c r="M12" s="1153">
        <v>22080.785091389997</v>
      </c>
      <c r="N12" s="1156">
        <v>23649.272847050001</v>
      </c>
      <c r="O12" s="1153">
        <v>24435.633135419997</v>
      </c>
      <c r="P12" s="1157"/>
      <c r="Q12" s="1153">
        <v>25019.561529068105</v>
      </c>
      <c r="R12" s="1156"/>
    </row>
    <row r="13" spans="1:18" ht="14" thickBot="1">
      <c r="A13" s="1151"/>
      <c r="B13" s="1152" t="str">
        <f>B$8</f>
        <v>Abweichung S</v>
      </c>
      <c r="C13" s="1158">
        <v>-3.8646271840200308E-3</v>
      </c>
      <c r="D13" s="1159">
        <v>-5.9037017250174184E-4</v>
      </c>
      <c r="E13" s="1160">
        <v>-5.2686873550462643E-3</v>
      </c>
      <c r="F13" s="1159">
        <v>1.2418971439147608E-3</v>
      </c>
      <c r="G13" s="1160">
        <v>-1.481157470343164E-3</v>
      </c>
      <c r="H13" s="1159">
        <v>1.761442755786824E-3</v>
      </c>
      <c r="I13" s="1160">
        <v>7.9275555952040833E-4</v>
      </c>
      <c r="J13" s="1159">
        <v>6.7430226143971872E-4</v>
      </c>
      <c r="K13" s="1160">
        <v>3.7416892967190307E-4</v>
      </c>
      <c r="L13" s="1159">
        <v>2.1169504688876017E-3</v>
      </c>
      <c r="M13" s="1160">
        <v>1.33076044890168E-3</v>
      </c>
      <c r="N13" s="1159">
        <v>7.6524243330955422E-4</v>
      </c>
      <c r="O13" s="1160">
        <v>-9.3086699219468994E-4</v>
      </c>
      <c r="P13" s="1157"/>
      <c r="Q13" s="1153"/>
      <c r="R13" s="1156"/>
    </row>
    <row r="14" spans="1:18" ht="14" thickBot="1">
      <c r="A14" s="1151"/>
      <c r="B14" s="1152" t="str">
        <f>B$9</f>
        <v>Prognose</v>
      </c>
      <c r="C14" s="1153" t="s">
        <v>29</v>
      </c>
      <c r="D14" s="1154">
        <v>14172.21799859</v>
      </c>
      <c r="E14" s="1155">
        <v>15197.887399369996</v>
      </c>
      <c r="F14" s="1154">
        <v>16888.705110070001</v>
      </c>
      <c r="G14" s="1155">
        <v>18075</v>
      </c>
      <c r="H14" s="1154">
        <v>18735</v>
      </c>
      <c r="I14" s="1155">
        <v>19932</v>
      </c>
      <c r="J14" s="1154">
        <v>20116</v>
      </c>
      <c r="K14" s="1153">
        <v>20016.107919189995</v>
      </c>
      <c r="L14" s="1156">
        <v>20398.211203859999</v>
      </c>
      <c r="M14" s="1153">
        <v>22023.360697910004</v>
      </c>
      <c r="N14" s="1156">
        <v>23626.775321820001</v>
      </c>
      <c r="O14" s="1153">
        <v>24323.477975969996</v>
      </c>
      <c r="P14" s="1157"/>
      <c r="Q14" s="1153">
        <v>24916.699562769994</v>
      </c>
      <c r="R14" s="1156">
        <v>25894.261448267927</v>
      </c>
    </row>
    <row r="15" spans="1:18" ht="14" thickBot="1">
      <c r="A15" s="1151"/>
      <c r="B15" s="1163"/>
      <c r="C15" s="1164"/>
      <c r="D15" s="1165"/>
      <c r="E15" s="1166"/>
      <c r="F15" s="1165"/>
      <c r="G15" s="1166"/>
      <c r="H15" s="1165"/>
      <c r="I15" s="1166"/>
      <c r="J15" s="1165"/>
      <c r="K15" s="1164"/>
      <c r="L15" s="1156"/>
      <c r="M15" s="1153"/>
      <c r="N15" s="1156"/>
      <c r="O15" s="1153"/>
      <c r="P15" s="1161"/>
      <c r="Q15" s="1153"/>
      <c r="R15" s="1156"/>
    </row>
    <row r="16" spans="1:18" ht="14" thickBot="1">
      <c r="A16" s="1167">
        <v>3</v>
      </c>
      <c r="B16" s="1168" t="s">
        <v>1680</v>
      </c>
      <c r="C16" s="1164">
        <v>13190.309896999999</v>
      </c>
      <c r="D16" s="1165">
        <v>13986.27</v>
      </c>
      <c r="E16" s="1166">
        <v>14592.757041999999</v>
      </c>
      <c r="F16" s="1165">
        <v>15335.619703</v>
      </c>
      <c r="G16" s="1166">
        <v>16307.508545999999</v>
      </c>
      <c r="H16" s="1165">
        <v>17352.720035540002</v>
      </c>
      <c r="I16" s="1166">
        <v>17563.91560077</v>
      </c>
      <c r="J16" s="1165">
        <v>18423.621995400001</v>
      </c>
      <c r="K16" s="1164">
        <v>19431.457253839999</v>
      </c>
      <c r="L16" s="1169">
        <v>20273.850596579996</v>
      </c>
      <c r="M16" s="1164">
        <v>20883.746929000004</v>
      </c>
      <c r="N16" s="1169">
        <v>21356.405837799997</v>
      </c>
      <c r="O16" s="1164">
        <v>22195.991088449999</v>
      </c>
      <c r="P16" s="1161">
        <v>3.9313040641134833E-2</v>
      </c>
      <c r="Q16" s="1153"/>
      <c r="R16" s="1156"/>
    </row>
    <row r="17" spans="1:18" ht="14" thickBot="1">
      <c r="A17" s="1151"/>
      <c r="B17" s="1152" t="str">
        <f>B$7</f>
        <v>Schätzung</v>
      </c>
      <c r="C17" s="1153">
        <v>13263.352588819997</v>
      </c>
      <c r="D17" s="1154">
        <v>13868.973949539999</v>
      </c>
      <c r="E17" s="1155">
        <v>14545.501535449999</v>
      </c>
      <c r="F17" s="1154">
        <v>15382</v>
      </c>
      <c r="G17" s="1155">
        <v>16182</v>
      </c>
      <c r="H17" s="1154">
        <v>17293</v>
      </c>
      <c r="I17" s="1155">
        <v>17953</v>
      </c>
      <c r="J17" s="1154">
        <v>18303.805358469996</v>
      </c>
      <c r="K17" s="1153">
        <v>19054.4411406</v>
      </c>
      <c r="L17" s="1156">
        <v>20141.230242230002</v>
      </c>
      <c r="M17" s="1153">
        <v>21027.802615479995</v>
      </c>
      <c r="N17" s="1156">
        <v>21655.653844479999</v>
      </c>
      <c r="O17" s="1153">
        <v>22280.475160669997</v>
      </c>
      <c r="P17" s="1157"/>
      <c r="Q17" s="1153">
        <v>23453.448009511601</v>
      </c>
      <c r="R17" s="1156"/>
    </row>
    <row r="18" spans="1:18" ht="14" thickBot="1">
      <c r="A18" s="1151"/>
      <c r="B18" s="1152" t="str">
        <f>B$8</f>
        <v>Abweichung S</v>
      </c>
      <c r="C18" s="1158">
        <v>5.5376024058850781E-3</v>
      </c>
      <c r="D18" s="1159">
        <v>-8.3865140927495974E-3</v>
      </c>
      <c r="E18" s="1160">
        <v>-3.2382850213974468E-3</v>
      </c>
      <c r="F18" s="1159">
        <v>3.024351014059512E-3</v>
      </c>
      <c r="G18" s="1160">
        <v>-7.6963654899193656E-3</v>
      </c>
      <c r="H18" s="1159">
        <v>-3.4415374314625824E-3</v>
      </c>
      <c r="I18" s="1160">
        <v>2.2152486272078331E-2</v>
      </c>
      <c r="J18" s="1159">
        <v>-6.5034246230150083E-3</v>
      </c>
      <c r="K18" s="1160">
        <v>-1.9402359190816454E-2</v>
      </c>
      <c r="L18" s="1159">
        <v>-6.5414487355631712E-3</v>
      </c>
      <c r="M18" s="1160">
        <v>6.8979808541900223E-3</v>
      </c>
      <c r="N18" s="1159">
        <v>1.4012095900066912E-2</v>
      </c>
      <c r="O18" s="1160">
        <v>3.806276182186874E-3</v>
      </c>
      <c r="P18" s="1157"/>
      <c r="Q18" s="1153"/>
      <c r="R18" s="1156"/>
    </row>
    <row r="19" spans="1:18" ht="14" thickBot="1">
      <c r="A19" s="1151"/>
      <c r="B19" s="1152" t="str">
        <f>B$9</f>
        <v>Prognose</v>
      </c>
      <c r="C19" s="1153" t="s">
        <v>29</v>
      </c>
      <c r="D19" s="1154">
        <v>13873.52074459</v>
      </c>
      <c r="E19" s="1155">
        <v>14375.897015919998</v>
      </c>
      <c r="F19" s="1154">
        <v>15461.261377419998</v>
      </c>
      <c r="G19" s="1155">
        <v>16330</v>
      </c>
      <c r="H19" s="1154">
        <v>17180</v>
      </c>
      <c r="I19" s="1155">
        <v>18848</v>
      </c>
      <c r="J19" s="1154">
        <v>19027</v>
      </c>
      <c r="K19" s="1153">
        <v>19109.311929110001</v>
      </c>
      <c r="L19" s="1156">
        <v>19772.739618319996</v>
      </c>
      <c r="M19" s="1153">
        <v>20559.572438620005</v>
      </c>
      <c r="N19" s="1156">
        <v>21871.078093380005</v>
      </c>
      <c r="O19" s="1153">
        <v>22479.997414199996</v>
      </c>
      <c r="P19" s="1157"/>
      <c r="Q19" s="1153">
        <v>23053.470158540003</v>
      </c>
      <c r="R19" s="1156">
        <v>24047.3834167975</v>
      </c>
    </row>
    <row r="20" spans="1:18" ht="14" thickBot="1">
      <c r="A20" s="1151"/>
      <c r="B20" s="1163"/>
      <c r="C20" s="1164"/>
      <c r="D20" s="1165"/>
      <c r="E20" s="1166"/>
      <c r="F20" s="1165"/>
      <c r="G20" s="1166"/>
      <c r="H20" s="1165"/>
      <c r="I20" s="1166"/>
      <c r="J20" s="1165"/>
      <c r="K20" s="1164"/>
      <c r="L20" s="1156"/>
      <c r="M20" s="1153"/>
      <c r="N20" s="1156"/>
      <c r="O20" s="1153"/>
      <c r="P20" s="1161"/>
      <c r="Q20" s="1153"/>
      <c r="R20" s="1156"/>
    </row>
    <row r="21" spans="1:18" ht="14" thickBot="1">
      <c r="A21" s="1167">
        <v>4</v>
      </c>
      <c r="B21" s="1168" t="s">
        <v>1681</v>
      </c>
      <c r="C21" s="1164">
        <v>2288.0175450000002</v>
      </c>
      <c r="D21" s="1165">
        <v>2400.1799999999998</v>
      </c>
      <c r="E21" s="1166">
        <v>2502.8303667999999</v>
      </c>
      <c r="F21" s="1165">
        <v>2588.499652</v>
      </c>
      <c r="G21" s="1166">
        <v>2832.3123952999999</v>
      </c>
      <c r="H21" s="1165">
        <v>2994.9866096700002</v>
      </c>
      <c r="I21" s="1166">
        <v>3038.7113187200002</v>
      </c>
      <c r="J21" s="1165">
        <v>3155.0668707</v>
      </c>
      <c r="K21" s="1164">
        <v>3290.4542289599999</v>
      </c>
      <c r="L21" s="1169">
        <v>3382.471848149999</v>
      </c>
      <c r="M21" s="1164">
        <v>3408.7146446100001</v>
      </c>
      <c r="N21" s="1169">
        <v>3575.1042570200002</v>
      </c>
      <c r="O21" s="1164">
        <v>3705.2372038999993</v>
      </c>
      <c r="P21" s="1161">
        <v>3.6399762782993728E-2</v>
      </c>
      <c r="Q21" s="1153"/>
      <c r="R21" s="1156"/>
    </row>
    <row r="22" spans="1:18" ht="14" thickBot="1">
      <c r="A22" s="1151"/>
      <c r="B22" s="1152" t="str">
        <f>B$7</f>
        <v>Schätzung</v>
      </c>
      <c r="C22" s="1153">
        <v>2303.9403716100005</v>
      </c>
      <c r="D22" s="1154">
        <v>2425.1343131099998</v>
      </c>
      <c r="E22" s="1155">
        <v>2546.0819887000002</v>
      </c>
      <c r="F22" s="1154">
        <v>2666</v>
      </c>
      <c r="G22" s="1155">
        <v>2901</v>
      </c>
      <c r="H22" s="1154">
        <v>3099</v>
      </c>
      <c r="I22" s="1155">
        <v>3117</v>
      </c>
      <c r="J22" s="1154">
        <v>3178.8702050500001</v>
      </c>
      <c r="K22" s="1153">
        <v>3291.5070437099998</v>
      </c>
      <c r="L22" s="1156">
        <v>3460.5105451399995</v>
      </c>
      <c r="M22" s="1153">
        <v>3539.6603510399996</v>
      </c>
      <c r="N22" s="1156">
        <v>3582.4629797900006</v>
      </c>
      <c r="O22" s="1153">
        <v>3736.8400199399998</v>
      </c>
      <c r="P22" s="1157"/>
      <c r="Q22" s="1153">
        <v>3883.4788093534103</v>
      </c>
      <c r="R22" s="1156"/>
    </row>
    <row r="23" spans="1:18" ht="14" thickBot="1">
      <c r="A23" s="1151"/>
      <c r="B23" s="1152" t="str">
        <f>B$8</f>
        <v>Abweichung S</v>
      </c>
      <c r="C23" s="1158">
        <v>6.9592239993074845E-3</v>
      </c>
      <c r="D23" s="1159">
        <v>1.0396850698697557E-2</v>
      </c>
      <c r="E23" s="1160">
        <v>1.7281084037389149E-2</v>
      </c>
      <c r="F23" s="1159">
        <v>2.9940258226466954E-2</v>
      </c>
      <c r="G23" s="1160">
        <v>2.4251422552816537E-2</v>
      </c>
      <c r="H23" s="1159">
        <v>3.472916706678042E-2</v>
      </c>
      <c r="I23" s="1160">
        <v>2.5763777163596346E-2</v>
      </c>
      <c r="J23" s="1159">
        <v>7.544478556398726E-3</v>
      </c>
      <c r="K23" s="1160">
        <v>3.1996030843828294E-4</v>
      </c>
      <c r="L23" s="1159">
        <v>2.3071499333448431E-2</v>
      </c>
      <c r="M23" s="1160">
        <v>3.8414980449318792E-2</v>
      </c>
      <c r="N23" s="1159">
        <v>2.0583239651126295E-3</v>
      </c>
      <c r="O23" s="1160">
        <v>8.5292288457905485E-3</v>
      </c>
      <c r="P23" s="1157"/>
      <c r="Q23" s="1153"/>
      <c r="R23" s="1156"/>
    </row>
    <row r="24" spans="1:18" ht="14" thickBot="1">
      <c r="A24" s="1151"/>
      <c r="B24" s="1152" t="str">
        <f>B$9</f>
        <v>Prognose</v>
      </c>
      <c r="C24" s="1162"/>
      <c r="D24" s="1154">
        <v>2328.0747466299999</v>
      </c>
      <c r="E24" s="1155">
        <v>2529.1750094200006</v>
      </c>
      <c r="F24" s="1154">
        <v>2692.6295753899999</v>
      </c>
      <c r="G24" s="1155">
        <v>3044</v>
      </c>
      <c r="H24" s="1154">
        <v>3181</v>
      </c>
      <c r="I24" s="1155">
        <v>3305</v>
      </c>
      <c r="J24" s="1154">
        <v>3346</v>
      </c>
      <c r="K24" s="1153">
        <v>3340.5068328800003</v>
      </c>
      <c r="L24" s="1156">
        <v>3435.5770779900013</v>
      </c>
      <c r="M24" s="1153">
        <v>3562.1541336899995</v>
      </c>
      <c r="N24" s="1156">
        <v>3706.9558405400003</v>
      </c>
      <c r="O24" s="1153">
        <v>3730.4170666500004</v>
      </c>
      <c r="P24" s="1157"/>
      <c r="Q24" s="1153">
        <v>3903.4565878100002</v>
      </c>
      <c r="R24" s="1156">
        <v>4018.0729394147329</v>
      </c>
    </row>
    <row r="25" spans="1:18" ht="14" thickBot="1">
      <c r="A25" s="1151"/>
      <c r="B25" s="1163"/>
      <c r="C25" s="1164"/>
      <c r="D25" s="1165"/>
      <c r="E25" s="1166"/>
      <c r="F25" s="1165"/>
      <c r="G25" s="1166"/>
      <c r="H25" s="1165"/>
      <c r="I25" s="1166"/>
      <c r="J25" s="1165"/>
      <c r="K25" s="1164"/>
      <c r="L25" s="1156"/>
      <c r="M25" s="1153"/>
      <c r="N25" s="1156"/>
      <c r="O25" s="1153"/>
      <c r="P25" s="1161"/>
      <c r="Q25" s="1153"/>
      <c r="R25" s="1156"/>
    </row>
    <row r="26" spans="1:18" ht="14" thickBot="1">
      <c r="A26" s="1167">
        <v>5</v>
      </c>
      <c r="B26" s="1168" t="s">
        <v>1682</v>
      </c>
      <c r="C26" s="1153">
        <v>837.3</v>
      </c>
      <c r="D26" s="1156">
        <v>867</v>
      </c>
      <c r="E26" s="1164">
        <v>882.5</v>
      </c>
      <c r="F26" s="1165">
        <v>863.38168700000006</v>
      </c>
      <c r="G26" s="1166">
        <v>903.60567500000002</v>
      </c>
      <c r="H26" s="1165">
        <v>910.32016699999997</v>
      </c>
      <c r="I26" s="1166">
        <v>993.79577500000005</v>
      </c>
      <c r="J26" s="1165">
        <v>1009.51491821</v>
      </c>
      <c r="K26" s="1164">
        <v>1107.29201515</v>
      </c>
      <c r="L26" s="1169">
        <v>1061.13483432</v>
      </c>
      <c r="M26" s="1153">
        <v>1145.5730899</v>
      </c>
      <c r="N26" s="1156">
        <v>1165.64760899</v>
      </c>
      <c r="O26" s="1164">
        <v>1207.3510557200002</v>
      </c>
      <c r="P26" s="1161">
        <v>3.5777061959690437E-2</v>
      </c>
      <c r="Q26" s="1153"/>
      <c r="R26" s="1156"/>
    </row>
    <row r="27" spans="1:18" ht="14" thickBot="1">
      <c r="A27" s="1151"/>
      <c r="B27" s="1152" t="str">
        <f>B$7</f>
        <v>Schätzung</v>
      </c>
      <c r="C27" s="1153">
        <v>857.32106895000004</v>
      </c>
      <c r="D27" s="1154">
        <v>904.9640978000001</v>
      </c>
      <c r="E27" s="1155">
        <v>933.20770917000004</v>
      </c>
      <c r="F27" s="1154">
        <v>938</v>
      </c>
      <c r="G27" s="1155">
        <v>965</v>
      </c>
      <c r="H27" s="1154">
        <v>979</v>
      </c>
      <c r="I27" s="1155">
        <v>1005</v>
      </c>
      <c r="J27" s="1154">
        <v>1054.2850677999998</v>
      </c>
      <c r="K27" s="1153">
        <v>1084.5769063499997</v>
      </c>
      <c r="L27" s="1156">
        <v>1135.1004123800001</v>
      </c>
      <c r="M27" s="1153">
        <v>1197.6810391799997</v>
      </c>
      <c r="N27" s="1156">
        <v>1209.2712906700003</v>
      </c>
      <c r="O27" s="1153">
        <v>1221.7973150899998</v>
      </c>
      <c r="P27" s="1157"/>
      <c r="Q27" s="1153">
        <v>1233.84649079366</v>
      </c>
      <c r="R27" s="1156"/>
    </row>
    <row r="28" spans="1:18" ht="14" thickBot="1">
      <c r="A28" s="1151"/>
      <c r="B28" s="1152" t="str">
        <f>B$8</f>
        <v>Abweichung S</v>
      </c>
      <c r="C28" s="1160">
        <v>2.3911464170548236E-2</v>
      </c>
      <c r="D28" s="1159">
        <v>4.3787886735870973E-2</v>
      </c>
      <c r="E28" s="1160">
        <v>5.7459160532578046E-2</v>
      </c>
      <c r="F28" s="1159">
        <v>8.6425637841910818E-2</v>
      </c>
      <c r="G28" s="1160">
        <v>6.7943713390246296E-2</v>
      </c>
      <c r="H28" s="1159">
        <v>7.5445799719386031E-2</v>
      </c>
      <c r="I28" s="1160">
        <v>1.127417250289664E-2</v>
      </c>
      <c r="J28" s="1159">
        <v>4.4348180281855498E-2</v>
      </c>
      <c r="K28" s="1160">
        <v>-2.0514108734833725E-2</v>
      </c>
      <c r="L28" s="1159">
        <v>6.9704221996820026E-2</v>
      </c>
      <c r="M28" s="1160">
        <v>4.5486359394622644E-2</v>
      </c>
      <c r="N28" s="1159">
        <v>3.7424416559133977E-2</v>
      </c>
      <c r="O28" s="1160">
        <v>1.1965251781210107E-2</v>
      </c>
      <c r="P28" s="1157"/>
      <c r="Q28" s="1153"/>
      <c r="R28" s="1156"/>
    </row>
    <row r="29" spans="1:18" ht="14" thickBot="1">
      <c r="A29" s="1151"/>
      <c r="B29" s="1152" t="str">
        <f>B$9</f>
        <v>Prognose</v>
      </c>
      <c r="C29" s="1153" t="s">
        <v>29</v>
      </c>
      <c r="D29" s="1154">
        <v>884.35111183000004</v>
      </c>
      <c r="E29" s="1155">
        <v>908.60023298000021</v>
      </c>
      <c r="F29" s="1154">
        <v>979.25216290999992</v>
      </c>
      <c r="G29" s="1155">
        <v>973</v>
      </c>
      <c r="H29" s="1154">
        <v>999</v>
      </c>
      <c r="I29" s="1155">
        <v>1026</v>
      </c>
      <c r="J29" s="1154">
        <v>1041</v>
      </c>
      <c r="K29" s="1153">
        <v>1078.9641520900002</v>
      </c>
      <c r="L29" s="1156">
        <v>1100.7764457800001</v>
      </c>
      <c r="M29" s="1153">
        <v>1165.20861023</v>
      </c>
      <c r="N29" s="1156">
        <v>1196.4605248100002</v>
      </c>
      <c r="O29" s="1153">
        <v>1199.6663420799998</v>
      </c>
      <c r="P29" s="1157"/>
      <c r="Q29" s="1153">
        <v>1233.5062621399995</v>
      </c>
      <c r="R29" s="1156">
        <v>1245.5183131630799</v>
      </c>
    </row>
    <row r="30" spans="1:18" ht="14" thickBot="1">
      <c r="A30" s="1151"/>
      <c r="B30" s="1163"/>
      <c r="C30" s="1164"/>
      <c r="D30" s="1165"/>
      <c r="E30" s="1166"/>
      <c r="F30" s="1165"/>
      <c r="G30" s="1166"/>
      <c r="H30" s="1165"/>
      <c r="I30" s="1166"/>
      <c r="J30" s="1165"/>
      <c r="K30" s="1164"/>
      <c r="L30" s="1156"/>
      <c r="M30" s="1153"/>
      <c r="N30" s="1156"/>
      <c r="O30" s="1153"/>
      <c r="P30" s="1161"/>
      <c r="Q30" s="1153"/>
      <c r="R30" s="1156"/>
    </row>
    <row r="31" spans="1:18" ht="14" thickBot="1">
      <c r="A31" s="1167">
        <v>6</v>
      </c>
      <c r="B31" s="1168" t="s">
        <v>935</v>
      </c>
      <c r="C31" s="1164">
        <v>2832.1064590000001</v>
      </c>
      <c r="D31" s="1165">
        <v>2102.63</v>
      </c>
      <c r="E31" s="1166">
        <v>1965.5320859999999</v>
      </c>
      <c r="F31" s="1165">
        <v>2393.7060728000001</v>
      </c>
      <c r="G31" s="1166">
        <v>2968.4810149999998</v>
      </c>
      <c r="H31" s="1165">
        <v>3184.4883299199996</v>
      </c>
      <c r="I31" s="1166">
        <v>3749.0085763900001</v>
      </c>
      <c r="J31" s="1165">
        <v>3970.4438487200005</v>
      </c>
      <c r="K31" s="1164">
        <v>3251.9246672899994</v>
      </c>
      <c r="L31" s="1169">
        <v>2863.0083966899997</v>
      </c>
      <c r="M31" s="1164">
        <v>3115.7425221299982</v>
      </c>
      <c r="N31" s="1169">
        <v>3710.7086986600002</v>
      </c>
      <c r="O31" s="1164">
        <v>6503.6949367299985</v>
      </c>
      <c r="P31" s="1161">
        <v>0.75268269888137351</v>
      </c>
      <c r="Q31" s="1153"/>
      <c r="R31" s="1156"/>
    </row>
    <row r="32" spans="1:18" ht="14" thickBot="1">
      <c r="A32" s="1151"/>
      <c r="B32" s="1152" t="str">
        <f>B$7</f>
        <v>Schätzung</v>
      </c>
      <c r="C32" s="1153">
        <v>2855.834492</v>
      </c>
      <c r="D32" s="1154">
        <v>2349.2245110000003</v>
      </c>
      <c r="E32" s="1155">
        <v>1976.764197</v>
      </c>
      <c r="F32" s="1154">
        <v>2260</v>
      </c>
      <c r="G32" s="1155">
        <v>2984</v>
      </c>
      <c r="H32" s="1154">
        <v>3152</v>
      </c>
      <c r="I32" s="1155">
        <v>3543</v>
      </c>
      <c r="J32" s="1154">
        <v>4165.3955720000013</v>
      </c>
      <c r="K32" s="1153">
        <v>3701.8404859999996</v>
      </c>
      <c r="L32" s="1156">
        <v>2439.4633089999993</v>
      </c>
      <c r="M32" s="1153">
        <v>2861.2196719999993</v>
      </c>
      <c r="N32" s="1156">
        <v>3660.0912029999995</v>
      </c>
      <c r="O32" s="1153">
        <v>6032.6369586909987</v>
      </c>
      <c r="P32" s="1157"/>
      <c r="Q32" s="1153">
        <v>6688.1472633530784</v>
      </c>
      <c r="R32" s="1156"/>
    </row>
    <row r="33" spans="1:18" ht="14" thickBot="1">
      <c r="A33" s="1151"/>
      <c r="B33" s="1152" t="str">
        <f>B$8</f>
        <v>Abweichung S</v>
      </c>
      <c r="C33" s="1158">
        <v>8.3782277762178836E-3</v>
      </c>
      <c r="D33" s="1159">
        <v>0.11727907953372685</v>
      </c>
      <c r="E33" s="1160">
        <v>5.7145396302626938E-3</v>
      </c>
      <c r="F33" s="1159">
        <v>-5.5857347867108609E-2</v>
      </c>
      <c r="G33" s="1160">
        <v>5.2279212572292622E-3</v>
      </c>
      <c r="H33" s="1159">
        <v>-1.0202056517134683E-2</v>
      </c>
      <c r="I33" s="1160">
        <v>-5.4950148070445404E-2</v>
      </c>
      <c r="J33" s="1159">
        <v>4.910073803029591E-2</v>
      </c>
      <c r="K33" s="1160">
        <v>0.13835370272735714</v>
      </c>
      <c r="L33" s="1159">
        <v>-0.1479370749242902</v>
      </c>
      <c r="M33" s="1160">
        <v>-8.1689307868739069E-2</v>
      </c>
      <c r="N33" s="1159">
        <v>-1.3640924085008277E-2</v>
      </c>
      <c r="O33" s="1160">
        <v>-7.2429285601738891E-2</v>
      </c>
      <c r="P33" s="1157"/>
      <c r="Q33" s="1153"/>
      <c r="R33" s="1156"/>
    </row>
    <row r="34" spans="1:18" ht="14" thickBot="1">
      <c r="A34" s="1151"/>
      <c r="B34" s="1152" t="str">
        <f>B$9</f>
        <v>Prognose</v>
      </c>
      <c r="C34" s="1153" t="s">
        <v>29</v>
      </c>
      <c r="D34" s="1154">
        <v>2814.2621860000008</v>
      </c>
      <c r="E34" s="1155">
        <v>2347.8065059999999</v>
      </c>
      <c r="F34" s="1154">
        <v>2216.3722629999997</v>
      </c>
      <c r="G34" s="1155">
        <v>2745</v>
      </c>
      <c r="H34" s="1154">
        <v>3240</v>
      </c>
      <c r="I34" s="1155">
        <v>3356</v>
      </c>
      <c r="J34" s="1154">
        <v>3461</v>
      </c>
      <c r="K34" s="1153">
        <v>3956.0224839999996</v>
      </c>
      <c r="L34" s="1156">
        <v>3318.8551230000007</v>
      </c>
      <c r="M34" s="1153">
        <v>2642.7481510000007</v>
      </c>
      <c r="N34" s="1156">
        <v>3237.2481029999994</v>
      </c>
      <c r="O34" s="1153">
        <v>3983.6063250000002</v>
      </c>
      <c r="P34" s="1157"/>
      <c r="Q34" s="1153">
        <v>6247.2831536309995</v>
      </c>
      <c r="R34" s="1156">
        <v>6861.8697906317439</v>
      </c>
    </row>
    <row r="35" spans="1:18" ht="14" thickBot="1">
      <c r="A35" s="1151"/>
      <c r="B35" s="1163"/>
      <c r="C35" s="1164"/>
      <c r="D35" s="1165"/>
      <c r="E35" s="1166"/>
      <c r="F35" s="1165"/>
      <c r="G35" s="1166"/>
      <c r="H35" s="1170"/>
      <c r="I35" s="1166"/>
      <c r="J35" s="1165"/>
      <c r="K35" s="1164"/>
      <c r="L35" s="1156"/>
      <c r="M35" s="1153"/>
      <c r="N35" s="1156"/>
      <c r="O35" s="1153"/>
      <c r="P35" s="1161"/>
      <c r="Q35" s="1153"/>
      <c r="R35" s="1156"/>
    </row>
    <row r="36" spans="1:18" ht="14" thickBot="1">
      <c r="A36" s="1167">
        <v>7</v>
      </c>
      <c r="B36" s="1168" t="s">
        <v>1541</v>
      </c>
      <c r="C36" s="1164">
        <v>3956.2184860000002</v>
      </c>
      <c r="D36" s="1165">
        <v>3996.3</v>
      </c>
      <c r="E36" s="1166">
        <v>4018.0238040999998</v>
      </c>
      <c r="F36" s="1165">
        <v>4264.2535405999997</v>
      </c>
      <c r="G36" s="1166">
        <v>4487.9860974000003</v>
      </c>
      <c r="H36" s="1165">
        <v>4710.4063184600009</v>
      </c>
      <c r="I36" s="1166">
        <v>4989.9724867100003</v>
      </c>
      <c r="J36" s="1165">
        <v>5234.0909351299988</v>
      </c>
      <c r="K36" s="1164">
        <v>5191.0501722600002</v>
      </c>
      <c r="L36" s="1169">
        <v>5095.2223594300003</v>
      </c>
      <c r="M36" s="1164">
        <v>5227.2935513399998</v>
      </c>
      <c r="N36" s="1169">
        <v>5648.6367269299999</v>
      </c>
      <c r="O36" s="1164">
        <v>5476.639103120001</v>
      </c>
      <c r="P36" s="1161">
        <v>-3.0449404365126997E-2</v>
      </c>
      <c r="Q36" s="1153"/>
      <c r="R36" s="1156"/>
    </row>
    <row r="37" spans="1:18" ht="14" thickBot="1">
      <c r="A37" s="1151"/>
      <c r="B37" s="1152" t="str">
        <f>B$7</f>
        <v>Schätzung</v>
      </c>
      <c r="C37" s="1153">
        <v>3962.9471309999999</v>
      </c>
      <c r="D37" s="1154">
        <v>3974.075738</v>
      </c>
      <c r="E37" s="1155">
        <v>4070.0846579999998</v>
      </c>
      <c r="F37" s="1156">
        <v>4272.4598530000003</v>
      </c>
      <c r="G37" s="1155">
        <v>4546.5489809999999</v>
      </c>
      <c r="H37" s="1154">
        <v>4697</v>
      </c>
      <c r="I37" s="1155">
        <v>4866</v>
      </c>
      <c r="J37" s="1154">
        <v>5169.9915730000012</v>
      </c>
      <c r="K37" s="1153">
        <v>5298.7608519999994</v>
      </c>
      <c r="L37" s="1156">
        <v>5335.87583</v>
      </c>
      <c r="M37" s="1153">
        <v>5328.6600139999982</v>
      </c>
      <c r="N37" s="1156">
        <v>5488.520164999999</v>
      </c>
      <c r="O37" s="1153">
        <v>5237.3805071460001</v>
      </c>
      <c r="P37" s="1157"/>
      <c r="Q37" s="1153">
        <v>5545.5226841411277</v>
      </c>
      <c r="R37" s="1156"/>
    </row>
    <row r="38" spans="1:18" ht="14" thickBot="1">
      <c r="A38" s="1151"/>
      <c r="B38" s="1152" t="str">
        <f>B$8</f>
        <v>Abweichung S</v>
      </c>
      <c r="C38" s="1158">
        <v>1.7007768968804182E-3</v>
      </c>
      <c r="D38" s="1159">
        <v>-5.5612096188975002E-3</v>
      </c>
      <c r="E38" s="1160">
        <v>1.2956830630738603E-2</v>
      </c>
      <c r="F38" s="1159">
        <v>1.9244428882729814E-3</v>
      </c>
      <c r="G38" s="1160">
        <v>1.3048811277273531E-2</v>
      </c>
      <c r="H38" s="1159">
        <v>-2.8461065890349468E-3</v>
      </c>
      <c r="I38" s="1160">
        <v>-2.484432269720549E-2</v>
      </c>
      <c r="J38" s="1159">
        <v>-1.2246512894871109E-2</v>
      </c>
      <c r="K38" s="1160">
        <v>2.0749304315258676E-2</v>
      </c>
      <c r="L38" s="1159">
        <v>4.7231200837507981E-2</v>
      </c>
      <c r="M38" s="1160">
        <v>1.9391767778951907E-2</v>
      </c>
      <c r="N38" s="1159">
        <v>-2.8346054042852842E-2</v>
      </c>
      <c r="O38" s="1160">
        <v>-4.3687121146561814E-2</v>
      </c>
      <c r="P38" s="1161"/>
      <c r="Q38" s="1153"/>
      <c r="R38" s="1156"/>
    </row>
    <row r="39" spans="1:18" ht="14" thickBot="1">
      <c r="A39" s="1151"/>
      <c r="B39" s="1152" t="str">
        <f>B$9</f>
        <v>Prognose</v>
      </c>
      <c r="C39" s="1153" t="s">
        <v>29</v>
      </c>
      <c r="D39" s="1154">
        <v>4036.8502759999997</v>
      </c>
      <c r="E39" s="1155">
        <v>4069.2909930000001</v>
      </c>
      <c r="F39" s="1156">
        <v>4343.5413720000015</v>
      </c>
      <c r="G39" s="1153">
        <v>4528.577933999999</v>
      </c>
      <c r="H39" s="1154">
        <v>4824.4617770000004</v>
      </c>
      <c r="I39" s="1155">
        <v>4891</v>
      </c>
      <c r="J39" s="1154">
        <v>5045</v>
      </c>
      <c r="K39" s="1153">
        <v>5283.6306359999999</v>
      </c>
      <c r="L39" s="1156">
        <v>5364.6168920000009</v>
      </c>
      <c r="M39" s="1153">
        <v>5507.9461690000007</v>
      </c>
      <c r="N39" s="1156">
        <v>5600.5621659999997</v>
      </c>
      <c r="O39" s="1153">
        <v>5664.6762780000008</v>
      </c>
      <c r="P39" s="1161"/>
      <c r="Q39" s="1153">
        <v>5401.5880040050006</v>
      </c>
      <c r="R39" s="1156">
        <v>5645.6569823135869</v>
      </c>
    </row>
    <row r="40" spans="1:18" ht="14" thickBot="1">
      <c r="A40" s="1151"/>
      <c r="B40" s="1163"/>
      <c r="C40" s="1164"/>
      <c r="D40" s="1165"/>
      <c r="E40" s="1166"/>
      <c r="F40" s="1165"/>
      <c r="G40" s="1171"/>
      <c r="H40" s="1151"/>
      <c r="I40" s="1166"/>
      <c r="J40" s="1165"/>
      <c r="K40" s="1164"/>
      <c r="L40" s="1156"/>
      <c r="M40" s="1153"/>
      <c r="N40" s="1156"/>
      <c r="O40" s="1153"/>
      <c r="P40" s="1161"/>
      <c r="Q40" s="1153"/>
      <c r="R40" s="1156"/>
    </row>
    <row r="41" spans="1:18" ht="14" thickBot="1">
      <c r="A41" s="1167">
        <v>8</v>
      </c>
      <c r="B41" s="1168" t="s">
        <v>1683</v>
      </c>
      <c r="C41" s="1164">
        <v>15478.327442</v>
      </c>
      <c r="D41" s="1165">
        <v>16386.46</v>
      </c>
      <c r="E41" s="1166">
        <v>17095.587409</v>
      </c>
      <c r="F41" s="1165">
        <v>17924.119354999999</v>
      </c>
      <c r="G41" s="1166">
        <v>19139.820941000002</v>
      </c>
      <c r="H41" s="1165">
        <v>20347.706645210001</v>
      </c>
      <c r="I41" s="1166">
        <v>20602.626919490001</v>
      </c>
      <c r="J41" s="1165">
        <v>21578.688866100001</v>
      </c>
      <c r="K41" s="1164">
        <v>22721.911482799998</v>
      </c>
      <c r="L41" s="1169">
        <v>23656.322444729994</v>
      </c>
      <c r="M41" s="1164">
        <v>24292.461573610006</v>
      </c>
      <c r="N41" s="1169">
        <v>24931.510094819998</v>
      </c>
      <c r="O41" s="1164">
        <v>25901.228292349999</v>
      </c>
      <c r="P41" s="1161">
        <v>3.8895285277223524E-2</v>
      </c>
      <c r="Q41" s="1153"/>
      <c r="R41" s="1156"/>
    </row>
    <row r="42" spans="1:18" ht="14" thickBot="1">
      <c r="A42" s="1151"/>
      <c r="B42" s="1152" t="str">
        <f>B$7</f>
        <v>Schätzung</v>
      </c>
      <c r="C42" s="1153">
        <v>15567.292960429999</v>
      </c>
      <c r="D42" s="1154">
        <v>16294.108262649997</v>
      </c>
      <c r="E42" s="1155">
        <v>17091.583524150003</v>
      </c>
      <c r="F42" s="1154">
        <v>18048</v>
      </c>
      <c r="G42" s="1155">
        <v>19083</v>
      </c>
      <c r="H42" s="1154">
        <v>20392</v>
      </c>
      <c r="I42" s="1155">
        <v>21069</v>
      </c>
      <c r="J42" s="1154">
        <v>21482.675563520002</v>
      </c>
      <c r="K42" s="1153">
        <v>22345.948184309997</v>
      </c>
      <c r="L42" s="1156">
        <v>23601.740787370007</v>
      </c>
      <c r="M42" s="1153">
        <v>24567.462966520005</v>
      </c>
      <c r="N42" s="1156">
        <v>23649.272847050001</v>
      </c>
      <c r="O42" s="1153">
        <v>26017.315180609996</v>
      </c>
      <c r="P42" s="1157"/>
      <c r="Q42" s="1153">
        <v>27336.926818864998</v>
      </c>
      <c r="R42" s="1156"/>
    </row>
    <row r="43" spans="1:18" ht="14" thickBot="1">
      <c r="A43" s="1151"/>
      <c r="B43" s="1152" t="str">
        <f>B$8</f>
        <v>Abweichung S</v>
      </c>
      <c r="C43" s="1158">
        <v>5.747747536894332E-3</v>
      </c>
      <c r="D43" s="1159">
        <v>-5.6358565150741446E-3</v>
      </c>
      <c r="E43" s="1160">
        <v>-2.3420574878219025E-4</v>
      </c>
      <c r="F43" s="1159">
        <v>6.9113936671842957E-3</v>
      </c>
      <c r="G43" s="1160">
        <v>-2.9687289747984957E-3</v>
      </c>
      <c r="H43" s="1159">
        <v>2.1768229492549196E-3</v>
      </c>
      <c r="I43" s="1160">
        <v>2.2636583302336533E-2</v>
      </c>
      <c r="J43" s="1159">
        <v>-4.4494502504660582E-3</v>
      </c>
      <c r="K43" s="1160">
        <v>-1.6546288316218405E-2</v>
      </c>
      <c r="L43" s="1159">
        <v>-2.3072756759852098E-3</v>
      </c>
      <c r="M43" s="1160">
        <v>1.1320441614230958E-2</v>
      </c>
      <c r="N43" s="1159">
        <v>-5.1430388407816774E-2</v>
      </c>
      <c r="O43" s="1160">
        <v>4.4819066860348755E-3</v>
      </c>
      <c r="P43" s="1157"/>
      <c r="Q43" s="1153"/>
      <c r="R43" s="1156"/>
    </row>
    <row r="44" spans="1:18" ht="15.5" customHeight="1" thickBot="1">
      <c r="A44" s="1172"/>
      <c r="B44" s="1173" t="str">
        <f>B$9</f>
        <v>Prognose</v>
      </c>
      <c r="C44" s="1174" t="s">
        <v>29</v>
      </c>
      <c r="D44" s="1175">
        <v>16201.595491220001</v>
      </c>
      <c r="E44" s="1176">
        <v>16905.07202534</v>
      </c>
      <c r="F44" s="1175">
        <v>18153.890952810001</v>
      </c>
      <c r="G44" s="1176">
        <v>19373</v>
      </c>
      <c r="H44" s="1175">
        <v>20361</v>
      </c>
      <c r="I44" s="1176">
        <v>21753</v>
      </c>
      <c r="J44" s="1175">
        <v>22373</v>
      </c>
      <c r="K44" s="1174">
        <v>22449.818761990002</v>
      </c>
      <c r="L44" s="1177">
        <v>23208.316696309994</v>
      </c>
      <c r="M44" s="1174">
        <v>24121.726572310003</v>
      </c>
      <c r="N44" s="1177">
        <v>25578.03393392</v>
      </c>
      <c r="O44" s="1174">
        <v>24323.477975969996</v>
      </c>
      <c r="P44" s="1178"/>
      <c r="Q44" s="1174">
        <v>26956.926746349996</v>
      </c>
      <c r="R44" s="1177">
        <v>28065.456356212198</v>
      </c>
    </row>
    <row r="48" spans="1:18">
      <c r="B48" s="1122" t="s">
        <v>1684</v>
      </c>
      <c r="G48" s="1179"/>
      <c r="H48" s="1124"/>
    </row>
    <row r="49" spans="2:13">
      <c r="B49" s="1180" t="s">
        <v>1685</v>
      </c>
      <c r="G49" s="1179"/>
      <c r="H49" s="1124"/>
    </row>
    <row r="50" spans="2:13">
      <c r="B50" s="1180" t="s">
        <v>1686</v>
      </c>
      <c r="G50" s="1179"/>
      <c r="H50" s="1124"/>
    </row>
    <row r="51" spans="2:13">
      <c r="B51" s="1180" t="s">
        <v>1687</v>
      </c>
      <c r="G51" s="1179"/>
      <c r="H51" s="1124"/>
    </row>
    <row r="52" spans="2:13">
      <c r="B52" s="1180" t="s">
        <v>1688</v>
      </c>
      <c r="G52" s="1179"/>
      <c r="H52" s="1124"/>
    </row>
    <row r="53" spans="2:13">
      <c r="B53" s="1180" t="s">
        <v>1689</v>
      </c>
      <c r="G53" s="1179"/>
      <c r="H53" s="1124"/>
    </row>
    <row r="54" spans="2:13">
      <c r="B54" s="1180" t="s">
        <v>1690</v>
      </c>
      <c r="G54" s="1179"/>
      <c r="H54" s="1124"/>
    </row>
    <row r="55" spans="2:13">
      <c r="B55" s="1181" t="s">
        <v>1691</v>
      </c>
      <c r="G55" s="1179"/>
      <c r="H55" s="1124"/>
    </row>
    <row r="56" spans="2:13">
      <c r="B56" s="1180" t="s">
        <v>1692</v>
      </c>
      <c r="G56" s="1179"/>
      <c r="H56" s="1124"/>
    </row>
    <row r="57" spans="2:13">
      <c r="B57" s="1181" t="s">
        <v>1693</v>
      </c>
      <c r="G57" s="1179"/>
      <c r="H57" s="1124"/>
    </row>
    <row r="58" spans="2:13">
      <c r="B58" s="1181" t="s">
        <v>1694</v>
      </c>
      <c r="G58" s="1179"/>
      <c r="H58" s="1124"/>
    </row>
    <row r="59" spans="2:13">
      <c r="B59" s="1181" t="s">
        <v>1695</v>
      </c>
      <c r="G59" s="1179"/>
      <c r="H59" s="1124"/>
    </row>
    <row r="60" spans="2:13">
      <c r="B60" s="1180" t="s">
        <v>1696</v>
      </c>
      <c r="C60" s="1182"/>
      <c r="D60" s="1182"/>
      <c r="E60" s="1182"/>
      <c r="F60" s="1182"/>
      <c r="G60" s="1179"/>
      <c r="H60" s="1183"/>
      <c r="K60" s="1183"/>
    </row>
    <row r="61" spans="2:13">
      <c r="B61" s="1184" t="s">
        <v>1697</v>
      </c>
      <c r="C61" s="1182"/>
      <c r="D61" s="1182"/>
      <c r="E61" s="1182"/>
      <c r="F61" s="1182"/>
      <c r="G61" s="1179"/>
      <c r="H61" s="1183"/>
      <c r="K61" s="1183"/>
    </row>
    <row r="62" spans="2:13">
      <c r="B62" s="1184" t="s">
        <v>1698</v>
      </c>
      <c r="C62" s="1182"/>
      <c r="D62" s="1182"/>
      <c r="E62" s="1182"/>
      <c r="F62" s="1182"/>
      <c r="G62" s="1179"/>
      <c r="H62" s="1183"/>
      <c r="K62" s="1183"/>
    </row>
    <row r="63" spans="2:13">
      <c r="B63" s="1184" t="s">
        <v>1699</v>
      </c>
      <c r="C63" s="1182"/>
      <c r="D63" s="1182"/>
      <c r="E63" s="1182"/>
      <c r="F63" s="1182"/>
      <c r="G63" s="1179"/>
      <c r="H63" s="1183"/>
      <c r="K63" s="1183"/>
    </row>
    <row r="64" spans="2:13">
      <c r="B64" s="1185" t="s">
        <v>1700</v>
      </c>
      <c r="C64" s="1186"/>
      <c r="D64" s="1187"/>
      <c r="E64" s="1187"/>
      <c r="F64" s="1188"/>
      <c r="G64" s="1189"/>
      <c r="H64" s="1188"/>
      <c r="J64" s="1190" t="s">
        <v>29</v>
      </c>
      <c r="K64" s="1190" t="s">
        <v>29</v>
      </c>
      <c r="L64" s="1190" t="s">
        <v>1701</v>
      </c>
      <c r="M64" s="1190" t="s">
        <v>1701</v>
      </c>
    </row>
    <row r="65" spans="2:13">
      <c r="B65" s="1191" t="s">
        <v>1702</v>
      </c>
      <c r="C65" s="1192"/>
      <c r="D65" s="1193"/>
      <c r="E65" s="1193"/>
      <c r="F65" s="1194"/>
      <c r="G65" s="1195"/>
      <c r="H65" s="1194"/>
      <c r="J65" s="1190" t="s">
        <v>1701</v>
      </c>
      <c r="K65" s="1190" t="s">
        <v>29</v>
      </c>
      <c r="L65" s="1190" t="s">
        <v>29</v>
      </c>
      <c r="M65" s="1190" t="s">
        <v>1701</v>
      </c>
    </row>
    <row r="66" spans="2:13">
      <c r="B66" s="1196" t="s">
        <v>1703</v>
      </c>
      <c r="C66" s="1197"/>
      <c r="D66" s="1197"/>
      <c r="E66" s="1197"/>
      <c r="F66" s="1198"/>
      <c r="G66" s="1126"/>
      <c r="H66" s="1198"/>
      <c r="J66" s="1199" t="s">
        <v>1701</v>
      </c>
      <c r="K66" s="1199" t="s">
        <v>29</v>
      </c>
      <c r="L66" s="1199" t="s">
        <v>1701</v>
      </c>
      <c r="M66" s="1190" t="s">
        <v>29</v>
      </c>
    </row>
    <row r="67" spans="2:13" ht="14" thickBot="1">
      <c r="B67" s="1181" t="s">
        <v>1704</v>
      </c>
      <c r="G67" s="1179"/>
      <c r="H67" s="1124"/>
    </row>
    <row r="68" spans="2:13" ht="14" thickBot="1">
      <c r="B68" s="1200" t="s">
        <v>1705</v>
      </c>
      <c r="G68" s="1179"/>
      <c r="H68" s="1124"/>
    </row>
    <row r="69" spans="2:13">
      <c r="G69" s="1179"/>
      <c r="H69" s="1124"/>
    </row>
    <row r="71" spans="2:13">
      <c r="B71" s="1181" t="s">
        <v>1706</v>
      </c>
    </row>
  </sheetData>
  <pageMargins left="0.32" right="0.31" top="0.47244094488188981" bottom="0.35433070866141736" header="0.31496062992125984" footer="0.15748031496062992"/>
  <pageSetup paperSize="9" scale="83" orientation="portrait"/>
  <headerFooter alignWithMargins="0"/>
  <colBreaks count="2" manualBreakCount="2">
    <brk id="11" max="1048575" man="1"/>
    <brk id="2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CED-2B65-E547-9AB3-CD05022FFF7E}">
  <sheetPr>
    <pageSetUpPr fitToPage="1"/>
  </sheetPr>
  <dimension ref="A1:B18"/>
  <sheetViews>
    <sheetView zoomScale="115" zoomScaleNormal="115" workbookViewId="0">
      <selection activeCell="I19" sqref="I19"/>
    </sheetView>
  </sheetViews>
  <sheetFormatPr baseColWidth="10" defaultColWidth="11.59765625" defaultRowHeight="13"/>
  <cols>
    <col min="1" max="1" width="5.59765625" style="65" customWidth="1"/>
    <col min="2" max="16384" width="11.59765625" style="65"/>
  </cols>
  <sheetData>
    <row r="1" spans="1:2" ht="16">
      <c r="A1" s="66" t="s">
        <v>201</v>
      </c>
    </row>
    <row r="3" spans="1:2">
      <c r="A3" s="68">
        <v>1.01</v>
      </c>
      <c r="B3" s="63" t="s">
        <v>217</v>
      </c>
    </row>
    <row r="4" spans="1:2">
      <c r="A4" s="68">
        <v>1.02</v>
      </c>
      <c r="B4" s="63" t="s">
        <v>202</v>
      </c>
    </row>
    <row r="5" spans="1:2">
      <c r="A5" s="68">
        <v>1.03</v>
      </c>
      <c r="B5" s="63" t="s">
        <v>203</v>
      </c>
    </row>
    <row r="6" spans="1:2">
      <c r="A6" s="68">
        <v>1.04</v>
      </c>
      <c r="B6" s="63" t="s">
        <v>204</v>
      </c>
    </row>
    <row r="7" spans="1:2">
      <c r="A7" s="68">
        <v>1.05</v>
      </c>
      <c r="B7" s="63" t="s">
        <v>205</v>
      </c>
    </row>
    <row r="8" spans="1:2">
      <c r="A8" s="68">
        <v>1.06</v>
      </c>
      <c r="B8" s="63" t="s">
        <v>206</v>
      </c>
    </row>
    <row r="9" spans="1:2">
      <c r="A9" s="68">
        <v>1.07</v>
      </c>
      <c r="B9" s="64" t="s">
        <v>207</v>
      </c>
    </row>
    <row r="10" spans="1:2">
      <c r="A10" s="68">
        <v>1.08</v>
      </c>
      <c r="B10" s="63" t="s">
        <v>218</v>
      </c>
    </row>
    <row r="11" spans="1:2">
      <c r="A11" s="68">
        <v>1.0900000000000001</v>
      </c>
      <c r="B11" s="63" t="s">
        <v>219</v>
      </c>
    </row>
    <row r="12" spans="1:2">
      <c r="A12" s="68">
        <v>1.1000000000000001</v>
      </c>
      <c r="B12" s="63" t="s">
        <v>220</v>
      </c>
    </row>
    <row r="13" spans="1:2">
      <c r="A13" s="68">
        <v>1.1100000000000001</v>
      </c>
      <c r="B13" s="63" t="s">
        <v>221</v>
      </c>
    </row>
    <row r="14" spans="1:2">
      <c r="A14" s="68">
        <v>1.1200000000000001</v>
      </c>
      <c r="B14" s="63" t="s">
        <v>222</v>
      </c>
    </row>
    <row r="15" spans="1:2">
      <c r="A15" s="68">
        <v>1.1299999999999999</v>
      </c>
      <c r="B15" s="63" t="s">
        <v>223</v>
      </c>
    </row>
    <row r="16" spans="1:2">
      <c r="A16" s="108"/>
      <c r="B16" s="67"/>
    </row>
    <row r="18" spans="1:1">
      <c r="A18" s="70" t="s">
        <v>395</v>
      </c>
    </row>
  </sheetData>
  <pageMargins left="0.46" right="0.46" top="0.63" bottom="0.984251969" header="0.38" footer="0.4921259845"/>
  <pageSetup paperSize="9" scale="96"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54642-DDC3-234F-B5F7-9624A440E978}">
  <sheetPr>
    <pageSetUpPr fitToPage="1"/>
  </sheetPr>
  <dimension ref="A1:X57"/>
  <sheetViews>
    <sheetView topLeftCell="A15" zoomScaleNormal="100" workbookViewId="0">
      <selection activeCell="O36" sqref="O36"/>
    </sheetView>
  </sheetViews>
  <sheetFormatPr baseColWidth="10" defaultColWidth="11.3984375" defaultRowHeight="13"/>
  <cols>
    <col min="1" max="1" width="2.59765625" style="3" customWidth="1"/>
    <col min="2" max="2" width="3.19921875" style="3" customWidth="1"/>
    <col min="3" max="3" width="55" style="3" customWidth="1"/>
    <col min="4" max="4" width="9.796875" style="280" hidden="1" customWidth="1"/>
    <col min="5" max="5" width="8.59765625" style="280" hidden="1" customWidth="1"/>
    <col min="6" max="6" width="10.19921875" style="3" hidden="1" customWidth="1"/>
    <col min="7" max="7" width="9.3984375" style="3" hidden="1" customWidth="1"/>
    <col min="8" max="8" width="0.3984375" style="3" customWidth="1"/>
    <col min="9" max="9" width="9.3984375" style="138" hidden="1" customWidth="1"/>
    <col min="10" max="10" width="9.3984375" style="3" customWidth="1"/>
    <col min="11" max="12" width="9.3984375" style="138" customWidth="1"/>
    <col min="13" max="13" width="9.3984375" style="3" customWidth="1"/>
    <col min="14" max="15" width="10.796875" style="3" customWidth="1"/>
    <col min="16" max="16" width="11.19921875" style="3" customWidth="1"/>
    <col min="17" max="17" width="10.59765625" style="3" customWidth="1"/>
    <col min="18" max="18" width="10.3984375" style="3" customWidth="1"/>
    <col min="19" max="19" width="11" style="3" customWidth="1"/>
    <col min="20" max="20" width="11.59765625" style="3" customWidth="1"/>
    <col min="21" max="21" width="2.796875" style="3" customWidth="1"/>
    <col min="22" max="22" width="11.3984375" style="3"/>
    <col min="23" max="23" width="12" style="3" customWidth="1"/>
    <col min="24" max="16384" width="11.3984375" style="3"/>
  </cols>
  <sheetData>
    <row r="1" spans="2:24" ht="12" customHeight="1">
      <c r="C1" s="213"/>
      <c r="D1" s="214"/>
      <c r="E1" s="214"/>
      <c r="F1" s="60"/>
      <c r="G1" s="60"/>
      <c r="H1" s="60"/>
      <c r="I1" s="215"/>
      <c r="K1" s="215"/>
      <c r="L1" s="215"/>
    </row>
    <row r="2" spans="2:24" ht="26.25" customHeight="1">
      <c r="B2" s="216" t="s">
        <v>321</v>
      </c>
      <c r="C2" s="216"/>
      <c r="D2" s="217"/>
      <c r="E2" s="217"/>
      <c r="F2" s="218"/>
      <c r="G2" s="218"/>
      <c r="H2" s="218"/>
      <c r="I2" s="219"/>
      <c r="J2" s="220"/>
      <c r="K2" s="220"/>
      <c r="L2" s="219"/>
      <c r="M2" s="221"/>
      <c r="N2" s="221"/>
      <c r="O2" s="221"/>
      <c r="P2" s="221"/>
      <c r="Q2" s="221"/>
      <c r="R2" s="221"/>
      <c r="S2" s="221"/>
      <c r="T2" s="221"/>
      <c r="U2" s="222"/>
      <c r="V2" s="222"/>
      <c r="W2" s="222"/>
    </row>
    <row r="3" spans="2:24" ht="72.75" customHeight="1">
      <c r="B3" s="223"/>
      <c r="C3" s="224" t="s">
        <v>322</v>
      </c>
      <c r="D3" s="225">
        <v>1996</v>
      </c>
      <c r="E3" s="224">
        <v>1997</v>
      </c>
      <c r="F3" s="225">
        <v>1998</v>
      </c>
      <c r="G3" s="224">
        <v>1999</v>
      </c>
      <c r="H3" s="225">
        <v>2000</v>
      </c>
      <c r="I3" s="226">
        <v>2001</v>
      </c>
      <c r="J3" s="227">
        <v>2002</v>
      </c>
      <c r="K3" s="226">
        <v>2003</v>
      </c>
      <c r="L3" s="227">
        <v>2004</v>
      </c>
      <c r="M3" s="226">
        <v>2005</v>
      </c>
      <c r="N3" s="227">
        <v>2006</v>
      </c>
      <c r="O3" s="226">
        <v>2007</v>
      </c>
      <c r="P3" s="227">
        <v>2008</v>
      </c>
      <c r="Q3" s="226">
        <v>2009</v>
      </c>
      <c r="R3" s="227">
        <v>2010</v>
      </c>
      <c r="S3" s="226">
        <v>2011</v>
      </c>
      <c r="T3" s="227">
        <v>2012</v>
      </c>
      <c r="U3" s="228"/>
      <c r="V3" s="229" t="s">
        <v>323</v>
      </c>
      <c r="W3" s="230" t="s">
        <v>324</v>
      </c>
      <c r="X3" s="231"/>
    </row>
    <row r="4" spans="2:24" ht="14" customHeight="1">
      <c r="B4" s="223"/>
      <c r="C4" s="224"/>
      <c r="D4" s="225"/>
      <c r="E4" s="224"/>
      <c r="F4" s="225"/>
      <c r="G4" s="224"/>
      <c r="H4" s="225"/>
      <c r="I4" s="226"/>
      <c r="J4" s="232"/>
      <c r="K4" s="226"/>
      <c r="L4" s="227"/>
      <c r="M4" s="226"/>
      <c r="N4" s="227"/>
      <c r="O4" s="226"/>
      <c r="P4" s="227"/>
      <c r="Q4" s="226"/>
      <c r="R4" s="227"/>
      <c r="S4" s="226"/>
      <c r="T4" s="227"/>
      <c r="U4" s="228"/>
      <c r="V4" s="224"/>
      <c r="W4" s="225"/>
      <c r="X4" s="233"/>
    </row>
    <row r="5" spans="2:24" ht="9.75" customHeight="1">
      <c r="B5" s="234"/>
      <c r="C5" s="235"/>
      <c r="D5" s="236"/>
      <c r="E5" s="235"/>
      <c r="F5" s="236"/>
      <c r="G5" s="235"/>
      <c r="H5" s="236"/>
      <c r="I5" s="237"/>
      <c r="J5" s="238"/>
      <c r="K5" s="237"/>
      <c r="L5" s="239"/>
      <c r="M5" s="237"/>
      <c r="N5" s="239"/>
      <c r="O5" s="237"/>
      <c r="P5" s="239"/>
      <c r="Q5" s="237"/>
      <c r="R5" s="239"/>
      <c r="S5" s="237"/>
      <c r="T5" s="239"/>
      <c r="U5" s="240"/>
      <c r="V5" s="241"/>
      <c r="W5" s="238"/>
      <c r="X5" s="233"/>
    </row>
    <row r="6" spans="2:24" ht="20" customHeight="1" thickBot="1">
      <c r="B6" s="242">
        <v>1</v>
      </c>
      <c r="C6" s="243" t="s">
        <v>325</v>
      </c>
      <c r="D6" s="244">
        <v>145</v>
      </c>
      <c r="E6" s="245">
        <v>129</v>
      </c>
      <c r="F6" s="244">
        <v>118</v>
      </c>
      <c r="G6" s="245">
        <v>109</v>
      </c>
      <c r="H6" s="244">
        <v>101</v>
      </c>
      <c r="I6" s="245">
        <v>99</v>
      </c>
      <c r="J6" s="244">
        <v>93</v>
      </c>
      <c r="K6" s="245">
        <v>93</v>
      </c>
      <c r="L6" s="244">
        <v>92</v>
      </c>
      <c r="M6" s="245">
        <v>85</v>
      </c>
      <c r="N6" s="244">
        <v>87</v>
      </c>
      <c r="O6" s="245">
        <v>87</v>
      </c>
      <c r="P6" s="244">
        <v>86</v>
      </c>
      <c r="Q6" s="245">
        <v>81</v>
      </c>
      <c r="R6" s="246">
        <v>81</v>
      </c>
      <c r="S6" s="245">
        <v>63</v>
      </c>
      <c r="T6" s="246">
        <v>61</v>
      </c>
      <c r="U6" s="247"/>
      <c r="V6" s="248">
        <v>-3.1746031746031744E-2</v>
      </c>
      <c r="W6" s="249">
        <v>-4.1295670499881587E-2</v>
      </c>
      <c r="X6" s="250"/>
    </row>
    <row r="7" spans="2:24" ht="16" customHeight="1" thickBot="1">
      <c r="B7" s="251">
        <v>2</v>
      </c>
      <c r="C7" s="252" t="s">
        <v>326</v>
      </c>
      <c r="D7" s="253">
        <v>7232.6670000000004</v>
      </c>
      <c r="E7" s="254">
        <v>7236.4709999999995</v>
      </c>
      <c r="F7" s="253">
        <v>7246.616</v>
      </c>
      <c r="G7" s="254">
        <v>7270.5219999999999</v>
      </c>
      <c r="H7" s="253">
        <v>7265.1130000000003</v>
      </c>
      <c r="I7" s="254">
        <v>7301.05</v>
      </c>
      <c r="J7" s="253">
        <v>7344.6319999999996</v>
      </c>
      <c r="K7" s="254">
        <v>7372.5050000000001</v>
      </c>
      <c r="L7" s="253">
        <v>7383.5739999999996</v>
      </c>
      <c r="M7" s="254">
        <v>7435.8649999999998</v>
      </c>
      <c r="N7" s="253">
        <v>7478.4268200000015</v>
      </c>
      <c r="O7" s="254">
        <v>7537.5873800000008</v>
      </c>
      <c r="P7" s="253">
        <v>7615.5633200000002</v>
      </c>
      <c r="Q7" s="254">
        <v>7708.8515100000004</v>
      </c>
      <c r="R7" s="255">
        <v>7779.661790000001</v>
      </c>
      <c r="S7" s="254">
        <v>7862.7704599999988</v>
      </c>
      <c r="T7" s="255">
        <v>7953.3573899999974</v>
      </c>
      <c r="U7" s="247"/>
      <c r="V7" s="248">
        <v>1.1520993835549165E-2</v>
      </c>
      <c r="W7" s="249">
        <v>7.9942292137453741E-3</v>
      </c>
      <c r="X7" s="250"/>
    </row>
    <row r="8" spans="2:24" ht="16" customHeight="1" thickBot="1">
      <c r="B8" s="251" t="s">
        <v>327</v>
      </c>
      <c r="C8" s="252" t="s">
        <v>328</v>
      </c>
      <c r="D8" s="253">
        <v>5599.991</v>
      </c>
      <c r="E8" s="254">
        <v>5669.3249999999998</v>
      </c>
      <c r="F8" s="253">
        <v>5768.6210000000001</v>
      </c>
      <c r="G8" s="254">
        <v>5833.1670000000004</v>
      </c>
      <c r="H8" s="253">
        <v>5947.0349999999999</v>
      </c>
      <c r="I8" s="254">
        <v>6043.9049999999997</v>
      </c>
      <c r="J8" s="135">
        <v>6170.7879999999996</v>
      </c>
      <c r="K8" s="254">
        <v>6105.0770000000002</v>
      </c>
      <c r="L8" s="253">
        <v>6076.2309999999998</v>
      </c>
      <c r="M8" s="254">
        <v>6104.0569999999998</v>
      </c>
      <c r="N8" s="253">
        <v>6139.7749999999996</v>
      </c>
      <c r="O8" s="254">
        <v>6170.95</v>
      </c>
      <c r="P8" s="253">
        <v>6246.7870000000003</v>
      </c>
      <c r="Q8" s="254">
        <v>6463.0730000000003</v>
      </c>
      <c r="R8" s="255">
        <v>6497.0940000000001</v>
      </c>
      <c r="S8" s="254">
        <v>6573.4549999999999</v>
      </c>
      <c r="T8" s="255">
        <v>6578.3209999999999</v>
      </c>
      <c r="U8" s="247"/>
      <c r="V8" s="248">
        <v>7.4024999030197769E-4</v>
      </c>
      <c r="W8" s="249">
        <v>6.4157937052207181E-3</v>
      </c>
      <c r="X8" s="250"/>
    </row>
    <row r="9" spans="2:24" ht="16" customHeight="1" thickBot="1">
      <c r="B9" s="251" t="s">
        <v>329</v>
      </c>
      <c r="C9" s="252" t="s">
        <v>330</v>
      </c>
      <c r="D9" s="256">
        <v>77.42636291702631</v>
      </c>
      <c r="E9" s="257">
        <v>78.343781105458731</v>
      </c>
      <c r="F9" s="256">
        <v>79.604342219872009</v>
      </c>
      <c r="G9" s="257">
        <v>80.230374105188048</v>
      </c>
      <c r="H9" s="256">
        <v>81.857432912605759</v>
      </c>
      <c r="I9" s="257">
        <v>82.781312277001248</v>
      </c>
      <c r="J9" s="258">
        <v>84.017660789539889</v>
      </c>
      <c r="K9" s="257">
        <v>82.808719695680097</v>
      </c>
      <c r="L9" s="256">
        <v>82.293899946015301</v>
      </c>
      <c r="M9" s="257">
        <v>82.08940049341939</v>
      </c>
      <c r="N9" s="256">
        <v>82.099820560923789</v>
      </c>
      <c r="O9" s="257">
        <v>81.869034332839803</v>
      </c>
      <c r="P9" s="256">
        <v>82.026601589353191</v>
      </c>
      <c r="Q9" s="257">
        <v>83.839635406338232</v>
      </c>
      <c r="R9" s="259">
        <v>83.51383614582555</v>
      </c>
      <c r="S9" s="257">
        <v>83.602275221449119</v>
      </c>
      <c r="T9" s="259">
        <v>82.711246049009773</v>
      </c>
      <c r="U9" s="260"/>
      <c r="V9" s="248">
        <v>-1.0657953627208783E-2</v>
      </c>
      <c r="W9" s="249">
        <v>-1.5659172074388161E-3</v>
      </c>
      <c r="X9" s="250"/>
    </row>
    <row r="10" spans="2:24" ht="16" customHeight="1" thickBot="1">
      <c r="B10" s="251">
        <v>4</v>
      </c>
      <c r="C10" s="252" t="s">
        <v>331</v>
      </c>
      <c r="D10" s="253">
        <v>1117.0840000000001</v>
      </c>
      <c r="E10" s="254">
        <v>1150.1220000000001</v>
      </c>
      <c r="F10" s="253">
        <v>1154.759</v>
      </c>
      <c r="G10" s="254">
        <v>1096.0329999999999</v>
      </c>
      <c r="H10" s="253">
        <v>1097.932</v>
      </c>
      <c r="I10" s="254">
        <v>1193.3150000000001</v>
      </c>
      <c r="J10" s="135">
        <v>1207.239</v>
      </c>
      <c r="K10" s="254">
        <v>1148.028</v>
      </c>
      <c r="L10" s="253">
        <v>1196.146</v>
      </c>
      <c r="M10" s="254">
        <v>1219.4549999999999</v>
      </c>
      <c r="N10" s="253">
        <v>1147.933</v>
      </c>
      <c r="O10" s="254">
        <v>1232.442</v>
      </c>
      <c r="P10" s="253">
        <v>1283.4290000000001</v>
      </c>
      <c r="Q10" s="254">
        <v>1289.3340000000001</v>
      </c>
      <c r="R10" s="255">
        <v>1211.453</v>
      </c>
      <c r="S10" s="254">
        <v>1231.7329999999999</v>
      </c>
      <c r="T10" s="255">
        <v>1235.537</v>
      </c>
      <c r="U10" s="247"/>
      <c r="V10" s="248">
        <v>3.0883316433025776E-3</v>
      </c>
      <c r="W10" s="249">
        <v>2.3196621905068326E-3</v>
      </c>
      <c r="X10" s="250"/>
    </row>
    <row r="11" spans="2:24" ht="15.75" customHeight="1" thickBot="1">
      <c r="B11" s="251">
        <v>5</v>
      </c>
      <c r="C11" s="252" t="s">
        <v>332</v>
      </c>
      <c r="D11" s="253">
        <v>18812.841</v>
      </c>
      <c r="E11" s="254">
        <v>18987.651000000002</v>
      </c>
      <c r="F11" s="253">
        <v>17067.058000000001</v>
      </c>
      <c r="G11" s="254">
        <v>12747.16</v>
      </c>
      <c r="H11" s="253">
        <v>12447.351000000001</v>
      </c>
      <c r="I11" s="254">
        <v>12514.1</v>
      </c>
      <c r="J11" s="135">
        <v>12391.460999999999</v>
      </c>
      <c r="K11" s="254">
        <v>11395.671</v>
      </c>
      <c r="L11" s="253">
        <v>11754.955</v>
      </c>
      <c r="M11" s="254">
        <v>11492.861999999999</v>
      </c>
      <c r="N11" s="253">
        <v>11050.112999999999</v>
      </c>
      <c r="O11" s="254">
        <v>11706.005999999999</v>
      </c>
      <c r="P11" s="253">
        <v>11789.734</v>
      </c>
      <c r="Q11" s="254">
        <v>11966.875</v>
      </c>
      <c r="R11" s="255">
        <v>10978.201999999999</v>
      </c>
      <c r="S11" s="254">
        <v>11005.08361</v>
      </c>
      <c r="T11" s="255">
        <v>10705.859</v>
      </c>
      <c r="U11" s="247"/>
      <c r="V11" s="248">
        <v>-2.7189671664838877E-2</v>
      </c>
      <c r="W11" s="249">
        <v>-1.4515267323790715E-2</v>
      </c>
      <c r="X11" s="250"/>
    </row>
    <row r="12" spans="2:24" ht="15.75" customHeight="1" thickBot="1">
      <c r="B12" s="251" t="s">
        <v>333</v>
      </c>
      <c r="C12" s="252" t="s">
        <v>334</v>
      </c>
      <c r="D12" s="253">
        <v>1538.9393456106855</v>
      </c>
      <c r="E12" s="254">
        <v>1663.8889491853145</v>
      </c>
      <c r="F12" s="253">
        <v>1753.683394842503</v>
      </c>
      <c r="G12" s="254">
        <v>1792.6969718267821</v>
      </c>
      <c r="H12" s="253">
        <v>1850.1645719756871</v>
      </c>
      <c r="I12" s="254">
        <v>1917.1642434992227</v>
      </c>
      <c r="J12" s="253">
        <v>2090.6486849170938</v>
      </c>
      <c r="K12" s="254">
        <v>2281.464868725081</v>
      </c>
      <c r="L12" s="253">
        <v>2441.8668834361247</v>
      </c>
      <c r="M12" s="254">
        <v>2487.4603849935415</v>
      </c>
      <c r="N12" s="253">
        <v>2582.7207564451369</v>
      </c>
      <c r="O12" s="254">
        <v>2612.1277928402606</v>
      </c>
      <c r="P12" s="253">
        <v>2585.7925929424223</v>
      </c>
      <c r="Q12" s="254">
        <v>2610.6051067988465</v>
      </c>
      <c r="R12" s="255">
        <v>2834.4985299573032</v>
      </c>
      <c r="S12" s="254">
        <v>3005.4532786500799</v>
      </c>
      <c r="T12" s="255">
        <v>3075.2296739515696</v>
      </c>
      <c r="U12" s="247"/>
      <c r="V12" s="248">
        <v>2.3216596244287624E-2</v>
      </c>
      <c r="W12" s="249">
        <v>3.9344805155949292E-2</v>
      </c>
      <c r="X12" s="250"/>
    </row>
    <row r="13" spans="2:24" ht="18" customHeight="1" thickBot="1">
      <c r="B13" s="251" t="s">
        <v>335</v>
      </c>
      <c r="C13" s="252" t="s">
        <v>336</v>
      </c>
      <c r="D13" s="253">
        <v>1722.6034666050571</v>
      </c>
      <c r="E13" s="254">
        <v>1815.591817475673</v>
      </c>
      <c r="F13" s="253">
        <v>1935.2609068839854</v>
      </c>
      <c r="G13" s="254">
        <v>2010.9299604622613</v>
      </c>
      <c r="H13" s="253">
        <v>2130.500577485856</v>
      </c>
      <c r="I13" s="254">
        <v>2244.3977236150963</v>
      </c>
      <c r="J13" s="253">
        <v>2327.6302215005462</v>
      </c>
      <c r="K13" s="254">
        <v>2431.2115563163397</v>
      </c>
      <c r="L13" s="253">
        <v>2592.2163089311498</v>
      </c>
      <c r="M13" s="254">
        <v>2736.4276577385417</v>
      </c>
      <c r="N13" s="253">
        <v>2754.9413018779796</v>
      </c>
      <c r="O13" s="254">
        <v>2862.8111062906178</v>
      </c>
      <c r="P13" s="253">
        <v>2983.6153319253076</v>
      </c>
      <c r="Q13" s="254">
        <v>3068.7220287020409</v>
      </c>
      <c r="R13" s="255">
        <v>3122.5601098540819</v>
      </c>
      <c r="S13" s="254">
        <v>3170.8302082139126</v>
      </c>
      <c r="T13" s="255">
        <v>3256.640814974116</v>
      </c>
      <c r="U13" s="247"/>
      <c r="V13" s="248">
        <v>2.7062504494221873E-2</v>
      </c>
      <c r="W13" s="249">
        <v>3.4154884193211776E-2</v>
      </c>
      <c r="X13" s="250"/>
    </row>
    <row r="14" spans="2:24" ht="16" customHeight="1" thickBot="1">
      <c r="B14" s="251" t="s">
        <v>337</v>
      </c>
      <c r="C14" s="252" t="s">
        <v>338</v>
      </c>
      <c r="D14" s="253">
        <v>1135.7666791471866</v>
      </c>
      <c r="E14" s="254">
        <v>1207.1705655887454</v>
      </c>
      <c r="F14" s="253">
        <v>1287.8682695481589</v>
      </c>
      <c r="G14" s="254">
        <v>1351.582122301535</v>
      </c>
      <c r="H14" s="253">
        <v>1451.1566242672343</v>
      </c>
      <c r="I14" s="254">
        <v>1548.8249816122338</v>
      </c>
      <c r="J14" s="253">
        <v>1615.4324000167742</v>
      </c>
      <c r="K14" s="254">
        <v>1666.6209287074066</v>
      </c>
      <c r="L14" s="253">
        <v>1751.3120155631952</v>
      </c>
      <c r="M14" s="254">
        <v>1868.8498613140498</v>
      </c>
      <c r="N14" s="253">
        <v>1876.1663221824504</v>
      </c>
      <c r="O14" s="254">
        <v>1947.0011165814174</v>
      </c>
      <c r="P14" s="253">
        <v>2050.4938838838252</v>
      </c>
      <c r="Q14" s="254">
        <v>2108.4877007664654</v>
      </c>
      <c r="R14" s="255">
        <v>2155.4118222278144</v>
      </c>
      <c r="S14" s="254">
        <v>2204.2662362828287</v>
      </c>
      <c r="T14" s="255">
        <v>2273.230304343208</v>
      </c>
      <c r="U14" s="247"/>
      <c r="V14" s="248">
        <v>3.1286632678581006E-2</v>
      </c>
      <c r="W14" s="249">
        <v>3.4750070801313759E-2</v>
      </c>
      <c r="X14" s="250"/>
    </row>
    <row r="15" spans="2:24" ht="16" customHeight="1" thickBot="1">
      <c r="B15" s="251" t="s">
        <v>339</v>
      </c>
      <c r="C15" s="252" t="s">
        <v>340</v>
      </c>
      <c r="D15" s="253">
        <v>586.83678759613247</v>
      </c>
      <c r="E15" s="254">
        <v>608.42125188692751</v>
      </c>
      <c r="F15" s="253">
        <v>647.39263733582686</v>
      </c>
      <c r="G15" s="254">
        <v>659.34783816072627</v>
      </c>
      <c r="H15" s="253">
        <v>679.34395321862166</v>
      </c>
      <c r="I15" s="254">
        <v>695.57285390457537</v>
      </c>
      <c r="J15" s="253">
        <v>712.19782148377203</v>
      </c>
      <c r="K15" s="254">
        <v>764.59062760893346</v>
      </c>
      <c r="L15" s="253">
        <v>840.90429336795432</v>
      </c>
      <c r="M15" s="254">
        <v>867.57779639624982</v>
      </c>
      <c r="N15" s="253">
        <v>878.77497969552894</v>
      </c>
      <c r="O15" s="254">
        <v>915.80998970920029</v>
      </c>
      <c r="P15" s="253">
        <v>933.12144804148261</v>
      </c>
      <c r="Q15" s="254">
        <v>960.23432793557583</v>
      </c>
      <c r="R15" s="255">
        <v>967.14828762626712</v>
      </c>
      <c r="S15" s="254">
        <v>966.56397193108455</v>
      </c>
      <c r="T15" s="255">
        <v>983.41051063090742</v>
      </c>
      <c r="U15" s="247"/>
      <c r="V15" s="248">
        <v>1.7429305445934906E-2</v>
      </c>
      <c r="W15" s="249">
        <v>3.2793320437785711E-2</v>
      </c>
      <c r="X15" s="250"/>
    </row>
    <row r="16" spans="2:24" ht="16" customHeight="1" thickBot="1">
      <c r="B16" s="251" t="s">
        <v>341</v>
      </c>
      <c r="C16" s="252" t="s">
        <v>342</v>
      </c>
      <c r="D16" s="253">
        <v>232.07645782669101</v>
      </c>
      <c r="E16" s="254">
        <v>245.69743221523311</v>
      </c>
      <c r="F16" s="253">
        <v>289.40857360180263</v>
      </c>
      <c r="G16" s="254">
        <v>301.20274500235331</v>
      </c>
      <c r="H16" s="253">
        <v>314.93213457244229</v>
      </c>
      <c r="I16" s="254">
        <v>328.74449565473458</v>
      </c>
      <c r="J16" s="253">
        <v>340.77001636024784</v>
      </c>
      <c r="K16" s="254">
        <v>351.10178317952989</v>
      </c>
      <c r="L16" s="253">
        <v>383.59639861400456</v>
      </c>
      <c r="M16" s="254">
        <v>402.77581823634512</v>
      </c>
      <c r="N16" s="253">
        <v>406.33028735313604</v>
      </c>
      <c r="O16" s="254">
        <v>418.57781696455766</v>
      </c>
      <c r="P16" s="253">
        <v>432.06970918600405</v>
      </c>
      <c r="Q16" s="254">
        <v>438.77766276367134</v>
      </c>
      <c r="R16" s="255">
        <v>438.15717657438159</v>
      </c>
      <c r="S16" s="254">
        <v>454.68760346082905</v>
      </c>
      <c r="T16" s="255">
        <v>465.8708294133379</v>
      </c>
      <c r="U16" s="247"/>
      <c r="V16" s="248">
        <v>2.4595405433067263E-2</v>
      </c>
      <c r="W16" s="249">
        <v>3.1764103930564058E-2</v>
      </c>
      <c r="X16" s="250"/>
    </row>
    <row r="17" spans="2:24" ht="18.75" customHeight="1" thickBot="1">
      <c r="B17" s="251" t="s">
        <v>343</v>
      </c>
      <c r="C17" s="252" t="s">
        <v>344</v>
      </c>
      <c r="D17" s="253">
        <v>1490.5270087783663</v>
      </c>
      <c r="E17" s="254">
        <v>1569.89438526044</v>
      </c>
      <c r="F17" s="253">
        <v>1645.8523332821831</v>
      </c>
      <c r="G17" s="254">
        <v>1709.7272154599079</v>
      </c>
      <c r="H17" s="253">
        <v>1815.5684429134135</v>
      </c>
      <c r="I17" s="254">
        <v>1915.651858294355</v>
      </c>
      <c r="J17" s="253">
        <v>1986.8602051130677</v>
      </c>
      <c r="K17" s="254">
        <v>2080.1097731368104</v>
      </c>
      <c r="L17" s="253">
        <v>2208.6199103577751</v>
      </c>
      <c r="M17" s="254">
        <v>2333.6518395021967</v>
      </c>
      <c r="N17" s="253">
        <v>2348.6110145248435</v>
      </c>
      <c r="O17" s="254">
        <v>2444.23328932606</v>
      </c>
      <c r="P17" s="253">
        <v>2551.5456227393033</v>
      </c>
      <c r="Q17" s="254">
        <v>2629.9443659383696</v>
      </c>
      <c r="R17" s="255">
        <v>2684.4029332797004</v>
      </c>
      <c r="S17" s="254">
        <v>2716.1426047530836</v>
      </c>
      <c r="T17" s="255">
        <v>2790.769985560778</v>
      </c>
      <c r="U17" s="247"/>
      <c r="V17" s="248">
        <v>2.7475501719645079E-2</v>
      </c>
      <c r="W17" s="249">
        <v>3.4559976862144071E-2</v>
      </c>
      <c r="X17" s="250"/>
    </row>
    <row r="18" spans="2:24" ht="15.75" customHeight="1" thickBot="1">
      <c r="B18" s="251" t="s">
        <v>345</v>
      </c>
      <c r="C18" s="261" t="s">
        <v>346</v>
      </c>
      <c r="D18" s="253">
        <v>132.70728197496166</v>
      </c>
      <c r="E18" s="254">
        <v>123.43149540708448</v>
      </c>
      <c r="F18" s="253">
        <v>117.97848775207628</v>
      </c>
      <c r="G18" s="254">
        <v>117.4940565477967</v>
      </c>
      <c r="H18" s="253">
        <v>118.82517959459129</v>
      </c>
      <c r="I18" s="254">
        <v>124.48209504112421</v>
      </c>
      <c r="J18" s="253">
        <v>125.74808222386092</v>
      </c>
      <c r="K18" s="254">
        <v>128.73966972012903</v>
      </c>
      <c r="L18" s="253">
        <v>133.72666834516724</v>
      </c>
      <c r="M18" s="254">
        <v>134.36734701880681</v>
      </c>
      <c r="N18" s="253">
        <v>144.14164993460486</v>
      </c>
      <c r="O18" s="254">
        <v>142.1810814948058</v>
      </c>
      <c r="P18" s="253">
        <v>153.45122296744293</v>
      </c>
      <c r="Q18" s="254">
        <v>147.13788275057848</v>
      </c>
      <c r="R18" s="255">
        <v>157.51886110462905</v>
      </c>
      <c r="S18" s="254">
        <v>159.56958936710467</v>
      </c>
      <c r="T18" s="255">
        <v>156.14366875446052</v>
      </c>
      <c r="U18" s="247"/>
      <c r="V18" s="248">
        <v>-2.1469758907272096E-2</v>
      </c>
      <c r="W18" s="249">
        <v>2.1885650833077586E-2</v>
      </c>
      <c r="X18" s="250"/>
    </row>
    <row r="19" spans="2:24" ht="18" customHeight="1" thickBot="1">
      <c r="B19" s="251" t="s">
        <v>347</v>
      </c>
      <c r="C19" s="252" t="s">
        <v>2552</v>
      </c>
      <c r="D19" s="253">
        <v>477.62973077565988</v>
      </c>
      <c r="E19" s="254">
        <v>484.75254775428522</v>
      </c>
      <c r="F19" s="253">
        <v>509.74935597525797</v>
      </c>
      <c r="G19" s="254">
        <v>524.03642778331459</v>
      </c>
      <c r="H19" s="253">
        <v>544.55016542757153</v>
      </c>
      <c r="I19" s="254">
        <v>547.35962635511339</v>
      </c>
      <c r="J19" s="253">
        <v>547.06945209780417</v>
      </c>
      <c r="K19" s="254">
        <v>578.39954541909435</v>
      </c>
      <c r="L19" s="253">
        <v>607.83383459013214</v>
      </c>
      <c r="M19" s="254">
        <v>633.47119917588623</v>
      </c>
      <c r="N19" s="253">
        <v>667.24895580511941</v>
      </c>
      <c r="O19" s="254">
        <v>694.39870760476651</v>
      </c>
      <c r="P19" s="253">
        <v>681.63705744882441</v>
      </c>
      <c r="Q19" s="254">
        <v>660.95738811681952</v>
      </c>
      <c r="R19" s="255">
        <v>671.91784070345795</v>
      </c>
      <c r="S19" s="254">
        <v>718.40285248896862</v>
      </c>
      <c r="T19" s="571">
        <v>688.59461917377791</v>
      </c>
      <c r="U19" s="247"/>
      <c r="V19" s="248">
        <v>-4.1492364920208136E-2</v>
      </c>
      <c r="W19" s="249">
        <v>2.3274415993459918E-2</v>
      </c>
      <c r="X19" s="250"/>
    </row>
    <row r="20" spans="2:24" ht="19.5" customHeight="1" thickBot="1">
      <c r="B20" s="251" t="s">
        <v>348</v>
      </c>
      <c r="C20" s="252" t="s">
        <v>715</v>
      </c>
      <c r="D20" s="253">
        <v>394.88575237875602</v>
      </c>
      <c r="E20" s="254">
        <v>413.44461478530076</v>
      </c>
      <c r="F20" s="253">
        <v>411.98967338686089</v>
      </c>
      <c r="G20" s="254">
        <v>423.27251702147385</v>
      </c>
      <c r="H20" s="253">
        <v>389.82276793217119</v>
      </c>
      <c r="I20" s="254">
        <v>287.99008361810974</v>
      </c>
      <c r="J20" s="253">
        <v>267.61478124431557</v>
      </c>
      <c r="K20" s="254">
        <v>324.68015590359045</v>
      </c>
      <c r="L20" s="253">
        <v>402.03849991887398</v>
      </c>
      <c r="M20" s="254">
        <v>428.26064350549666</v>
      </c>
      <c r="N20" s="253">
        <v>501.3097896958493</v>
      </c>
      <c r="O20" s="254">
        <v>526.75261307816504</v>
      </c>
      <c r="P20" s="253">
        <v>427.01039051829446</v>
      </c>
      <c r="Q20" s="254">
        <v>371.39233943941923</v>
      </c>
      <c r="R20" s="255">
        <v>400.49845433319257</v>
      </c>
      <c r="S20" s="254">
        <v>471.93399801474055</v>
      </c>
      <c r="T20" s="571">
        <v>817.72949684208777</v>
      </c>
      <c r="U20" s="572"/>
      <c r="V20" s="573">
        <v>0.73272004195922857</v>
      </c>
      <c r="W20" s="574">
        <v>0.11817545961298004</v>
      </c>
      <c r="X20" s="250"/>
    </row>
    <row r="21" spans="2:24" ht="16" customHeight="1" thickBot="1">
      <c r="B21" s="251" t="s">
        <v>349</v>
      </c>
      <c r="C21" s="252" t="s">
        <v>350</v>
      </c>
      <c r="D21" s="253">
        <v>11130.63582</v>
      </c>
      <c r="E21" s="254">
        <v>12040.684128000001</v>
      </c>
      <c r="F21" s="253">
        <v>12708.270148</v>
      </c>
      <c r="G21" s="254">
        <v>13033.842773</v>
      </c>
      <c r="H21" s="253">
        <v>13441.654683999999</v>
      </c>
      <c r="I21" s="254">
        <v>13997.312</v>
      </c>
      <c r="J21" s="253">
        <v>15355.045232</v>
      </c>
      <c r="K21" s="254">
        <v>16820.111152000001</v>
      </c>
      <c r="L21" s="253">
        <v>18029.704831999999</v>
      </c>
      <c r="M21" s="254">
        <v>18496.419615660001</v>
      </c>
      <c r="N21" s="253">
        <v>19314.688173570001</v>
      </c>
      <c r="O21" s="254">
        <v>19689.141486260003</v>
      </c>
      <c r="P21" s="253">
        <v>19692.267223940002</v>
      </c>
      <c r="Q21" s="254">
        <v>20124.767119560001</v>
      </c>
      <c r="R21" s="255">
        <v>22051.439907320004</v>
      </c>
      <c r="S21" s="254">
        <v>23631.189258279996</v>
      </c>
      <c r="T21" s="255">
        <v>24458.40065327</v>
      </c>
      <c r="U21" s="247"/>
      <c r="V21" s="248">
        <v>3.500506834204975E-2</v>
      </c>
      <c r="W21" s="249">
        <v>4.7653565760481742E-2</v>
      </c>
      <c r="X21" s="250"/>
    </row>
    <row r="22" spans="2:24" ht="18" customHeight="1" thickBot="1">
      <c r="B22" s="251" t="s">
        <v>351</v>
      </c>
      <c r="C22" s="252" t="s">
        <v>352</v>
      </c>
      <c r="D22" s="253">
        <v>12459.017247</v>
      </c>
      <c r="E22" s="254">
        <v>13138.477535</v>
      </c>
      <c r="F22" s="253">
        <v>14024.092651999999</v>
      </c>
      <c r="G22" s="254">
        <v>14620.510517999999</v>
      </c>
      <c r="H22" s="253">
        <v>15478.327442</v>
      </c>
      <c r="I22" s="254">
        <v>16386.46</v>
      </c>
      <c r="J22" s="253">
        <v>17095.587409</v>
      </c>
      <c r="K22" s="254">
        <v>17924.119354999999</v>
      </c>
      <c r="L22" s="253">
        <v>19139.820941000002</v>
      </c>
      <c r="M22" s="254">
        <v>20347.706645210001</v>
      </c>
      <c r="N22" s="253">
        <v>20602.626919490001</v>
      </c>
      <c r="O22" s="254">
        <v>21578.688866100001</v>
      </c>
      <c r="P22" s="253">
        <v>22721.911482799998</v>
      </c>
      <c r="Q22" s="254">
        <v>23656.322444729994</v>
      </c>
      <c r="R22" s="255">
        <v>24292.461573610006</v>
      </c>
      <c r="S22" s="254">
        <v>24931.510094819998</v>
      </c>
      <c r="T22" s="255">
        <v>25901.228292349999</v>
      </c>
      <c r="U22" s="247"/>
      <c r="V22" s="248">
        <v>3.8895285277223524E-2</v>
      </c>
      <c r="W22" s="249">
        <v>4.2422155379966631E-2</v>
      </c>
      <c r="X22" s="250"/>
    </row>
    <row r="23" spans="2:24" ht="16" customHeight="1" thickBot="1">
      <c r="B23" s="251" t="s">
        <v>353</v>
      </c>
      <c r="C23" s="252" t="s">
        <v>354</v>
      </c>
      <c r="D23" s="253">
        <v>1678.5317379999999</v>
      </c>
      <c r="E23" s="254">
        <v>1777.9823429999999</v>
      </c>
      <c r="F23" s="253">
        <v>2097.2328000000002</v>
      </c>
      <c r="G23" s="254">
        <v>2189.9011839999998</v>
      </c>
      <c r="H23" s="253">
        <v>2288.0175450000002</v>
      </c>
      <c r="I23" s="254">
        <v>2400.1799999999998</v>
      </c>
      <c r="J23" s="253">
        <v>2502.8303667999999</v>
      </c>
      <c r="K23" s="254">
        <v>2588.499652</v>
      </c>
      <c r="L23" s="253">
        <v>2832.3123952999999</v>
      </c>
      <c r="M23" s="254">
        <v>2994.9866096700002</v>
      </c>
      <c r="N23" s="253">
        <v>3038.7113187200002</v>
      </c>
      <c r="O23" s="254">
        <v>3155.0668707</v>
      </c>
      <c r="P23" s="253">
        <v>3290.4542289599999</v>
      </c>
      <c r="Q23" s="254">
        <v>3382.471848149999</v>
      </c>
      <c r="R23" s="255">
        <v>3408.7146446100001</v>
      </c>
      <c r="S23" s="254">
        <v>3575.1042570200002</v>
      </c>
      <c r="T23" s="255">
        <v>3705.2372038999993</v>
      </c>
      <c r="U23" s="247"/>
      <c r="V23" s="248">
        <v>3.6399762782993728E-2</v>
      </c>
      <c r="W23" s="249">
        <v>4.0012262671899501E-2</v>
      </c>
      <c r="X23" s="250"/>
    </row>
    <row r="24" spans="2:24" ht="18.75" customHeight="1" thickBot="1">
      <c r="B24" s="251" t="s">
        <v>355</v>
      </c>
      <c r="C24" s="252" t="s">
        <v>356</v>
      </c>
      <c r="D24" s="253">
        <v>10780.485509</v>
      </c>
      <c r="E24" s="254">
        <v>11360.495192</v>
      </c>
      <c r="F24" s="253">
        <v>11926.859852</v>
      </c>
      <c r="G24" s="254">
        <v>12430.609334000001</v>
      </c>
      <c r="H24" s="253">
        <v>13190.309896999999</v>
      </c>
      <c r="I24" s="254">
        <v>13986.27</v>
      </c>
      <c r="J24" s="253">
        <v>14592.757041999999</v>
      </c>
      <c r="K24" s="254">
        <v>15335.619703</v>
      </c>
      <c r="L24" s="253">
        <v>16307.508545999999</v>
      </c>
      <c r="M24" s="254">
        <v>17352.720035540002</v>
      </c>
      <c r="N24" s="253">
        <v>17563.91560077</v>
      </c>
      <c r="O24" s="254">
        <v>18423.621995400001</v>
      </c>
      <c r="P24" s="253">
        <v>19431.457253839999</v>
      </c>
      <c r="Q24" s="254">
        <v>20273.850596579996</v>
      </c>
      <c r="R24" s="255">
        <v>20883.746929000004</v>
      </c>
      <c r="S24" s="254">
        <v>21356.405837799997</v>
      </c>
      <c r="T24" s="255">
        <v>22195.991088449999</v>
      </c>
      <c r="U24" s="247"/>
      <c r="V24" s="248">
        <v>3.9313040641134833E-2</v>
      </c>
      <c r="W24" s="249">
        <v>4.2830486452547056E-2</v>
      </c>
      <c r="X24" s="250"/>
    </row>
    <row r="25" spans="2:24" ht="15.75" customHeight="1" thickBot="1">
      <c r="B25" s="251" t="s">
        <v>357</v>
      </c>
      <c r="C25" s="252" t="s">
        <v>358</v>
      </c>
      <c r="D25" s="253">
        <v>959.82757900000001</v>
      </c>
      <c r="E25" s="254">
        <v>893.208437</v>
      </c>
      <c r="F25" s="253">
        <v>854.94479699999999</v>
      </c>
      <c r="G25" s="254">
        <v>854.24312299999997</v>
      </c>
      <c r="H25" s="253">
        <v>863.27835700000003</v>
      </c>
      <c r="I25" s="254">
        <v>908.85</v>
      </c>
      <c r="J25" s="253">
        <v>923.57338863999996</v>
      </c>
      <c r="K25" s="254">
        <v>949.13385871000003</v>
      </c>
      <c r="L25" s="253">
        <v>987.38075149999997</v>
      </c>
      <c r="M25" s="254">
        <v>999.13745283999992</v>
      </c>
      <c r="N25" s="253">
        <v>1077.9527807500003</v>
      </c>
      <c r="O25" s="254">
        <v>1071.7023255499998</v>
      </c>
      <c r="P25" s="253">
        <v>1168.61750504</v>
      </c>
      <c r="Q25" s="254">
        <v>1134.26408962</v>
      </c>
      <c r="R25" s="255">
        <v>1225.44346494</v>
      </c>
      <c r="S25" s="254">
        <v>1254.6590535900004</v>
      </c>
      <c r="T25" s="255">
        <v>1241.8664017900003</v>
      </c>
      <c r="U25" s="247"/>
      <c r="V25" s="248">
        <v>-1.019611803174425E-2</v>
      </c>
      <c r="W25" s="249">
        <v>3.0054838956074637E-2</v>
      </c>
      <c r="X25" s="250"/>
    </row>
    <row r="26" spans="2:24" ht="15.75" customHeight="1" thickBot="1">
      <c r="B26" s="251">
        <v>11</v>
      </c>
      <c r="C26" s="252" t="s">
        <v>359</v>
      </c>
      <c r="D26" s="253">
        <v>-319.932346</v>
      </c>
      <c r="E26" s="254">
        <v>70.171887999999996</v>
      </c>
      <c r="F26" s="253">
        <v>-3.3297E-2</v>
      </c>
      <c r="G26" s="254">
        <v>-49.386769999999999</v>
      </c>
      <c r="H26" s="253">
        <v>-305.95411300000001</v>
      </c>
      <c r="I26" s="254">
        <v>-789.7</v>
      </c>
      <c r="J26" s="253">
        <v>-223.6723628</v>
      </c>
      <c r="K26" s="254">
        <v>399.72993602999998</v>
      </c>
      <c r="L26" s="253">
        <v>514.14165576000005</v>
      </c>
      <c r="M26" s="254">
        <v>171.42467388000034</v>
      </c>
      <c r="N26" s="253">
        <v>490.9499524699998</v>
      </c>
      <c r="O26" s="254">
        <v>178.66007693999958</v>
      </c>
      <c r="P26" s="253">
        <v>-755.31870567999954</v>
      </c>
      <c r="Q26" s="254">
        <v>-471.60922202999967</v>
      </c>
      <c r="R26" s="255">
        <v>224.51180578999993</v>
      </c>
      <c r="S26" s="254">
        <v>587.66953910999985</v>
      </c>
      <c r="T26" s="255">
        <v>915.88460491999933</v>
      </c>
      <c r="U26" s="247"/>
      <c r="V26" s="248" t="s">
        <v>29</v>
      </c>
      <c r="W26" s="249" t="s">
        <v>29</v>
      </c>
      <c r="X26" s="250"/>
    </row>
    <row r="27" spans="2:24" ht="18" customHeight="1" thickBot="1">
      <c r="B27" s="251" t="s">
        <v>360</v>
      </c>
      <c r="C27" s="252" t="s">
        <v>2551</v>
      </c>
      <c r="D27" s="253">
        <v>3454.5367919999999</v>
      </c>
      <c r="E27" s="254">
        <v>3507.8977540000001</v>
      </c>
      <c r="F27" s="253">
        <v>3693.9578390000001</v>
      </c>
      <c r="G27" s="254">
        <v>3810.0183769999999</v>
      </c>
      <c r="H27" s="253">
        <v>3956.2184860000002</v>
      </c>
      <c r="I27" s="254">
        <v>3996.3</v>
      </c>
      <c r="J27" s="253">
        <v>4018.0238040999998</v>
      </c>
      <c r="K27" s="254">
        <v>4264.2535405999997</v>
      </c>
      <c r="L27" s="253">
        <v>4487.9860974000003</v>
      </c>
      <c r="M27" s="254">
        <v>4710.4063184600009</v>
      </c>
      <c r="N27" s="253">
        <v>4989.9724867100003</v>
      </c>
      <c r="O27" s="254">
        <v>5234.0909351299988</v>
      </c>
      <c r="P27" s="253">
        <v>5191.0501722600002</v>
      </c>
      <c r="Q27" s="254">
        <v>5095.2223594300003</v>
      </c>
      <c r="R27" s="255">
        <v>5227.2935513399998</v>
      </c>
      <c r="S27" s="254">
        <v>5648.6367269299999</v>
      </c>
      <c r="T27" s="571">
        <v>5476.639103120001</v>
      </c>
      <c r="U27" s="247"/>
      <c r="V27" s="248">
        <v>-3.0449404365126997E-2</v>
      </c>
      <c r="W27" s="249">
        <v>3.1454706223473128E-2</v>
      </c>
      <c r="X27" s="250"/>
    </row>
    <row r="28" spans="2:24" ht="19.5" customHeight="1" thickBot="1">
      <c r="B28" s="251" t="s">
        <v>361</v>
      </c>
      <c r="C28" s="252" t="s">
        <v>2550</v>
      </c>
      <c r="D28" s="262">
        <v>0.3204435263250443</v>
      </c>
      <c r="E28" s="263">
        <v>0.30878035637656381</v>
      </c>
      <c r="F28" s="262">
        <v>0.30971755221728081</v>
      </c>
      <c r="G28" s="263">
        <v>0.30650294564232661</v>
      </c>
      <c r="H28" s="262">
        <v>0.29993370261147551</v>
      </c>
      <c r="I28" s="263">
        <v>0.28573021970832824</v>
      </c>
      <c r="J28" s="262">
        <v>0.27534370595875501</v>
      </c>
      <c r="K28" s="263">
        <v>0.27806202965282278</v>
      </c>
      <c r="L28" s="262">
        <v>0.27520979582750793</v>
      </c>
      <c r="M28" s="263">
        <v>0.27145060306468599</v>
      </c>
      <c r="N28" s="262">
        <v>0.28410364750848838</v>
      </c>
      <c r="O28" s="263">
        <v>0.28409673930765861</v>
      </c>
      <c r="P28" s="262">
        <v>0.26714672525315397</v>
      </c>
      <c r="Q28" s="263">
        <v>0.25131991257198649</v>
      </c>
      <c r="R28" s="264">
        <v>0.25030439073560939</v>
      </c>
      <c r="S28" s="263">
        <v>0.26449379028619768</v>
      </c>
      <c r="T28" s="2002">
        <v>0.24674001180194419</v>
      </c>
      <c r="U28" s="247"/>
      <c r="V28" s="248" t="s">
        <v>29</v>
      </c>
      <c r="W28" s="249" t="s">
        <v>29</v>
      </c>
      <c r="X28" s="250"/>
    </row>
    <row r="29" spans="2:24" ht="19.25" customHeight="1" thickBot="1">
      <c r="B29" s="585" t="s">
        <v>362</v>
      </c>
      <c r="C29" s="586" t="s">
        <v>714</v>
      </c>
      <c r="D29" s="587">
        <v>2856.0771500000001</v>
      </c>
      <c r="E29" s="588">
        <v>2991.8799650000001</v>
      </c>
      <c r="F29" s="587">
        <v>2985.5309590000002</v>
      </c>
      <c r="G29" s="588">
        <v>3077.412147</v>
      </c>
      <c r="H29" s="587">
        <v>2832.1064590000001</v>
      </c>
      <c r="I29" s="588">
        <v>2102.63</v>
      </c>
      <c r="J29" s="587">
        <v>1965.5320859999999</v>
      </c>
      <c r="K29" s="588">
        <v>2393.7060728000001</v>
      </c>
      <c r="L29" s="587">
        <v>2968.4810149999998</v>
      </c>
      <c r="M29" s="588">
        <v>3184.4883299199996</v>
      </c>
      <c r="N29" s="587">
        <v>3749.0085763900001</v>
      </c>
      <c r="O29" s="588">
        <v>3970.4438487200005</v>
      </c>
      <c r="P29" s="587">
        <v>3251.9246672899994</v>
      </c>
      <c r="Q29" s="588">
        <v>2863.0083966899997</v>
      </c>
      <c r="R29" s="589">
        <v>3115.7425221299982</v>
      </c>
      <c r="S29" s="588">
        <v>3710.7086986600002</v>
      </c>
      <c r="T29" s="590">
        <v>6503.6949367299985</v>
      </c>
      <c r="U29" s="591"/>
      <c r="V29" s="592">
        <v>0.75268269888137351</v>
      </c>
      <c r="W29" s="593">
        <v>0.1271144105383113</v>
      </c>
      <c r="X29" s="250"/>
    </row>
    <row r="30" spans="2:24" s="266" customFormat="1" ht="19.5" hidden="1" customHeight="1" thickBot="1">
      <c r="B30" s="576"/>
      <c r="C30" s="577"/>
      <c r="D30" s="578"/>
      <c r="E30" s="579"/>
      <c r="F30" s="578"/>
      <c r="G30" s="579"/>
      <c r="H30" s="578"/>
      <c r="I30" s="579"/>
      <c r="J30" s="578"/>
      <c r="K30" s="579"/>
      <c r="L30" s="578"/>
      <c r="M30" s="579"/>
      <c r="N30" s="578"/>
      <c r="O30" s="579"/>
      <c r="P30" s="578"/>
      <c r="Q30" s="579"/>
      <c r="R30" s="580"/>
      <c r="S30" s="579"/>
      <c r="T30" s="581"/>
      <c r="U30" s="582"/>
      <c r="V30" s="583"/>
      <c r="W30" s="584"/>
      <c r="X30" s="265"/>
    </row>
    <row r="31" spans="2:24" ht="17.25" customHeight="1">
      <c r="B31" s="267" t="s">
        <v>396</v>
      </c>
      <c r="C31" s="267"/>
      <c r="D31" s="268"/>
      <c r="E31" s="268"/>
      <c r="F31" s="268"/>
      <c r="G31" s="268"/>
      <c r="H31" s="268"/>
      <c r="I31" s="269"/>
      <c r="K31" s="269"/>
      <c r="L31" s="270"/>
    </row>
    <row r="32" spans="2:24" ht="13.5" customHeight="1">
      <c r="B32" s="271"/>
      <c r="C32" s="271"/>
      <c r="D32" s="272"/>
      <c r="E32" s="272"/>
      <c r="F32" s="272"/>
      <c r="G32" s="272"/>
      <c r="H32" s="272"/>
      <c r="I32" s="273"/>
      <c r="K32" s="273"/>
      <c r="L32" s="273"/>
    </row>
    <row r="33" spans="1:19" ht="12" customHeight="1">
      <c r="B33" s="60" t="s">
        <v>364</v>
      </c>
      <c r="C33" s="60"/>
      <c r="D33" s="272"/>
      <c r="E33" s="272"/>
      <c r="F33" s="272"/>
      <c r="G33" s="272"/>
      <c r="H33" s="272"/>
      <c r="I33" s="273"/>
      <c r="K33" s="273"/>
      <c r="L33" s="273"/>
    </row>
    <row r="34" spans="1:19" ht="12.75" customHeight="1">
      <c r="B34" s="60" t="s">
        <v>365</v>
      </c>
      <c r="C34" s="60"/>
      <c r="D34" s="272"/>
      <c r="E34" s="272"/>
      <c r="F34" s="272"/>
      <c r="G34" s="272"/>
      <c r="H34" s="272"/>
      <c r="I34" s="273"/>
      <c r="K34" s="273"/>
      <c r="L34" s="273"/>
    </row>
    <row r="35" spans="1:19" ht="12" customHeight="1">
      <c r="B35" s="4" t="s">
        <v>366</v>
      </c>
      <c r="C35" s="4"/>
      <c r="D35" s="274"/>
      <c r="E35" s="274"/>
      <c r="F35" s="2"/>
      <c r="G35" s="2"/>
      <c r="H35" s="2"/>
      <c r="I35" s="17"/>
      <c r="K35" s="17"/>
      <c r="L35" s="17"/>
    </row>
    <row r="36" spans="1:19" ht="13.75" customHeight="1">
      <c r="B36" s="575" t="s">
        <v>2553</v>
      </c>
      <c r="C36" s="4"/>
      <c r="D36" s="274"/>
      <c r="E36" s="274"/>
      <c r="F36" s="2"/>
      <c r="G36" s="2"/>
      <c r="H36" s="2"/>
      <c r="I36" s="17"/>
      <c r="K36" s="17"/>
      <c r="L36" s="17"/>
    </row>
    <row r="37" spans="1:19" ht="12.5" hidden="1" customHeight="1">
      <c r="B37" s="4" t="s">
        <v>716</v>
      </c>
      <c r="C37" s="4"/>
      <c r="D37" s="274"/>
      <c r="E37" s="274"/>
      <c r="F37" s="2"/>
      <c r="G37" s="2"/>
      <c r="H37" s="2"/>
      <c r="I37" s="17"/>
      <c r="K37" s="17"/>
      <c r="L37" s="17"/>
    </row>
    <row r="38" spans="1:19" ht="11.25" customHeight="1">
      <c r="B38" s="275"/>
      <c r="C38" s="275"/>
      <c r="D38" s="276"/>
      <c r="E38" s="276"/>
      <c r="F38" s="277"/>
      <c r="G38" s="277"/>
      <c r="H38" s="277"/>
      <c r="I38" s="278"/>
      <c r="K38" s="278"/>
      <c r="L38" s="278"/>
    </row>
    <row r="39" spans="1:19">
      <c r="B39" s="4" t="s">
        <v>367</v>
      </c>
      <c r="C39" s="4"/>
      <c r="D39" s="36"/>
      <c r="E39" s="36"/>
    </row>
    <row r="40" spans="1:19">
      <c r="B40" s="4"/>
      <c r="C40" s="4"/>
      <c r="D40" s="36"/>
      <c r="E40" s="36"/>
    </row>
    <row r="41" spans="1:19">
      <c r="B41" s="4"/>
      <c r="C41" s="279" t="s">
        <v>368</v>
      </c>
      <c r="H41" s="281"/>
      <c r="I41" s="281"/>
      <c r="J41" s="281" t="s">
        <v>369</v>
      </c>
      <c r="K41" s="3"/>
      <c r="M41" s="279" t="s">
        <v>368</v>
      </c>
      <c r="N41" s="282"/>
      <c r="O41" s="282"/>
      <c r="P41" s="43"/>
      <c r="Q41" s="43"/>
      <c r="R41" s="43"/>
      <c r="S41" s="281" t="s">
        <v>369</v>
      </c>
    </row>
    <row r="42" spans="1:19">
      <c r="A42" s="283"/>
      <c r="B42" s="284">
        <v>1</v>
      </c>
      <c r="C42" s="285" t="s">
        <v>370</v>
      </c>
      <c r="H42" s="284"/>
      <c r="I42" s="284"/>
      <c r="J42" s="284">
        <v>8.02</v>
      </c>
      <c r="K42" s="3"/>
      <c r="L42" s="286" t="s">
        <v>341</v>
      </c>
      <c r="M42" s="287" t="s">
        <v>371</v>
      </c>
      <c r="N42" s="288"/>
      <c r="O42" s="288"/>
      <c r="P42" s="289"/>
      <c r="Q42" s="288"/>
      <c r="R42" s="289"/>
      <c r="S42" s="284">
        <v>2.25</v>
      </c>
    </row>
    <row r="43" spans="1:19">
      <c r="A43" s="283"/>
      <c r="B43" s="284">
        <v>2</v>
      </c>
      <c r="C43" s="290" t="s">
        <v>372</v>
      </c>
      <c r="H43" s="284"/>
      <c r="I43" s="284"/>
      <c r="J43" s="284">
        <v>11.01</v>
      </c>
      <c r="K43" s="3"/>
      <c r="L43" s="291" t="s">
        <v>355</v>
      </c>
      <c r="M43" s="288" t="s">
        <v>373</v>
      </c>
      <c r="N43" s="288"/>
      <c r="O43" s="288"/>
      <c r="P43" s="289"/>
      <c r="Q43" s="288"/>
      <c r="R43" s="289"/>
      <c r="S43" s="292" t="s">
        <v>39</v>
      </c>
    </row>
    <row r="44" spans="1:19">
      <c r="A44" s="283"/>
      <c r="B44" s="284" t="s">
        <v>327</v>
      </c>
      <c r="C44" s="288" t="s">
        <v>374</v>
      </c>
      <c r="H44" s="292"/>
      <c r="I44" s="292"/>
      <c r="J44" s="292" t="s">
        <v>375</v>
      </c>
      <c r="K44" s="3"/>
      <c r="L44" s="291" t="s">
        <v>343</v>
      </c>
      <c r="M44" s="288" t="s">
        <v>376</v>
      </c>
      <c r="N44" s="288"/>
      <c r="O44" s="288"/>
      <c r="P44" s="289"/>
      <c r="Q44" s="288"/>
      <c r="R44" s="289"/>
      <c r="S44" s="284">
        <v>2.21</v>
      </c>
    </row>
    <row r="45" spans="1:19">
      <c r="A45" s="283"/>
      <c r="B45" s="284" t="s">
        <v>329</v>
      </c>
      <c r="C45" s="287" t="s">
        <v>377</v>
      </c>
      <c r="H45" s="292"/>
      <c r="I45" s="292"/>
      <c r="J45" s="292" t="s">
        <v>375</v>
      </c>
      <c r="K45" s="3"/>
      <c r="L45" s="291" t="s">
        <v>357</v>
      </c>
      <c r="M45" s="288" t="s">
        <v>378</v>
      </c>
      <c r="N45" s="288"/>
      <c r="O45" s="288"/>
      <c r="P45" s="289"/>
      <c r="Q45" s="288"/>
      <c r="R45" s="289"/>
      <c r="S45" s="292" t="s">
        <v>10</v>
      </c>
    </row>
    <row r="46" spans="1:19">
      <c r="A46" s="283"/>
      <c r="B46" s="284">
        <v>4</v>
      </c>
      <c r="C46" s="288" t="s">
        <v>379</v>
      </c>
      <c r="H46" s="292"/>
      <c r="I46" s="292"/>
      <c r="J46" s="292" t="s">
        <v>375</v>
      </c>
      <c r="K46" s="3"/>
      <c r="L46" s="291" t="s">
        <v>345</v>
      </c>
      <c r="M46" s="288" t="s">
        <v>380</v>
      </c>
      <c r="N46" s="288"/>
      <c r="O46" s="288"/>
      <c r="P46" s="289"/>
      <c r="Q46" s="288"/>
      <c r="R46" s="289"/>
      <c r="S46" s="284">
        <v>5.01</v>
      </c>
    </row>
    <row r="47" spans="1:19">
      <c r="A47" s="283"/>
      <c r="B47" s="284">
        <v>5</v>
      </c>
      <c r="C47" s="288" t="s">
        <v>379</v>
      </c>
      <c r="H47" s="292"/>
      <c r="I47" s="292"/>
      <c r="J47" s="292" t="s">
        <v>375</v>
      </c>
      <c r="K47" s="3"/>
      <c r="L47" s="291">
        <v>11</v>
      </c>
      <c r="M47" s="288" t="s">
        <v>381</v>
      </c>
      <c r="N47" s="288"/>
      <c r="O47" s="288"/>
      <c r="P47" s="289"/>
      <c r="Q47" s="288"/>
      <c r="R47" s="289"/>
      <c r="S47" s="284">
        <v>1.02</v>
      </c>
    </row>
    <row r="48" spans="1:19">
      <c r="A48" s="283"/>
      <c r="B48" s="284" t="s">
        <v>349</v>
      </c>
      <c r="C48" s="288" t="s">
        <v>382</v>
      </c>
      <c r="H48" s="292"/>
      <c r="I48" s="292"/>
      <c r="J48" s="292" t="s">
        <v>383</v>
      </c>
      <c r="K48" s="3"/>
      <c r="L48" s="291" t="s">
        <v>360</v>
      </c>
      <c r="M48" s="288" t="s">
        <v>384</v>
      </c>
      <c r="N48" s="288"/>
      <c r="O48" s="288"/>
      <c r="P48" s="289"/>
      <c r="Q48" s="288"/>
      <c r="R48" s="289"/>
      <c r="S48" s="284">
        <v>1.1299999999999999</v>
      </c>
    </row>
    <row r="49" spans="1:19">
      <c r="A49" s="283"/>
      <c r="B49" s="284" t="s">
        <v>333</v>
      </c>
      <c r="C49" s="287" t="s">
        <v>385</v>
      </c>
      <c r="H49" s="284"/>
      <c r="I49" s="284"/>
      <c r="J49" s="284">
        <v>12.05</v>
      </c>
      <c r="K49" s="3"/>
      <c r="L49" s="291" t="s">
        <v>347</v>
      </c>
      <c r="M49" s="288" t="s">
        <v>386</v>
      </c>
      <c r="N49" s="288"/>
      <c r="O49" s="288"/>
      <c r="P49" s="289"/>
      <c r="Q49" s="288"/>
      <c r="R49" s="289"/>
      <c r="S49" s="284">
        <v>1.1299999999999999</v>
      </c>
    </row>
    <row r="50" spans="1:19">
      <c r="A50" s="283"/>
      <c r="B50" s="284" t="s">
        <v>351</v>
      </c>
      <c r="C50" s="288" t="s">
        <v>387</v>
      </c>
      <c r="H50" s="284"/>
      <c r="I50" s="284"/>
      <c r="J50" s="284">
        <v>2.16</v>
      </c>
      <c r="K50" s="3"/>
      <c r="L50" s="291" t="s">
        <v>361</v>
      </c>
      <c r="M50" s="287" t="s">
        <v>388</v>
      </c>
      <c r="N50" s="288"/>
      <c r="O50" s="288"/>
      <c r="P50" s="289"/>
      <c r="Q50" s="288"/>
      <c r="R50" s="289"/>
      <c r="S50" s="284">
        <v>1.1299999999999999</v>
      </c>
    </row>
    <row r="51" spans="1:19">
      <c r="A51" s="283"/>
      <c r="B51" s="284" t="s">
        <v>335</v>
      </c>
      <c r="C51" s="287" t="s">
        <v>389</v>
      </c>
      <c r="H51" s="284"/>
      <c r="I51" s="284"/>
      <c r="J51" s="284">
        <v>2.1800000000000002</v>
      </c>
      <c r="K51" s="3"/>
      <c r="L51" s="291" t="s">
        <v>362</v>
      </c>
      <c r="M51" s="288" t="s">
        <v>390</v>
      </c>
      <c r="N51" s="288"/>
      <c r="O51" s="288"/>
      <c r="P51" s="289"/>
      <c r="Q51" s="288"/>
      <c r="R51" s="289"/>
      <c r="S51" s="284">
        <v>1.1200000000000001</v>
      </c>
    </row>
    <row r="52" spans="1:19">
      <c r="A52" s="283"/>
      <c r="B52" s="284" t="s">
        <v>337</v>
      </c>
      <c r="C52" s="288" t="s">
        <v>391</v>
      </c>
      <c r="H52" s="284"/>
      <c r="I52" s="284"/>
      <c r="J52" s="284">
        <v>2.1800000000000002</v>
      </c>
      <c r="K52" s="3"/>
      <c r="L52" s="291" t="s">
        <v>348</v>
      </c>
      <c r="M52" s="288" t="s">
        <v>392</v>
      </c>
      <c r="N52" s="288"/>
      <c r="O52" s="288"/>
      <c r="P52" s="289"/>
      <c r="Q52" s="288"/>
      <c r="R52" s="289"/>
      <c r="S52" s="284">
        <v>1.1200000000000001</v>
      </c>
    </row>
    <row r="53" spans="1:19">
      <c r="A53" s="283"/>
      <c r="B53" s="284" t="s">
        <v>339</v>
      </c>
      <c r="C53" s="288" t="s">
        <v>391</v>
      </c>
      <c r="H53" s="284"/>
      <c r="I53" s="284"/>
      <c r="J53" s="284">
        <v>2.1800000000000002</v>
      </c>
      <c r="K53" s="3"/>
      <c r="L53" s="594" t="s">
        <v>363</v>
      </c>
      <c r="M53" s="595" t="s">
        <v>393</v>
      </c>
      <c r="N53" s="595"/>
      <c r="O53" s="595"/>
      <c r="P53" s="596"/>
      <c r="Q53" s="595"/>
      <c r="R53" s="596"/>
      <c r="S53" s="597">
        <v>1.1200000000000001</v>
      </c>
    </row>
    <row r="54" spans="1:19">
      <c r="A54" s="283"/>
      <c r="B54" s="284" t="s">
        <v>353</v>
      </c>
      <c r="C54" s="288" t="s">
        <v>394</v>
      </c>
      <c r="H54" s="284"/>
      <c r="I54" s="284"/>
      <c r="J54" s="284">
        <v>2.0099999999999998</v>
      </c>
      <c r="K54" s="3"/>
      <c r="L54" s="291"/>
      <c r="M54" s="288"/>
      <c r="N54" s="288"/>
      <c r="O54" s="288"/>
      <c r="P54" s="289"/>
      <c r="Q54" s="288"/>
      <c r="R54" s="289"/>
      <c r="S54" s="289"/>
    </row>
    <row r="57" spans="1:19">
      <c r="A57" s="3" t="s">
        <v>395</v>
      </c>
    </row>
  </sheetData>
  <sheetProtection password="CE1E" sheet="1"/>
  <pageMargins left="0.47244094488188981" right="0.23622047244094491" top="0.31496062992125984" bottom="0.31496062992125984" header="0.19685039370078741" footer="0.23622047244094491"/>
  <pageSetup paperSize="9" scale="65"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0264-3298-744C-88D8-EDFCA4F806FA}">
  <sheetPr>
    <pageSetUpPr fitToPage="1"/>
  </sheetPr>
  <dimension ref="A1:H72"/>
  <sheetViews>
    <sheetView topLeftCell="A42" zoomScaleNormal="100" workbookViewId="0">
      <selection activeCell="E68" sqref="E68"/>
    </sheetView>
  </sheetViews>
  <sheetFormatPr baseColWidth="10" defaultColWidth="11.3984375" defaultRowHeight="13"/>
  <cols>
    <col min="1" max="1" width="21.796875" style="3" customWidth="1"/>
    <col min="2" max="2" width="71.19921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40.75" customHeight="1">
      <c r="A2" s="2054" t="s">
        <v>315</v>
      </c>
      <c r="B2" s="2055"/>
      <c r="C2" s="161"/>
      <c r="D2" s="164">
        <v>2012</v>
      </c>
    </row>
    <row r="3" spans="1:8" ht="39" customHeight="1">
      <c r="A3" s="207" t="s">
        <v>261</v>
      </c>
      <c r="B3" s="109"/>
      <c r="C3" s="165"/>
      <c r="D3" s="166" t="s">
        <v>230</v>
      </c>
    </row>
    <row r="4" spans="1:8" ht="38" customHeight="1">
      <c r="A4" s="208"/>
      <c r="B4" s="168"/>
      <c r="C4" s="169"/>
      <c r="D4" s="170" t="s">
        <v>262</v>
      </c>
    </row>
    <row r="5" spans="1:8" ht="20" customHeight="1" thickBot="1">
      <c r="A5" s="209" t="s">
        <v>316</v>
      </c>
      <c r="B5" s="171" t="s">
        <v>561</v>
      </c>
      <c r="C5" s="172"/>
      <c r="D5" s="173" vm="23">
        <v>24458400653.680004</v>
      </c>
      <c r="F5" s="60"/>
      <c r="G5" s="60"/>
      <c r="H5" s="60"/>
    </row>
    <row r="6" spans="1:8" ht="20" customHeight="1" thickBot="1">
      <c r="A6" s="210">
        <v>331</v>
      </c>
      <c r="B6" s="174" t="s">
        <v>264</v>
      </c>
      <c r="C6" s="175" t="s">
        <v>265</v>
      </c>
      <c r="D6" s="173" vm="21">
        <v>-154724359.98000002</v>
      </c>
      <c r="F6" s="60"/>
      <c r="G6" s="60"/>
      <c r="H6" s="60"/>
    </row>
    <row r="7" spans="1:8" ht="20" customHeight="1" thickBot="1">
      <c r="A7" s="210">
        <v>3501</v>
      </c>
      <c r="B7" s="174" t="s">
        <v>266</v>
      </c>
      <c r="C7" s="175" t="s">
        <v>265</v>
      </c>
      <c r="D7" s="173" vm="22">
        <v>-23828168.900000002</v>
      </c>
      <c r="F7" s="60"/>
      <c r="G7" s="60"/>
      <c r="H7" s="60"/>
    </row>
    <row r="8" spans="1:8" ht="20" customHeight="1" thickBot="1">
      <c r="A8" s="210">
        <v>36</v>
      </c>
      <c r="B8" s="174" t="s">
        <v>2563</v>
      </c>
      <c r="C8" s="175"/>
      <c r="D8" s="173" vm="19">
        <v>2435844543.7099996</v>
      </c>
      <c r="F8" s="60"/>
      <c r="G8" s="60"/>
      <c r="H8" s="60"/>
    </row>
    <row r="9" spans="1:8" ht="20" customHeight="1" thickBot="1">
      <c r="A9" s="210">
        <v>37</v>
      </c>
      <c r="B9" s="2007" t="s">
        <v>1078</v>
      </c>
      <c r="C9" s="175" t="s">
        <v>265</v>
      </c>
      <c r="D9" s="173" vm="20">
        <v>-2409556292.4099994</v>
      </c>
      <c r="F9" s="60"/>
      <c r="G9" s="60"/>
      <c r="H9" s="60"/>
    </row>
    <row r="10" spans="1:8" ht="20" customHeight="1" thickBot="1">
      <c r="A10" s="210"/>
      <c r="B10" s="174"/>
      <c r="C10" s="175"/>
      <c r="D10" s="173" t="s">
        <v>397</v>
      </c>
      <c r="F10" s="60"/>
      <c r="G10" s="60"/>
      <c r="H10" s="60"/>
    </row>
    <row r="11" spans="1:8" ht="20" customHeight="1" thickBot="1">
      <c r="A11" s="210">
        <v>3</v>
      </c>
      <c r="B11" s="2007" t="s">
        <v>818</v>
      </c>
      <c r="C11" s="175"/>
      <c r="D11" s="173">
        <v>24306136376.100002</v>
      </c>
      <c r="F11" s="60"/>
      <c r="G11" s="60"/>
      <c r="H11" s="60"/>
    </row>
    <row r="12" spans="1:8" ht="20" customHeight="1" thickBot="1">
      <c r="A12" s="210"/>
      <c r="B12" s="174"/>
      <c r="C12" s="175"/>
      <c r="D12" s="173" t="s">
        <v>397</v>
      </c>
      <c r="F12" s="60"/>
      <c r="G12" s="60"/>
      <c r="H12" s="60"/>
    </row>
    <row r="13" spans="1:8" ht="20" customHeight="1" thickBot="1">
      <c r="A13" s="210" t="s">
        <v>317</v>
      </c>
      <c r="B13" s="174" t="s">
        <v>560</v>
      </c>
      <c r="C13" s="175" t="s">
        <v>265</v>
      </c>
      <c r="D13" s="173" vm="18">
        <v>-25901228292.110016</v>
      </c>
      <c r="F13" s="60"/>
      <c r="G13" s="60"/>
      <c r="H13" s="60"/>
    </row>
    <row r="14" spans="1:8" ht="20" customHeight="1" thickBot="1">
      <c r="A14" s="211" t="s">
        <v>318</v>
      </c>
      <c r="B14" s="174" t="s">
        <v>559</v>
      </c>
      <c r="C14" s="175"/>
      <c r="D14" s="173" vm="17">
        <v>3713676418.9100008</v>
      </c>
      <c r="F14" s="60"/>
      <c r="G14" s="60"/>
      <c r="H14" s="60"/>
    </row>
    <row r="15" spans="1:8" ht="20" customHeight="1" thickBot="1">
      <c r="A15" s="210" t="s">
        <v>319</v>
      </c>
      <c r="B15" s="2007" t="s">
        <v>2564</v>
      </c>
      <c r="C15" s="175" t="s">
        <v>265</v>
      </c>
      <c r="D15" s="173" vm="16">
        <v>-8439215</v>
      </c>
      <c r="F15" s="60"/>
      <c r="G15" s="60"/>
      <c r="H15" s="60"/>
    </row>
    <row r="16" spans="1:8" ht="20" customHeight="1" thickBot="1">
      <c r="A16" s="210">
        <v>4300</v>
      </c>
      <c r="B16" s="2007" t="s">
        <v>2565</v>
      </c>
      <c r="C16" s="175" t="s">
        <v>265</v>
      </c>
      <c r="D16" s="173" vm="15">
        <v>-49466490.420000009</v>
      </c>
      <c r="F16" s="60"/>
      <c r="G16" s="60"/>
      <c r="H16" s="176"/>
    </row>
    <row r="17" spans="1:8" ht="20" customHeight="1" thickBot="1">
      <c r="A17" s="210">
        <v>4310</v>
      </c>
      <c r="B17" s="2007" t="s">
        <v>2566</v>
      </c>
      <c r="C17" s="175" t="s">
        <v>265</v>
      </c>
      <c r="D17" s="173" vm="13">
        <v>-25020512.989999998</v>
      </c>
      <c r="F17" s="60"/>
      <c r="G17" s="60"/>
      <c r="H17" s="60"/>
    </row>
    <row r="18" spans="1:8" ht="20" customHeight="1" thickBot="1">
      <c r="A18" s="210">
        <v>4321</v>
      </c>
      <c r="B18" s="174" t="s">
        <v>272</v>
      </c>
      <c r="C18" s="175" t="s">
        <v>265</v>
      </c>
      <c r="D18" s="173" vm="14">
        <v>-28808537.889999989</v>
      </c>
      <c r="F18" s="60"/>
      <c r="G18" s="60"/>
      <c r="H18" s="177"/>
    </row>
    <row r="19" spans="1:8" ht="20" customHeight="1" thickBot="1">
      <c r="A19" s="210">
        <v>4510</v>
      </c>
      <c r="B19" s="2007" t="s">
        <v>1090</v>
      </c>
      <c r="C19" s="175"/>
      <c r="D19" s="173" vm="12">
        <v>-492043642.0800001</v>
      </c>
      <c r="F19" s="60"/>
      <c r="G19" s="60"/>
      <c r="H19" s="60"/>
    </row>
    <row r="20" spans="1:8" ht="20" customHeight="1" thickBot="1">
      <c r="A20" s="210">
        <v>4401</v>
      </c>
      <c r="B20" s="174" t="s">
        <v>274</v>
      </c>
      <c r="C20" s="175"/>
      <c r="D20" s="173" vm="11">
        <v>19412243.09</v>
      </c>
      <c r="F20" s="60"/>
      <c r="G20" s="60"/>
      <c r="H20" s="60"/>
    </row>
    <row r="21" spans="1:8" ht="20" customHeight="1" thickBot="1">
      <c r="A21" s="210">
        <v>48</v>
      </c>
      <c r="B21" s="174" t="s">
        <v>275</v>
      </c>
      <c r="C21" s="175"/>
      <c r="D21" s="173" vm="10">
        <v>-38194776.769999743</v>
      </c>
      <c r="F21" s="60"/>
      <c r="G21" s="60"/>
      <c r="H21" s="60"/>
    </row>
    <row r="22" spans="1:8" ht="20" customHeight="1" thickBot="1">
      <c r="A22" s="210"/>
      <c r="B22" s="174"/>
      <c r="C22" s="175"/>
      <c r="D22" s="173" t="s">
        <v>397</v>
      </c>
      <c r="F22" s="60"/>
      <c r="G22" s="60"/>
      <c r="H22" s="60"/>
    </row>
    <row r="23" spans="1:8" ht="20" customHeight="1" thickBot="1">
      <c r="A23" s="210">
        <v>4</v>
      </c>
      <c r="B23" s="2007" t="s">
        <v>2567</v>
      </c>
      <c r="C23" s="175"/>
      <c r="D23" s="173">
        <v>-22810112805.260017</v>
      </c>
      <c r="F23" s="60"/>
      <c r="G23" s="60"/>
      <c r="H23" s="60"/>
    </row>
    <row r="24" spans="1:8" ht="20" customHeight="1" thickBot="1">
      <c r="A24" s="210"/>
      <c r="B24" s="174"/>
      <c r="C24" s="175"/>
      <c r="D24" s="173" t="s">
        <v>397</v>
      </c>
      <c r="F24" s="60"/>
      <c r="G24" s="60"/>
      <c r="H24" s="60"/>
    </row>
    <row r="25" spans="1:8" ht="20" customHeight="1" thickBot="1">
      <c r="A25" s="210">
        <v>992</v>
      </c>
      <c r="B25" s="174" t="s">
        <v>277</v>
      </c>
      <c r="C25" s="175"/>
      <c r="D25" s="173">
        <v>1496023570.8399849</v>
      </c>
      <c r="F25" s="60"/>
      <c r="G25" s="60"/>
      <c r="H25" s="60"/>
    </row>
    <row r="26" spans="1:8" ht="20" customHeight="1" thickBot="1">
      <c r="A26" s="210"/>
      <c r="B26" s="174"/>
      <c r="C26" s="175"/>
      <c r="D26" s="173" t="s">
        <v>397</v>
      </c>
      <c r="F26" s="60"/>
      <c r="G26" s="60"/>
      <c r="H26" s="60"/>
    </row>
    <row r="27" spans="1:8" ht="20" customHeight="1" thickBot="1">
      <c r="A27" s="210">
        <v>500</v>
      </c>
      <c r="B27" s="174" t="s">
        <v>278</v>
      </c>
      <c r="C27" s="175" t="s">
        <v>265</v>
      </c>
      <c r="D27" s="173" vm="8">
        <v>-1042012799.6700003</v>
      </c>
      <c r="F27" s="60"/>
      <c r="G27" s="60"/>
      <c r="H27" s="60"/>
    </row>
    <row r="28" spans="1:8" ht="20" customHeight="1" thickBot="1">
      <c r="A28" s="210">
        <v>501</v>
      </c>
      <c r="B28" s="2007" t="s">
        <v>2568</v>
      </c>
      <c r="C28" s="175" t="s">
        <v>265</v>
      </c>
      <c r="D28" s="173" vm="9">
        <v>-7204020.0499999998</v>
      </c>
      <c r="F28" s="60"/>
      <c r="G28" s="60"/>
      <c r="H28" s="60"/>
    </row>
    <row r="29" spans="1:8" ht="20" customHeight="1" thickBot="1">
      <c r="A29" s="210">
        <v>510</v>
      </c>
      <c r="B29" s="174" t="s">
        <v>280</v>
      </c>
      <c r="C29" s="175" t="s">
        <v>265</v>
      </c>
      <c r="D29" s="173" vm="6">
        <v>-78160515.990000039</v>
      </c>
      <c r="F29" s="60"/>
      <c r="G29" s="60"/>
      <c r="H29" s="60"/>
    </row>
    <row r="30" spans="1:8" ht="20" customHeight="1" thickBot="1">
      <c r="A30" s="210">
        <v>516</v>
      </c>
      <c r="B30" s="174" t="s">
        <v>281</v>
      </c>
      <c r="C30" s="175" t="s">
        <v>265</v>
      </c>
      <c r="D30" s="173" vm="7">
        <v>-55584875.32</v>
      </c>
      <c r="F30" s="60"/>
      <c r="G30" s="60"/>
      <c r="H30" s="60"/>
    </row>
    <row r="31" spans="1:8" ht="20" customHeight="1" thickBot="1">
      <c r="A31" s="210">
        <v>517</v>
      </c>
      <c r="B31" s="174" t="s">
        <v>282</v>
      </c>
      <c r="C31" s="175" t="s">
        <v>265</v>
      </c>
      <c r="D31" s="173" vm="4">
        <v>-24388844.690000001</v>
      </c>
      <c r="F31" s="60"/>
      <c r="G31" s="60"/>
      <c r="H31" s="60"/>
    </row>
    <row r="32" spans="1:8" ht="20" customHeight="1" thickBot="1">
      <c r="A32" s="210">
        <v>519</v>
      </c>
      <c r="B32" s="174" t="s">
        <v>283</v>
      </c>
      <c r="C32" s="175" t="s">
        <v>265</v>
      </c>
      <c r="D32" s="173" vm="5">
        <v>-34525272.300000004</v>
      </c>
      <c r="F32" s="60"/>
      <c r="G32" s="60"/>
      <c r="H32" s="60"/>
    </row>
    <row r="33" spans="1:8" ht="20" customHeight="1" thickBot="1">
      <c r="A33" s="210"/>
      <c r="B33" s="174"/>
      <c r="C33" s="175"/>
      <c r="D33" s="173" t="s">
        <v>397</v>
      </c>
      <c r="F33" s="60"/>
      <c r="G33" s="60"/>
      <c r="H33" s="60"/>
    </row>
    <row r="34" spans="1:8" ht="20" customHeight="1" thickBot="1">
      <c r="A34" s="210">
        <v>5</v>
      </c>
      <c r="B34" s="174" t="s">
        <v>306</v>
      </c>
      <c r="C34" s="175"/>
      <c r="D34" s="173">
        <v>-1241876328.0200002</v>
      </c>
      <c r="F34" s="60"/>
      <c r="G34" s="60"/>
      <c r="H34" s="60"/>
    </row>
    <row r="35" spans="1:8" ht="20" customHeight="1" thickBot="1">
      <c r="A35" s="210"/>
      <c r="B35" s="174"/>
      <c r="C35" s="175"/>
      <c r="D35" s="173" t="s">
        <v>397</v>
      </c>
      <c r="F35" s="60"/>
      <c r="G35" s="60"/>
      <c r="H35" s="60"/>
    </row>
    <row r="36" spans="1:8" ht="20" customHeight="1" thickBot="1">
      <c r="A36" s="210">
        <v>993</v>
      </c>
      <c r="B36" s="174" t="s">
        <v>285</v>
      </c>
      <c r="C36" s="175" t="s">
        <v>265</v>
      </c>
      <c r="D36" s="173">
        <v>-24051989133.280018</v>
      </c>
      <c r="F36" s="60"/>
      <c r="G36" s="60"/>
      <c r="H36" s="60"/>
    </row>
    <row r="37" spans="1:8" ht="20" customHeight="1" thickBot="1">
      <c r="A37" s="210"/>
      <c r="B37" s="174"/>
      <c r="C37" s="175"/>
      <c r="D37" s="173" t="s">
        <v>397</v>
      </c>
      <c r="F37" s="60"/>
      <c r="G37" s="60"/>
      <c r="H37" s="60"/>
    </row>
    <row r="38" spans="1:8" ht="20" customHeight="1" thickBot="1">
      <c r="A38" s="210">
        <v>994</v>
      </c>
      <c r="B38" s="174" t="s">
        <v>286</v>
      </c>
      <c r="C38" s="175"/>
      <c r="D38" s="173">
        <v>254147242.81998444</v>
      </c>
      <c r="F38" s="60"/>
      <c r="G38" s="60"/>
      <c r="H38" s="60"/>
    </row>
    <row r="39" spans="1:8" ht="20" customHeight="1" thickBot="1">
      <c r="A39" s="210"/>
      <c r="B39" s="174"/>
      <c r="C39" s="175"/>
      <c r="D39" s="173" t="s">
        <v>397</v>
      </c>
      <c r="F39" s="60"/>
      <c r="G39" s="60"/>
      <c r="H39" s="60"/>
    </row>
    <row r="40" spans="1:8" ht="20" customHeight="1" thickBot="1">
      <c r="A40" s="210">
        <v>70</v>
      </c>
      <c r="B40" s="174" t="s">
        <v>287</v>
      </c>
      <c r="C40" s="175"/>
      <c r="D40" s="173" vm="3">
        <v>48574804.249999985</v>
      </c>
      <c r="F40" s="60"/>
      <c r="G40" s="60"/>
      <c r="H40" s="60"/>
    </row>
    <row r="41" spans="1:8" ht="20" customHeight="1" thickBot="1">
      <c r="A41" s="210">
        <v>71</v>
      </c>
      <c r="B41" s="174" t="s">
        <v>288</v>
      </c>
      <c r="C41" s="175" t="s">
        <v>265</v>
      </c>
      <c r="D41" s="173" vm="2">
        <v>-9208181.929999996</v>
      </c>
      <c r="F41" s="60"/>
      <c r="G41" s="60"/>
      <c r="H41" s="60"/>
    </row>
    <row r="42" spans="1:8" ht="20" customHeight="1" thickBot="1">
      <c r="A42" s="210">
        <v>73</v>
      </c>
      <c r="B42" s="174" t="s">
        <v>289</v>
      </c>
      <c r="C42" s="175"/>
      <c r="D42" s="173" vm="2">
        <v>610010621.50000012</v>
      </c>
      <c r="F42" s="60"/>
      <c r="G42" s="60"/>
      <c r="H42" s="60"/>
    </row>
    <row r="43" spans="1:8" ht="20" customHeight="1" thickBot="1">
      <c r="A43" s="210">
        <v>810</v>
      </c>
      <c r="B43" s="174" t="s">
        <v>290</v>
      </c>
      <c r="C43" s="175"/>
      <c r="D43" s="173" vm="1">
        <v>23917817.829999994</v>
      </c>
      <c r="F43" s="60"/>
      <c r="G43" s="60"/>
      <c r="H43" s="60"/>
    </row>
    <row r="44" spans="1:8" ht="20" customHeight="1" thickBot="1">
      <c r="A44" s="210">
        <v>820</v>
      </c>
      <c r="B44" s="174" t="s">
        <v>291</v>
      </c>
      <c r="C44" s="175" t="s">
        <v>265</v>
      </c>
      <c r="D44" s="173" vm="1">
        <v>-11557698.129999999</v>
      </c>
      <c r="F44" s="60"/>
      <c r="G44" s="60"/>
      <c r="H44" s="60"/>
    </row>
    <row r="45" spans="1:8" ht="20" customHeight="1" thickBot="1">
      <c r="A45" s="210">
        <v>9</v>
      </c>
      <c r="B45" s="174" t="s">
        <v>292</v>
      </c>
      <c r="C45" s="175"/>
      <c r="D45" s="173">
        <v>0</v>
      </c>
      <c r="F45" s="60"/>
      <c r="G45" s="60"/>
      <c r="H45" s="60"/>
    </row>
    <row r="46" spans="1:8" ht="20" customHeight="1" thickBot="1">
      <c r="A46" s="210"/>
      <c r="B46" s="174"/>
      <c r="C46" s="175"/>
      <c r="D46" s="173" t="s">
        <v>397</v>
      </c>
      <c r="F46" s="60"/>
      <c r="G46" s="60"/>
      <c r="H46" s="60"/>
    </row>
    <row r="47" spans="1:8" ht="20" customHeight="1" thickBot="1">
      <c r="A47" s="210">
        <v>995</v>
      </c>
      <c r="B47" s="174" t="s">
        <v>293</v>
      </c>
      <c r="C47" s="175"/>
      <c r="D47" s="173">
        <v>661737363.52000022</v>
      </c>
      <c r="F47" s="60"/>
      <c r="G47" s="60"/>
      <c r="H47" s="60"/>
    </row>
    <row r="48" spans="1:8" ht="20" customHeight="1" thickBot="1">
      <c r="A48" s="210"/>
      <c r="B48" s="174"/>
      <c r="C48" s="175"/>
      <c r="D48" s="173" t="s">
        <v>397</v>
      </c>
      <c r="F48" s="60"/>
      <c r="G48" s="60"/>
      <c r="H48" s="60"/>
    </row>
    <row r="49" spans="1:8" ht="20" customHeight="1" thickBot="1">
      <c r="A49" s="212">
        <v>999</v>
      </c>
      <c r="B49" s="178" t="s">
        <v>294</v>
      </c>
      <c r="C49" s="179"/>
      <c r="D49" s="206">
        <v>915884606.33998466</v>
      </c>
      <c r="F49" s="60"/>
      <c r="G49" s="60"/>
      <c r="H49" s="60"/>
    </row>
    <row r="50" spans="1:8" ht="15.5" customHeight="1">
      <c r="A50" s="3" t="s">
        <v>396</v>
      </c>
    </row>
    <row r="52" spans="1:8" ht="14" thickBot="1">
      <c r="A52" s="205" t="s">
        <v>2589</v>
      </c>
    </row>
    <row r="53" spans="1:8" ht="15" thickBot="1">
      <c r="A53" s="435" t="s">
        <v>557</v>
      </c>
      <c r="B53" s="435"/>
      <c r="C53" s="436"/>
      <c r="D53" s="437" vm="17">
        <v>3705237203.9100008</v>
      </c>
    </row>
    <row r="54" spans="1:8" ht="15" thickBot="1">
      <c r="A54" s="435" t="s">
        <v>558</v>
      </c>
      <c r="B54" s="435"/>
      <c r="C54" s="436"/>
      <c r="D54" s="437" vm="17">
        <v>22195991088.200016</v>
      </c>
    </row>
    <row r="55" spans="1:8" ht="14">
      <c r="A55" s="2011"/>
      <c r="B55" s="2011"/>
      <c r="C55" s="2012"/>
      <c r="D55" s="2013"/>
    </row>
    <row r="56" spans="1:8">
      <c r="A56" s="2014" t="s">
        <v>2586</v>
      </c>
      <c r="B56" s="2015"/>
      <c r="C56" s="2015"/>
      <c r="D56" s="2016"/>
    </row>
    <row r="57" spans="1:8">
      <c r="A57" s="2014" t="s">
        <v>2587</v>
      </c>
      <c r="B57" s="2015"/>
      <c r="C57" s="2015"/>
      <c r="D57" s="2016"/>
    </row>
    <row r="58" spans="1:8">
      <c r="A58" s="2014" t="s">
        <v>2588</v>
      </c>
      <c r="B58" s="2017"/>
      <c r="C58" s="2017"/>
      <c r="D58" s="2018"/>
    </row>
    <row r="59" spans="1:8">
      <c r="A59" s="198"/>
    </row>
    <row r="60" spans="1:8">
      <c r="A60" s="3" t="s">
        <v>320</v>
      </c>
    </row>
    <row r="63" spans="1:8">
      <c r="A63" s="3" t="s">
        <v>395</v>
      </c>
    </row>
    <row r="69" spans="1:4">
      <c r="B69" s="199"/>
      <c r="C69" s="199"/>
      <c r="D69" s="60"/>
    </row>
    <row r="72" spans="1:4" ht="14">
      <c r="A72" s="200"/>
      <c r="B72" s="200"/>
      <c r="C72" s="201"/>
      <c r="D72" s="202"/>
    </row>
  </sheetData>
  <mergeCells count="1">
    <mergeCell ref="A2:B2"/>
  </mergeCells>
  <pageMargins left="0.59055118110236227" right="0.62992125984251968" top="0.3" bottom="0.25" header="0.22" footer="0.18"/>
  <pageSetup paperSize="9" scale="68"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83A0-6EEF-6842-BCB6-4D3FA251C0C1}">
  <sheetPr>
    <pageSetUpPr fitToPage="1"/>
  </sheetPr>
  <dimension ref="A1:H66"/>
  <sheetViews>
    <sheetView zoomScaleNormal="100" workbookViewId="0">
      <selection activeCell="G14" sqref="G14"/>
    </sheetView>
  </sheetViews>
  <sheetFormatPr baseColWidth="10" defaultColWidth="11.3984375" defaultRowHeight="13"/>
  <cols>
    <col min="1" max="1" width="14" style="3" customWidth="1"/>
    <col min="2" max="2" width="68.796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28.25" customHeight="1">
      <c r="A2" s="2054" t="s">
        <v>313</v>
      </c>
      <c r="B2" s="2055"/>
      <c r="C2" s="161"/>
      <c r="D2" s="164">
        <v>2012</v>
      </c>
    </row>
    <row r="3" spans="1:8" ht="39" customHeight="1">
      <c r="A3" s="109" t="s">
        <v>261</v>
      </c>
      <c r="B3" s="109"/>
      <c r="C3" s="165"/>
      <c r="D3" s="166" t="s">
        <v>230</v>
      </c>
    </row>
    <row r="4" spans="1:8" ht="38" customHeight="1">
      <c r="A4" s="167"/>
      <c r="B4" s="168"/>
      <c r="C4" s="169"/>
      <c r="D4" s="170" t="s">
        <v>262</v>
      </c>
    </row>
    <row r="5" spans="1:8" ht="20" customHeight="1" thickBot="1">
      <c r="A5" s="171">
        <v>3010</v>
      </c>
      <c r="B5" s="171" t="s">
        <v>263</v>
      </c>
      <c r="C5" s="172"/>
      <c r="D5" s="173">
        <v>7123961983.6500006</v>
      </c>
      <c r="F5" s="60"/>
      <c r="G5" s="60"/>
      <c r="H5" s="60"/>
    </row>
    <row r="6" spans="1:8" ht="20" customHeight="1" thickBot="1">
      <c r="A6" s="174">
        <v>331</v>
      </c>
      <c r="B6" s="174" t="s">
        <v>264</v>
      </c>
      <c r="C6" s="175" t="s">
        <v>265</v>
      </c>
      <c r="D6" s="173">
        <v>-45303846.929999992</v>
      </c>
      <c r="F6" s="60"/>
      <c r="G6" s="60"/>
      <c r="H6" s="60"/>
    </row>
    <row r="7" spans="1:8" ht="20" customHeight="1" thickBot="1">
      <c r="A7" s="174">
        <v>3501</v>
      </c>
      <c r="B7" s="174" t="s">
        <v>266</v>
      </c>
      <c r="C7" s="175" t="s">
        <v>265</v>
      </c>
      <c r="D7" s="173">
        <v>-6925516.7700000023</v>
      </c>
      <c r="F7" s="60"/>
      <c r="G7" s="60"/>
      <c r="H7" s="60"/>
    </row>
    <row r="8" spans="1:8" ht="20" customHeight="1" thickBot="1">
      <c r="A8" s="174">
        <v>36</v>
      </c>
      <c r="B8" s="174" t="s">
        <v>267</v>
      </c>
      <c r="C8" s="175"/>
      <c r="D8" s="173">
        <v>954929829.61999989</v>
      </c>
      <c r="F8" s="60"/>
      <c r="G8" s="60"/>
      <c r="H8" s="60"/>
    </row>
    <row r="9" spans="1:8" ht="20" customHeight="1" thickBot="1">
      <c r="A9" s="174">
        <v>37</v>
      </c>
      <c r="B9" s="2007" t="s">
        <v>1078</v>
      </c>
      <c r="C9" s="175" t="s">
        <v>265</v>
      </c>
      <c r="D9" s="173">
        <v>-950454373.46000004</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7076208076.1099997</v>
      </c>
      <c r="F11" s="60"/>
      <c r="G11" s="60"/>
      <c r="H11" s="60"/>
    </row>
    <row r="12" spans="1:8" ht="20" customHeight="1" thickBot="1">
      <c r="A12" s="174"/>
      <c r="B12" s="174"/>
      <c r="C12" s="175"/>
      <c r="D12" s="173" t="s">
        <v>397</v>
      </c>
      <c r="F12" s="60"/>
      <c r="G12" s="60"/>
      <c r="H12" s="60"/>
    </row>
    <row r="13" spans="1:8" ht="20" customHeight="1" thickBot="1">
      <c r="A13" s="174">
        <v>4010</v>
      </c>
      <c r="B13" s="174" t="s">
        <v>270</v>
      </c>
      <c r="C13" s="175" t="s">
        <v>265</v>
      </c>
      <c r="D13" s="173">
        <v>-10694215885.399996</v>
      </c>
      <c r="F13" s="60"/>
      <c r="G13" s="60"/>
      <c r="H13" s="60"/>
    </row>
    <row r="14" spans="1:8" ht="20" customHeight="1" thickBot="1">
      <c r="A14" s="174">
        <v>4200</v>
      </c>
      <c r="B14" s="174" t="s">
        <v>271</v>
      </c>
      <c r="C14" s="175"/>
      <c r="D14" s="173">
        <v>965014425.28999996</v>
      </c>
      <c r="F14" s="60"/>
      <c r="G14" s="60"/>
      <c r="H14" s="60"/>
    </row>
    <row r="15" spans="1:8" ht="20" customHeight="1" thickBot="1">
      <c r="A15" s="174">
        <v>4210</v>
      </c>
      <c r="B15" s="2007" t="s">
        <v>2569</v>
      </c>
      <c r="C15" s="175" t="s">
        <v>265</v>
      </c>
      <c r="D15" s="173">
        <v>-3566269.618939999</v>
      </c>
      <c r="F15" s="60"/>
      <c r="G15" s="60"/>
      <c r="H15" s="60"/>
    </row>
    <row r="16" spans="1:8" ht="20" customHeight="1" thickBot="1">
      <c r="A16" s="174">
        <v>4300</v>
      </c>
      <c r="B16" s="2007" t="s">
        <v>2565</v>
      </c>
      <c r="C16" s="175" t="s">
        <v>265</v>
      </c>
      <c r="D16" s="173">
        <v>-2313153.1799999997</v>
      </c>
      <c r="F16" s="60"/>
      <c r="G16" s="60"/>
      <c r="H16" s="176"/>
    </row>
    <row r="17" spans="1:8" ht="20" customHeight="1" thickBot="1">
      <c r="A17" s="174">
        <v>4310</v>
      </c>
      <c r="B17" s="2007" t="s">
        <v>2566</v>
      </c>
      <c r="C17" s="175" t="s">
        <v>265</v>
      </c>
      <c r="D17" s="173">
        <v>-6891192.3800000008</v>
      </c>
      <c r="F17" s="60"/>
      <c r="G17" s="60"/>
      <c r="H17" s="60"/>
    </row>
    <row r="18" spans="1:8" ht="20" customHeight="1" thickBot="1">
      <c r="A18" s="174">
        <v>4321</v>
      </c>
      <c r="B18" s="174" t="s">
        <v>272</v>
      </c>
      <c r="C18" s="175" t="s">
        <v>265</v>
      </c>
      <c r="D18" s="173">
        <v>-10834552.980000004</v>
      </c>
      <c r="F18" s="60"/>
      <c r="G18" s="60"/>
      <c r="H18" s="177"/>
    </row>
    <row r="19" spans="1:8" ht="20" customHeight="1" thickBot="1">
      <c r="A19" s="174">
        <v>4510</v>
      </c>
      <c r="B19" s="2007" t="s">
        <v>1090</v>
      </c>
      <c r="C19" s="175"/>
      <c r="D19" s="173">
        <v>-58144341.789999999</v>
      </c>
      <c r="F19" s="60"/>
      <c r="G19" s="60"/>
      <c r="H19" s="60"/>
    </row>
    <row r="20" spans="1:8" ht="20" customHeight="1" thickBot="1">
      <c r="A20" s="174">
        <v>4401</v>
      </c>
      <c r="B20" s="174" t="s">
        <v>274</v>
      </c>
      <c r="C20" s="175"/>
      <c r="D20" s="173">
        <v>5986438.0800000001</v>
      </c>
      <c r="F20" s="60"/>
      <c r="G20" s="60"/>
      <c r="H20" s="60"/>
    </row>
    <row r="21" spans="1:8" ht="20" customHeight="1" thickBot="1">
      <c r="A21" s="174">
        <v>48</v>
      </c>
      <c r="B21" s="174" t="s">
        <v>275</v>
      </c>
      <c r="C21" s="175"/>
      <c r="D21" s="173">
        <v>1778922885.7529402</v>
      </c>
      <c r="F21" s="60"/>
      <c r="G21" s="60"/>
      <c r="H21" s="60"/>
    </row>
    <row r="22" spans="1:8" ht="20" customHeight="1" thickBot="1">
      <c r="A22" s="174"/>
      <c r="B22" s="174"/>
      <c r="C22" s="175"/>
      <c r="D22" s="173" t="s">
        <v>397</v>
      </c>
      <c r="F22" s="60"/>
      <c r="G22" s="60"/>
      <c r="H22" s="60"/>
    </row>
    <row r="23" spans="1:8" ht="20" customHeight="1" thickBot="1">
      <c r="A23" s="174">
        <v>4</v>
      </c>
      <c r="B23" s="2007" t="s">
        <v>2567</v>
      </c>
      <c r="C23" s="175"/>
      <c r="D23" s="173">
        <v>-8026041646.225997</v>
      </c>
      <c r="F23" s="60"/>
      <c r="G23" s="60"/>
      <c r="H23" s="60"/>
    </row>
    <row r="24" spans="1:8" ht="20" customHeight="1" thickBot="1">
      <c r="A24" s="174"/>
      <c r="B24" s="174"/>
      <c r="C24" s="175"/>
      <c r="D24" s="173" t="s">
        <v>397</v>
      </c>
      <c r="F24" s="60"/>
      <c r="G24" s="60"/>
      <c r="H24" s="60"/>
    </row>
    <row r="25" spans="1:8" ht="20" customHeight="1" thickBot="1">
      <c r="A25" s="174">
        <v>992</v>
      </c>
      <c r="B25" s="174" t="s">
        <v>277</v>
      </c>
      <c r="C25" s="175"/>
      <c r="D25" s="173">
        <v>-949833570.11599731</v>
      </c>
      <c r="F25" s="60"/>
      <c r="G25" s="60"/>
      <c r="H25" s="60"/>
    </row>
    <row r="26" spans="1:8" ht="20" customHeight="1" thickBot="1">
      <c r="A26" s="174"/>
      <c r="B26" s="174"/>
      <c r="C26" s="175"/>
      <c r="D26" s="173" t="s">
        <v>397</v>
      </c>
      <c r="F26" s="60"/>
      <c r="G26" s="60"/>
      <c r="H26" s="60"/>
    </row>
    <row r="27" spans="1:8" ht="20" customHeight="1" thickBot="1">
      <c r="A27" s="174">
        <v>500</v>
      </c>
      <c r="B27" s="174" t="s">
        <v>278</v>
      </c>
      <c r="C27" s="175" t="s">
        <v>265</v>
      </c>
      <c r="D27" s="173">
        <v>-344116317.27999997</v>
      </c>
      <c r="F27" s="60"/>
      <c r="G27" s="60"/>
      <c r="H27" s="60"/>
    </row>
    <row r="28" spans="1:8" ht="20" customHeight="1" thickBot="1">
      <c r="A28" s="174">
        <v>501</v>
      </c>
      <c r="B28" s="2007" t="s">
        <v>2568</v>
      </c>
      <c r="C28" s="175" t="s">
        <v>265</v>
      </c>
      <c r="D28" s="173">
        <v>-1973300.56</v>
      </c>
      <c r="F28" s="60"/>
      <c r="G28" s="60"/>
      <c r="H28" s="60"/>
    </row>
    <row r="29" spans="1:8" ht="20" customHeight="1" thickBot="1">
      <c r="A29" s="174">
        <v>510</v>
      </c>
      <c r="B29" s="174" t="s">
        <v>280</v>
      </c>
      <c r="C29" s="175" t="s">
        <v>265</v>
      </c>
      <c r="D29" s="173">
        <v>-2133934.1000000006</v>
      </c>
      <c r="F29" s="60"/>
      <c r="G29" s="60"/>
      <c r="H29" s="60"/>
    </row>
    <row r="30" spans="1:8" ht="20" customHeight="1" thickBot="1">
      <c r="A30" s="174">
        <v>516</v>
      </c>
      <c r="B30" s="174" t="s">
        <v>281</v>
      </c>
      <c r="C30" s="175" t="s">
        <v>265</v>
      </c>
      <c r="D30" s="173">
        <v>-17692157.510000002</v>
      </c>
      <c r="F30" s="60"/>
      <c r="G30" s="60"/>
      <c r="H30" s="60"/>
    </row>
    <row r="31" spans="1:8" ht="20" customHeight="1" thickBot="1">
      <c r="A31" s="174">
        <v>517</v>
      </c>
      <c r="B31" s="174" t="s">
        <v>282</v>
      </c>
      <c r="C31" s="175" t="s">
        <v>265</v>
      </c>
      <c r="D31" s="173">
        <v>-6712158.1699999999</v>
      </c>
      <c r="F31" s="60"/>
      <c r="G31" s="60"/>
      <c r="H31" s="60"/>
    </row>
    <row r="32" spans="1:8" ht="20" customHeight="1" thickBot="1">
      <c r="A32" s="174">
        <v>519</v>
      </c>
      <c r="B32" s="174" t="s">
        <v>283</v>
      </c>
      <c r="C32" s="175" t="s">
        <v>265</v>
      </c>
      <c r="D32" s="173">
        <v>-11671189.219999997</v>
      </c>
      <c r="F32" s="60"/>
      <c r="G32" s="60"/>
      <c r="H32" s="60"/>
    </row>
    <row r="33" spans="1:8" ht="20" customHeight="1" thickBot="1">
      <c r="A33" s="174"/>
      <c r="B33" s="174"/>
      <c r="C33" s="175"/>
      <c r="D33" s="173" t="s">
        <v>397</v>
      </c>
      <c r="F33" s="60"/>
      <c r="G33" s="60"/>
      <c r="H33" s="60"/>
    </row>
    <row r="34" spans="1:8" ht="20" customHeight="1" thickBot="1">
      <c r="A34" s="174">
        <v>5</v>
      </c>
      <c r="B34" s="174" t="s">
        <v>306</v>
      </c>
      <c r="C34" s="175"/>
      <c r="D34" s="173">
        <v>-384299056.83999997</v>
      </c>
      <c r="F34" s="60"/>
      <c r="G34" s="60"/>
      <c r="H34" s="60"/>
    </row>
    <row r="35" spans="1:8" ht="20" customHeight="1" thickBot="1">
      <c r="A35" s="174"/>
      <c r="B35" s="174"/>
      <c r="C35" s="175"/>
      <c r="D35" s="173" t="s">
        <v>397</v>
      </c>
      <c r="F35" s="60"/>
      <c r="G35" s="60"/>
      <c r="H35" s="60"/>
    </row>
    <row r="36" spans="1:8" ht="20" customHeight="1" thickBot="1">
      <c r="A36" s="174">
        <v>993</v>
      </c>
      <c r="B36" s="174" t="s">
        <v>285</v>
      </c>
      <c r="C36" s="175" t="s">
        <v>265</v>
      </c>
      <c r="D36" s="173">
        <v>-8410340703.0659971</v>
      </c>
      <c r="F36" s="60"/>
      <c r="G36" s="60"/>
      <c r="H36" s="60"/>
    </row>
    <row r="37" spans="1:8" ht="20" customHeight="1" thickBot="1">
      <c r="A37" s="174"/>
      <c r="B37" s="174"/>
      <c r="C37" s="175"/>
      <c r="D37" s="173" t="s">
        <v>397</v>
      </c>
      <c r="F37" s="60"/>
      <c r="G37" s="60"/>
      <c r="H37" s="60"/>
    </row>
    <row r="38" spans="1:8" ht="20" customHeight="1" thickBot="1">
      <c r="A38" s="174">
        <v>994</v>
      </c>
      <c r="B38" s="174" t="s">
        <v>286</v>
      </c>
      <c r="C38" s="175"/>
      <c r="D38" s="173">
        <v>-1334132626.9559975</v>
      </c>
      <c r="F38" s="60"/>
      <c r="G38" s="60"/>
      <c r="H38" s="60"/>
    </row>
    <row r="39" spans="1:8" ht="20" customHeight="1" thickBot="1">
      <c r="A39" s="174"/>
      <c r="B39" s="174"/>
      <c r="C39" s="175"/>
      <c r="D39" s="173" t="s">
        <v>397</v>
      </c>
      <c r="F39" s="60"/>
      <c r="G39" s="60"/>
      <c r="H39" s="60"/>
    </row>
    <row r="40" spans="1:8" ht="20" customHeight="1" thickBot="1">
      <c r="A40" s="174">
        <v>70</v>
      </c>
      <c r="B40" s="174" t="s">
        <v>287</v>
      </c>
      <c r="C40" s="175"/>
      <c r="D40" s="173">
        <v>13666761.060000001</v>
      </c>
      <c r="F40" s="60"/>
      <c r="G40" s="60"/>
      <c r="H40" s="60"/>
    </row>
    <row r="41" spans="1:8" ht="20" customHeight="1" thickBot="1">
      <c r="A41" s="174">
        <v>71</v>
      </c>
      <c r="B41" s="174" t="s">
        <v>288</v>
      </c>
      <c r="C41" s="175" t="s">
        <v>265</v>
      </c>
      <c r="D41" s="173">
        <v>-2682539.54</v>
      </c>
      <c r="F41" s="60"/>
      <c r="G41" s="60"/>
      <c r="H41" s="60"/>
    </row>
    <row r="42" spans="1:8" ht="20" customHeight="1" thickBot="1">
      <c r="A42" s="174">
        <v>73</v>
      </c>
      <c r="B42" s="174" t="s">
        <v>289</v>
      </c>
      <c r="C42" s="175"/>
      <c r="D42" s="173">
        <v>192741680.96248001</v>
      </c>
      <c r="F42" s="60"/>
      <c r="G42" s="60"/>
      <c r="H42" s="60"/>
    </row>
    <row r="43" spans="1:8" ht="20" customHeight="1" thickBot="1">
      <c r="A43" s="174">
        <v>810</v>
      </c>
      <c r="B43" s="174" t="s">
        <v>290</v>
      </c>
      <c r="C43" s="175"/>
      <c r="D43" s="173">
        <v>6422352.9299999997</v>
      </c>
      <c r="F43" s="60"/>
      <c r="G43" s="60"/>
      <c r="H43" s="60"/>
    </row>
    <row r="44" spans="1:8" ht="20" customHeight="1" thickBot="1">
      <c r="A44" s="174">
        <v>820</v>
      </c>
      <c r="B44" s="174" t="s">
        <v>291</v>
      </c>
      <c r="C44" s="175" t="s">
        <v>265</v>
      </c>
      <c r="D44" s="173">
        <v>-3429363.6799999997</v>
      </c>
      <c r="F44" s="60"/>
      <c r="G44" s="60"/>
      <c r="H44" s="60"/>
    </row>
    <row r="45" spans="1:8" ht="20" customHeight="1" thickBot="1">
      <c r="A45" s="174">
        <v>9</v>
      </c>
      <c r="B45" s="174" t="s">
        <v>292</v>
      </c>
      <c r="C45" s="175"/>
      <c r="D45" s="173">
        <v>0</v>
      </c>
      <c r="F45" s="60"/>
      <c r="G45" s="60"/>
      <c r="H45" s="60"/>
    </row>
    <row r="46" spans="1:8" ht="20" customHeight="1" thickBot="1">
      <c r="A46" s="174"/>
      <c r="B46" s="174"/>
      <c r="C46" s="175"/>
      <c r="D46" s="173" t="s">
        <v>397</v>
      </c>
      <c r="F46" s="60"/>
      <c r="G46" s="60"/>
      <c r="H46" s="60"/>
    </row>
    <row r="47" spans="1:8" ht="20" customHeight="1" thickBot="1">
      <c r="A47" s="174">
        <v>995</v>
      </c>
      <c r="B47" s="174" t="s">
        <v>293</v>
      </c>
      <c r="C47" s="175"/>
      <c r="D47" s="173">
        <v>206718891.73248002</v>
      </c>
      <c r="F47" s="60"/>
      <c r="G47" s="60"/>
      <c r="H47" s="60"/>
    </row>
    <row r="48" spans="1:8" ht="20" customHeight="1" thickBot="1">
      <c r="A48" s="174"/>
      <c r="B48" s="174"/>
      <c r="C48" s="175"/>
      <c r="D48" s="173" t="s">
        <v>397</v>
      </c>
      <c r="F48" s="60"/>
      <c r="G48" s="60"/>
      <c r="H48" s="60"/>
    </row>
    <row r="49" spans="1:8" ht="20" customHeight="1" thickBot="1">
      <c r="A49" s="178">
        <v>999</v>
      </c>
      <c r="B49" s="178" t="s">
        <v>294</v>
      </c>
      <c r="C49" s="179"/>
      <c r="D49" s="206">
        <v>-1127413735.2235174</v>
      </c>
      <c r="F49" s="60"/>
      <c r="G49" s="60"/>
      <c r="H49" s="60"/>
    </row>
    <row r="50" spans="1:8" ht="15.5" customHeight="1">
      <c r="A50" s="3" t="s">
        <v>396</v>
      </c>
    </row>
    <row r="52" spans="1:8">
      <c r="A52" s="438" t="s">
        <v>562</v>
      </c>
    </row>
    <row r="53" spans="1:8">
      <c r="A53" s="198"/>
    </row>
    <row r="54" spans="1:8">
      <c r="A54" s="3" t="s">
        <v>314</v>
      </c>
    </row>
    <row r="57" spans="1:8">
      <c r="A57" s="3" t="s">
        <v>395</v>
      </c>
    </row>
    <row r="63" spans="1:8">
      <c r="B63" s="199"/>
      <c r="C63" s="199"/>
      <c r="D63" s="60"/>
    </row>
    <row r="66" spans="1:4" ht="14">
      <c r="A66" s="200"/>
      <c r="B66" s="200"/>
      <c r="C66" s="201"/>
      <c r="D66" s="202"/>
    </row>
  </sheetData>
  <mergeCells count="1">
    <mergeCell ref="A2:B2"/>
  </mergeCells>
  <pageMargins left="0.6" right="0.63" top="0.78" bottom="0.49" header="0.42" footer="0.4921259845"/>
  <pageSetup paperSize="9" scale="71"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94C5A-8AC1-4B4A-916B-64E3BB3E4DB4}">
  <sheetPr>
    <pageSetUpPr fitToPage="1"/>
  </sheetPr>
  <dimension ref="A1:H66"/>
  <sheetViews>
    <sheetView topLeftCell="A14" zoomScaleNormal="100" workbookViewId="0">
      <selection activeCell="B9" sqref="B9:B28"/>
    </sheetView>
  </sheetViews>
  <sheetFormatPr baseColWidth="10" defaultColWidth="11.3984375" defaultRowHeight="13"/>
  <cols>
    <col min="1" max="1" width="12.3984375" style="3" customWidth="1"/>
    <col min="2" max="2" width="68.796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29.5" customHeight="1">
      <c r="A2" s="2054" t="s">
        <v>311</v>
      </c>
      <c r="B2" s="2055"/>
      <c r="C2" s="161"/>
      <c r="D2" s="164">
        <v>2012</v>
      </c>
    </row>
    <row r="3" spans="1:8" ht="39" customHeight="1">
      <c r="A3" s="109" t="s">
        <v>261</v>
      </c>
      <c r="B3" s="109"/>
      <c r="C3" s="165"/>
      <c r="D3" s="166" t="s">
        <v>230</v>
      </c>
    </row>
    <row r="4" spans="1:8" ht="38" customHeight="1">
      <c r="A4" s="167"/>
      <c r="B4" s="168"/>
      <c r="C4" s="169"/>
      <c r="D4" s="170" t="s">
        <v>262</v>
      </c>
    </row>
    <row r="5" spans="1:8" ht="20" customHeight="1" thickBot="1">
      <c r="A5" s="171">
        <v>3012</v>
      </c>
      <c r="B5" s="171" t="s">
        <v>263</v>
      </c>
      <c r="C5" s="172"/>
      <c r="D5" s="173">
        <v>4990054268.829998</v>
      </c>
      <c r="F5" s="60"/>
      <c r="G5" s="60"/>
      <c r="H5" s="60"/>
    </row>
    <row r="6" spans="1:8" ht="20" customHeight="1" thickBot="1">
      <c r="A6" s="174">
        <v>331</v>
      </c>
      <c r="B6" s="174" t="s">
        <v>264</v>
      </c>
      <c r="C6" s="175" t="s">
        <v>265</v>
      </c>
      <c r="D6" s="173">
        <v>-34764585.530000001</v>
      </c>
      <c r="F6" s="60"/>
      <c r="G6" s="60"/>
      <c r="H6" s="60"/>
    </row>
    <row r="7" spans="1:8" ht="20" customHeight="1" thickBot="1">
      <c r="A7" s="174">
        <v>3501</v>
      </c>
      <c r="B7" s="174" t="s">
        <v>266</v>
      </c>
      <c r="C7" s="175" t="s">
        <v>265</v>
      </c>
      <c r="D7" s="173">
        <v>-5600583.4100000001</v>
      </c>
      <c r="F7" s="60"/>
      <c r="G7" s="60"/>
      <c r="H7" s="60"/>
    </row>
    <row r="8" spans="1:8" ht="20" customHeight="1" thickBot="1">
      <c r="A8" s="174">
        <v>36</v>
      </c>
      <c r="B8" s="174" t="s">
        <v>267</v>
      </c>
      <c r="C8" s="175"/>
      <c r="D8" s="173">
        <v>373629123.11000001</v>
      </c>
      <c r="F8" s="60"/>
      <c r="G8" s="60"/>
      <c r="H8" s="60"/>
    </row>
    <row r="9" spans="1:8" ht="20" customHeight="1" thickBot="1">
      <c r="A9" s="174">
        <v>37</v>
      </c>
      <c r="B9" s="2007" t="s">
        <v>1078</v>
      </c>
      <c r="C9" s="175" t="s">
        <v>265</v>
      </c>
      <c r="D9" s="173">
        <v>-369790753.10999995</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4953527469.8899984</v>
      </c>
      <c r="F11" s="60"/>
      <c r="G11" s="60"/>
      <c r="H11" s="60"/>
    </row>
    <row r="12" spans="1:8" ht="20" customHeight="1" thickBot="1">
      <c r="A12" s="174"/>
      <c r="B12" s="174"/>
      <c r="C12" s="175"/>
      <c r="D12" s="173" t="s">
        <v>397</v>
      </c>
      <c r="F12" s="60"/>
      <c r="G12" s="60"/>
      <c r="H12" s="60"/>
    </row>
    <row r="13" spans="1:8" ht="20" customHeight="1" thickBot="1">
      <c r="A13" s="174">
        <v>4012</v>
      </c>
      <c r="B13" s="174" t="s">
        <v>270</v>
      </c>
      <c r="C13" s="175" t="s">
        <v>265</v>
      </c>
      <c r="D13" s="173">
        <v>-4517064676.3400002</v>
      </c>
      <c r="F13" s="60"/>
      <c r="G13" s="60"/>
      <c r="H13" s="60"/>
    </row>
    <row r="14" spans="1:8" ht="20" customHeight="1" thickBot="1">
      <c r="A14" s="174">
        <v>4202</v>
      </c>
      <c r="B14" s="174" t="s">
        <v>271</v>
      </c>
      <c r="C14" s="175"/>
      <c r="D14" s="173">
        <v>864425107.01000023</v>
      </c>
      <c r="F14" s="60"/>
      <c r="G14" s="60"/>
      <c r="H14" s="60"/>
    </row>
    <row r="15" spans="1:8" ht="20" customHeight="1" thickBot="1">
      <c r="A15" s="174">
        <v>4212</v>
      </c>
      <c r="B15" s="2007" t="s">
        <v>2569</v>
      </c>
      <c r="C15" s="175" t="s">
        <v>265</v>
      </c>
      <c r="D15" s="173">
        <v>-1434074.9268899998</v>
      </c>
      <c r="F15" s="60"/>
      <c r="G15" s="60"/>
      <c r="H15" s="60"/>
    </row>
    <row r="16" spans="1:8" ht="20" customHeight="1" thickBot="1">
      <c r="A16" s="174">
        <v>4300</v>
      </c>
      <c r="B16" s="2007" t="s">
        <v>2565</v>
      </c>
      <c r="C16" s="175" t="s">
        <v>265</v>
      </c>
      <c r="D16" s="173">
        <v>-1091918.0699999998</v>
      </c>
      <c r="F16" s="60"/>
      <c r="G16" s="60"/>
      <c r="H16" s="176"/>
    </row>
    <row r="17" spans="1:8" ht="20" customHeight="1" thickBot="1">
      <c r="A17" s="174">
        <v>4310</v>
      </c>
      <c r="B17" s="2007" t="s">
        <v>2566</v>
      </c>
      <c r="C17" s="175" t="s">
        <v>265</v>
      </c>
      <c r="D17" s="173">
        <v>-2995813.85</v>
      </c>
      <c r="F17" s="60"/>
      <c r="G17" s="60"/>
      <c r="H17" s="60"/>
    </row>
    <row r="18" spans="1:8" ht="20" customHeight="1" thickBot="1">
      <c r="A18" s="174">
        <v>4321</v>
      </c>
      <c r="B18" s="174" t="s">
        <v>272</v>
      </c>
      <c r="C18" s="175" t="s">
        <v>265</v>
      </c>
      <c r="D18" s="173">
        <v>-5020234.5000000009</v>
      </c>
      <c r="F18" s="60"/>
      <c r="G18" s="60"/>
      <c r="H18" s="177"/>
    </row>
    <row r="19" spans="1:8" ht="20" customHeight="1" thickBot="1">
      <c r="A19" s="174">
        <v>4510</v>
      </c>
      <c r="B19" s="2007" t="s">
        <v>1090</v>
      </c>
      <c r="C19" s="175"/>
      <c r="D19" s="173">
        <v>-24618104.189999998</v>
      </c>
      <c r="F19" s="60"/>
      <c r="G19" s="60"/>
      <c r="H19" s="60"/>
    </row>
    <row r="20" spans="1:8" ht="20" customHeight="1" thickBot="1">
      <c r="A20" s="174">
        <v>4401</v>
      </c>
      <c r="B20" s="174" t="s">
        <v>274</v>
      </c>
      <c r="C20" s="175"/>
      <c r="D20" s="173">
        <v>4598550.34</v>
      </c>
      <c r="F20" s="60"/>
      <c r="G20" s="60"/>
      <c r="H20" s="60"/>
    </row>
    <row r="21" spans="1:8" ht="20" customHeight="1" thickBot="1">
      <c r="A21" s="174">
        <v>48</v>
      </c>
      <c r="B21" s="174" t="s">
        <v>275</v>
      </c>
      <c r="C21" s="175"/>
      <c r="D21" s="173">
        <v>59609073.482120015</v>
      </c>
      <c r="F21" s="60"/>
      <c r="G21" s="60"/>
      <c r="H21" s="60"/>
    </row>
    <row r="22" spans="1:8" ht="20" customHeight="1" thickBot="1">
      <c r="A22" s="174"/>
      <c r="B22" s="174"/>
      <c r="C22" s="175"/>
      <c r="D22" s="173" t="s">
        <v>397</v>
      </c>
      <c r="F22" s="60"/>
      <c r="G22" s="60"/>
      <c r="H22" s="60"/>
    </row>
    <row r="23" spans="1:8" ht="20" customHeight="1" thickBot="1">
      <c r="A23" s="174">
        <v>4</v>
      </c>
      <c r="B23" s="2007" t="s">
        <v>2567</v>
      </c>
      <c r="C23" s="175"/>
      <c r="D23" s="173">
        <v>-3623592091.0447698</v>
      </c>
      <c r="F23" s="60"/>
      <c r="G23" s="60"/>
      <c r="H23" s="60"/>
    </row>
    <row r="24" spans="1:8" ht="20" customHeight="1" thickBot="1">
      <c r="A24" s="174"/>
      <c r="B24" s="174"/>
      <c r="C24" s="175"/>
      <c r="D24" s="173" t="s">
        <v>397</v>
      </c>
      <c r="F24" s="60"/>
      <c r="G24" s="60"/>
      <c r="H24" s="60"/>
    </row>
    <row r="25" spans="1:8" ht="20" customHeight="1" thickBot="1">
      <c r="A25" s="174">
        <v>992</v>
      </c>
      <c r="B25" s="174" t="s">
        <v>277</v>
      </c>
      <c r="C25" s="175"/>
      <c r="D25" s="173">
        <v>1329935378.8452287</v>
      </c>
      <c r="F25" s="60"/>
      <c r="G25" s="60"/>
      <c r="H25" s="60"/>
    </row>
    <row r="26" spans="1:8" ht="20" customHeight="1" thickBot="1">
      <c r="A26" s="174"/>
      <c r="B26" s="174"/>
      <c r="C26" s="175"/>
      <c r="D26" s="173" t="s">
        <v>397</v>
      </c>
      <c r="F26" s="60"/>
      <c r="G26" s="60"/>
      <c r="H26" s="60"/>
    </row>
    <row r="27" spans="1:8" ht="20" customHeight="1" thickBot="1">
      <c r="A27" s="174">
        <v>500</v>
      </c>
      <c r="B27" s="174" t="s">
        <v>278</v>
      </c>
      <c r="C27" s="175" t="s">
        <v>265</v>
      </c>
      <c r="D27" s="173">
        <v>-191315905.75999993</v>
      </c>
      <c r="F27" s="60"/>
      <c r="G27" s="60"/>
      <c r="H27" s="60"/>
    </row>
    <row r="28" spans="1:8" ht="20" customHeight="1" thickBot="1">
      <c r="A28" s="174">
        <v>501</v>
      </c>
      <c r="B28" s="2007" t="s">
        <v>2568</v>
      </c>
      <c r="C28" s="175" t="s">
        <v>265</v>
      </c>
      <c r="D28" s="173">
        <v>-986592.32000000007</v>
      </c>
      <c r="F28" s="60"/>
      <c r="G28" s="60"/>
      <c r="H28" s="60"/>
    </row>
    <row r="29" spans="1:8" ht="20" customHeight="1" thickBot="1">
      <c r="A29" s="174">
        <v>510</v>
      </c>
      <c r="B29" s="174" t="s">
        <v>280</v>
      </c>
      <c r="C29" s="175" t="s">
        <v>265</v>
      </c>
      <c r="D29" s="173">
        <v>-21221394.57</v>
      </c>
      <c r="F29" s="60"/>
      <c r="G29" s="60"/>
      <c r="H29" s="60"/>
    </row>
    <row r="30" spans="1:8" ht="20" customHeight="1" thickBot="1">
      <c r="A30" s="174">
        <v>516</v>
      </c>
      <c r="B30" s="174" t="s">
        <v>281</v>
      </c>
      <c r="C30" s="175" t="s">
        <v>265</v>
      </c>
      <c r="D30" s="173">
        <v>-9846790.5299999993</v>
      </c>
      <c r="F30" s="60"/>
      <c r="G30" s="60"/>
      <c r="H30" s="60"/>
    </row>
    <row r="31" spans="1:8" ht="20" customHeight="1" thickBot="1">
      <c r="A31" s="174">
        <v>517</v>
      </c>
      <c r="B31" s="174" t="s">
        <v>282</v>
      </c>
      <c r="C31" s="175" t="s">
        <v>265</v>
      </c>
      <c r="D31" s="173">
        <v>-5405735.120000001</v>
      </c>
      <c r="F31" s="60"/>
      <c r="G31" s="60"/>
      <c r="H31" s="60"/>
    </row>
    <row r="32" spans="1:8" ht="20" customHeight="1" thickBot="1">
      <c r="A32" s="174">
        <v>519</v>
      </c>
      <c r="B32" s="174" t="s">
        <v>283</v>
      </c>
      <c r="C32" s="175" t="s">
        <v>265</v>
      </c>
      <c r="D32" s="173">
        <v>-5972003.7700000005</v>
      </c>
      <c r="F32" s="60"/>
      <c r="G32" s="60"/>
      <c r="H32" s="60"/>
    </row>
    <row r="33" spans="1:8" ht="20" customHeight="1" thickBot="1">
      <c r="A33" s="174"/>
      <c r="B33" s="174"/>
      <c r="C33" s="175"/>
      <c r="D33" s="173" t="s">
        <v>397</v>
      </c>
      <c r="F33" s="60"/>
      <c r="G33" s="60"/>
      <c r="H33" s="60"/>
    </row>
    <row r="34" spans="1:8" ht="20" customHeight="1" thickBot="1">
      <c r="A34" s="174">
        <v>5</v>
      </c>
      <c r="B34" s="174" t="s">
        <v>306</v>
      </c>
      <c r="C34" s="175"/>
      <c r="D34" s="173">
        <v>-234748422.06999993</v>
      </c>
      <c r="F34" s="60"/>
      <c r="G34" s="60"/>
      <c r="H34" s="60"/>
    </row>
    <row r="35" spans="1:8" ht="20" customHeight="1" thickBot="1">
      <c r="A35" s="174"/>
      <c r="B35" s="174"/>
      <c r="C35" s="175"/>
      <c r="D35" s="173" t="s">
        <v>397</v>
      </c>
      <c r="F35" s="60"/>
      <c r="G35" s="60"/>
      <c r="H35" s="60"/>
    </row>
    <row r="36" spans="1:8" ht="20" customHeight="1" thickBot="1">
      <c r="A36" s="174">
        <v>993</v>
      </c>
      <c r="B36" s="174" t="s">
        <v>285</v>
      </c>
      <c r="C36" s="175" t="s">
        <v>265</v>
      </c>
      <c r="D36" s="173">
        <v>-3858340513.1147699</v>
      </c>
      <c r="F36" s="60"/>
      <c r="G36" s="60"/>
      <c r="H36" s="60"/>
    </row>
    <row r="37" spans="1:8" ht="20" customHeight="1" thickBot="1">
      <c r="A37" s="174"/>
      <c r="B37" s="174"/>
      <c r="C37" s="175"/>
      <c r="D37" s="173" t="s">
        <v>397</v>
      </c>
      <c r="F37" s="60"/>
      <c r="G37" s="60"/>
      <c r="H37" s="60"/>
    </row>
    <row r="38" spans="1:8" ht="20" customHeight="1" thickBot="1">
      <c r="A38" s="174">
        <v>994</v>
      </c>
      <c r="B38" s="174" t="s">
        <v>286</v>
      </c>
      <c r="C38" s="175"/>
      <c r="D38" s="173">
        <v>1095186956.7752285</v>
      </c>
      <c r="F38" s="60"/>
      <c r="G38" s="60"/>
      <c r="H38" s="60"/>
    </row>
    <row r="39" spans="1:8" ht="20" customHeight="1" thickBot="1">
      <c r="A39" s="174"/>
      <c r="B39" s="174"/>
      <c r="C39" s="175"/>
      <c r="D39" s="173" t="s">
        <v>397</v>
      </c>
      <c r="F39" s="60"/>
      <c r="G39" s="60"/>
      <c r="H39" s="60"/>
    </row>
    <row r="40" spans="1:8" ht="20" customHeight="1" thickBot="1">
      <c r="A40" s="174">
        <v>70</v>
      </c>
      <c r="B40" s="174" t="s">
        <v>287</v>
      </c>
      <c r="C40" s="175"/>
      <c r="D40" s="173">
        <v>12105406.729999995</v>
      </c>
      <c r="F40" s="60"/>
      <c r="G40" s="60"/>
      <c r="H40" s="60"/>
    </row>
    <row r="41" spans="1:8" ht="20" customHeight="1" thickBot="1">
      <c r="A41" s="174">
        <v>71</v>
      </c>
      <c r="B41" s="174" t="s">
        <v>288</v>
      </c>
      <c r="C41" s="175" t="s">
        <v>265</v>
      </c>
      <c r="D41" s="173">
        <v>-2073616.9699999997</v>
      </c>
      <c r="F41" s="60"/>
      <c r="G41" s="60"/>
      <c r="H41" s="60"/>
    </row>
    <row r="42" spans="1:8" ht="20" customHeight="1" thickBot="1">
      <c r="A42" s="174">
        <v>73</v>
      </c>
      <c r="B42" s="174" t="s">
        <v>289</v>
      </c>
      <c r="C42" s="175"/>
      <c r="D42" s="173">
        <v>125586776.68933001</v>
      </c>
      <c r="F42" s="60"/>
      <c r="G42" s="60"/>
      <c r="H42" s="60"/>
    </row>
    <row r="43" spans="1:8" ht="20" customHeight="1" thickBot="1">
      <c r="A43" s="174">
        <v>810</v>
      </c>
      <c r="B43" s="174" t="s">
        <v>290</v>
      </c>
      <c r="C43" s="175"/>
      <c r="D43" s="173">
        <v>4320109.1700000009</v>
      </c>
      <c r="F43" s="60"/>
      <c r="G43" s="60"/>
      <c r="H43" s="60"/>
    </row>
    <row r="44" spans="1:8" ht="20" customHeight="1" thickBot="1">
      <c r="A44" s="174">
        <v>820</v>
      </c>
      <c r="B44" s="174" t="s">
        <v>291</v>
      </c>
      <c r="C44" s="175" t="s">
        <v>265</v>
      </c>
      <c r="D44" s="173">
        <v>-1372565.39</v>
      </c>
      <c r="F44" s="60"/>
      <c r="G44" s="60"/>
      <c r="H44" s="60"/>
    </row>
    <row r="45" spans="1:8" ht="20" customHeight="1" thickBot="1">
      <c r="A45" s="174">
        <v>9</v>
      </c>
      <c r="B45" s="174" t="s">
        <v>292</v>
      </c>
      <c r="C45" s="175"/>
      <c r="D45" s="173">
        <v>0</v>
      </c>
      <c r="F45" s="60"/>
      <c r="G45" s="60"/>
      <c r="H45" s="60"/>
    </row>
    <row r="46" spans="1:8" ht="20" customHeight="1" thickBot="1">
      <c r="A46" s="174"/>
      <c r="B46" s="174"/>
      <c r="C46" s="175"/>
      <c r="D46" s="173" t="s">
        <v>397</v>
      </c>
      <c r="F46" s="60"/>
      <c r="G46" s="60"/>
      <c r="H46" s="60"/>
    </row>
    <row r="47" spans="1:8" ht="20" customHeight="1" thickBot="1">
      <c r="A47" s="174">
        <v>995</v>
      </c>
      <c r="B47" s="174" t="s">
        <v>293</v>
      </c>
      <c r="C47" s="175"/>
      <c r="D47" s="173">
        <v>138566110.22933</v>
      </c>
      <c r="F47" s="60"/>
      <c r="G47" s="60"/>
      <c r="H47" s="60"/>
    </row>
    <row r="48" spans="1:8" ht="20" customHeight="1" thickBot="1">
      <c r="A48" s="174"/>
      <c r="B48" s="174"/>
      <c r="C48" s="175"/>
      <c r="D48" s="173" t="s">
        <v>397</v>
      </c>
      <c r="F48" s="60"/>
      <c r="G48" s="60"/>
      <c r="H48" s="60"/>
    </row>
    <row r="49" spans="1:8" ht="20" customHeight="1" thickBot="1">
      <c r="A49" s="178">
        <v>999</v>
      </c>
      <c r="B49" s="178" t="s">
        <v>294</v>
      </c>
      <c r="C49" s="179"/>
      <c r="D49" s="206">
        <v>1233753067.0045586</v>
      </c>
      <c r="F49" s="60"/>
      <c r="G49" s="60"/>
      <c r="H49" s="60"/>
    </row>
    <row r="50" spans="1:8" ht="15.5" customHeight="1">
      <c r="A50" s="3" t="s">
        <v>396</v>
      </c>
    </row>
    <row r="52" spans="1:8">
      <c r="A52" s="438" t="s">
        <v>562</v>
      </c>
    </row>
    <row r="53" spans="1:8">
      <c r="A53" s="198"/>
    </row>
    <row r="54" spans="1:8">
      <c r="A54" s="3" t="s">
        <v>312</v>
      </c>
    </row>
    <row r="57" spans="1:8">
      <c r="A57" s="3" t="s">
        <v>395</v>
      </c>
    </row>
    <row r="63" spans="1:8">
      <c r="B63" s="199"/>
      <c r="C63" s="199"/>
      <c r="D63" s="60"/>
    </row>
    <row r="66" spans="1:4" ht="14">
      <c r="A66" s="200"/>
      <c r="B66" s="200"/>
      <c r="C66" s="201"/>
      <c r="D66" s="202"/>
    </row>
  </sheetData>
  <mergeCells count="1">
    <mergeCell ref="A2:B2"/>
  </mergeCells>
  <pageMargins left="0.6" right="0.63" top="0.78" bottom="0.49" header="0.42" footer="0.4921259845"/>
  <pageSetup paperSize="9" scale="71"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0F62-F452-9A4E-8FBE-4C5FB1F4FE0D}">
  <sheetPr>
    <pageSetUpPr fitToPage="1"/>
  </sheetPr>
  <dimension ref="A1:H66"/>
  <sheetViews>
    <sheetView topLeftCell="A15" zoomScaleNormal="100" workbookViewId="0">
      <selection activeCell="B9" sqref="B9:B28"/>
    </sheetView>
  </sheetViews>
  <sheetFormatPr baseColWidth="10" defaultColWidth="11.3984375" defaultRowHeight="13"/>
  <cols>
    <col min="1" max="1" width="12.59765625" style="3" customWidth="1"/>
    <col min="2" max="2" width="68.796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24.5" customHeight="1">
      <c r="A2" s="2054" t="s">
        <v>309</v>
      </c>
      <c r="B2" s="2055"/>
      <c r="C2" s="161"/>
      <c r="D2" s="164">
        <v>2012</v>
      </c>
    </row>
    <row r="3" spans="1:8" ht="39" customHeight="1">
      <c r="A3" s="109" t="s">
        <v>261</v>
      </c>
      <c r="B3" s="109"/>
      <c r="C3" s="165"/>
      <c r="D3" s="166" t="s">
        <v>230</v>
      </c>
    </row>
    <row r="4" spans="1:8" ht="38" customHeight="1">
      <c r="A4" s="167"/>
      <c r="B4" s="168"/>
      <c r="C4" s="169"/>
      <c r="D4" s="170" t="s">
        <v>262</v>
      </c>
    </row>
    <row r="5" spans="1:8" ht="20" customHeight="1" thickBot="1">
      <c r="A5" s="171">
        <v>3013</v>
      </c>
      <c r="B5" s="171" t="s">
        <v>263</v>
      </c>
      <c r="C5" s="172"/>
      <c r="D5" s="173">
        <v>15550965.209999999</v>
      </c>
      <c r="F5" s="60"/>
      <c r="G5" s="60"/>
      <c r="H5" s="60"/>
    </row>
    <row r="6" spans="1:8" ht="20" customHeight="1" thickBot="1">
      <c r="A6" s="174">
        <v>331</v>
      </c>
      <c r="B6" s="174" t="s">
        <v>264</v>
      </c>
      <c r="C6" s="175" t="s">
        <v>265</v>
      </c>
      <c r="D6" s="173">
        <v>-52599.979999999996</v>
      </c>
      <c r="F6" s="60"/>
      <c r="G6" s="60"/>
      <c r="H6" s="60"/>
    </row>
    <row r="7" spans="1:8" ht="20" customHeight="1" thickBot="1">
      <c r="A7" s="174">
        <v>3501</v>
      </c>
      <c r="B7" s="174" t="s">
        <v>266</v>
      </c>
      <c r="C7" s="175" t="s">
        <v>265</v>
      </c>
      <c r="D7" s="173">
        <v>-39</v>
      </c>
      <c r="F7" s="60"/>
      <c r="G7" s="60"/>
      <c r="H7" s="60"/>
    </row>
    <row r="8" spans="1:8" ht="20" customHeight="1" thickBot="1">
      <c r="A8" s="174">
        <v>36</v>
      </c>
      <c r="B8" s="174" t="s">
        <v>267</v>
      </c>
      <c r="C8" s="175"/>
      <c r="D8" s="173">
        <v>956568.17</v>
      </c>
      <c r="F8" s="60"/>
      <c r="G8" s="60"/>
      <c r="H8" s="60"/>
    </row>
    <row r="9" spans="1:8" ht="20" customHeight="1" thickBot="1">
      <c r="A9" s="174">
        <v>37</v>
      </c>
      <c r="B9" s="2007" t="s">
        <v>1078</v>
      </c>
      <c r="C9" s="175" t="s">
        <v>265</v>
      </c>
      <c r="D9" s="173">
        <v>-963490.88</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15491403.519999998</v>
      </c>
      <c r="F11" s="60"/>
      <c r="G11" s="60"/>
      <c r="H11" s="60"/>
    </row>
    <row r="12" spans="1:8" ht="20" customHeight="1" thickBot="1">
      <c r="A12" s="174"/>
      <c r="B12" s="174"/>
      <c r="C12" s="175"/>
      <c r="D12" s="173" t="s">
        <v>397</v>
      </c>
      <c r="F12" s="60"/>
      <c r="G12" s="60"/>
      <c r="H12" s="60"/>
    </row>
    <row r="13" spans="1:8" ht="20" customHeight="1" thickBot="1">
      <c r="A13" s="174">
        <v>4013</v>
      </c>
      <c r="B13" s="174" t="s">
        <v>270</v>
      </c>
      <c r="C13" s="175" t="s">
        <v>265</v>
      </c>
      <c r="D13" s="173">
        <v>-8308554.4799999986</v>
      </c>
      <c r="F13" s="60"/>
      <c r="G13" s="60"/>
      <c r="H13" s="60"/>
    </row>
    <row r="14" spans="1:8" ht="20" customHeight="1" thickBot="1">
      <c r="A14" s="174">
        <v>4203</v>
      </c>
      <c r="B14" s="174" t="s">
        <v>271</v>
      </c>
      <c r="C14" s="175"/>
      <c r="D14" s="173">
        <v>1204859.28</v>
      </c>
      <c r="F14" s="60"/>
      <c r="G14" s="60"/>
      <c r="H14" s="60"/>
    </row>
    <row r="15" spans="1:8" ht="20" customHeight="1" thickBot="1">
      <c r="A15" s="174">
        <v>4213</v>
      </c>
      <c r="B15" s="2007" t="s">
        <v>2569</v>
      </c>
      <c r="C15" s="175" t="s">
        <v>265</v>
      </c>
      <c r="D15" s="173">
        <v>-1727.2599999999998</v>
      </c>
      <c r="F15" s="60"/>
      <c r="G15" s="60"/>
      <c r="H15" s="60"/>
    </row>
    <row r="16" spans="1:8" ht="20" customHeight="1" thickBot="1">
      <c r="A16" s="174">
        <v>4300</v>
      </c>
      <c r="B16" s="2007" t="s">
        <v>2565</v>
      </c>
      <c r="C16" s="175" t="s">
        <v>265</v>
      </c>
      <c r="D16" s="173">
        <v>-333</v>
      </c>
      <c r="F16" s="60"/>
      <c r="G16" s="60"/>
      <c r="H16" s="176"/>
    </row>
    <row r="17" spans="1:8" ht="20" customHeight="1" thickBot="1">
      <c r="A17" s="174">
        <v>4310</v>
      </c>
      <c r="B17" s="2007" t="s">
        <v>2566</v>
      </c>
      <c r="C17" s="175" t="s">
        <v>265</v>
      </c>
      <c r="D17" s="173">
        <v>-1100.3599999999999</v>
      </c>
      <c r="F17" s="60"/>
      <c r="G17" s="60"/>
      <c r="H17" s="60"/>
    </row>
    <row r="18" spans="1:8" ht="20" customHeight="1" thickBot="1">
      <c r="A18" s="174">
        <v>4321</v>
      </c>
      <c r="B18" s="174" t="s">
        <v>272</v>
      </c>
      <c r="C18" s="175" t="s">
        <v>265</v>
      </c>
      <c r="D18" s="173">
        <v>-8231.89</v>
      </c>
      <c r="F18" s="60"/>
      <c r="G18" s="60"/>
      <c r="H18" s="177"/>
    </row>
    <row r="19" spans="1:8" ht="20" customHeight="1" thickBot="1">
      <c r="A19" s="174">
        <v>4510</v>
      </c>
      <c r="B19" s="2007" t="s">
        <v>1090</v>
      </c>
      <c r="C19" s="175"/>
      <c r="D19" s="173">
        <v>-5800.8999999999978</v>
      </c>
      <c r="F19" s="60"/>
      <c r="G19" s="60"/>
      <c r="H19" s="60"/>
    </row>
    <row r="20" spans="1:8" ht="20" customHeight="1" thickBot="1">
      <c r="A20" s="174">
        <v>4401</v>
      </c>
      <c r="B20" s="174" t="s">
        <v>274</v>
      </c>
      <c r="C20" s="175"/>
      <c r="D20" s="173">
        <v>0</v>
      </c>
      <c r="F20" s="60"/>
      <c r="G20" s="60"/>
      <c r="H20" s="60"/>
    </row>
    <row r="21" spans="1:8" ht="20" customHeight="1" thickBot="1">
      <c r="A21" s="174">
        <v>48</v>
      </c>
      <c r="B21" s="174" t="s">
        <v>275</v>
      </c>
      <c r="C21" s="175"/>
      <c r="D21" s="173">
        <v>-1918003.42</v>
      </c>
      <c r="F21" s="60"/>
      <c r="G21" s="60"/>
      <c r="H21" s="60"/>
    </row>
    <row r="22" spans="1:8" ht="20" customHeight="1" thickBot="1">
      <c r="A22" s="174"/>
      <c r="B22" s="174"/>
      <c r="C22" s="175"/>
      <c r="D22" s="173" t="s">
        <v>397</v>
      </c>
      <c r="F22" s="60"/>
      <c r="G22" s="60"/>
      <c r="H22" s="60"/>
    </row>
    <row r="23" spans="1:8" ht="20" customHeight="1" thickBot="1">
      <c r="A23" s="174">
        <v>4</v>
      </c>
      <c r="B23" s="2007" t="s">
        <v>2567</v>
      </c>
      <c r="C23" s="175"/>
      <c r="D23" s="173">
        <v>-9038892.0299999975</v>
      </c>
      <c r="F23" s="60"/>
      <c r="G23" s="60"/>
      <c r="H23" s="60"/>
    </row>
    <row r="24" spans="1:8" ht="20" customHeight="1" thickBot="1">
      <c r="A24" s="174"/>
      <c r="B24" s="174"/>
      <c r="C24" s="175"/>
      <c r="D24" s="173" t="s">
        <v>397</v>
      </c>
      <c r="F24" s="60"/>
      <c r="G24" s="60"/>
      <c r="H24" s="60"/>
    </row>
    <row r="25" spans="1:8" ht="20" customHeight="1" thickBot="1">
      <c r="A25" s="174">
        <v>992</v>
      </c>
      <c r="B25" s="174" t="s">
        <v>277</v>
      </c>
      <c r="C25" s="175"/>
      <c r="D25" s="173">
        <v>6452511.4900000002</v>
      </c>
      <c r="F25" s="60"/>
      <c r="G25" s="60"/>
      <c r="H25" s="60"/>
    </row>
    <row r="26" spans="1:8" ht="20" customHeight="1" thickBot="1">
      <c r="A26" s="174"/>
      <c r="B26" s="174"/>
      <c r="C26" s="175"/>
      <c r="D26" s="173" t="s">
        <v>397</v>
      </c>
      <c r="F26" s="60"/>
      <c r="G26" s="60"/>
      <c r="H26" s="60"/>
    </row>
    <row r="27" spans="1:8" ht="20" customHeight="1" thickBot="1">
      <c r="A27" s="174">
        <v>500</v>
      </c>
      <c r="B27" s="174" t="s">
        <v>278</v>
      </c>
      <c r="C27" s="175" t="s">
        <v>265</v>
      </c>
      <c r="D27" s="173">
        <v>-1309545.31</v>
      </c>
      <c r="F27" s="60"/>
      <c r="G27" s="60"/>
      <c r="H27" s="60"/>
    </row>
    <row r="28" spans="1:8" ht="20" customHeight="1" thickBot="1">
      <c r="A28" s="174">
        <v>501</v>
      </c>
      <c r="B28" s="2007" t="s">
        <v>2568</v>
      </c>
      <c r="C28" s="175" t="s">
        <v>265</v>
      </c>
      <c r="D28" s="173">
        <v>-5912.35</v>
      </c>
      <c r="F28" s="60"/>
      <c r="G28" s="60"/>
      <c r="H28" s="60"/>
    </row>
    <row r="29" spans="1:8" ht="20" customHeight="1" thickBot="1">
      <c r="A29" s="174">
        <v>510</v>
      </c>
      <c r="B29" s="174" t="s">
        <v>280</v>
      </c>
      <c r="C29" s="175" t="s">
        <v>265</v>
      </c>
      <c r="D29" s="173">
        <v>659694.37999999989</v>
      </c>
      <c r="F29" s="60"/>
      <c r="G29" s="60"/>
      <c r="H29" s="60"/>
    </row>
    <row r="30" spans="1:8" ht="20" customHeight="1" thickBot="1">
      <c r="A30" s="174">
        <v>516</v>
      </c>
      <c r="B30" s="174" t="s">
        <v>281</v>
      </c>
      <c r="C30" s="175" t="s">
        <v>265</v>
      </c>
      <c r="D30" s="173">
        <v>-79216.070000000007</v>
      </c>
      <c r="F30" s="60"/>
      <c r="G30" s="60"/>
      <c r="H30" s="60"/>
    </row>
    <row r="31" spans="1:8" ht="20" customHeight="1" thickBot="1">
      <c r="A31" s="174">
        <v>517</v>
      </c>
      <c r="B31" s="174" t="s">
        <v>282</v>
      </c>
      <c r="C31" s="175" t="s">
        <v>265</v>
      </c>
      <c r="D31" s="173">
        <v>-4228.2700000000004</v>
      </c>
      <c r="F31" s="60"/>
      <c r="G31" s="60"/>
      <c r="H31" s="60"/>
    </row>
    <row r="32" spans="1:8" ht="20" customHeight="1" thickBot="1">
      <c r="A32" s="174">
        <v>519</v>
      </c>
      <c r="B32" s="174" t="s">
        <v>283</v>
      </c>
      <c r="C32" s="175" t="s">
        <v>265</v>
      </c>
      <c r="D32" s="173">
        <v>-39811.269999999997</v>
      </c>
      <c r="F32" s="60"/>
      <c r="G32" s="60"/>
      <c r="H32" s="60"/>
    </row>
    <row r="33" spans="1:8" ht="20" customHeight="1" thickBot="1">
      <c r="A33" s="174"/>
      <c r="B33" s="174"/>
      <c r="C33" s="175"/>
      <c r="D33" s="173" t="s">
        <v>397</v>
      </c>
      <c r="F33" s="60"/>
      <c r="G33" s="60"/>
      <c r="H33" s="60"/>
    </row>
    <row r="34" spans="1:8" ht="20" customHeight="1" thickBot="1">
      <c r="A34" s="174">
        <v>5</v>
      </c>
      <c r="B34" s="174" t="s">
        <v>306</v>
      </c>
      <c r="C34" s="175"/>
      <c r="D34" s="173">
        <v>-779018.89000000036</v>
      </c>
      <c r="F34" s="60"/>
      <c r="G34" s="60"/>
      <c r="H34" s="60"/>
    </row>
    <row r="35" spans="1:8" ht="20" customHeight="1" thickBot="1">
      <c r="A35" s="174"/>
      <c r="B35" s="174"/>
      <c r="C35" s="175"/>
      <c r="D35" s="173" t="s">
        <v>397</v>
      </c>
      <c r="F35" s="60"/>
      <c r="G35" s="60"/>
      <c r="H35" s="60"/>
    </row>
    <row r="36" spans="1:8" ht="20" customHeight="1" thickBot="1">
      <c r="A36" s="174">
        <v>993</v>
      </c>
      <c r="B36" s="174" t="s">
        <v>285</v>
      </c>
      <c r="C36" s="175" t="s">
        <v>265</v>
      </c>
      <c r="D36" s="173">
        <v>-9817910.9199999981</v>
      </c>
      <c r="F36" s="60"/>
      <c r="G36" s="60"/>
      <c r="H36" s="60"/>
    </row>
    <row r="37" spans="1:8" ht="20" customHeight="1" thickBot="1">
      <c r="A37" s="174"/>
      <c r="B37" s="174"/>
      <c r="C37" s="175"/>
      <c r="D37" s="173" t="s">
        <v>397</v>
      </c>
      <c r="F37" s="60"/>
      <c r="G37" s="60"/>
      <c r="H37" s="60"/>
    </row>
    <row r="38" spans="1:8" ht="20" customHeight="1" thickBot="1">
      <c r="A38" s="174">
        <v>994</v>
      </c>
      <c r="B38" s="174" t="s">
        <v>286</v>
      </c>
      <c r="C38" s="175"/>
      <c r="D38" s="173">
        <v>5673492.5999999996</v>
      </c>
      <c r="F38" s="60"/>
      <c r="G38" s="60"/>
      <c r="H38" s="60"/>
    </row>
    <row r="39" spans="1:8" ht="20" customHeight="1" thickBot="1">
      <c r="A39" s="174"/>
      <c r="B39" s="174"/>
      <c r="C39" s="175"/>
      <c r="D39" s="173" t="s">
        <v>397</v>
      </c>
      <c r="F39" s="60"/>
      <c r="G39" s="60"/>
      <c r="H39" s="60"/>
    </row>
    <row r="40" spans="1:8" ht="20" customHeight="1" thickBot="1">
      <c r="A40" s="174">
        <v>70</v>
      </c>
      <c r="B40" s="174" t="s">
        <v>287</v>
      </c>
      <c r="C40" s="175"/>
      <c r="D40" s="173">
        <v>29211.23</v>
      </c>
      <c r="F40" s="60"/>
      <c r="G40" s="60"/>
      <c r="H40" s="60"/>
    </row>
    <row r="41" spans="1:8" ht="20" customHeight="1" thickBot="1">
      <c r="A41" s="174">
        <v>71</v>
      </c>
      <c r="B41" s="174" t="s">
        <v>288</v>
      </c>
      <c r="C41" s="175" t="s">
        <v>265</v>
      </c>
      <c r="D41" s="173">
        <v>-7948.19</v>
      </c>
      <c r="F41" s="60"/>
      <c r="G41" s="60"/>
      <c r="H41" s="60"/>
    </row>
    <row r="42" spans="1:8" ht="20" customHeight="1" thickBot="1">
      <c r="A42" s="174">
        <v>73</v>
      </c>
      <c r="B42" s="174" t="s">
        <v>289</v>
      </c>
      <c r="C42" s="175"/>
      <c r="D42" s="173">
        <v>779825.15999999992</v>
      </c>
      <c r="F42" s="60"/>
      <c r="G42" s="60"/>
      <c r="H42" s="60"/>
    </row>
    <row r="43" spans="1:8" ht="20" customHeight="1" thickBot="1">
      <c r="A43" s="174">
        <v>810</v>
      </c>
      <c r="B43" s="174" t="s">
        <v>290</v>
      </c>
      <c r="C43" s="175"/>
      <c r="D43" s="173">
        <v>3623.7499999999995</v>
      </c>
      <c r="F43" s="60"/>
      <c r="G43" s="60"/>
      <c r="H43" s="60"/>
    </row>
    <row r="44" spans="1:8" ht="20" customHeight="1" thickBot="1">
      <c r="A44" s="174">
        <v>820</v>
      </c>
      <c r="B44" s="174" t="s">
        <v>291</v>
      </c>
      <c r="C44" s="175" t="s">
        <v>265</v>
      </c>
      <c r="D44" s="173">
        <v>-2168.7200000000003</v>
      </c>
      <c r="F44" s="60"/>
      <c r="G44" s="60"/>
      <c r="H44" s="60"/>
    </row>
    <row r="45" spans="1:8" ht="20" customHeight="1" thickBot="1">
      <c r="A45" s="174">
        <v>9</v>
      </c>
      <c r="B45" s="174" t="s">
        <v>292</v>
      </c>
      <c r="C45" s="175"/>
      <c r="D45" s="173">
        <v>0</v>
      </c>
      <c r="F45" s="60"/>
      <c r="G45" s="60"/>
      <c r="H45" s="60"/>
    </row>
    <row r="46" spans="1:8" ht="20" customHeight="1" thickBot="1">
      <c r="A46" s="174"/>
      <c r="B46" s="174"/>
      <c r="C46" s="175"/>
      <c r="D46" s="173" t="s">
        <v>397</v>
      </c>
      <c r="F46" s="60"/>
      <c r="G46" s="60"/>
      <c r="H46" s="60"/>
    </row>
    <row r="47" spans="1:8" ht="20" customHeight="1" thickBot="1">
      <c r="A47" s="174">
        <v>995</v>
      </c>
      <c r="B47" s="174" t="s">
        <v>293</v>
      </c>
      <c r="C47" s="175"/>
      <c r="D47" s="173">
        <v>802543.23</v>
      </c>
      <c r="F47" s="60"/>
      <c r="G47" s="60"/>
      <c r="H47" s="60"/>
    </row>
    <row r="48" spans="1:8" ht="20" customHeight="1" thickBot="1">
      <c r="A48" s="174"/>
      <c r="B48" s="174"/>
      <c r="C48" s="175"/>
      <c r="D48" s="173" t="s">
        <v>397</v>
      </c>
      <c r="F48" s="60"/>
      <c r="G48" s="60"/>
      <c r="H48" s="60"/>
    </row>
    <row r="49" spans="1:8" ht="20" customHeight="1" thickBot="1">
      <c r="A49" s="178">
        <v>999</v>
      </c>
      <c r="B49" s="178" t="s">
        <v>294</v>
      </c>
      <c r="C49" s="179"/>
      <c r="D49" s="206">
        <v>6476035.8300000001</v>
      </c>
      <c r="F49" s="60"/>
      <c r="G49" s="60"/>
      <c r="H49" s="60"/>
    </row>
    <row r="50" spans="1:8" ht="15.5" customHeight="1">
      <c r="A50" s="3" t="s">
        <v>396</v>
      </c>
    </row>
    <row r="52" spans="1:8">
      <c r="A52" s="438" t="s">
        <v>562</v>
      </c>
    </row>
    <row r="53" spans="1:8">
      <c r="A53" s="198"/>
    </row>
    <row r="54" spans="1:8">
      <c r="A54" s="3" t="s">
        <v>310</v>
      </c>
    </row>
    <row r="57" spans="1:8">
      <c r="A57" s="3" t="s">
        <v>395</v>
      </c>
    </row>
    <row r="63" spans="1:8">
      <c r="B63" s="199"/>
      <c r="C63" s="199"/>
      <c r="D63" s="60"/>
    </row>
    <row r="66" spans="1:4" ht="14">
      <c r="A66" s="200"/>
      <c r="B66" s="200"/>
      <c r="C66" s="201"/>
      <c r="D66" s="202"/>
    </row>
  </sheetData>
  <mergeCells count="1">
    <mergeCell ref="A2:B2"/>
  </mergeCells>
  <pageMargins left="0.6" right="0.63" top="0.78" bottom="0.49" header="0.42" footer="0.4921259845"/>
  <pageSetup paperSize="9" scale="71"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D9E8-285D-924C-A3C9-3D55B70C8B84}">
  <sheetPr>
    <pageSetUpPr fitToPage="1"/>
  </sheetPr>
  <dimension ref="A1:H66"/>
  <sheetViews>
    <sheetView zoomScaleNormal="100" workbookViewId="0">
      <selection activeCell="B9" sqref="B9"/>
    </sheetView>
  </sheetViews>
  <sheetFormatPr baseColWidth="10" defaultColWidth="11.3984375" defaultRowHeight="13"/>
  <cols>
    <col min="1" max="1" width="15.796875" style="3" customWidth="1"/>
    <col min="2" max="2" width="68.5976562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40.75" customHeight="1">
      <c r="A2" s="2054" t="s">
        <v>301</v>
      </c>
      <c r="B2" s="2055"/>
      <c r="C2" s="203"/>
      <c r="D2" s="164">
        <v>2012</v>
      </c>
    </row>
    <row r="3" spans="1:8" ht="39" customHeight="1">
      <c r="A3" s="109" t="s">
        <v>261</v>
      </c>
      <c r="B3" s="109"/>
      <c r="C3" s="165"/>
      <c r="D3" s="166" t="s">
        <v>230</v>
      </c>
    </row>
    <row r="4" spans="1:8" ht="38" customHeight="1">
      <c r="A4" s="167"/>
      <c r="B4" s="168"/>
      <c r="C4" s="169"/>
      <c r="D4" s="170" t="s">
        <v>262</v>
      </c>
    </row>
    <row r="5" spans="1:8" ht="20" customHeight="1" thickBot="1">
      <c r="A5" s="171" t="s">
        <v>302</v>
      </c>
      <c r="B5" s="171" t="s">
        <v>263</v>
      </c>
      <c r="C5" s="172"/>
      <c r="D5" s="173">
        <v>12328833435.989998</v>
      </c>
      <c r="F5" s="60"/>
      <c r="G5" s="60"/>
      <c r="H5" s="60"/>
    </row>
    <row r="6" spans="1:8" ht="20" customHeight="1" thickBot="1">
      <c r="A6" s="174">
        <v>331</v>
      </c>
      <c r="B6" s="174" t="s">
        <v>264</v>
      </c>
      <c r="C6" s="175" t="s">
        <v>265</v>
      </c>
      <c r="D6" s="173">
        <v>-74603327.540000007</v>
      </c>
      <c r="F6" s="60"/>
      <c r="G6" s="60"/>
      <c r="H6" s="60"/>
    </row>
    <row r="7" spans="1:8" ht="20" customHeight="1" thickBot="1">
      <c r="A7" s="174">
        <v>3501</v>
      </c>
      <c r="B7" s="174" t="s">
        <v>266</v>
      </c>
      <c r="C7" s="175" t="s">
        <v>265</v>
      </c>
      <c r="D7" s="173">
        <v>-11302029.719999999</v>
      </c>
      <c r="F7" s="60"/>
      <c r="G7" s="60"/>
      <c r="H7" s="60"/>
    </row>
    <row r="8" spans="1:8" ht="20" customHeight="1" thickBot="1">
      <c r="A8" s="174">
        <v>36</v>
      </c>
      <c r="B8" s="174" t="s">
        <v>267</v>
      </c>
      <c r="C8" s="175"/>
      <c r="D8" s="173">
        <v>1106329022.8099999</v>
      </c>
      <c r="F8" s="60"/>
      <c r="G8" s="60"/>
      <c r="H8" s="60"/>
    </row>
    <row r="9" spans="1:8" ht="20" customHeight="1" thickBot="1">
      <c r="A9" s="174">
        <v>37</v>
      </c>
      <c r="B9" s="2007" t="s">
        <v>1078</v>
      </c>
      <c r="C9" s="175" t="s">
        <v>265</v>
      </c>
      <c r="D9" s="173">
        <v>-1088347674.96</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12260909426.579998</v>
      </c>
      <c r="F11" s="60"/>
      <c r="G11" s="60"/>
      <c r="H11" s="60"/>
    </row>
    <row r="12" spans="1:8" ht="20" customHeight="1" thickBot="1">
      <c r="A12" s="174"/>
      <c r="B12" s="174"/>
      <c r="C12" s="175"/>
      <c r="D12" s="173" t="s">
        <v>397</v>
      </c>
      <c r="F12" s="60"/>
      <c r="G12" s="60"/>
      <c r="H12" s="60"/>
    </row>
    <row r="13" spans="1:8" ht="20" customHeight="1" thickBot="1">
      <c r="A13" s="174" t="s">
        <v>303</v>
      </c>
      <c r="B13" s="174" t="s">
        <v>270</v>
      </c>
      <c r="C13" s="175" t="s">
        <v>265</v>
      </c>
      <c r="D13" s="173">
        <v>-10681639175.890001</v>
      </c>
      <c r="F13" s="60"/>
      <c r="G13" s="60"/>
      <c r="H13" s="60"/>
    </row>
    <row r="14" spans="1:8" ht="20" customHeight="1" thickBot="1">
      <c r="A14" s="204" t="s">
        <v>304</v>
      </c>
      <c r="B14" s="174" t="s">
        <v>271</v>
      </c>
      <c r="C14" s="175"/>
      <c r="D14" s="173">
        <v>1883032027.3299994</v>
      </c>
      <c r="F14" s="60"/>
      <c r="G14" s="60"/>
      <c r="H14" s="60"/>
    </row>
    <row r="15" spans="1:8" ht="20" customHeight="1" thickBot="1">
      <c r="A15" s="174" t="s">
        <v>305</v>
      </c>
      <c r="B15" s="2007" t="s">
        <v>2569</v>
      </c>
      <c r="C15" s="175" t="s">
        <v>265</v>
      </c>
      <c r="D15" s="173">
        <v>-3437143.1941600004</v>
      </c>
      <c r="F15" s="60"/>
      <c r="G15" s="60"/>
      <c r="H15" s="60"/>
    </row>
    <row r="16" spans="1:8" ht="20" customHeight="1" thickBot="1">
      <c r="A16" s="174">
        <v>4300</v>
      </c>
      <c r="B16" s="2007" t="s">
        <v>2565</v>
      </c>
      <c r="C16" s="175" t="s">
        <v>265</v>
      </c>
      <c r="D16" s="173">
        <v>-46061086.169999994</v>
      </c>
      <c r="F16" s="60"/>
      <c r="G16" s="60"/>
      <c r="H16" s="176"/>
    </row>
    <row r="17" spans="1:8" ht="20" customHeight="1" thickBot="1">
      <c r="A17" s="174">
        <v>4310</v>
      </c>
      <c r="B17" s="2007" t="s">
        <v>2566</v>
      </c>
      <c r="C17" s="175" t="s">
        <v>265</v>
      </c>
      <c r="D17" s="173">
        <v>-15132406.400000002</v>
      </c>
      <c r="F17" s="60"/>
      <c r="G17" s="60"/>
      <c r="H17" s="60"/>
    </row>
    <row r="18" spans="1:8" ht="20" customHeight="1" thickBot="1">
      <c r="A18" s="174">
        <v>4321</v>
      </c>
      <c r="B18" s="174" t="s">
        <v>272</v>
      </c>
      <c r="C18" s="175" t="s">
        <v>265</v>
      </c>
      <c r="D18" s="173">
        <v>-12945518.520000001</v>
      </c>
      <c r="F18" s="60"/>
      <c r="G18" s="60"/>
      <c r="H18" s="177"/>
    </row>
    <row r="19" spans="1:8" ht="20" customHeight="1" thickBot="1">
      <c r="A19" s="174">
        <v>4510</v>
      </c>
      <c r="B19" s="2007" t="s">
        <v>1090</v>
      </c>
      <c r="C19" s="175"/>
      <c r="D19" s="173">
        <v>-409275395.20000005</v>
      </c>
      <c r="F19" s="60"/>
      <c r="G19" s="60"/>
      <c r="H19" s="60"/>
    </row>
    <row r="20" spans="1:8" ht="20" customHeight="1" thickBot="1">
      <c r="A20" s="174">
        <v>4401</v>
      </c>
      <c r="B20" s="174" t="s">
        <v>274</v>
      </c>
      <c r="C20" s="175"/>
      <c r="D20" s="173">
        <v>8827254.6700000018</v>
      </c>
      <c r="F20" s="60"/>
      <c r="G20" s="60"/>
      <c r="H20" s="60"/>
    </row>
    <row r="21" spans="1:8" ht="20" customHeight="1" thickBot="1">
      <c r="A21" s="174">
        <v>48</v>
      </c>
      <c r="B21" s="174" t="s">
        <v>275</v>
      </c>
      <c r="C21" s="175"/>
      <c r="D21" s="173">
        <v>-1874808732.5781796</v>
      </c>
      <c r="F21" s="60"/>
      <c r="G21" s="60"/>
      <c r="H21" s="60"/>
    </row>
    <row r="22" spans="1:8" ht="20" customHeight="1" thickBot="1">
      <c r="A22" s="174"/>
      <c r="B22" s="174"/>
      <c r="C22" s="175"/>
      <c r="D22" s="173" t="s">
        <v>397</v>
      </c>
      <c r="F22" s="60"/>
      <c r="G22" s="60"/>
      <c r="H22" s="60"/>
    </row>
    <row r="23" spans="1:8" ht="20" customHeight="1" thickBot="1">
      <c r="A23" s="174">
        <v>4</v>
      </c>
      <c r="B23" s="2007" t="s">
        <v>2567</v>
      </c>
      <c r="C23" s="175"/>
      <c r="D23" s="173">
        <v>-11151440175.952343</v>
      </c>
      <c r="F23" s="60"/>
      <c r="G23" s="60"/>
      <c r="H23" s="60"/>
    </row>
    <row r="24" spans="1:8" ht="20" customHeight="1" thickBot="1">
      <c r="A24" s="174"/>
      <c r="B24" s="174"/>
      <c r="C24" s="175"/>
      <c r="D24" s="173" t="s">
        <v>397</v>
      </c>
      <c r="F24" s="60"/>
      <c r="G24" s="60"/>
      <c r="H24" s="60"/>
    </row>
    <row r="25" spans="1:8" ht="20" customHeight="1" thickBot="1">
      <c r="A25" s="174">
        <v>992</v>
      </c>
      <c r="B25" s="174" t="s">
        <v>277</v>
      </c>
      <c r="C25" s="175"/>
      <c r="D25" s="173">
        <v>1109469250.627655</v>
      </c>
      <c r="F25" s="60"/>
      <c r="G25" s="60"/>
      <c r="H25" s="60"/>
    </row>
    <row r="26" spans="1:8" ht="20" customHeight="1" thickBot="1">
      <c r="A26" s="174"/>
      <c r="B26" s="174"/>
      <c r="C26" s="175"/>
      <c r="D26" s="173" t="s">
        <v>397</v>
      </c>
      <c r="F26" s="60"/>
      <c r="G26" s="60"/>
      <c r="H26" s="60"/>
    </row>
    <row r="27" spans="1:8" ht="20" customHeight="1" thickBot="1">
      <c r="A27" s="174">
        <v>500</v>
      </c>
      <c r="B27" s="174" t="s">
        <v>278</v>
      </c>
      <c r="C27" s="175" t="s">
        <v>265</v>
      </c>
      <c r="D27" s="173">
        <v>-505271031.31999993</v>
      </c>
      <c r="F27" s="60"/>
      <c r="G27" s="60"/>
      <c r="H27" s="60"/>
    </row>
    <row r="28" spans="1:8" ht="20" customHeight="1" thickBot="1">
      <c r="A28" s="174">
        <v>501</v>
      </c>
      <c r="B28" s="2007" t="s">
        <v>2568</v>
      </c>
      <c r="C28" s="175" t="s">
        <v>265</v>
      </c>
      <c r="D28" s="173">
        <v>-4238214.82</v>
      </c>
      <c r="F28" s="60"/>
      <c r="G28" s="60"/>
      <c r="H28" s="60"/>
    </row>
    <row r="29" spans="1:8" ht="20" customHeight="1" thickBot="1">
      <c r="A29" s="174">
        <v>510</v>
      </c>
      <c r="B29" s="174" t="s">
        <v>280</v>
      </c>
      <c r="C29" s="175" t="s">
        <v>265</v>
      </c>
      <c r="D29" s="173">
        <v>-55464881.700000018</v>
      </c>
      <c r="F29" s="60"/>
      <c r="G29" s="60"/>
      <c r="H29" s="60"/>
    </row>
    <row r="30" spans="1:8" ht="20" customHeight="1" thickBot="1">
      <c r="A30" s="174">
        <v>516</v>
      </c>
      <c r="B30" s="174" t="s">
        <v>281</v>
      </c>
      <c r="C30" s="175" t="s">
        <v>265</v>
      </c>
      <c r="D30" s="173">
        <v>-27966711.210000001</v>
      </c>
      <c r="F30" s="60"/>
      <c r="G30" s="60"/>
      <c r="H30" s="60"/>
    </row>
    <row r="31" spans="1:8" ht="20" customHeight="1" thickBot="1">
      <c r="A31" s="174">
        <v>517</v>
      </c>
      <c r="B31" s="174" t="s">
        <v>282</v>
      </c>
      <c r="C31" s="175" t="s">
        <v>265</v>
      </c>
      <c r="D31" s="173">
        <v>-12266723.130000001</v>
      </c>
      <c r="F31" s="60"/>
      <c r="G31" s="60"/>
      <c r="H31" s="60"/>
    </row>
    <row r="32" spans="1:8" ht="20" customHeight="1" thickBot="1">
      <c r="A32" s="174">
        <v>519</v>
      </c>
      <c r="B32" s="174" t="s">
        <v>283</v>
      </c>
      <c r="C32" s="175" t="s">
        <v>265</v>
      </c>
      <c r="D32" s="173">
        <v>-16842268.040000003</v>
      </c>
      <c r="F32" s="60"/>
      <c r="G32" s="60"/>
      <c r="H32" s="60"/>
    </row>
    <row r="33" spans="1:8" ht="20" customHeight="1" thickBot="1">
      <c r="A33" s="174"/>
      <c r="B33" s="174"/>
      <c r="C33" s="175"/>
      <c r="D33" s="173" t="s">
        <v>397</v>
      </c>
      <c r="F33" s="60"/>
      <c r="G33" s="60"/>
      <c r="H33" s="60"/>
    </row>
    <row r="34" spans="1:8" ht="20" customHeight="1" thickBot="1">
      <c r="A34" s="174">
        <v>5</v>
      </c>
      <c r="B34" s="174" t="s">
        <v>306</v>
      </c>
      <c r="C34" s="175"/>
      <c r="D34" s="173">
        <v>-622049830.21999991</v>
      </c>
      <c r="F34" s="60"/>
      <c r="G34" s="60"/>
      <c r="H34" s="60"/>
    </row>
    <row r="35" spans="1:8" ht="20" customHeight="1" thickBot="1">
      <c r="A35" s="174"/>
      <c r="B35" s="174"/>
      <c r="C35" s="175"/>
      <c r="D35" s="173" t="s">
        <v>397</v>
      </c>
      <c r="F35" s="60"/>
      <c r="G35" s="60"/>
      <c r="H35" s="60"/>
    </row>
    <row r="36" spans="1:8" ht="20" customHeight="1" thickBot="1">
      <c r="A36" s="174">
        <v>993</v>
      </c>
      <c r="B36" s="174" t="s">
        <v>285</v>
      </c>
      <c r="C36" s="175" t="s">
        <v>265</v>
      </c>
      <c r="D36" s="173">
        <v>-11773490006.172342</v>
      </c>
      <c r="F36" s="60"/>
      <c r="G36" s="60"/>
      <c r="H36" s="60"/>
    </row>
    <row r="37" spans="1:8" ht="20" customHeight="1" thickBot="1">
      <c r="A37" s="174"/>
      <c r="B37" s="174"/>
      <c r="C37" s="175"/>
      <c r="D37" s="173" t="s">
        <v>397</v>
      </c>
      <c r="F37" s="60"/>
      <c r="G37" s="60"/>
      <c r="H37" s="60"/>
    </row>
    <row r="38" spans="1:8" ht="20" customHeight="1" thickBot="1">
      <c r="A38" s="174">
        <v>994</v>
      </c>
      <c r="B38" s="174" t="s">
        <v>286</v>
      </c>
      <c r="C38" s="175"/>
      <c r="D38" s="173">
        <v>487419420.40765572</v>
      </c>
      <c r="F38" s="60"/>
      <c r="G38" s="60"/>
      <c r="H38" s="60"/>
    </row>
    <row r="39" spans="1:8" ht="20" customHeight="1" thickBot="1">
      <c r="A39" s="174"/>
      <c r="B39" s="174"/>
      <c r="C39" s="175"/>
      <c r="D39" s="173" t="s">
        <v>397</v>
      </c>
      <c r="F39" s="60"/>
      <c r="G39" s="60"/>
      <c r="H39" s="60"/>
    </row>
    <row r="40" spans="1:8" ht="20" customHeight="1" thickBot="1">
      <c r="A40" s="174">
        <v>70</v>
      </c>
      <c r="B40" s="174" t="s">
        <v>287</v>
      </c>
      <c r="C40" s="175"/>
      <c r="D40" s="756" vm="245">
        <v>22773425.23</v>
      </c>
      <c r="F40" s="60"/>
      <c r="G40" s="60"/>
      <c r="H40" s="60"/>
    </row>
    <row r="41" spans="1:8" ht="20" customHeight="1" thickBot="1">
      <c r="A41" s="174">
        <v>71</v>
      </c>
      <c r="B41" s="174" t="s">
        <v>288</v>
      </c>
      <c r="C41" s="175" t="s">
        <v>265</v>
      </c>
      <c r="D41" s="173" vm="246">
        <v>-4444077.2299999986</v>
      </c>
      <c r="F41" s="60"/>
      <c r="G41" s="60"/>
      <c r="H41" s="60"/>
    </row>
    <row r="42" spans="1:8" ht="20" customHeight="1" thickBot="1">
      <c r="A42" s="174">
        <v>73</v>
      </c>
      <c r="B42" s="174" t="s">
        <v>289</v>
      </c>
      <c r="C42" s="175"/>
      <c r="D42" s="173" vm="247">
        <v>290902338.69</v>
      </c>
      <c r="F42" s="60"/>
      <c r="G42" s="60"/>
      <c r="H42" s="60"/>
    </row>
    <row r="43" spans="1:8" ht="20" customHeight="1" thickBot="1">
      <c r="A43" s="174">
        <v>810</v>
      </c>
      <c r="B43" s="174" t="s">
        <v>290</v>
      </c>
      <c r="C43" s="175"/>
      <c r="D43" s="173" vm="248">
        <v>13171731.98</v>
      </c>
      <c r="F43" s="60"/>
      <c r="G43" s="60"/>
      <c r="H43" s="60"/>
    </row>
    <row r="44" spans="1:8" ht="20" customHeight="1" thickBot="1">
      <c r="A44" s="174">
        <v>820</v>
      </c>
      <c r="B44" s="174" t="s">
        <v>291</v>
      </c>
      <c r="C44" s="175" t="s">
        <v>265</v>
      </c>
      <c r="D44" s="173" vm="249">
        <v>-6753600.3399999999</v>
      </c>
      <c r="F44" s="60"/>
      <c r="G44" s="60"/>
      <c r="H44" s="60"/>
    </row>
    <row r="45" spans="1:8" ht="20" customHeight="1" thickBot="1">
      <c r="A45" s="174">
        <v>9</v>
      </c>
      <c r="B45" s="174" t="s">
        <v>292</v>
      </c>
      <c r="C45" s="175"/>
      <c r="D45" s="173">
        <v>0</v>
      </c>
      <c r="F45" s="60"/>
      <c r="G45" s="60"/>
      <c r="H45" s="60"/>
    </row>
    <row r="46" spans="1:8" ht="20" customHeight="1" thickBot="1">
      <c r="A46" s="174"/>
      <c r="B46" s="174"/>
      <c r="C46" s="175"/>
      <c r="D46" s="173" t="s">
        <v>397</v>
      </c>
      <c r="F46" s="60"/>
      <c r="G46" s="60"/>
      <c r="H46" s="60"/>
    </row>
    <row r="47" spans="1:8" ht="20" customHeight="1" thickBot="1">
      <c r="A47" s="174">
        <v>995</v>
      </c>
      <c r="B47" s="174" t="s">
        <v>293</v>
      </c>
      <c r="C47" s="175"/>
      <c r="D47" s="756">
        <v>315649818.33000004</v>
      </c>
      <c r="F47" s="60"/>
      <c r="G47" s="60"/>
      <c r="H47" s="60"/>
    </row>
    <row r="48" spans="1:8" ht="20" customHeight="1" thickBot="1">
      <c r="A48" s="174"/>
      <c r="B48" s="174"/>
      <c r="C48" s="175"/>
      <c r="D48" s="173" t="s">
        <v>397</v>
      </c>
      <c r="F48" s="60"/>
      <c r="G48" s="60"/>
      <c r="H48" s="60"/>
    </row>
    <row r="49" spans="1:8" ht="20" customHeight="1" thickBot="1">
      <c r="A49" s="178">
        <v>999</v>
      </c>
      <c r="B49" s="178" t="s">
        <v>294</v>
      </c>
      <c r="C49" s="179"/>
      <c r="D49" s="1221">
        <v>803069238.73765576</v>
      </c>
      <c r="F49" s="60"/>
      <c r="G49" s="60"/>
      <c r="H49" s="60"/>
    </row>
    <row r="50" spans="1:8" ht="15.5" customHeight="1">
      <c r="A50" s="3" t="s">
        <v>396</v>
      </c>
    </row>
    <row r="52" spans="1:8">
      <c r="A52" s="438" t="s">
        <v>562</v>
      </c>
    </row>
    <row r="53" spans="1:8">
      <c r="A53" s="198"/>
    </row>
    <row r="54" spans="1:8">
      <c r="A54" s="3" t="s">
        <v>308</v>
      </c>
      <c r="F54" s="439"/>
    </row>
    <row r="57" spans="1:8">
      <c r="A57" s="3" t="s">
        <v>395</v>
      </c>
    </row>
    <row r="63" spans="1:8">
      <c r="B63" s="199"/>
      <c r="C63" s="199"/>
      <c r="D63" s="60"/>
    </row>
    <row r="66" spans="1:4" ht="14">
      <c r="A66" s="200"/>
      <c r="B66" s="200"/>
      <c r="C66" s="201"/>
      <c r="D66" s="202"/>
    </row>
  </sheetData>
  <mergeCells count="1">
    <mergeCell ref="A2:B2"/>
  </mergeCells>
  <pageMargins left="0.6" right="0.63" top="0.78" bottom="0.49" header="0.42" footer="0.4921259845"/>
  <pageSetup paperSize="9" scale="68"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B315-E130-CC4F-9951-3369330ECB7E}">
  <sheetPr>
    <pageSetUpPr fitToPage="1"/>
  </sheetPr>
  <dimension ref="A1:H71"/>
  <sheetViews>
    <sheetView zoomScaleNormal="100" workbookViewId="0">
      <selection activeCell="B9" sqref="B9"/>
    </sheetView>
  </sheetViews>
  <sheetFormatPr baseColWidth="10" defaultColWidth="11.3984375" defaultRowHeight="13"/>
  <cols>
    <col min="1" max="1" width="13.3984375" style="3" customWidth="1"/>
    <col min="2" max="2" width="68.19921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55.75" customHeight="1">
      <c r="A2" s="2054" t="s">
        <v>260</v>
      </c>
      <c r="B2" s="2055"/>
      <c r="C2" s="163"/>
      <c r="D2" s="164">
        <v>2012</v>
      </c>
    </row>
    <row r="3" spans="1:8" ht="39" customHeight="1">
      <c r="A3" s="109" t="s">
        <v>261</v>
      </c>
      <c r="B3" s="109"/>
      <c r="C3" s="165"/>
      <c r="D3" s="166" t="s">
        <v>230</v>
      </c>
    </row>
    <row r="4" spans="1:8" ht="38" customHeight="1">
      <c r="A4" s="167"/>
      <c r="B4" s="168"/>
      <c r="C4" s="169"/>
      <c r="D4" s="170" t="s">
        <v>262</v>
      </c>
    </row>
    <row r="5" spans="1:8" ht="20" customHeight="1" thickBot="1">
      <c r="A5" s="171">
        <v>3011</v>
      </c>
      <c r="B5" s="171" t="s">
        <v>263</v>
      </c>
      <c r="C5" s="172"/>
      <c r="D5" s="173">
        <v>161696204.32000002</v>
      </c>
      <c r="F5" s="60"/>
      <c r="G5" s="60"/>
      <c r="H5" s="60"/>
    </row>
    <row r="6" spans="1:8" ht="20" customHeight="1" thickBot="1">
      <c r="A6" s="174">
        <v>332</v>
      </c>
      <c r="B6" s="174" t="s">
        <v>264</v>
      </c>
      <c r="C6" s="175" t="s">
        <v>265</v>
      </c>
      <c r="D6" s="173">
        <v>-1325160.8500000003</v>
      </c>
      <c r="F6" s="60"/>
      <c r="G6" s="60"/>
      <c r="H6" s="60"/>
    </row>
    <row r="7" spans="1:8" ht="20" customHeight="1" thickBot="1">
      <c r="A7" s="174">
        <v>3501</v>
      </c>
      <c r="B7" s="174" t="s">
        <v>266</v>
      </c>
      <c r="C7" s="175" t="s">
        <v>265</v>
      </c>
      <c r="D7" s="173">
        <v>-64763.42</v>
      </c>
      <c r="F7" s="60"/>
      <c r="G7" s="60"/>
      <c r="H7" s="60"/>
    </row>
    <row r="8" spans="1:8" ht="20" customHeight="1" thickBot="1">
      <c r="A8" s="174">
        <v>36</v>
      </c>
      <c r="B8" s="174" t="s">
        <v>267</v>
      </c>
      <c r="C8" s="175"/>
      <c r="D8" s="173">
        <v>1608177.46</v>
      </c>
      <c r="F8" s="60"/>
      <c r="G8" s="60"/>
      <c r="H8" s="60"/>
    </row>
    <row r="9" spans="1:8" ht="20" customHeight="1" thickBot="1">
      <c r="A9" s="174">
        <v>37</v>
      </c>
      <c r="B9" s="2007" t="s">
        <v>1078</v>
      </c>
      <c r="C9" s="175" t="s">
        <v>265</v>
      </c>
      <c r="D9" s="173">
        <v>-1608778.46</v>
      </c>
      <c r="F9" s="60"/>
      <c r="G9" s="60"/>
      <c r="H9" s="60"/>
    </row>
    <row r="10" spans="1:8" ht="20" customHeight="1" thickBot="1">
      <c r="A10" s="174">
        <v>3</v>
      </c>
      <c r="B10" s="2007" t="s">
        <v>818</v>
      </c>
      <c r="C10" s="175"/>
      <c r="D10" s="173">
        <v>160305679.05000004</v>
      </c>
      <c r="F10" s="60"/>
      <c r="G10" s="60"/>
      <c r="H10" s="60"/>
    </row>
    <row r="11" spans="1:8" ht="20" customHeight="1" thickBot="1">
      <c r="A11" s="174"/>
      <c r="B11" s="174"/>
      <c r="C11" s="175"/>
      <c r="D11" s="173" t="s">
        <v>397</v>
      </c>
      <c r="F11" s="60"/>
      <c r="G11" s="60"/>
      <c r="H11" s="60"/>
    </row>
    <row r="12" spans="1:8" ht="20" customHeight="1" thickBot="1">
      <c r="A12" s="174">
        <v>4011</v>
      </c>
      <c r="B12" s="174" t="s">
        <v>270</v>
      </c>
      <c r="C12" s="175" t="s">
        <v>265</v>
      </c>
      <c r="D12" s="173">
        <v>-101719755.86999999</v>
      </c>
      <c r="F12" s="60"/>
      <c r="G12" s="60"/>
      <c r="H12" s="60"/>
    </row>
    <row r="13" spans="1:8" ht="20" customHeight="1" thickBot="1">
      <c r="A13" s="174">
        <v>4201</v>
      </c>
      <c r="B13" s="174" t="s">
        <v>271</v>
      </c>
      <c r="C13" s="175"/>
      <c r="D13" s="173">
        <v>5495478.4400000013</v>
      </c>
      <c r="F13" s="60"/>
      <c r="G13" s="60"/>
      <c r="H13" s="60"/>
    </row>
    <row r="14" spans="1:8" ht="20" customHeight="1" thickBot="1">
      <c r="A14" s="174">
        <v>4211</v>
      </c>
      <c r="B14" s="2007" t="s">
        <v>2569</v>
      </c>
      <c r="C14" s="175" t="s">
        <v>265</v>
      </c>
      <c r="D14" s="173">
        <v>-42039.16</v>
      </c>
      <c r="F14" s="60"/>
      <c r="G14" s="60"/>
      <c r="H14" s="60"/>
    </row>
    <row r="15" spans="1:8" ht="20" customHeight="1" thickBot="1">
      <c r="A15" s="174">
        <v>4301</v>
      </c>
      <c r="B15" s="2007" t="s">
        <v>2565</v>
      </c>
      <c r="C15" s="175" t="s">
        <v>265</v>
      </c>
      <c r="D15" s="173">
        <v>-20751.900000000001</v>
      </c>
      <c r="F15" s="60"/>
      <c r="G15" s="60"/>
      <c r="H15" s="60"/>
    </row>
    <row r="16" spans="1:8" ht="20" customHeight="1" thickBot="1">
      <c r="A16" s="174">
        <v>4311</v>
      </c>
      <c r="B16" s="2007" t="s">
        <v>2566</v>
      </c>
      <c r="C16" s="175" t="s">
        <v>265</v>
      </c>
      <c r="D16" s="173">
        <v>-28043.489999999998</v>
      </c>
      <c r="F16" s="60"/>
      <c r="G16" s="60"/>
      <c r="H16" s="176"/>
    </row>
    <row r="17" spans="1:8" ht="20" customHeight="1" thickBot="1">
      <c r="A17" s="174">
        <v>4322</v>
      </c>
      <c r="B17" s="174" t="s">
        <v>272</v>
      </c>
      <c r="C17" s="175" t="s">
        <v>265</v>
      </c>
      <c r="D17" s="173">
        <v>-54374.259999999987</v>
      </c>
      <c r="F17" s="60"/>
      <c r="G17" s="60"/>
      <c r="H17" s="60"/>
    </row>
    <row r="18" spans="1:8" ht="20" customHeight="1" thickBot="1">
      <c r="A18" s="174">
        <v>45110</v>
      </c>
      <c r="B18" s="2007" t="s">
        <v>1090</v>
      </c>
      <c r="C18" s="175"/>
      <c r="D18" s="173">
        <v>-3093226.2899999991</v>
      </c>
      <c r="F18" s="60"/>
      <c r="G18" s="60"/>
      <c r="H18" s="177"/>
    </row>
    <row r="19" spans="1:8" ht="20" customHeight="1" thickBot="1">
      <c r="A19" s="174">
        <v>4401</v>
      </c>
      <c r="B19" s="174" t="s">
        <v>274</v>
      </c>
      <c r="C19" s="175"/>
      <c r="D19" s="173">
        <v>62313.2</v>
      </c>
      <c r="F19" s="60"/>
      <c r="G19" s="60"/>
      <c r="H19" s="60"/>
    </row>
    <row r="20" spans="1:8" ht="20" customHeight="1" thickBot="1">
      <c r="A20" s="174">
        <v>48</v>
      </c>
      <c r="B20" s="174" t="s">
        <v>275</v>
      </c>
      <c r="C20" s="175"/>
      <c r="D20" s="173">
        <v>-29306179.780000001</v>
      </c>
      <c r="F20" s="60"/>
      <c r="G20" s="60"/>
      <c r="H20" s="60"/>
    </row>
    <row r="21" spans="1:8" ht="20" customHeight="1" thickBot="1">
      <c r="A21" s="174"/>
      <c r="B21" s="174"/>
      <c r="C21" s="175"/>
      <c r="D21" s="173" t="s">
        <v>397</v>
      </c>
      <c r="F21" s="60"/>
      <c r="G21" s="60"/>
      <c r="H21" s="60"/>
    </row>
    <row r="22" spans="1:8" ht="20" customHeight="1" thickBot="1">
      <c r="A22" s="174">
        <v>4</v>
      </c>
      <c r="B22" s="2007" t="s">
        <v>2567</v>
      </c>
      <c r="C22" s="175"/>
      <c r="D22" s="173">
        <v>-128706579.11</v>
      </c>
      <c r="F22" s="60"/>
      <c r="G22" s="60"/>
      <c r="H22" s="60"/>
    </row>
    <row r="23" spans="1:8" ht="20" customHeight="1" thickBot="1">
      <c r="A23" s="174"/>
      <c r="B23" s="174"/>
      <c r="C23" s="175"/>
      <c r="D23" s="173" t="s">
        <v>397</v>
      </c>
      <c r="F23" s="60"/>
      <c r="G23" s="60"/>
      <c r="H23" s="60"/>
    </row>
    <row r="24" spans="1:8" ht="20" customHeight="1" thickBot="1">
      <c r="A24" s="174">
        <v>992</v>
      </c>
      <c r="B24" s="174" t="s">
        <v>277</v>
      </c>
      <c r="C24" s="175"/>
      <c r="D24" s="173">
        <v>31599099.940000042</v>
      </c>
      <c r="F24" s="60"/>
      <c r="G24" s="60"/>
      <c r="H24" s="60"/>
    </row>
    <row r="25" spans="1:8" ht="20" customHeight="1" thickBot="1">
      <c r="A25" s="174"/>
      <c r="B25" s="174"/>
      <c r="C25" s="175"/>
      <c r="D25" s="173" t="s">
        <v>397</v>
      </c>
      <c r="F25" s="60"/>
      <c r="G25" s="60"/>
      <c r="H25" s="60"/>
    </row>
    <row r="26" spans="1:8" ht="20" customHeight="1" thickBot="1">
      <c r="A26" s="174">
        <v>500</v>
      </c>
      <c r="B26" s="174" t="s">
        <v>278</v>
      </c>
      <c r="C26" s="175" t="s">
        <v>265</v>
      </c>
      <c r="D26" s="173">
        <v>-14963090.110000003</v>
      </c>
      <c r="F26" s="60"/>
      <c r="G26" s="60"/>
      <c r="H26" s="60"/>
    </row>
    <row r="27" spans="1:8" ht="20" customHeight="1" thickBot="1">
      <c r="A27" s="174">
        <v>501</v>
      </c>
      <c r="B27" s="2007" t="s">
        <v>2568</v>
      </c>
      <c r="C27" s="175" t="s">
        <v>265</v>
      </c>
      <c r="D27" s="173">
        <v>-9064.19</v>
      </c>
      <c r="F27" s="60"/>
      <c r="G27" s="60"/>
      <c r="H27" s="60"/>
    </row>
    <row r="28" spans="1:8" ht="20" customHeight="1" thickBot="1">
      <c r="A28" s="174">
        <v>510</v>
      </c>
      <c r="B28" s="174" t="s">
        <v>280</v>
      </c>
      <c r="C28" s="175" t="s">
        <v>265</v>
      </c>
      <c r="D28" s="173">
        <v>5352928.459999999</v>
      </c>
      <c r="F28" s="60"/>
      <c r="G28" s="60"/>
      <c r="H28" s="60"/>
    </row>
    <row r="29" spans="1:8" ht="20" customHeight="1" thickBot="1">
      <c r="A29" s="174">
        <v>516</v>
      </c>
      <c r="B29" s="174" t="s">
        <v>281</v>
      </c>
      <c r="C29" s="175" t="s">
        <v>265</v>
      </c>
      <c r="D29" s="173">
        <v>-857459.42000000016</v>
      </c>
      <c r="F29" s="60"/>
      <c r="G29" s="60"/>
      <c r="H29" s="60"/>
    </row>
    <row r="30" spans="1:8" ht="20" customHeight="1" thickBot="1">
      <c r="A30" s="174">
        <v>517</v>
      </c>
      <c r="B30" s="174" t="s">
        <v>282</v>
      </c>
      <c r="C30" s="175" t="s">
        <v>265</v>
      </c>
      <c r="D30" s="173">
        <v>-112739.1</v>
      </c>
      <c r="F30" s="60"/>
      <c r="G30" s="60"/>
      <c r="H30" s="60"/>
    </row>
    <row r="31" spans="1:8" ht="20" customHeight="1" thickBot="1">
      <c r="A31" s="174">
        <v>519</v>
      </c>
      <c r="B31" s="174" t="s">
        <v>283</v>
      </c>
      <c r="C31" s="175" t="s">
        <v>265</v>
      </c>
      <c r="D31" s="173">
        <v>-506102.14000000007</v>
      </c>
      <c r="F31" s="60"/>
      <c r="G31" s="60"/>
      <c r="H31" s="60"/>
    </row>
    <row r="32" spans="1:8" ht="20" customHeight="1" thickBot="1">
      <c r="A32" s="174"/>
      <c r="B32" s="174"/>
      <c r="C32" s="175"/>
      <c r="D32" s="173" t="s">
        <v>397</v>
      </c>
      <c r="F32" s="60"/>
      <c r="G32" s="60"/>
      <c r="H32" s="60"/>
    </row>
    <row r="33" spans="1:8" ht="20" customHeight="1" thickBot="1">
      <c r="A33" s="174">
        <v>5</v>
      </c>
      <c r="B33" s="174" t="s">
        <v>284</v>
      </c>
      <c r="C33" s="175"/>
      <c r="D33" s="173">
        <v>-11095526.500000004</v>
      </c>
      <c r="F33" s="60"/>
      <c r="G33" s="60"/>
      <c r="H33" s="60"/>
    </row>
    <row r="34" spans="1:8" ht="20" customHeight="1" thickBot="1">
      <c r="A34" s="174"/>
      <c r="B34" s="174"/>
      <c r="C34" s="175"/>
      <c r="D34" s="173" t="s">
        <v>397</v>
      </c>
      <c r="F34" s="60"/>
      <c r="G34" s="60"/>
      <c r="H34" s="60"/>
    </row>
    <row r="35" spans="1:8" ht="20" customHeight="1" thickBot="1">
      <c r="A35" s="174">
        <v>993</v>
      </c>
      <c r="B35" s="174" t="s">
        <v>285</v>
      </c>
      <c r="C35" s="175" t="s">
        <v>265</v>
      </c>
      <c r="D35" s="173">
        <v>-139802105.61000001</v>
      </c>
      <c r="F35" s="60"/>
      <c r="G35" s="60"/>
      <c r="H35" s="60"/>
    </row>
    <row r="36" spans="1:8" ht="20" customHeight="1" thickBot="1">
      <c r="A36" s="174"/>
      <c r="B36" s="174"/>
      <c r="C36" s="175"/>
      <c r="D36" s="173" t="s">
        <v>397</v>
      </c>
      <c r="F36" s="60"/>
      <c r="G36" s="60"/>
      <c r="H36" s="60"/>
    </row>
    <row r="37" spans="1:8" ht="20" customHeight="1" thickBot="1">
      <c r="A37" s="174">
        <v>994</v>
      </c>
      <c r="B37" s="174" t="s">
        <v>286</v>
      </c>
      <c r="C37" s="175"/>
      <c r="D37" s="173">
        <v>20503573.440000027</v>
      </c>
      <c r="F37" s="60"/>
      <c r="G37" s="60"/>
      <c r="H37" s="60"/>
    </row>
    <row r="38" spans="1:8" ht="20" customHeight="1" thickBot="1">
      <c r="A38" s="174"/>
      <c r="B38" s="174"/>
      <c r="C38" s="175"/>
      <c r="D38" s="173" t="s">
        <v>397</v>
      </c>
      <c r="F38" s="60"/>
      <c r="G38" s="60"/>
      <c r="H38" s="60"/>
    </row>
    <row r="39" spans="1:8" ht="20" customHeight="1" thickBot="1">
      <c r="A39" s="174">
        <v>70</v>
      </c>
      <c r="B39" s="174" t="s">
        <v>287</v>
      </c>
      <c r="C39" s="175"/>
      <c r="D39" s="173">
        <v>296522.59999999998</v>
      </c>
      <c r="F39" s="60"/>
      <c r="G39" s="60"/>
      <c r="H39" s="60"/>
    </row>
    <row r="40" spans="1:8" ht="20" customHeight="1" thickBot="1">
      <c r="A40" s="174">
        <v>71</v>
      </c>
      <c r="B40" s="174" t="s">
        <v>288</v>
      </c>
      <c r="C40" s="175" t="s">
        <v>265</v>
      </c>
      <c r="D40" s="173">
        <v>-75486.179999999993</v>
      </c>
      <c r="F40" s="60"/>
      <c r="G40" s="60"/>
      <c r="H40" s="60"/>
    </row>
    <row r="41" spans="1:8" ht="20" customHeight="1" thickBot="1">
      <c r="A41" s="174">
        <v>73</v>
      </c>
      <c r="B41" s="174" t="s">
        <v>289</v>
      </c>
      <c r="C41" s="175"/>
      <c r="D41" s="173">
        <v>6002539.6800000006</v>
      </c>
      <c r="F41" s="60"/>
      <c r="G41" s="60"/>
      <c r="H41" s="60"/>
    </row>
    <row r="42" spans="1:8" ht="20" customHeight="1" thickBot="1">
      <c r="A42" s="174">
        <v>810</v>
      </c>
      <c r="B42" s="174" t="s">
        <v>290</v>
      </c>
      <c r="C42" s="175"/>
      <c r="D42" s="173">
        <v>45705.71</v>
      </c>
      <c r="F42" s="60"/>
      <c r="G42" s="60"/>
      <c r="H42" s="60"/>
    </row>
    <row r="43" spans="1:8" ht="20" customHeight="1" thickBot="1">
      <c r="A43" s="174">
        <v>820</v>
      </c>
      <c r="B43" s="174" t="s">
        <v>291</v>
      </c>
      <c r="C43" s="175" t="s">
        <v>265</v>
      </c>
      <c r="D43" s="173">
        <v>-86384.76999999999</v>
      </c>
      <c r="F43" s="60"/>
      <c r="G43" s="60"/>
      <c r="H43" s="60"/>
    </row>
    <row r="44" spans="1:8" ht="20" customHeight="1" thickBot="1">
      <c r="A44" s="174">
        <v>9</v>
      </c>
      <c r="B44" s="174" t="s">
        <v>292</v>
      </c>
      <c r="C44" s="175"/>
      <c r="D44" s="173">
        <v>0</v>
      </c>
      <c r="F44" s="60"/>
      <c r="G44" s="60"/>
      <c r="H44" s="60"/>
    </row>
    <row r="45" spans="1:8" ht="20" customHeight="1" thickBot="1">
      <c r="A45" s="174"/>
      <c r="B45" s="174"/>
      <c r="C45" s="175"/>
      <c r="D45" s="173" t="s">
        <v>397</v>
      </c>
      <c r="F45" s="60"/>
      <c r="G45" s="60"/>
      <c r="H45" s="60"/>
    </row>
    <row r="46" spans="1:8" ht="20" customHeight="1" thickBot="1">
      <c r="A46" s="174">
        <v>995</v>
      </c>
      <c r="B46" s="174" t="s">
        <v>293</v>
      </c>
      <c r="C46" s="175"/>
      <c r="D46" s="173">
        <v>6182897.040000001</v>
      </c>
      <c r="F46" s="60"/>
      <c r="G46" s="60"/>
      <c r="H46" s="60"/>
    </row>
    <row r="47" spans="1:8" ht="20" customHeight="1" thickBot="1">
      <c r="A47" s="174"/>
      <c r="B47" s="174"/>
      <c r="C47" s="175"/>
      <c r="D47" s="173" t="s">
        <v>397</v>
      </c>
      <c r="F47" s="60"/>
      <c r="G47" s="60"/>
      <c r="H47" s="60"/>
    </row>
    <row r="48" spans="1:8" ht="20" customHeight="1" thickBot="1">
      <c r="A48" s="178">
        <v>999</v>
      </c>
      <c r="B48" s="178" t="s">
        <v>294</v>
      </c>
      <c r="C48" s="179"/>
      <c r="D48" s="180">
        <v>26686470.480000027</v>
      </c>
      <c r="F48" s="60"/>
      <c r="G48" s="60"/>
      <c r="H48" s="60"/>
    </row>
    <row r="49" spans="1:5" ht="30" customHeight="1"/>
    <row r="50" spans="1:5" ht="24" customHeight="1">
      <c r="A50" s="183" t="s">
        <v>295</v>
      </c>
      <c r="B50" s="184"/>
      <c r="C50" s="184"/>
      <c r="D50" s="184"/>
      <c r="E50" s="185"/>
    </row>
    <row r="51" spans="1:5" ht="21" customHeight="1" thickBot="1">
      <c r="A51" s="186" t="s">
        <v>296</v>
      </c>
      <c r="B51" s="187" t="s">
        <v>297</v>
      </c>
      <c r="C51" s="188" t="s">
        <v>265</v>
      </c>
      <c r="D51" s="189">
        <v>-31351612.239999998</v>
      </c>
      <c r="E51" s="190"/>
    </row>
    <row r="52" spans="1:5" ht="21" customHeight="1" thickBot="1">
      <c r="A52" s="191" t="s">
        <v>296</v>
      </c>
      <c r="B52" s="174" t="s">
        <v>271</v>
      </c>
      <c r="C52" s="175"/>
      <c r="D52" s="192">
        <v>2339550.2799999998</v>
      </c>
      <c r="E52" s="190"/>
    </row>
    <row r="53" spans="1:5" ht="21" customHeight="1" thickBot="1">
      <c r="A53" s="191" t="s">
        <v>296</v>
      </c>
      <c r="B53" s="174" t="s">
        <v>298</v>
      </c>
      <c r="C53" s="193" t="s">
        <v>265</v>
      </c>
      <c r="D53" s="192">
        <v>-29012061.960000001</v>
      </c>
      <c r="E53" s="190"/>
    </row>
    <row r="54" spans="1:5" ht="15.75" customHeight="1">
      <c r="A54" s="130" t="s">
        <v>396</v>
      </c>
      <c r="B54" s="194"/>
      <c r="C54" s="130"/>
      <c r="D54" s="195"/>
      <c r="E54" s="196"/>
    </row>
    <row r="55" spans="1:5">
      <c r="C55" s="3"/>
      <c r="D55" s="8"/>
      <c r="E55" s="182"/>
    </row>
    <row r="56" spans="1:5">
      <c r="A56" s="3" t="s">
        <v>563</v>
      </c>
      <c r="C56" s="3"/>
      <c r="D56" s="8"/>
      <c r="E56" s="182"/>
    </row>
    <row r="57" spans="1:5">
      <c r="A57" s="197" t="s">
        <v>299</v>
      </c>
      <c r="C57" s="3"/>
      <c r="D57" s="8"/>
      <c r="E57" s="182"/>
    </row>
    <row r="58" spans="1:5">
      <c r="A58" s="198"/>
    </row>
    <row r="59" spans="1:5">
      <c r="A59" s="3" t="s">
        <v>300</v>
      </c>
    </row>
    <row r="62" spans="1:5">
      <c r="A62" s="3" t="s">
        <v>395</v>
      </c>
    </row>
    <row r="68" spans="1:4">
      <c r="B68" s="199"/>
      <c r="C68" s="199"/>
      <c r="D68" s="60"/>
    </row>
    <row r="71" spans="1:4" ht="14">
      <c r="A71" s="200"/>
      <c r="B71" s="200"/>
      <c r="C71" s="201"/>
      <c r="D71" s="202"/>
    </row>
  </sheetData>
  <mergeCells count="1">
    <mergeCell ref="A2:B2"/>
  </mergeCells>
  <pageMargins left="0.6" right="0.63" top="0.78" bottom="0.49" header="0.42" footer="0.4921259845"/>
  <pageSetup paperSize="9" scale="61"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E3A2A-882D-114C-85BD-8E14E91CC243}">
  <sheetPr>
    <pageSetUpPr fitToPage="1"/>
  </sheetPr>
  <dimension ref="A1:J29"/>
  <sheetViews>
    <sheetView zoomScaleNormal="100" workbookViewId="0">
      <selection activeCell="A27" sqref="A27"/>
    </sheetView>
  </sheetViews>
  <sheetFormatPr baseColWidth="10" defaultColWidth="11.3984375" defaultRowHeight="13"/>
  <cols>
    <col min="1" max="1" width="14.3984375" style="3" customWidth="1"/>
    <col min="2" max="2" width="17.3984375" style="3" customWidth="1"/>
    <col min="3" max="5" width="15.3984375" style="3" customWidth="1"/>
    <col min="6" max="6" width="16.3984375" style="3" customWidth="1"/>
    <col min="7" max="16384" width="11.3984375" style="3"/>
  </cols>
  <sheetData>
    <row r="1" spans="1:10" s="2" customFormat="1" ht="14" customHeight="1"/>
    <row r="2" spans="1:10" s="2" customFormat="1" ht="26.25" customHeight="1">
      <c r="A2" s="2054" t="s">
        <v>224</v>
      </c>
      <c r="B2" s="2055"/>
      <c r="C2" s="2055"/>
      <c r="D2" s="2055"/>
      <c r="E2" s="2055"/>
      <c r="F2" s="2055"/>
    </row>
    <row r="3" spans="1:10" ht="24" customHeight="1">
      <c r="A3" s="109" t="s">
        <v>225</v>
      </c>
      <c r="B3" s="110" t="s">
        <v>226</v>
      </c>
      <c r="C3" s="111" t="s">
        <v>227</v>
      </c>
      <c r="D3" s="110" t="s">
        <v>228</v>
      </c>
      <c r="E3" s="111" t="s">
        <v>229</v>
      </c>
      <c r="F3" s="110" t="s">
        <v>230</v>
      </c>
    </row>
    <row r="4" spans="1:10" ht="15" customHeight="1">
      <c r="A4" s="112"/>
      <c r="B4" s="113" t="s">
        <v>231</v>
      </c>
      <c r="C4" s="114" t="s">
        <v>232</v>
      </c>
      <c r="D4" s="113" t="s">
        <v>233</v>
      </c>
      <c r="E4" s="115" t="s">
        <v>234</v>
      </c>
      <c r="F4" s="113"/>
    </row>
    <row r="5" spans="1:10" ht="15" customHeight="1">
      <c r="A5" s="112"/>
      <c r="B5" s="113" t="s">
        <v>235</v>
      </c>
      <c r="C5" s="114" t="s">
        <v>236</v>
      </c>
      <c r="D5" s="113"/>
      <c r="E5" s="115" t="s">
        <v>237</v>
      </c>
      <c r="F5" s="113"/>
    </row>
    <row r="6" spans="1:10" ht="21.75" customHeight="1">
      <c r="A6" s="116"/>
      <c r="B6" s="117"/>
      <c r="C6" s="118"/>
      <c r="D6" s="117"/>
      <c r="E6" s="119" t="s">
        <v>238</v>
      </c>
      <c r="F6" s="117"/>
    </row>
    <row r="7" spans="1:10" ht="1.5" customHeight="1" thickBot="1">
      <c r="A7" s="120">
        <v>1996</v>
      </c>
      <c r="B7" s="121">
        <v>-991.77532199999996</v>
      </c>
      <c r="C7" s="122">
        <v>663.77988200000004</v>
      </c>
      <c r="D7" s="121">
        <v>3.1671990000000001</v>
      </c>
      <c r="E7" s="122">
        <v>4.8958959999999996</v>
      </c>
      <c r="F7" s="121">
        <v>-319.932346</v>
      </c>
      <c r="G7" s="8"/>
    </row>
    <row r="8" spans="1:10" ht="0.75" hidden="1" customHeight="1" thickBot="1">
      <c r="A8" s="123">
        <v>1997</v>
      </c>
      <c r="B8" s="124">
        <v>-876.45968600000003</v>
      </c>
      <c r="C8" s="125">
        <v>838.25617299999999</v>
      </c>
      <c r="D8" s="124">
        <v>-2.0302950000000002</v>
      </c>
      <c r="E8" s="125">
        <v>110.40569600000001</v>
      </c>
      <c r="F8" s="124">
        <v>70.171887999999996</v>
      </c>
      <c r="G8" s="8"/>
      <c r="H8" s="9"/>
      <c r="I8" s="9"/>
      <c r="J8" s="9"/>
    </row>
    <row r="9" spans="1:10" ht="25.5" hidden="1" customHeight="1" thickBot="1">
      <c r="A9" s="123">
        <v>1998</v>
      </c>
      <c r="B9" s="124">
        <v>-430.86645099999998</v>
      </c>
      <c r="C9" s="125">
        <v>357.97673800000001</v>
      </c>
      <c r="D9" s="124">
        <v>4.5447670000000002</v>
      </c>
      <c r="E9" s="125">
        <v>68.311649000000003</v>
      </c>
      <c r="F9" s="124">
        <v>-3.3297E-2</v>
      </c>
      <c r="G9" s="8"/>
    </row>
    <row r="10" spans="1:10" ht="19.75" hidden="1" customHeight="1" thickBot="1">
      <c r="A10" s="123">
        <v>1999</v>
      </c>
      <c r="B10" s="124">
        <v>-927.49870799999997</v>
      </c>
      <c r="C10" s="125">
        <v>825.43840799999998</v>
      </c>
      <c r="D10" s="124">
        <v>3.6142530000000002</v>
      </c>
      <c r="E10" s="125">
        <v>49.059277000000002</v>
      </c>
      <c r="F10" s="124">
        <v>-49.386769999999999</v>
      </c>
      <c r="G10" s="8"/>
    </row>
    <row r="11" spans="1:10" ht="0.5" customHeight="1" thickBot="1">
      <c r="A11" s="123">
        <v>2000</v>
      </c>
      <c r="B11" s="124">
        <v>-1105.229685</v>
      </c>
      <c r="C11" s="125">
        <v>733.25541792999991</v>
      </c>
      <c r="D11" s="124">
        <v>3.8776509400000001</v>
      </c>
      <c r="E11" s="125">
        <v>62.142502969999995</v>
      </c>
      <c r="F11" s="124">
        <v>-305.95411339999998</v>
      </c>
      <c r="G11" s="8"/>
    </row>
    <row r="12" spans="1:10" ht="19.5" hidden="1" customHeight="1" thickBot="1">
      <c r="A12" s="123">
        <v>2001</v>
      </c>
      <c r="B12" s="124">
        <v>-1433.3465880000001</v>
      </c>
      <c r="C12" s="125">
        <v>618.03701349999994</v>
      </c>
      <c r="D12" s="124">
        <v>2.4723382099999998</v>
      </c>
      <c r="E12" s="125">
        <v>23.119861409999999</v>
      </c>
      <c r="F12" s="124">
        <v>-789.71737487999997</v>
      </c>
      <c r="G12" s="8"/>
    </row>
    <row r="13" spans="1:10" ht="19.5" customHeight="1" thickBot="1">
      <c r="A13" s="123">
        <v>2002</v>
      </c>
      <c r="B13" s="124">
        <v>-1276.900302</v>
      </c>
      <c r="C13" s="125">
        <v>976.64273475999994</v>
      </c>
      <c r="D13" s="124">
        <v>4.2638926399999999</v>
      </c>
      <c r="E13" s="125">
        <v>72.321311690000002</v>
      </c>
      <c r="F13" s="124">
        <v>-223.67236291000003</v>
      </c>
      <c r="G13" s="8"/>
    </row>
    <row r="14" spans="1:10" ht="19.5" customHeight="1" thickBot="1">
      <c r="A14" s="123">
        <v>2003</v>
      </c>
      <c r="B14" s="124">
        <v>-1199.9593440000001</v>
      </c>
      <c r="C14" s="125">
        <v>1406.6882224999999</v>
      </c>
      <c r="D14" s="124">
        <v>4.8424903200000005</v>
      </c>
      <c r="E14" s="125">
        <v>188.15856750999998</v>
      </c>
      <c r="F14" s="124">
        <v>399.72993632999999</v>
      </c>
      <c r="G14" s="8"/>
    </row>
    <row r="15" spans="1:10" ht="19.5" customHeight="1" thickBot="1">
      <c r="A15" s="123">
        <v>2004</v>
      </c>
      <c r="B15" s="124">
        <v>-1391.6407119999999</v>
      </c>
      <c r="C15" s="125">
        <v>1634.9812055999998</v>
      </c>
      <c r="D15" s="124">
        <v>5.2363249600000001</v>
      </c>
      <c r="E15" s="125">
        <v>265.5648372</v>
      </c>
      <c r="F15" s="124">
        <v>514.14165575999982</v>
      </c>
      <c r="G15" s="8"/>
    </row>
    <row r="16" spans="1:10" ht="19.5" customHeight="1" thickBot="1">
      <c r="A16" s="123">
        <v>2005</v>
      </c>
      <c r="B16" s="124">
        <v>-1649.4161382499999</v>
      </c>
      <c r="C16" s="125">
        <v>1546.15646917</v>
      </c>
      <c r="D16" s="124">
        <v>5.0852622199999997</v>
      </c>
      <c r="E16" s="125">
        <v>269.59908074000003</v>
      </c>
      <c r="F16" s="124">
        <v>171.42467388000009</v>
      </c>
      <c r="G16" s="8"/>
    </row>
    <row r="17" spans="1:7" ht="19.5" customHeight="1" thickBot="1">
      <c r="A17" s="123">
        <v>2006</v>
      </c>
      <c r="B17" s="124">
        <v>-1546.9894788199999</v>
      </c>
      <c r="C17" s="125">
        <v>1652.4787121400002</v>
      </c>
      <c r="D17" s="124">
        <v>4.8317589400000003</v>
      </c>
      <c r="E17" s="125">
        <v>380.62896021</v>
      </c>
      <c r="F17" s="124">
        <v>490.94995247000014</v>
      </c>
      <c r="G17" s="8"/>
    </row>
    <row r="18" spans="1:7" ht="19.5" customHeight="1" thickBot="1">
      <c r="A18" s="123">
        <v>2007</v>
      </c>
      <c r="B18" s="124">
        <v>-1647.7206760699999</v>
      </c>
      <c r="C18" s="125">
        <v>1490.2231348800001</v>
      </c>
      <c r="D18" s="124">
        <v>5.3827035700000003</v>
      </c>
      <c r="E18" s="125">
        <v>330.77491456000001</v>
      </c>
      <c r="F18" s="124">
        <v>178.66007694000018</v>
      </c>
      <c r="G18" s="8"/>
    </row>
    <row r="19" spans="1:7" ht="19.5" customHeight="1" thickBot="1">
      <c r="A19" s="123">
        <v>2008</v>
      </c>
      <c r="B19" s="124">
        <v>-2065.22871609</v>
      </c>
      <c r="C19" s="125">
        <v>1210.1395178499999</v>
      </c>
      <c r="D19" s="124">
        <v>3.7607259900000001</v>
      </c>
      <c r="E19" s="125">
        <v>96.009766569999996</v>
      </c>
      <c r="F19" s="124">
        <v>-755.31870568000011</v>
      </c>
      <c r="G19" s="8"/>
    </row>
    <row r="20" spans="1:7" ht="19.5" customHeight="1" thickBot="1">
      <c r="A20" s="123">
        <v>2009</v>
      </c>
      <c r="B20" s="124">
        <v>-1681.9109433599999</v>
      </c>
      <c r="C20" s="125">
        <v>1084.05465501</v>
      </c>
      <c r="D20" s="124">
        <v>4.3658856799999999</v>
      </c>
      <c r="E20" s="125">
        <v>121.88118064</v>
      </c>
      <c r="F20" s="124">
        <v>-471.60922202999984</v>
      </c>
      <c r="G20" s="8"/>
    </row>
    <row r="21" spans="1:7" ht="19.5" customHeight="1" thickBot="1">
      <c r="A21" s="123">
        <v>2010</v>
      </c>
      <c r="B21" s="124">
        <v>-1450.2067990799999</v>
      </c>
      <c r="C21" s="125">
        <v>1231.1412968599998</v>
      </c>
      <c r="D21" s="124">
        <v>6.3382554500000001</v>
      </c>
      <c r="E21" s="125">
        <v>437.23905256</v>
      </c>
      <c r="F21" s="124">
        <v>224.5118057899999</v>
      </c>
      <c r="G21" s="8"/>
    </row>
    <row r="22" spans="1:7" ht="19.5" customHeight="1" thickBot="1">
      <c r="A22" s="123">
        <v>2011</v>
      </c>
      <c r="B22" s="124">
        <v>-1395.4619334900001</v>
      </c>
      <c r="C22" s="125">
        <v>1202.0855390499999</v>
      </c>
      <c r="D22" s="124">
        <v>6.52914935</v>
      </c>
      <c r="E22" s="125">
        <v>774.51678420000007</v>
      </c>
      <c r="F22" s="124">
        <v>587.66953910999985</v>
      </c>
      <c r="G22" s="8"/>
    </row>
    <row r="23" spans="1:7" ht="30" customHeight="1" thickBot="1">
      <c r="A23" s="126">
        <v>2012</v>
      </c>
      <c r="B23" s="127">
        <v>-1127.4137352235175</v>
      </c>
      <c r="C23" s="128">
        <v>1233.7530670045585</v>
      </c>
      <c r="D23" s="127">
        <v>6.4760358299999998</v>
      </c>
      <c r="E23" s="128">
        <v>803.06923873765572</v>
      </c>
      <c r="F23" s="127">
        <v>915.88460634869671</v>
      </c>
      <c r="G23" s="129"/>
    </row>
    <row r="24" spans="1:7" ht="20" customHeight="1">
      <c r="A24" s="130" t="s">
        <v>396</v>
      </c>
      <c r="B24" s="130"/>
      <c r="C24" s="130"/>
      <c r="D24" s="130"/>
      <c r="E24" s="130"/>
      <c r="F24" s="130"/>
    </row>
    <row r="25" spans="1:7" ht="12" customHeight="1">
      <c r="A25" s="131"/>
      <c r="B25" s="131"/>
      <c r="C25" s="131"/>
      <c r="D25" s="131"/>
      <c r="E25" s="131"/>
      <c r="F25" s="131"/>
    </row>
    <row r="26" spans="1:7">
      <c r="A26" s="3" t="s">
        <v>239</v>
      </c>
    </row>
    <row r="29" spans="1:7">
      <c r="A29" s="3" t="s">
        <v>395</v>
      </c>
    </row>
  </sheetData>
  <mergeCells count="1">
    <mergeCell ref="A2:F2"/>
  </mergeCells>
  <pageMargins left="0.6" right="0.65" top="1.01" bottom="0.49" header="0.53" footer="0.4921259845"/>
  <pageSetup paperSize="9" scale="85"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5001-3E0A-5647-A923-BEB41D9A44A6}">
  <sheetPr>
    <pageSetUpPr fitToPage="1"/>
  </sheetPr>
  <dimension ref="A1:J29"/>
  <sheetViews>
    <sheetView zoomScaleNormal="100" workbookViewId="0">
      <selection activeCell="A22" sqref="A22:IV22"/>
    </sheetView>
  </sheetViews>
  <sheetFormatPr baseColWidth="10" defaultColWidth="11.3984375" defaultRowHeight="13"/>
  <cols>
    <col min="1" max="1" width="14.3984375" style="3" customWidth="1"/>
    <col min="2" max="6" width="15.3984375" style="3" customWidth="1"/>
    <col min="7" max="7" width="16.19921875" style="3" customWidth="1"/>
    <col min="8" max="16384" width="11.3984375" style="3"/>
  </cols>
  <sheetData>
    <row r="1" spans="1:10" s="2" customFormat="1" ht="14" customHeight="1"/>
    <row r="2" spans="1:10" s="2" customFormat="1" ht="39" customHeight="1">
      <c r="A2" s="2054" t="s">
        <v>240</v>
      </c>
      <c r="B2" s="2055"/>
      <c r="C2" s="2055"/>
      <c r="D2" s="2055"/>
      <c r="E2" s="2055"/>
      <c r="F2" s="2055"/>
    </row>
    <row r="3" spans="1:10" ht="24" customHeight="1">
      <c r="A3" s="109" t="s">
        <v>241</v>
      </c>
      <c r="B3" s="110" t="s">
        <v>226</v>
      </c>
      <c r="C3" s="111" t="s">
        <v>227</v>
      </c>
      <c r="D3" s="110" t="s">
        <v>228</v>
      </c>
      <c r="E3" s="111" t="s">
        <v>229</v>
      </c>
      <c r="F3" s="110" t="s">
        <v>242</v>
      </c>
    </row>
    <row r="4" spans="1:10" ht="15" customHeight="1">
      <c r="A4" s="112"/>
      <c r="B4" s="113" t="s">
        <v>231</v>
      </c>
      <c r="C4" s="114" t="s">
        <v>232</v>
      </c>
      <c r="D4" s="113" t="s">
        <v>233</v>
      </c>
      <c r="E4" s="115" t="s">
        <v>234</v>
      </c>
      <c r="F4" s="113" t="s">
        <v>243</v>
      </c>
    </row>
    <row r="5" spans="1:10" ht="15" customHeight="1">
      <c r="A5" s="112"/>
      <c r="B5" s="113" t="s">
        <v>235</v>
      </c>
      <c r="C5" s="114" t="s">
        <v>236</v>
      </c>
      <c r="D5" s="113"/>
      <c r="E5" s="115" t="s">
        <v>244</v>
      </c>
      <c r="F5" s="113" t="s">
        <v>245</v>
      </c>
    </row>
    <row r="6" spans="1:10" ht="24" customHeight="1">
      <c r="A6" s="116"/>
      <c r="B6" s="117"/>
      <c r="C6" s="118"/>
      <c r="D6" s="117"/>
      <c r="E6" s="119" t="s">
        <v>238</v>
      </c>
      <c r="F6" s="117"/>
    </row>
    <row r="7" spans="1:10" ht="1.5" customHeight="1" thickBot="1">
      <c r="A7" s="120">
        <v>1996</v>
      </c>
      <c r="B7" s="132">
        <v>-209.25119249563258</v>
      </c>
      <c r="C7" s="133">
        <v>287.88798918153714</v>
      </c>
      <c r="D7" s="132">
        <v>113.8133893919793</v>
      </c>
      <c r="E7" s="133">
        <v>40.26296485139558</v>
      </c>
      <c r="F7" s="132">
        <v>-44.467447531910054</v>
      </c>
    </row>
    <row r="8" spans="1:10" ht="0.75" hidden="1" customHeight="1" thickBot="1">
      <c r="A8" s="123">
        <v>1997</v>
      </c>
      <c r="B8" s="134">
        <v>-214.61582270081155</v>
      </c>
      <c r="C8" s="135">
        <v>306.33942450638875</v>
      </c>
      <c r="D8" s="134">
        <v>-176.63955107012353</v>
      </c>
      <c r="E8" s="135">
        <v>288.19554520703849</v>
      </c>
      <c r="F8" s="134">
        <v>9.7260962701001628</v>
      </c>
      <c r="H8" s="9"/>
      <c r="I8" s="9"/>
      <c r="J8" s="9"/>
    </row>
    <row r="9" spans="1:10" ht="19.5" hidden="1" customHeight="1" thickBot="1">
      <c r="A9" s="123">
        <v>1998</v>
      </c>
      <c r="B9" s="134">
        <v>-107.28033046607707</v>
      </c>
      <c r="C9" s="135">
        <v>131.29687859897859</v>
      </c>
      <c r="D9" s="134">
        <v>384.2379945891106</v>
      </c>
      <c r="E9" s="135">
        <v>138.27149421099506</v>
      </c>
      <c r="F9" s="134">
        <v>-4.5935747895146139E-3</v>
      </c>
    </row>
    <row r="10" spans="1:10" ht="19.75" hidden="1" customHeight="1" thickBot="1">
      <c r="A10" s="123">
        <v>1999</v>
      </c>
      <c r="B10" s="134">
        <v>-231.94750851767455</v>
      </c>
      <c r="C10" s="135">
        <v>303.95700464199626</v>
      </c>
      <c r="D10" s="134">
        <v>352.33505556638721</v>
      </c>
      <c r="E10" s="135">
        <v>90.53364520474635</v>
      </c>
      <c r="F10" s="134">
        <v>-6.7964685777290796</v>
      </c>
    </row>
    <row r="11" spans="1:10" ht="19.75" hidden="1" customHeight="1" thickBot="1">
      <c r="A11" s="123">
        <v>2000</v>
      </c>
      <c r="B11" s="134">
        <v>-281.80831964955939</v>
      </c>
      <c r="C11" s="135">
        <v>265.81296038591444</v>
      </c>
      <c r="D11" s="134">
        <v>395.23503618387525</v>
      </c>
      <c r="E11" s="135">
        <v>107.54256442516194</v>
      </c>
      <c r="F11" s="134">
        <v>-42.095410127886048</v>
      </c>
    </row>
    <row r="12" spans="1:10" ht="20" hidden="1" customHeight="1" thickBot="1">
      <c r="A12" s="123">
        <v>2001</v>
      </c>
      <c r="B12" s="134">
        <v>-369.21073383560986</v>
      </c>
      <c r="C12" s="135">
        <v>218.09355776804139</v>
      </c>
      <c r="D12" s="134">
        <v>264.67596724119471</v>
      </c>
      <c r="E12" s="135">
        <v>38.795684474417683</v>
      </c>
      <c r="F12" s="134">
        <v>-107.86592232759077</v>
      </c>
    </row>
    <row r="13" spans="1:10" ht="20" customHeight="1" thickBot="1">
      <c r="A13" s="123">
        <v>2002</v>
      </c>
      <c r="B13" s="134">
        <v>-334.90929649130862</v>
      </c>
      <c r="C13" s="135">
        <v>327.64230472151957</v>
      </c>
      <c r="D13" s="134">
        <v>482.61376796830785</v>
      </c>
      <c r="E13" s="135">
        <v>129.83261678350553</v>
      </c>
      <c r="F13" s="134">
        <v>-30.392888912290669</v>
      </c>
    </row>
    <row r="14" spans="1:10" ht="20" customHeight="1" thickBot="1">
      <c r="A14" s="123">
        <v>2003</v>
      </c>
      <c r="B14" s="134">
        <v>-326.58442193959615</v>
      </c>
      <c r="C14" s="135">
        <v>452.73392575127201</v>
      </c>
      <c r="D14" s="134">
        <v>582.24002885655887</v>
      </c>
      <c r="E14" s="135">
        <v>311.77683579562023</v>
      </c>
      <c r="F14" s="134">
        <v>54.067330132819563</v>
      </c>
    </row>
    <row r="15" spans="1:10" ht="20" customHeight="1" thickBot="1">
      <c r="A15" s="123">
        <v>2004</v>
      </c>
      <c r="B15" s="134">
        <v>-382.39377988050956</v>
      </c>
      <c r="C15" s="135">
        <v>540.52128193947215</v>
      </c>
      <c r="D15" s="134">
        <v>646.61953074833286</v>
      </c>
      <c r="E15" s="135">
        <v>355.14430610645576</v>
      </c>
      <c r="F15" s="134">
        <v>69.291571070195104</v>
      </c>
    </row>
    <row r="16" spans="1:10" ht="20" customHeight="1" thickBot="1">
      <c r="A16" s="123">
        <v>2005</v>
      </c>
      <c r="B16" s="134">
        <v>-457.46233703722402</v>
      </c>
      <c r="C16" s="135">
        <v>526.06943385550483</v>
      </c>
      <c r="D16" s="134">
        <v>659.48154843729731</v>
      </c>
      <c r="E16" s="135">
        <v>297.53361969202518</v>
      </c>
      <c r="F16" s="134">
        <v>22.983877251046639</v>
      </c>
    </row>
    <row r="17" spans="1:6" ht="20" customHeight="1" thickBot="1">
      <c r="A17" s="123">
        <v>2006</v>
      </c>
      <c r="B17" s="134">
        <v>-460.949938416431</v>
      </c>
      <c r="C17" s="135">
        <v>592.83257515796822</v>
      </c>
      <c r="D17" s="134">
        <v>669.21868975069253</v>
      </c>
      <c r="E17" s="135">
        <v>280.53307562761364</v>
      </c>
      <c r="F17" s="134">
        <v>65.394207090333808</v>
      </c>
    </row>
    <row r="18" spans="1:6" ht="20" customHeight="1" thickBot="1">
      <c r="A18" s="123">
        <v>2007</v>
      </c>
      <c r="B18" s="134">
        <v>-523.18043356720625</v>
      </c>
      <c r="C18" s="135">
        <v>577.6616172956227</v>
      </c>
      <c r="D18" s="134">
        <v>779.76293930175291</v>
      </c>
      <c r="E18" s="135">
        <v>179.66674102290708</v>
      </c>
      <c r="F18" s="134">
        <v>23.57885238636468</v>
      </c>
    </row>
    <row r="19" spans="1:6" ht="20" customHeight="1" thickBot="1">
      <c r="A19" s="123">
        <v>2008</v>
      </c>
      <c r="B19" s="134">
        <v>-695.79333085705503</v>
      </c>
      <c r="C19" s="135">
        <v>505.40006483827597</v>
      </c>
      <c r="D19" s="134">
        <v>573.54369223730373</v>
      </c>
      <c r="E19" s="135">
        <v>41.734830202162946</v>
      </c>
      <c r="F19" s="134">
        <v>-98.482009802061683</v>
      </c>
    </row>
    <row r="20" spans="1:6" ht="20" customHeight="1" thickBot="1">
      <c r="A20" s="123">
        <v>2009</v>
      </c>
      <c r="B20" s="134">
        <v>-617.40706927192127</v>
      </c>
      <c r="C20" s="135">
        <v>501.83068232343282</v>
      </c>
      <c r="D20" s="134">
        <v>710.13104749512036</v>
      </c>
      <c r="E20" s="135">
        <v>42.639330908197657</v>
      </c>
      <c r="F20" s="134">
        <v>-60.861268998486345</v>
      </c>
    </row>
    <row r="21" spans="1:6" ht="20" customHeight="1" thickBot="1">
      <c r="A21" s="123">
        <v>2010</v>
      </c>
      <c r="B21" s="134">
        <v>-605.39071524853591</v>
      </c>
      <c r="C21" s="135">
        <v>703.46750642247537</v>
      </c>
      <c r="D21" s="134">
        <v>1118.2525494001411</v>
      </c>
      <c r="E21" s="135">
        <v>119.09418401622064</v>
      </c>
      <c r="F21" s="134">
        <v>28.700286181136185</v>
      </c>
    </row>
    <row r="22" spans="1:6" ht="20" customHeight="1" thickBot="1">
      <c r="A22" s="123">
        <v>2011</v>
      </c>
      <c r="B22" s="134">
        <v>-644.45246992511591</v>
      </c>
      <c r="C22" s="135">
        <v>785.63523045511965</v>
      </c>
      <c r="D22" s="134">
        <v>1243.4106551133116</v>
      </c>
      <c r="E22" s="135">
        <v>184.13071637706312</v>
      </c>
      <c r="F22" s="134">
        <v>74.322514170985116</v>
      </c>
    </row>
    <row r="23" spans="1:6" s="138" customFormat="1" ht="24.5" customHeight="1" thickBot="1">
      <c r="A23" s="126">
        <v>2012</v>
      </c>
      <c r="B23" s="136">
        <v>-561.75029134699707</v>
      </c>
      <c r="C23" s="137">
        <v>894.59637362497779</v>
      </c>
      <c r="D23" s="136">
        <v>1294.6892902838865</v>
      </c>
      <c r="E23" s="137">
        <v>174.27021983880326</v>
      </c>
      <c r="F23" s="136">
        <v>114.49603786904737</v>
      </c>
    </row>
    <row r="24" spans="1:6" ht="20" customHeight="1">
      <c r="A24" s="130" t="s">
        <v>396</v>
      </c>
      <c r="B24" s="130"/>
      <c r="C24" s="130"/>
      <c r="D24" s="130"/>
      <c r="E24" s="130"/>
      <c r="F24" s="130"/>
    </row>
    <row r="26" spans="1:6">
      <c r="A26" s="3" t="s">
        <v>246</v>
      </c>
    </row>
    <row r="29" spans="1:6">
      <c r="A29" s="3" t="s">
        <v>395</v>
      </c>
    </row>
  </sheetData>
  <mergeCells count="1">
    <mergeCell ref="A2:F2"/>
  </mergeCells>
  <pageMargins left="0.57999999999999996" right="0.72" top="1.1000000000000001" bottom="0.49" header="0.57999999999999996" footer="0.4921259845"/>
  <pageSetup paperSize="9" scale="83"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1D1F1-3815-2C42-B842-D76DA9566FCF}">
  <sheetPr>
    <pageSetUpPr fitToPage="1"/>
  </sheetPr>
  <dimension ref="A1:J29"/>
  <sheetViews>
    <sheetView zoomScaleNormal="100" workbookViewId="0">
      <selection activeCell="L24" sqref="L24"/>
    </sheetView>
  </sheetViews>
  <sheetFormatPr baseColWidth="10" defaultColWidth="11.3984375" defaultRowHeight="13"/>
  <cols>
    <col min="1" max="1" width="14.3984375" style="3" customWidth="1"/>
    <col min="2" max="7" width="15.3984375" style="3" customWidth="1"/>
    <col min="8" max="8" width="17.59765625" style="3" customWidth="1"/>
    <col min="9" max="16384" width="11.3984375" style="3"/>
  </cols>
  <sheetData>
    <row r="1" spans="1:10" s="2" customFormat="1" ht="14" customHeight="1"/>
    <row r="2" spans="1:10" s="2" customFormat="1" ht="24.5" customHeight="1">
      <c r="A2" s="139" t="s">
        <v>247</v>
      </c>
      <c r="H2" s="140"/>
    </row>
    <row r="3" spans="1:10" ht="24" customHeight="1">
      <c r="A3" s="109" t="s">
        <v>241</v>
      </c>
      <c r="B3" s="110" t="s">
        <v>226</v>
      </c>
      <c r="C3" s="111" t="s">
        <v>227</v>
      </c>
      <c r="D3" s="110" t="s">
        <v>228</v>
      </c>
      <c r="E3" s="111" t="s">
        <v>229</v>
      </c>
      <c r="F3" s="110" t="s">
        <v>230</v>
      </c>
      <c r="G3" s="111" t="s">
        <v>248</v>
      </c>
      <c r="H3" s="113" t="s">
        <v>243</v>
      </c>
    </row>
    <row r="4" spans="1:10" ht="15" customHeight="1">
      <c r="A4" s="112"/>
      <c r="B4" s="113" t="s">
        <v>231</v>
      </c>
      <c r="C4" s="114" t="s">
        <v>232</v>
      </c>
      <c r="D4" s="113" t="s">
        <v>249</v>
      </c>
      <c r="E4" s="114" t="s">
        <v>234</v>
      </c>
      <c r="F4" s="113"/>
      <c r="G4" s="114" t="s">
        <v>243</v>
      </c>
      <c r="H4" s="141" t="s">
        <v>250</v>
      </c>
    </row>
    <row r="5" spans="1:10" ht="15" customHeight="1">
      <c r="A5" s="112"/>
      <c r="B5" s="113" t="s">
        <v>235</v>
      </c>
      <c r="C5" s="114" t="s">
        <v>236</v>
      </c>
      <c r="D5" s="113" t="s">
        <v>251</v>
      </c>
      <c r="E5" s="114" t="s">
        <v>237</v>
      </c>
      <c r="F5" s="113"/>
      <c r="G5" s="142" t="s">
        <v>250</v>
      </c>
      <c r="H5" s="143" t="s">
        <v>252</v>
      </c>
    </row>
    <row r="6" spans="1:10" ht="20.25" customHeight="1">
      <c r="A6" s="116"/>
      <c r="B6" s="117"/>
      <c r="C6" s="118"/>
      <c r="D6" s="117"/>
      <c r="E6" s="118" t="s">
        <v>238</v>
      </c>
      <c r="F6" s="117"/>
      <c r="G6" s="118" t="s">
        <v>253</v>
      </c>
      <c r="H6" s="117"/>
    </row>
    <row r="7" spans="1:10" ht="1.25" customHeight="1" thickBot="1">
      <c r="A7" s="144">
        <v>1996</v>
      </c>
      <c r="B7" s="121">
        <v>649.20907799999998</v>
      </c>
      <c r="C7" s="122">
        <v>296.20469200000002</v>
      </c>
      <c r="D7" s="145">
        <v>2.7034440000000002</v>
      </c>
      <c r="E7" s="122">
        <v>11.710364999999999</v>
      </c>
      <c r="F7" s="121">
        <v>959.82757900000001</v>
      </c>
      <c r="G7" s="146">
        <v>8.160992566527614E-2</v>
      </c>
      <c r="H7" s="121">
        <v>11761.162275000001</v>
      </c>
    </row>
    <row r="8" spans="1:10" ht="20.25" hidden="1" customHeight="1" thickBot="1">
      <c r="A8" s="147">
        <v>1997</v>
      </c>
      <c r="B8" s="124">
        <v>500.88918699999999</v>
      </c>
      <c r="C8" s="125">
        <v>356.20229</v>
      </c>
      <c r="D8" s="148">
        <v>0.94700200000000001</v>
      </c>
      <c r="E8" s="125">
        <v>35.169956999999997</v>
      </c>
      <c r="F8" s="124">
        <v>893.208437</v>
      </c>
      <c r="G8" s="149">
        <v>7.2355407590263501E-2</v>
      </c>
      <c r="H8" s="124">
        <v>12344.736444</v>
      </c>
      <c r="I8" s="9"/>
      <c r="J8" s="9"/>
    </row>
    <row r="9" spans="1:10" ht="20.25" hidden="1" customHeight="1" thickBot="1">
      <c r="A9" s="147">
        <v>1998</v>
      </c>
      <c r="B9" s="124">
        <v>457.36546700000002</v>
      </c>
      <c r="C9" s="125">
        <v>348.23780499999998</v>
      </c>
      <c r="D9" s="148">
        <v>0.77532999999999996</v>
      </c>
      <c r="E9" s="125">
        <v>48.566195999999998</v>
      </c>
      <c r="F9" s="124">
        <v>854.94479699999999</v>
      </c>
      <c r="G9" s="149">
        <v>6.5539994260804965E-2</v>
      </c>
      <c r="H9" s="124">
        <v>13044.627279</v>
      </c>
    </row>
    <row r="10" spans="1:10" ht="19.75" hidden="1" customHeight="1" thickBot="1">
      <c r="A10" s="147">
        <v>1999</v>
      </c>
      <c r="B10" s="124">
        <v>466.63042200000001</v>
      </c>
      <c r="C10" s="125">
        <v>332.81061399999999</v>
      </c>
      <c r="D10" s="148">
        <v>0.65314099999999997</v>
      </c>
      <c r="E10" s="125">
        <v>54.148946000000002</v>
      </c>
      <c r="F10" s="124">
        <v>854.24312299999997</v>
      </c>
      <c r="G10" s="149">
        <v>6.3520258007815578E-2</v>
      </c>
      <c r="H10" s="124">
        <v>13448.357260999999</v>
      </c>
    </row>
    <row r="11" spans="1:10" ht="0.5" customHeight="1" thickBot="1">
      <c r="A11" s="147">
        <v>2000</v>
      </c>
      <c r="B11" s="124">
        <v>463.03968730999998</v>
      </c>
      <c r="C11" s="125">
        <v>338.66405874999998</v>
      </c>
      <c r="D11" s="148">
        <v>0.69213239999999998</v>
      </c>
      <c r="E11" s="125">
        <v>60.882478249999998</v>
      </c>
      <c r="F11" s="124">
        <v>863.27835670999991</v>
      </c>
      <c r="G11" s="149">
        <v>6.0778319554744782E-2</v>
      </c>
      <c r="H11" s="124">
        <v>14203.722035000001</v>
      </c>
    </row>
    <row r="12" spans="1:10" ht="20" hidden="1" customHeight="1" thickBot="1">
      <c r="A12" s="147">
        <v>2001</v>
      </c>
      <c r="B12" s="124">
        <v>473.4058023</v>
      </c>
      <c r="C12" s="125">
        <v>367.78467855999997</v>
      </c>
      <c r="D12" s="148">
        <v>0.74993127000000004</v>
      </c>
      <c r="E12" s="125">
        <v>66.915939469999998</v>
      </c>
      <c r="F12" s="124">
        <v>908.85635160000004</v>
      </c>
      <c r="G12" s="149">
        <v>6.0883052653460515E-2</v>
      </c>
      <c r="H12" s="124">
        <v>14927.903775999999</v>
      </c>
    </row>
    <row r="13" spans="1:10" ht="20" customHeight="1" thickBot="1">
      <c r="A13" s="147">
        <v>2002</v>
      </c>
      <c r="B13" s="124">
        <v>472.86005104000003</v>
      </c>
      <c r="C13" s="125">
        <v>381.94053387999998</v>
      </c>
      <c r="D13" s="148">
        <v>0.68625539000000002</v>
      </c>
      <c r="E13" s="125">
        <v>68.086548329999999</v>
      </c>
      <c r="F13" s="124">
        <v>923.57338864000008</v>
      </c>
      <c r="G13" s="149">
        <v>5.9305732530714958E-2</v>
      </c>
      <c r="H13" s="124">
        <v>15573.087949999999</v>
      </c>
    </row>
    <row r="14" spans="1:10" ht="20" customHeight="1" thickBot="1">
      <c r="A14" s="147">
        <v>2003</v>
      </c>
      <c r="B14" s="124">
        <v>470.97029786000002</v>
      </c>
      <c r="C14" s="125">
        <v>408.59478426000004</v>
      </c>
      <c r="D14" s="148">
        <v>0.69236929000000003</v>
      </c>
      <c r="E14" s="125">
        <v>68.876407299999997</v>
      </c>
      <c r="F14" s="124">
        <v>949.13385871000003</v>
      </c>
      <c r="G14" s="149">
        <v>5.7102364889053812E-2</v>
      </c>
      <c r="H14" s="124">
        <v>16621.620847999999</v>
      </c>
    </row>
    <row r="15" spans="1:10" ht="20" customHeight="1" thickBot="1">
      <c r="A15" s="147">
        <v>2004</v>
      </c>
      <c r="B15" s="124">
        <v>484.89785329</v>
      </c>
      <c r="C15" s="125">
        <v>415.93059272000005</v>
      </c>
      <c r="D15" s="148">
        <v>0.72310930000000007</v>
      </c>
      <c r="E15" s="125">
        <v>85.829196190000005</v>
      </c>
      <c r="F15" s="124">
        <v>987.38075149999997</v>
      </c>
      <c r="G15" s="149">
        <v>5.6068315584587115E-2</v>
      </c>
      <c r="H15" s="124">
        <v>17610.315936999999</v>
      </c>
    </row>
    <row r="16" spans="1:10" ht="20" customHeight="1" thickBot="1">
      <c r="A16" s="147">
        <v>2005</v>
      </c>
      <c r="B16" s="124">
        <v>499.70172670000005</v>
      </c>
      <c r="C16" s="125">
        <v>398.93824144999996</v>
      </c>
      <c r="D16" s="148">
        <v>0.73337903999999998</v>
      </c>
      <c r="E16" s="125">
        <v>99.764105649999991</v>
      </c>
      <c r="F16" s="124">
        <v>999.13745284000004</v>
      </c>
      <c r="G16" s="149">
        <v>5.3974609336098663E-2</v>
      </c>
      <c r="H16" s="124">
        <v>18511.249365759999</v>
      </c>
    </row>
    <row r="17" spans="1:9" ht="20" customHeight="1" thickBot="1">
      <c r="A17" s="147">
        <v>2006</v>
      </c>
      <c r="B17" s="124">
        <v>508.33811201999998</v>
      </c>
      <c r="C17" s="125">
        <v>413.42068921999999</v>
      </c>
      <c r="D17" s="148">
        <v>0.82242013000000003</v>
      </c>
      <c r="E17" s="125">
        <v>155.37155938000001</v>
      </c>
      <c r="F17" s="124">
        <v>1077.9527807500001</v>
      </c>
      <c r="G17" s="149">
        <v>5.6978300934543424E-2</v>
      </c>
      <c r="H17" s="124">
        <v>18918.654348580003</v>
      </c>
    </row>
    <row r="18" spans="1:9" ht="20" customHeight="1" thickBot="1">
      <c r="A18" s="147">
        <v>2007</v>
      </c>
      <c r="B18" s="124">
        <v>481.02098633999998</v>
      </c>
      <c r="C18" s="125">
        <v>375.93586996999994</v>
      </c>
      <c r="D18" s="148">
        <v>0.73084894999999994</v>
      </c>
      <c r="E18" s="125">
        <v>214.01462028999998</v>
      </c>
      <c r="F18" s="124">
        <v>1071.7023255499998</v>
      </c>
      <c r="G18" s="149">
        <v>5.4317232192756151E-2</v>
      </c>
      <c r="H18" s="124">
        <v>19730.429594549998</v>
      </c>
    </row>
    <row r="19" spans="1:9" ht="20" customHeight="1" thickBot="1">
      <c r="A19" s="147">
        <v>2008</v>
      </c>
      <c r="B19" s="124">
        <v>494.93695520999995</v>
      </c>
      <c r="C19" s="125">
        <v>380.25120643000002</v>
      </c>
      <c r="D19" s="148">
        <v>1.0176752199999999</v>
      </c>
      <c r="E19" s="125">
        <v>292.41166817999999</v>
      </c>
      <c r="F19" s="124">
        <v>1168.61750504</v>
      </c>
      <c r="G19" s="149">
        <v>5.6945041751302432E-2</v>
      </c>
      <c r="H19" s="124">
        <v>20521.848243500001</v>
      </c>
    </row>
    <row r="20" spans="1:9" ht="20" customHeight="1" thickBot="1">
      <c r="A20" s="147">
        <v>2009</v>
      </c>
      <c r="B20" s="124">
        <v>471.00206706</v>
      </c>
      <c r="C20" s="125">
        <v>343.37352005000002</v>
      </c>
      <c r="D20" s="148">
        <v>0.93321898000000003</v>
      </c>
      <c r="E20" s="125">
        <v>318.95528353000003</v>
      </c>
      <c r="F20" s="124">
        <v>1134.26408962</v>
      </c>
      <c r="G20" s="149">
        <v>5.3220919384584751E-2</v>
      </c>
      <c r="H20" s="124">
        <v>21312.37308066</v>
      </c>
    </row>
    <row r="21" spans="1:9" ht="20" customHeight="1" thickBot="1">
      <c r="A21" s="147">
        <v>2010</v>
      </c>
      <c r="B21" s="124">
        <v>455.71942082999999</v>
      </c>
      <c r="C21" s="125">
        <v>304.80923538000002</v>
      </c>
      <c r="D21" s="148">
        <v>0.89981051000000001</v>
      </c>
      <c r="E21" s="125">
        <v>464.01499822000005</v>
      </c>
      <c r="F21" s="124">
        <v>1225.44346494</v>
      </c>
      <c r="G21" s="149">
        <v>5.5200957332831042E-2</v>
      </c>
      <c r="H21" s="124">
        <v>22199.677761949999</v>
      </c>
    </row>
    <row r="22" spans="1:9" ht="20" customHeight="1" thickBot="1">
      <c r="A22" s="147">
        <v>2011</v>
      </c>
      <c r="B22" s="124">
        <v>411.97753652</v>
      </c>
      <c r="C22" s="125">
        <v>262.80639998000004</v>
      </c>
      <c r="D22" s="148">
        <v>0.79432531000000006</v>
      </c>
      <c r="E22" s="125">
        <v>579.08079178000003</v>
      </c>
      <c r="F22" s="124">
        <v>1254.65905359</v>
      </c>
      <c r="G22" s="149">
        <v>5.4420163641072827E-2</v>
      </c>
      <c r="H22" s="124">
        <v>23055.040074209999</v>
      </c>
    </row>
    <row r="23" spans="1:9" ht="27" customHeight="1" thickBot="1">
      <c r="A23" s="150">
        <v>2012</v>
      </c>
      <c r="B23" s="127">
        <v>384.29905683999999</v>
      </c>
      <c r="C23" s="128">
        <v>234.74842206999995</v>
      </c>
      <c r="D23" s="151">
        <v>0.77901889000000035</v>
      </c>
      <c r="E23" s="128">
        <v>622.04983021999988</v>
      </c>
      <c r="F23" s="127">
        <v>1241.8763280199996</v>
      </c>
      <c r="G23" s="1405">
        <v>5.1632998881645603E-2</v>
      </c>
      <c r="H23" s="1406">
        <v>24051.989133280018</v>
      </c>
      <c r="I23" s="8"/>
    </row>
    <row r="24" spans="1:9" ht="20" customHeight="1">
      <c r="A24" s="130" t="s">
        <v>396</v>
      </c>
      <c r="B24" s="130"/>
      <c r="C24" s="130"/>
      <c r="D24" s="130"/>
      <c r="E24" s="130"/>
      <c r="F24" s="130"/>
      <c r="G24" s="130"/>
    </row>
    <row r="25" spans="1:9">
      <c r="F25" s="154"/>
    </row>
    <row r="26" spans="1:9">
      <c r="A26" s="3" t="s">
        <v>254</v>
      </c>
    </row>
    <row r="29" spans="1:9">
      <c r="A29" s="3" t="s">
        <v>395</v>
      </c>
    </row>
  </sheetData>
  <pageMargins left="0.48" right="0.56000000000000005" top="0.94" bottom="0.49" header="0.57999999999999996" footer="0.4921259845"/>
  <pageSetup paperSize="9" scale="74" orientation="portrait" horizontalDpi="1200" verticalDpi="12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DE51C-730C-7E43-8530-BD6133DACCA1}">
  <sheetPr>
    <pageSetUpPr fitToPage="1"/>
  </sheetPr>
  <dimension ref="A1:J29"/>
  <sheetViews>
    <sheetView topLeftCell="A3" zoomScaleNormal="100" workbookViewId="0">
      <selection activeCell="A22" sqref="A22:IV22"/>
    </sheetView>
  </sheetViews>
  <sheetFormatPr baseColWidth="10" defaultColWidth="11.3984375" defaultRowHeight="13"/>
  <cols>
    <col min="1" max="1" width="19.59765625" style="3" customWidth="1"/>
    <col min="2" max="7" width="14.796875" style="3" customWidth="1"/>
    <col min="8" max="8" width="15.3984375" style="3" customWidth="1"/>
    <col min="9" max="16384" width="11.3984375" style="3"/>
  </cols>
  <sheetData>
    <row r="1" spans="1:10" s="2" customFormat="1" ht="14" customHeight="1"/>
    <row r="2" spans="1:10" s="2" customFormat="1" ht="39" customHeight="1">
      <c r="A2" s="2054" t="s">
        <v>255</v>
      </c>
      <c r="B2" s="2055"/>
      <c r="C2" s="2055"/>
      <c r="D2" s="2055"/>
      <c r="E2" s="2055"/>
      <c r="F2" s="2055"/>
      <c r="G2" s="2055"/>
    </row>
    <row r="3" spans="1:10" ht="24" customHeight="1">
      <c r="A3" s="109" t="s">
        <v>241</v>
      </c>
      <c r="B3" s="110" t="s">
        <v>226</v>
      </c>
      <c r="C3" s="111" t="s">
        <v>227</v>
      </c>
      <c r="D3" s="110" t="s">
        <v>228</v>
      </c>
      <c r="E3" s="111" t="s">
        <v>229</v>
      </c>
      <c r="F3" s="110" t="s">
        <v>242</v>
      </c>
      <c r="G3" s="155" t="s">
        <v>256</v>
      </c>
    </row>
    <row r="4" spans="1:10" ht="15" customHeight="1">
      <c r="A4" s="112"/>
      <c r="B4" s="113" t="s">
        <v>231</v>
      </c>
      <c r="C4" s="114" t="s">
        <v>232</v>
      </c>
      <c r="D4" s="113" t="s">
        <v>233</v>
      </c>
      <c r="E4" s="115" t="s">
        <v>234</v>
      </c>
      <c r="F4" s="113" t="s">
        <v>243</v>
      </c>
      <c r="G4" s="156" t="s">
        <v>257</v>
      </c>
    </row>
    <row r="5" spans="1:10" ht="15" customHeight="1">
      <c r="A5" s="112"/>
      <c r="B5" s="113" t="s">
        <v>235</v>
      </c>
      <c r="C5" s="114" t="s">
        <v>236</v>
      </c>
      <c r="D5" s="113"/>
      <c r="E5" s="115" t="s">
        <v>237</v>
      </c>
      <c r="F5" s="113" t="s">
        <v>245</v>
      </c>
      <c r="G5" s="156" t="s">
        <v>258</v>
      </c>
    </row>
    <row r="6" spans="1:10" ht="24" customHeight="1">
      <c r="A6" s="116"/>
      <c r="B6" s="117"/>
      <c r="C6" s="118"/>
      <c r="D6" s="117"/>
      <c r="E6" s="119" t="s">
        <v>238</v>
      </c>
      <c r="F6" s="117"/>
      <c r="G6" s="157"/>
    </row>
    <row r="7" spans="1:10" ht="1.5" customHeight="1" thickBot="1">
      <c r="A7" s="120">
        <v>1996</v>
      </c>
      <c r="B7" s="132">
        <v>136.97434362103451</v>
      </c>
      <c r="C7" s="133">
        <v>128.46694435673865</v>
      </c>
      <c r="D7" s="132">
        <v>97.148339801638642</v>
      </c>
      <c r="E7" s="133">
        <v>96.303927696179215</v>
      </c>
      <c r="F7" s="132">
        <v>133.40658749416588</v>
      </c>
      <c r="G7" s="158">
        <v>0.15128629508664851</v>
      </c>
    </row>
    <row r="8" spans="1:10" ht="0.75" hidden="1" customHeight="1" thickBot="1">
      <c r="A8" s="123">
        <v>1997</v>
      </c>
      <c r="B8" s="134">
        <v>122.6511004066257</v>
      </c>
      <c r="C8" s="135">
        <v>130.17357705334524</v>
      </c>
      <c r="D8" s="134">
        <v>82.390986601705237</v>
      </c>
      <c r="E8" s="135">
        <v>91.805271826945415</v>
      </c>
      <c r="F8" s="134">
        <v>123.8021591713151</v>
      </c>
      <c r="G8" s="159">
        <v>-7.1993658658503643E-2</v>
      </c>
      <c r="H8" s="9"/>
      <c r="I8" s="9"/>
      <c r="J8" s="9"/>
    </row>
    <row r="9" spans="1:10" ht="19.5" hidden="1" customHeight="1" thickBot="1">
      <c r="A9" s="123">
        <v>1998</v>
      </c>
      <c r="B9" s="134">
        <v>113.87825236718575</v>
      </c>
      <c r="C9" s="135">
        <v>127.72488252200283</v>
      </c>
      <c r="D9" s="134">
        <v>65.550388907676705</v>
      </c>
      <c r="E9" s="135">
        <v>98.304177799368475</v>
      </c>
      <c r="F9" s="134">
        <v>117.94614727831004</v>
      </c>
      <c r="G9" s="159">
        <v>-4.7301371253966752E-2</v>
      </c>
    </row>
    <row r="10" spans="1:10" ht="0.5" customHeight="1" thickBot="1">
      <c r="A10" s="123">
        <v>1999</v>
      </c>
      <c r="B10" s="134">
        <v>116.69424749371302</v>
      </c>
      <c r="C10" s="135">
        <v>122.55319883843305</v>
      </c>
      <c r="D10" s="134">
        <v>63.671378436342366</v>
      </c>
      <c r="E10" s="135">
        <v>99.926084629721899</v>
      </c>
      <c r="F10" s="134">
        <v>117.55853932562621</v>
      </c>
      <c r="G10" s="159">
        <v>-3.2863129625523811E-3</v>
      </c>
    </row>
    <row r="11" spans="1:10" ht="19.75" hidden="1" customHeight="1" thickBot="1">
      <c r="A11" s="123">
        <v>2000</v>
      </c>
      <c r="B11" s="134">
        <v>118.06454168111537</v>
      </c>
      <c r="C11" s="135">
        <v>122.76935680445337</v>
      </c>
      <c r="D11" s="134">
        <v>70.546570176332693</v>
      </c>
      <c r="E11" s="135">
        <v>105.36199101482934</v>
      </c>
      <c r="F11" s="134">
        <v>118.77616573412266</v>
      </c>
      <c r="G11" s="159">
        <v>1.0357617706730186E-2</v>
      </c>
    </row>
    <row r="12" spans="1:10" ht="20" hidden="1" customHeight="1" thickBot="1">
      <c r="A12" s="123">
        <v>2001</v>
      </c>
      <c r="B12" s="134">
        <v>121.94294466707073</v>
      </c>
      <c r="C12" s="135">
        <v>129.78424801045657</v>
      </c>
      <c r="D12" s="134">
        <v>80.283831495557223</v>
      </c>
      <c r="E12" s="135">
        <v>112.28655864106896</v>
      </c>
      <c r="F12" s="134">
        <v>124.13887771371346</v>
      </c>
      <c r="G12" s="159">
        <v>4.514973139977501E-2</v>
      </c>
    </row>
    <row r="13" spans="1:10" ht="20" customHeight="1" thickBot="1">
      <c r="A13" s="123">
        <v>2002</v>
      </c>
      <c r="B13" s="134">
        <v>124.02317297960094</v>
      </c>
      <c r="C13" s="135">
        <v>128.13270639622655</v>
      </c>
      <c r="D13" s="134">
        <v>77.674633842671199</v>
      </c>
      <c r="E13" s="135">
        <v>122.23028773775435</v>
      </c>
      <c r="F13" s="134">
        <v>125.49634223061366</v>
      </c>
      <c r="G13" s="159">
        <v>1.0935047439616501E-2</v>
      </c>
    </row>
    <row r="14" spans="1:10" ht="20" customHeight="1" thickBot="1">
      <c r="A14" s="123">
        <v>2003</v>
      </c>
      <c r="B14" s="134">
        <v>128.18064482468625</v>
      </c>
      <c r="C14" s="135">
        <v>131.50371046027854</v>
      </c>
      <c r="D14" s="134">
        <v>83.247479860526639</v>
      </c>
      <c r="E14" s="135">
        <v>114.12750752273389</v>
      </c>
      <c r="F14" s="134">
        <v>128.37951080237647</v>
      </c>
      <c r="G14" s="159">
        <v>2.2974124349095865E-2</v>
      </c>
    </row>
    <row r="15" spans="1:10" ht="20" customHeight="1" thickBot="1">
      <c r="A15" s="123">
        <v>2004</v>
      </c>
      <c r="B15" s="134">
        <v>133.23979485267307</v>
      </c>
      <c r="C15" s="135">
        <v>137.50576239336979</v>
      </c>
      <c r="D15" s="134">
        <v>89.294801185477908</v>
      </c>
      <c r="E15" s="135">
        <v>114.78082206198195</v>
      </c>
      <c r="F15" s="134">
        <v>133.07064842814813</v>
      </c>
      <c r="G15" s="159">
        <v>3.6541170755768453E-2</v>
      </c>
    </row>
    <row r="16" spans="1:10" ht="20" customHeight="1" thickBot="1">
      <c r="A16" s="123">
        <v>2005</v>
      </c>
      <c r="B16" s="134">
        <v>138.59129568130271</v>
      </c>
      <c r="C16" s="135">
        <v>135.73607782113612</v>
      </c>
      <c r="D16" s="134">
        <v>95.10816236545196</v>
      </c>
      <c r="E16" s="135">
        <v>110.10117463274447</v>
      </c>
      <c r="F16" s="134">
        <v>133.96001901729241</v>
      </c>
      <c r="G16" s="159">
        <v>6.6834467228473445E-3</v>
      </c>
    </row>
    <row r="17" spans="1:7" ht="20" customHeight="1" thickBot="1">
      <c r="A17" s="123">
        <v>2006</v>
      </c>
      <c r="B17" s="134">
        <v>151.46736589900746</v>
      </c>
      <c r="C17" s="135">
        <v>148.31613261539576</v>
      </c>
      <c r="D17" s="134">
        <v>113.9086052631579</v>
      </c>
      <c r="E17" s="135">
        <v>114.51273017660594</v>
      </c>
      <c r="F17" s="134">
        <v>143.58259334442883</v>
      </c>
      <c r="G17" s="159">
        <v>7.1831688273306951E-2</v>
      </c>
    </row>
    <row r="18" spans="1:7" ht="20" customHeight="1" thickBot="1">
      <c r="A18" s="123">
        <v>2007</v>
      </c>
      <c r="B18" s="134">
        <v>152.73266388118995</v>
      </c>
      <c r="C18" s="135">
        <v>145.72564172666276</v>
      </c>
      <c r="D18" s="134">
        <v>105.8741054613936</v>
      </c>
      <c r="E18" s="135">
        <v>116.24614705110733</v>
      </c>
      <c r="F18" s="134">
        <v>141.43904653502142</v>
      </c>
      <c r="G18" s="159">
        <v>-1.4929015833175735E-2</v>
      </c>
    </row>
    <row r="19" spans="1:7" ht="20" customHeight="1" thickBot="1">
      <c r="A19" s="123">
        <v>2008</v>
      </c>
      <c r="B19" s="134">
        <v>166.74852036814676</v>
      </c>
      <c r="C19" s="135">
        <v>158.8072958116353</v>
      </c>
      <c r="D19" s="134">
        <v>155.20439530272989</v>
      </c>
      <c r="E19" s="135">
        <v>127.10947809383383</v>
      </c>
      <c r="F19" s="134">
        <v>152.36985357406002</v>
      </c>
      <c r="G19" s="159">
        <v>7.7282810559190507E-2</v>
      </c>
    </row>
    <row r="20" spans="1:7" ht="20" customHeight="1" thickBot="1">
      <c r="A20" s="123">
        <v>2009</v>
      </c>
      <c r="B20" s="134">
        <v>172.89857527390382</v>
      </c>
      <c r="C20" s="135">
        <v>158.95450202822192</v>
      </c>
      <c r="D20" s="134">
        <v>151.79228692257647</v>
      </c>
      <c r="E20" s="135">
        <v>111.58441203096042</v>
      </c>
      <c r="F20" s="134">
        <v>146.37701861838218</v>
      </c>
      <c r="G20" s="159">
        <v>-3.9330844094858874E-2</v>
      </c>
    </row>
    <row r="21" spans="1:7" ht="20" customHeight="1" thickBot="1">
      <c r="A21" s="123">
        <v>2010</v>
      </c>
      <c r="B21" s="134">
        <v>190.24066519612489</v>
      </c>
      <c r="C21" s="135">
        <v>174.16635547373184</v>
      </c>
      <c r="D21" s="134">
        <v>158.75273641496119</v>
      </c>
      <c r="E21" s="135">
        <v>126.38735552267656</v>
      </c>
      <c r="F21" s="134">
        <v>156.65358005929718</v>
      </c>
      <c r="G21" s="159">
        <v>7.0206112529910936E-2</v>
      </c>
    </row>
    <row r="22" spans="1:7" ht="20" customHeight="1" thickBot="1">
      <c r="A22" s="123">
        <v>2011</v>
      </c>
      <c r="B22" s="134">
        <v>190.25953671124003</v>
      </c>
      <c r="C22" s="135">
        <v>171.75979571016177</v>
      </c>
      <c r="D22" s="134">
        <v>151.27124547705202</v>
      </c>
      <c r="E22" s="135">
        <v>137.66849628802186</v>
      </c>
      <c r="F22" s="134">
        <v>158.67661854895482</v>
      </c>
      <c r="G22" s="159">
        <v>1.2914090369922304E-2</v>
      </c>
    </row>
    <row r="23" spans="1:7" ht="26.25" customHeight="1" thickBot="1">
      <c r="A23" s="126">
        <v>2012</v>
      </c>
      <c r="B23" s="136">
        <v>191.48259454320603</v>
      </c>
      <c r="C23" s="137">
        <v>170.21646609388469</v>
      </c>
      <c r="D23" s="136">
        <v>155.74148140743708</v>
      </c>
      <c r="E23" s="137">
        <v>134.98806259038267</v>
      </c>
      <c r="F23" s="136">
        <v>155.24872685491633</v>
      </c>
      <c r="G23" s="160">
        <v>-2.1603004433705664E-2</v>
      </c>
    </row>
    <row r="24" spans="1:7" ht="20.25" customHeight="1">
      <c r="A24" s="130" t="s">
        <v>396</v>
      </c>
      <c r="B24" s="130"/>
      <c r="C24" s="130"/>
      <c r="D24" s="130"/>
      <c r="E24" s="130"/>
      <c r="F24" s="130"/>
      <c r="G24" s="130"/>
    </row>
    <row r="26" spans="1:7">
      <c r="A26" s="3" t="s">
        <v>259</v>
      </c>
    </row>
    <row r="29" spans="1:7">
      <c r="A29" s="3" t="s">
        <v>395</v>
      </c>
    </row>
  </sheetData>
  <mergeCells count="1">
    <mergeCell ref="A2:G2"/>
  </mergeCells>
  <pageMargins left="0.55000000000000004" right="0.55000000000000004" top="1.0900000000000001" bottom="0.49" header="0.53" footer="0.4921259845"/>
  <pageSetup paperSize="9" scale="74"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B91A-F19C-E64E-AD40-8AF7AB68FF24}">
  <sheetPr>
    <pageSetUpPr fitToPage="1"/>
  </sheetPr>
  <dimension ref="A1:IV36"/>
  <sheetViews>
    <sheetView zoomScaleNormal="100" workbookViewId="0">
      <selection activeCell="J13" sqref="J13"/>
    </sheetView>
  </sheetViews>
  <sheetFormatPr baseColWidth="10" defaultColWidth="11.3984375" defaultRowHeight="13"/>
  <cols>
    <col min="1" max="1" width="17.796875" style="3" customWidth="1"/>
    <col min="2" max="5" width="17.3984375" style="3" customWidth="1"/>
    <col min="6" max="6" width="17.3984375" style="424" customWidth="1"/>
    <col min="7" max="7" width="17.3984375" style="3" customWidth="1"/>
    <col min="8" max="16384" width="11.3984375" style="3"/>
  </cols>
  <sheetData>
    <row r="1" spans="1:11" s="2" customFormat="1" ht="14" customHeight="1">
      <c r="F1" s="649"/>
    </row>
    <row r="2" spans="1:11" s="2" customFormat="1" ht="24" customHeight="1">
      <c r="A2" s="139" t="s">
        <v>1523</v>
      </c>
      <c r="F2" s="442"/>
      <c r="G2" s="1027"/>
    </row>
    <row r="3" spans="1:11" ht="24" customHeight="1">
      <c r="A3" s="109" t="s">
        <v>241</v>
      </c>
      <c r="B3" s="110" t="s">
        <v>1524</v>
      </c>
      <c r="C3" s="155" t="s">
        <v>256</v>
      </c>
      <c r="D3" s="110" t="s">
        <v>1525</v>
      </c>
      <c r="E3" s="398" t="s">
        <v>1526</v>
      </c>
      <c r="F3" s="1028" t="s">
        <v>1526</v>
      </c>
      <c r="G3" s="398" t="s">
        <v>1527</v>
      </c>
    </row>
    <row r="4" spans="1:11" ht="15" customHeight="1">
      <c r="A4" s="112"/>
      <c r="B4" s="348" t="s">
        <v>935</v>
      </c>
      <c r="C4" s="156" t="s">
        <v>257</v>
      </c>
      <c r="D4" s="348" t="s">
        <v>1528</v>
      </c>
      <c r="E4" s="706" t="s">
        <v>1529</v>
      </c>
      <c r="F4" s="782" t="s">
        <v>1529</v>
      </c>
      <c r="G4" s="706"/>
    </row>
    <row r="5" spans="1:11" ht="15" customHeight="1">
      <c r="A5" s="112"/>
      <c r="B5" s="143" t="s">
        <v>1530</v>
      </c>
      <c r="C5" s="156" t="s">
        <v>258</v>
      </c>
      <c r="D5" s="113" t="s">
        <v>1531</v>
      </c>
      <c r="E5" s="706" t="s">
        <v>1532</v>
      </c>
      <c r="F5" s="782" t="s">
        <v>1533</v>
      </c>
      <c r="G5" s="706"/>
    </row>
    <row r="6" spans="1:11" ht="22.5" customHeight="1">
      <c r="A6" s="116"/>
      <c r="B6" s="117"/>
      <c r="C6" s="157"/>
      <c r="D6" s="117"/>
      <c r="E6" s="118"/>
      <c r="F6" s="783"/>
      <c r="G6" s="118"/>
    </row>
    <row r="7" spans="1:11" ht="1.5" customHeight="1" thickBot="1">
      <c r="A7" s="120">
        <v>1996</v>
      </c>
      <c r="B7" s="132">
        <v>2856.0771495999998</v>
      </c>
      <c r="C7" s="158" t="s">
        <v>1153</v>
      </c>
      <c r="D7" s="132">
        <v>394.88575237875602</v>
      </c>
      <c r="E7" s="146">
        <v>0.25659604678130066</v>
      </c>
      <c r="F7" s="657">
        <v>0.16889043725722225</v>
      </c>
      <c r="G7" s="146" t="s">
        <v>29</v>
      </c>
    </row>
    <row r="8" spans="1:11" ht="0.75" hidden="1" customHeight="1" thickBot="1">
      <c r="A8" s="123">
        <v>1997</v>
      </c>
      <c r="B8" s="134">
        <v>2991.8799653000001</v>
      </c>
      <c r="C8" s="159">
        <v>4.7548721055738929E-2</v>
      </c>
      <c r="D8" s="134">
        <v>413.44461478530076</v>
      </c>
      <c r="E8" s="659">
        <v>0.24848089473110047</v>
      </c>
      <c r="F8" s="658">
        <v>0.17196051689003333</v>
      </c>
      <c r="G8" s="659" t="s">
        <v>29</v>
      </c>
      <c r="I8" s="9"/>
      <c r="J8" s="9"/>
      <c r="K8" s="9"/>
    </row>
    <row r="9" spans="1:11" ht="22.5" hidden="1" customHeight="1" thickBot="1">
      <c r="A9" s="123">
        <v>1998</v>
      </c>
      <c r="B9" s="134">
        <v>2985.5309591999999</v>
      </c>
      <c r="C9" s="159">
        <v>-2.1220791521171876E-3</v>
      </c>
      <c r="D9" s="134">
        <v>411.98967338686089</v>
      </c>
      <c r="E9" s="659">
        <v>0.23492819435144413</v>
      </c>
      <c r="F9" s="658">
        <v>0.16909401257090675</v>
      </c>
      <c r="G9" s="659" t="s">
        <v>29</v>
      </c>
    </row>
    <row r="10" spans="1:11" ht="0.5" hidden="1" customHeight="1" thickBot="1">
      <c r="A10" s="123">
        <v>1999</v>
      </c>
      <c r="B10" s="134">
        <v>3077.4121471999997</v>
      </c>
      <c r="C10" s="159">
        <v>3.0775493289347849E-2</v>
      </c>
      <c r="D10" s="134">
        <v>423.27251702147385</v>
      </c>
      <c r="E10" s="659">
        <v>0.23610935015841622</v>
      </c>
      <c r="F10" s="658">
        <v>0.17151239307717711</v>
      </c>
      <c r="G10" s="659" t="s">
        <v>29</v>
      </c>
    </row>
    <row r="11" spans="1:11" ht="19.75" hidden="1" customHeight="1" thickBot="1">
      <c r="A11" s="123">
        <v>2000</v>
      </c>
      <c r="B11" s="134">
        <v>2832.1064589000002</v>
      </c>
      <c r="C11" s="159">
        <v>-7.9711678698347957E-2</v>
      </c>
      <c r="D11" s="134">
        <v>389.82276793217119</v>
      </c>
      <c r="E11" s="659">
        <v>0.21069626660407667</v>
      </c>
      <c r="F11" s="658">
        <v>0.16991133453450352</v>
      </c>
      <c r="G11" s="659" t="s">
        <v>29</v>
      </c>
    </row>
    <row r="12" spans="1:11" ht="20" hidden="1" customHeight="1" thickBot="1">
      <c r="A12" s="123">
        <v>2001</v>
      </c>
      <c r="B12" s="134">
        <v>2102.6392701999998</v>
      </c>
      <c r="C12" s="159">
        <v>-0.25757053955638659</v>
      </c>
      <c r="D12" s="134">
        <v>287.99008361810974</v>
      </c>
      <c r="E12" s="659">
        <v>0.15021735666544661</v>
      </c>
      <c r="F12" s="658">
        <v>0.16939255966928513</v>
      </c>
      <c r="G12" s="659" t="s">
        <v>29</v>
      </c>
    </row>
    <row r="13" spans="1:11" ht="20" customHeight="1" thickBot="1">
      <c r="A13" s="123">
        <v>2002</v>
      </c>
      <c r="B13" s="134">
        <v>1965.5320859999999</v>
      </c>
      <c r="C13" s="159">
        <v>-6.5207183249725215E-2</v>
      </c>
      <c r="D13" s="134">
        <v>267.61478124431557</v>
      </c>
      <c r="E13" s="659">
        <v>0.12800562007019203</v>
      </c>
      <c r="F13" s="658">
        <v>0.16961724397646502</v>
      </c>
      <c r="G13" s="659" t="s">
        <v>29</v>
      </c>
    </row>
    <row r="14" spans="1:11" ht="20" customHeight="1" thickBot="1">
      <c r="A14" s="123">
        <v>2003</v>
      </c>
      <c r="B14" s="134">
        <v>2393.7060728000001</v>
      </c>
      <c r="C14" s="159">
        <v>0.2178412603130612</v>
      </c>
      <c r="D14" s="134">
        <v>324.68015590359045</v>
      </c>
      <c r="E14" s="659">
        <v>0.14231214354211111</v>
      </c>
      <c r="F14" s="658">
        <v>0.170648522304884</v>
      </c>
      <c r="G14" s="659" t="s">
        <v>29</v>
      </c>
    </row>
    <row r="15" spans="1:11" ht="20" customHeight="1" thickBot="1">
      <c r="A15" s="123">
        <v>2004</v>
      </c>
      <c r="B15" s="134">
        <v>2968.4810149999998</v>
      </c>
      <c r="C15" s="159">
        <v>0.24011926473815798</v>
      </c>
      <c r="D15" s="134">
        <v>402.03849991887398</v>
      </c>
      <c r="E15" s="659">
        <v>0.16464390527007836</v>
      </c>
      <c r="F15" s="658">
        <v>0.16498531532934302</v>
      </c>
      <c r="G15" s="659" t="s">
        <v>29</v>
      </c>
    </row>
    <row r="16" spans="1:11" ht="20" customHeight="1" thickBot="1">
      <c r="A16" s="123">
        <v>2005</v>
      </c>
      <c r="B16" s="134">
        <v>3184.4883300000001</v>
      </c>
      <c r="C16" s="159">
        <v>7.2766951820980502E-2</v>
      </c>
      <c r="D16" s="134">
        <v>428.26064350549666</v>
      </c>
      <c r="E16" s="659">
        <v>0.17216782468933323</v>
      </c>
      <c r="F16" s="658">
        <v>0.16198747607257327</v>
      </c>
      <c r="G16" s="659" t="s">
        <v>29</v>
      </c>
    </row>
    <row r="17" spans="1:256" ht="20" customHeight="1" thickBot="1">
      <c r="A17" s="123">
        <v>2006</v>
      </c>
      <c r="B17" s="134">
        <v>3749.0085764</v>
      </c>
      <c r="C17" s="159">
        <v>0.17727188417738679</v>
      </c>
      <c r="D17" s="134">
        <v>501.3096435628392</v>
      </c>
      <c r="E17" s="659">
        <v>0.19410142905887745</v>
      </c>
      <c r="F17" s="658">
        <v>0.16226794774511255</v>
      </c>
      <c r="G17" s="659" t="s">
        <v>29</v>
      </c>
    </row>
    <row r="18" spans="1:256" ht="20" customHeight="1" thickBot="1">
      <c r="A18" s="123">
        <v>2007</v>
      </c>
      <c r="B18" s="134">
        <v>3970.4438487200005</v>
      </c>
      <c r="C18" s="159">
        <v>5.9065021540344008E-2</v>
      </c>
      <c r="D18" s="134">
        <v>526.75277940082935</v>
      </c>
      <c r="E18" s="659">
        <v>0.20165652481540366</v>
      </c>
      <c r="F18" s="658">
        <v>0.14404868700935056</v>
      </c>
      <c r="G18" s="659" t="s">
        <v>29</v>
      </c>
    </row>
    <row r="19" spans="1:256" ht="20" customHeight="1" thickBot="1">
      <c r="A19" s="123">
        <v>2008</v>
      </c>
      <c r="B19" s="134">
        <v>3251.9246672899999</v>
      </c>
      <c r="C19" s="159">
        <v>-0.18096696712173332</v>
      </c>
      <c r="D19" s="134">
        <v>427.01052060248747</v>
      </c>
      <c r="E19" s="659">
        <v>0.16513713887296896</v>
      </c>
      <c r="F19" s="658">
        <v>0.12504203657801569</v>
      </c>
      <c r="G19" s="659" t="s">
        <v>29</v>
      </c>
    </row>
    <row r="20" spans="1:256" ht="20" customHeight="1" thickBot="1">
      <c r="A20" s="123">
        <v>2009</v>
      </c>
      <c r="B20" s="134">
        <v>2863.0083966900002</v>
      </c>
      <c r="C20" s="159">
        <v>-0.11959571957861626</v>
      </c>
      <c r="D20" s="134">
        <v>371.39247578148081</v>
      </c>
      <c r="E20" s="659">
        <v>0.14226293301594328</v>
      </c>
      <c r="F20" s="658">
        <v>0.11570685531661619</v>
      </c>
      <c r="G20" s="659" t="s">
        <v>29</v>
      </c>
    </row>
    <row r="21" spans="1:256" ht="20" customHeight="1" thickBot="1">
      <c r="A21" s="123">
        <v>2010</v>
      </c>
      <c r="B21" s="134">
        <v>3115.7425221299982</v>
      </c>
      <c r="C21" s="159">
        <v>8.8275719251187157E-2</v>
      </c>
      <c r="D21" s="134">
        <v>400.498474410467</v>
      </c>
      <c r="E21" s="659">
        <v>0.14129428895428542</v>
      </c>
      <c r="F21" s="658">
        <v>0.11794364414276826</v>
      </c>
      <c r="G21" s="659" t="s">
        <v>29</v>
      </c>
    </row>
    <row r="22" spans="1:256" ht="20" customHeight="1" thickBot="1">
      <c r="A22" s="123">
        <v>2011</v>
      </c>
      <c r="B22" s="134">
        <v>3710.7086986599998</v>
      </c>
      <c r="C22" s="159">
        <v>0.19095485981404781</v>
      </c>
      <c r="D22" s="134">
        <v>471.93399801474044</v>
      </c>
      <c r="E22" s="659">
        <v>0.15702589734700953</v>
      </c>
      <c r="F22" s="658">
        <v>0.10795280327500194</v>
      </c>
      <c r="G22" s="659" t="s">
        <v>29</v>
      </c>
    </row>
    <row r="23" spans="1:256" ht="30" customHeight="1" thickBot="1">
      <c r="A23" s="126">
        <v>2012</v>
      </c>
      <c r="B23" s="1294">
        <v>6503.6949367299985</v>
      </c>
      <c r="C23" s="2003">
        <v>0.75268269888137374</v>
      </c>
      <c r="D23" s="1294">
        <v>817.72949684208777</v>
      </c>
      <c r="E23" s="2004" t="s">
        <v>29</v>
      </c>
      <c r="F23" s="454" t="s">
        <v>29</v>
      </c>
      <c r="G23" s="1029">
        <v>1.7229892961854574</v>
      </c>
    </row>
    <row r="24" spans="1:256" ht="20" customHeight="1">
      <c r="A24" s="130" t="s">
        <v>396</v>
      </c>
      <c r="B24" s="130"/>
      <c r="C24" s="130"/>
      <c r="D24" s="130"/>
      <c r="E24" s="130"/>
      <c r="F24" s="709"/>
      <c r="G24" s="709"/>
    </row>
    <row r="25" spans="1:256" ht="14.25" customHeight="1">
      <c r="A25" s="131"/>
      <c r="B25" s="131"/>
      <c r="C25" s="131"/>
      <c r="D25" s="131"/>
      <c r="E25" s="131"/>
      <c r="F25" s="710"/>
      <c r="G25" s="131"/>
    </row>
    <row r="26" spans="1:256" ht="12.75" customHeight="1">
      <c r="A26" s="131" t="s">
        <v>2554</v>
      </c>
      <c r="B26" s="131"/>
      <c r="C26" s="131"/>
      <c r="D26" s="131"/>
      <c r="E26" s="131"/>
      <c r="F26" s="710"/>
      <c r="G26" s="131"/>
    </row>
    <row r="27" spans="1:256" ht="12.75" customHeight="1">
      <c r="A27" s="359" t="s">
        <v>1534</v>
      </c>
      <c r="B27" s="359"/>
      <c r="C27" s="359"/>
      <c r="D27" s="359"/>
      <c r="E27" s="359"/>
      <c r="F27" s="359"/>
      <c r="G27" s="359"/>
      <c r="H27" s="359"/>
      <c r="I27" s="359"/>
      <c r="J27" s="359"/>
      <c r="K27" s="359"/>
      <c r="L27" s="359"/>
      <c r="M27" s="359"/>
      <c r="N27" s="359"/>
      <c r="O27" s="359"/>
      <c r="P27" s="359"/>
      <c r="Q27" s="359"/>
      <c r="R27" s="359"/>
      <c r="S27" s="359"/>
      <c r="T27" s="359"/>
      <c r="U27" s="359"/>
      <c r="V27" s="359"/>
      <c r="W27" s="359"/>
      <c r="X27" s="359"/>
      <c r="Y27" s="359"/>
      <c r="Z27" s="359"/>
      <c r="AA27" s="359"/>
      <c r="AB27" s="359"/>
      <c r="AC27" s="359"/>
      <c r="AD27" s="359"/>
      <c r="AE27" s="359"/>
      <c r="AF27" s="359"/>
      <c r="AG27" s="359"/>
      <c r="AH27" s="359"/>
      <c r="AI27" s="359"/>
      <c r="AJ27" s="359"/>
      <c r="AK27" s="359"/>
      <c r="AL27" s="359"/>
      <c r="AM27" s="359"/>
      <c r="AN27" s="359"/>
      <c r="AO27" s="359"/>
      <c r="AP27" s="359"/>
      <c r="AQ27" s="359"/>
      <c r="AR27" s="359"/>
      <c r="AS27" s="359"/>
      <c r="AT27" s="359"/>
      <c r="AU27" s="359"/>
      <c r="AV27" s="359"/>
      <c r="AW27" s="359"/>
      <c r="AX27" s="359"/>
      <c r="AY27" s="359"/>
      <c r="AZ27" s="359"/>
      <c r="BA27" s="359"/>
      <c r="BB27" s="359"/>
      <c r="BC27" s="359"/>
      <c r="BD27" s="359"/>
      <c r="BE27" s="359"/>
      <c r="BF27" s="359"/>
      <c r="BG27" s="359"/>
      <c r="BH27" s="359"/>
      <c r="BI27" s="359"/>
      <c r="BJ27" s="359"/>
      <c r="BK27" s="359"/>
      <c r="BL27" s="359"/>
      <c r="BM27" s="359"/>
      <c r="BN27" s="359"/>
      <c r="BO27" s="359"/>
      <c r="BP27" s="359"/>
      <c r="BQ27" s="359"/>
      <c r="BR27" s="359"/>
      <c r="BS27" s="359"/>
      <c r="BT27" s="359"/>
      <c r="BU27" s="359"/>
      <c r="BV27" s="359"/>
      <c r="BW27" s="359"/>
      <c r="BX27" s="359"/>
      <c r="BY27" s="359"/>
      <c r="BZ27" s="359"/>
      <c r="CA27" s="359"/>
      <c r="CB27" s="359"/>
      <c r="CC27" s="359"/>
      <c r="CD27" s="359"/>
      <c r="CE27" s="359"/>
      <c r="CF27" s="359"/>
      <c r="CG27" s="359"/>
      <c r="CH27" s="359"/>
      <c r="CI27" s="359"/>
      <c r="CJ27" s="359"/>
      <c r="CK27" s="359"/>
      <c r="CL27" s="359"/>
      <c r="CM27" s="359"/>
      <c r="CN27" s="359"/>
      <c r="CO27" s="359"/>
      <c r="CP27" s="359"/>
      <c r="CQ27" s="359"/>
      <c r="CR27" s="359"/>
      <c r="CS27" s="359"/>
      <c r="CT27" s="359"/>
      <c r="CU27" s="359"/>
      <c r="CV27" s="359"/>
      <c r="CW27" s="359"/>
      <c r="CX27" s="359"/>
      <c r="CY27" s="359"/>
      <c r="CZ27" s="359"/>
      <c r="DA27" s="359"/>
      <c r="DB27" s="359"/>
      <c r="DC27" s="359"/>
      <c r="DD27" s="359"/>
      <c r="DE27" s="359"/>
      <c r="DF27" s="359"/>
      <c r="DG27" s="359"/>
      <c r="DH27" s="359"/>
      <c r="DI27" s="359"/>
      <c r="DJ27" s="359"/>
      <c r="DK27" s="359"/>
      <c r="DL27" s="359"/>
      <c r="DM27" s="359"/>
      <c r="DN27" s="359"/>
      <c r="DO27" s="359"/>
      <c r="DP27" s="359"/>
      <c r="DQ27" s="359"/>
      <c r="DR27" s="359"/>
      <c r="DS27" s="359"/>
      <c r="DT27" s="359"/>
      <c r="DU27" s="359"/>
      <c r="DV27" s="359"/>
      <c r="DW27" s="359"/>
      <c r="DX27" s="359"/>
      <c r="DY27" s="359"/>
      <c r="DZ27" s="359"/>
      <c r="EA27" s="359"/>
      <c r="EB27" s="359"/>
      <c r="EC27" s="359"/>
      <c r="ED27" s="359"/>
      <c r="EE27" s="359"/>
      <c r="EF27" s="359"/>
      <c r="EG27" s="359"/>
      <c r="EH27" s="359"/>
      <c r="EI27" s="359"/>
      <c r="EJ27" s="359"/>
      <c r="EK27" s="359"/>
      <c r="EL27" s="359"/>
      <c r="EM27" s="359"/>
      <c r="EN27" s="359"/>
      <c r="EO27" s="359"/>
      <c r="EP27" s="359"/>
      <c r="EQ27" s="359"/>
      <c r="ER27" s="359"/>
      <c r="ES27" s="359"/>
      <c r="ET27" s="359"/>
      <c r="EU27" s="359"/>
      <c r="EV27" s="359"/>
      <c r="EW27" s="359"/>
      <c r="EX27" s="359"/>
      <c r="EY27" s="359"/>
      <c r="EZ27" s="359"/>
      <c r="FA27" s="359"/>
      <c r="FB27" s="359"/>
      <c r="FC27" s="359"/>
      <c r="FD27" s="359"/>
      <c r="FE27" s="359"/>
      <c r="FF27" s="359"/>
      <c r="FG27" s="359"/>
      <c r="FH27" s="359"/>
      <c r="FI27" s="359"/>
      <c r="FJ27" s="359"/>
      <c r="FK27" s="359"/>
      <c r="FL27" s="359"/>
      <c r="FM27" s="359"/>
      <c r="FN27" s="359"/>
      <c r="FO27" s="359"/>
      <c r="FP27" s="359"/>
      <c r="FQ27" s="359"/>
      <c r="FR27" s="359"/>
      <c r="FS27" s="359"/>
      <c r="FT27" s="359"/>
      <c r="FU27" s="359"/>
      <c r="FV27" s="359"/>
      <c r="FW27" s="359"/>
      <c r="FX27" s="359"/>
      <c r="FY27" s="359"/>
      <c r="FZ27" s="359"/>
      <c r="GA27" s="359"/>
      <c r="GB27" s="359"/>
      <c r="GC27" s="359"/>
      <c r="GD27" s="359"/>
      <c r="GE27" s="359"/>
      <c r="GF27" s="359"/>
      <c r="GG27" s="359"/>
      <c r="GH27" s="359"/>
      <c r="GI27" s="359"/>
      <c r="GJ27" s="359"/>
      <c r="GK27" s="359"/>
      <c r="GL27" s="359"/>
      <c r="GM27" s="359"/>
      <c r="GN27" s="359"/>
      <c r="GO27" s="359"/>
      <c r="GP27" s="359"/>
      <c r="GQ27" s="359"/>
      <c r="GR27" s="359"/>
      <c r="GS27" s="359"/>
      <c r="GT27" s="359"/>
      <c r="GU27" s="359"/>
      <c r="GV27" s="359"/>
      <c r="GW27" s="359"/>
      <c r="GX27" s="359"/>
      <c r="GY27" s="359"/>
      <c r="GZ27" s="359"/>
      <c r="HA27" s="359"/>
      <c r="HB27" s="359"/>
      <c r="HC27" s="359"/>
      <c r="HD27" s="359"/>
      <c r="HE27" s="359"/>
      <c r="HF27" s="359"/>
      <c r="HG27" s="359"/>
      <c r="HH27" s="359"/>
      <c r="HI27" s="359"/>
      <c r="HJ27" s="359"/>
      <c r="HK27" s="359"/>
      <c r="HL27" s="359"/>
      <c r="HM27" s="359"/>
      <c r="HN27" s="359"/>
      <c r="HO27" s="359"/>
      <c r="HP27" s="359"/>
      <c r="HQ27" s="359"/>
      <c r="HR27" s="359"/>
      <c r="HS27" s="359"/>
      <c r="HT27" s="359"/>
      <c r="HU27" s="359"/>
      <c r="HV27" s="359"/>
      <c r="HW27" s="359"/>
      <c r="HX27" s="359"/>
      <c r="HY27" s="359"/>
      <c r="HZ27" s="359"/>
      <c r="IA27" s="359"/>
      <c r="IB27" s="359"/>
      <c r="IC27" s="359"/>
      <c r="ID27" s="359"/>
      <c r="IE27" s="359"/>
      <c r="IF27" s="359"/>
      <c r="IG27" s="359"/>
      <c r="IH27" s="359"/>
      <c r="II27" s="359"/>
      <c r="IJ27" s="359"/>
      <c r="IK27" s="359"/>
      <c r="IL27" s="359"/>
      <c r="IM27" s="359"/>
      <c r="IN27" s="359"/>
      <c r="IO27" s="359"/>
      <c r="IP27" s="359"/>
      <c r="IQ27" s="359"/>
      <c r="IR27" s="359"/>
      <c r="IS27" s="359"/>
      <c r="IT27" s="359"/>
      <c r="IU27" s="359"/>
      <c r="IV27" s="359"/>
    </row>
    <row r="28" spans="1:256">
      <c r="A28" s="3" t="s">
        <v>1535</v>
      </c>
    </row>
    <row r="29" spans="1:256">
      <c r="A29" s="131" t="s">
        <v>1536</v>
      </c>
    </row>
    <row r="30" spans="1:256">
      <c r="A30" t="s">
        <v>1537</v>
      </c>
    </row>
    <row r="31" spans="1:256">
      <c r="A31" s="836" t="s">
        <v>1538</v>
      </c>
    </row>
    <row r="32" spans="1:256">
      <c r="A32" s="131"/>
    </row>
    <row r="33" spans="1:1">
      <c r="A33" s="3" t="s">
        <v>1539</v>
      </c>
    </row>
    <row r="36" spans="1:1">
      <c r="A36" s="3" t="s">
        <v>395</v>
      </c>
    </row>
  </sheetData>
  <pageMargins left="0.44" right="0.26" top="0.82677165354330717" bottom="0.47244094488188981" header="0.51181102362204722" footer="0.51181102362204722"/>
  <pageSetup paperSize="9" scale="74" orientation="portrait" horizontalDpi="4294967292" verticalDpi="4294967292"/>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99A4-FEB0-3446-A307-7D549B884669}">
  <sheetPr>
    <pageSetUpPr fitToPage="1"/>
  </sheetPr>
  <dimension ref="A1:K34"/>
  <sheetViews>
    <sheetView zoomScaleNormal="100" workbookViewId="0">
      <selection activeCell="K25" sqref="K25"/>
    </sheetView>
  </sheetViews>
  <sheetFormatPr baseColWidth="10" defaultColWidth="11.3984375" defaultRowHeight="13"/>
  <cols>
    <col min="1" max="1" width="17.59765625" style="3" customWidth="1"/>
    <col min="2" max="2" width="16.796875" style="3" customWidth="1"/>
    <col min="3" max="3" width="15.3984375" style="3" customWidth="1"/>
    <col min="4" max="4" width="16.59765625" style="3" customWidth="1"/>
    <col min="5" max="5" width="15.3984375" style="3" customWidth="1"/>
    <col min="6" max="6" width="17.3984375" style="424" customWidth="1"/>
    <col min="7" max="7" width="15.3984375" style="3" customWidth="1"/>
    <col min="8" max="16384" width="11.3984375" style="3"/>
  </cols>
  <sheetData>
    <row r="1" spans="1:11" s="2" customFormat="1" ht="14" customHeight="1">
      <c r="F1" s="649"/>
    </row>
    <row r="2" spans="1:11" s="2" customFormat="1" ht="24" customHeight="1">
      <c r="A2" s="2054" t="s">
        <v>2561</v>
      </c>
      <c r="B2" s="2055"/>
      <c r="C2" s="2055"/>
      <c r="D2" s="2055"/>
      <c r="E2" s="2055"/>
      <c r="F2" s="2055"/>
      <c r="G2" s="442"/>
    </row>
    <row r="3" spans="1:11" ht="24" customHeight="1">
      <c r="A3" s="109" t="s">
        <v>241</v>
      </c>
      <c r="B3" s="110" t="s">
        <v>1524</v>
      </c>
      <c r="C3" s="155" t="s">
        <v>256</v>
      </c>
      <c r="D3" s="110" t="s">
        <v>1540</v>
      </c>
      <c r="E3" s="155" t="s">
        <v>256</v>
      </c>
      <c r="F3" s="1028" t="s">
        <v>1541</v>
      </c>
      <c r="G3" s="1030"/>
    </row>
    <row r="4" spans="1:11" ht="15" customHeight="1">
      <c r="A4" s="112"/>
      <c r="B4" s="348" t="s">
        <v>1542</v>
      </c>
      <c r="C4" s="156" t="s">
        <v>257</v>
      </c>
      <c r="D4" s="348" t="s">
        <v>1543</v>
      </c>
      <c r="E4" s="156" t="s">
        <v>257</v>
      </c>
      <c r="F4" s="782" t="s">
        <v>1468</v>
      </c>
      <c r="G4" s="1030"/>
    </row>
    <row r="5" spans="1:11" ht="15" customHeight="1">
      <c r="A5" s="112"/>
      <c r="B5" s="113" t="s">
        <v>1544</v>
      </c>
      <c r="C5" s="156" t="s">
        <v>258</v>
      </c>
      <c r="D5" s="113" t="s">
        <v>1476</v>
      </c>
      <c r="E5" s="156" t="s">
        <v>258</v>
      </c>
      <c r="F5" s="782" t="s">
        <v>1450</v>
      </c>
      <c r="G5" s="1030"/>
    </row>
    <row r="6" spans="1:11" ht="24" customHeight="1">
      <c r="A6" s="116"/>
      <c r="B6" s="117" t="s">
        <v>640</v>
      </c>
      <c r="C6" s="157"/>
      <c r="D6" s="117" t="s">
        <v>2556</v>
      </c>
      <c r="E6" s="157"/>
      <c r="F6" s="783" t="s">
        <v>2557</v>
      </c>
      <c r="G6" s="1031"/>
    </row>
    <row r="7" spans="1:11" ht="2.25" customHeight="1" thickBot="1">
      <c r="A7" s="120">
        <v>1996</v>
      </c>
      <c r="B7" s="132">
        <v>3454.5367919999999</v>
      </c>
      <c r="C7" s="158" t="s">
        <v>1153</v>
      </c>
      <c r="D7" s="132">
        <v>477.62973077565988</v>
      </c>
      <c r="E7" s="158" t="s">
        <v>1153</v>
      </c>
      <c r="F7" s="657">
        <v>0.3204435263250443</v>
      </c>
      <c r="G7" s="1032"/>
    </row>
    <row r="8" spans="1:11" ht="0.75" hidden="1" customHeight="1" thickBot="1">
      <c r="A8" s="123">
        <v>1997</v>
      </c>
      <c r="B8" s="134">
        <v>3507.8977540000001</v>
      </c>
      <c r="C8" s="159">
        <v>1.5446632996809664E-2</v>
      </c>
      <c r="D8" s="134">
        <v>484.75254775428522</v>
      </c>
      <c r="E8" s="159">
        <v>1.4912842563334664E-2</v>
      </c>
      <c r="F8" s="658">
        <v>0.30878035637656381</v>
      </c>
      <c r="G8" s="1032"/>
      <c r="I8" s="9"/>
      <c r="J8" s="9"/>
      <c r="K8" s="9"/>
    </row>
    <row r="9" spans="1:11" ht="19.5" hidden="1" customHeight="1" thickBot="1">
      <c r="A9" s="123">
        <v>1998</v>
      </c>
      <c r="B9" s="134">
        <v>3693.9578390000001</v>
      </c>
      <c r="C9" s="159">
        <v>5.3040338700818382E-2</v>
      </c>
      <c r="D9" s="134">
        <v>509.74935597525797</v>
      </c>
      <c r="E9" s="159">
        <v>5.1566120357232882E-2</v>
      </c>
      <c r="F9" s="658">
        <v>0.30971755221728081</v>
      </c>
      <c r="G9" s="1032"/>
    </row>
    <row r="10" spans="1:11" ht="19.75" hidden="1" customHeight="1" thickBot="1">
      <c r="A10" s="123">
        <v>1999</v>
      </c>
      <c r="B10" s="134">
        <v>3810.0183766999999</v>
      </c>
      <c r="C10" s="159">
        <v>3.1419020670636219E-2</v>
      </c>
      <c r="D10" s="134">
        <v>524.03642778331459</v>
      </c>
      <c r="E10" s="159">
        <v>2.8027640723002865E-2</v>
      </c>
      <c r="F10" s="658">
        <v>0.30650294561819263</v>
      </c>
      <c r="G10" s="1032"/>
    </row>
    <row r="11" spans="1:11" ht="19.75" hidden="1" customHeight="1" thickBot="1">
      <c r="A11" s="123">
        <v>2000</v>
      </c>
      <c r="B11" s="134">
        <v>3956.2184863000002</v>
      </c>
      <c r="C11" s="159">
        <v>3.8372547096906594E-2</v>
      </c>
      <c r="D11" s="134">
        <v>544.55016542757153</v>
      </c>
      <c r="E11" s="159">
        <v>3.9145632930577913E-2</v>
      </c>
      <c r="F11" s="658">
        <v>0.29993370263899466</v>
      </c>
      <c r="G11" s="1032"/>
    </row>
    <row r="12" spans="1:11" ht="20" hidden="1" customHeight="1" thickBot="1">
      <c r="A12" s="123">
        <v>2001</v>
      </c>
      <c r="B12" s="134">
        <v>3996.3588403000003</v>
      </c>
      <c r="C12" s="159">
        <v>1.0146141862235935E-2</v>
      </c>
      <c r="D12" s="134">
        <v>547.35962635511339</v>
      </c>
      <c r="E12" s="159">
        <v>5.1592325297264803E-3</v>
      </c>
      <c r="F12" s="658">
        <v>0.28573440049664334</v>
      </c>
      <c r="G12" s="1032"/>
    </row>
    <row r="13" spans="1:11" ht="20" customHeight="1" thickBot="1">
      <c r="A13" s="123">
        <v>2002</v>
      </c>
      <c r="B13" s="134">
        <v>4018.0238040999998</v>
      </c>
      <c r="C13" s="159">
        <v>5.4211757917047021E-3</v>
      </c>
      <c r="D13" s="134">
        <v>547.06945209780417</v>
      </c>
      <c r="E13" s="159">
        <v>-5.3013456480431012E-4</v>
      </c>
      <c r="F13" s="658">
        <v>0.27534370592196139</v>
      </c>
      <c r="G13" s="1032"/>
    </row>
    <row r="14" spans="1:11" ht="20" customHeight="1" thickBot="1">
      <c r="A14" s="123">
        <v>2003</v>
      </c>
      <c r="B14" s="134">
        <v>4264.2535405999997</v>
      </c>
      <c r="C14" s="159">
        <v>6.1281303572354805E-2</v>
      </c>
      <c r="D14" s="134">
        <v>578.39954541909435</v>
      </c>
      <c r="E14" s="159">
        <v>5.7268950406847131E-2</v>
      </c>
      <c r="F14" s="658">
        <v>0.27806202962780097</v>
      </c>
      <c r="G14" s="1032"/>
    </row>
    <row r="15" spans="1:11" ht="20" customHeight="1" thickBot="1">
      <c r="A15" s="123">
        <v>2004</v>
      </c>
      <c r="B15" s="134">
        <v>4487.9860973999994</v>
      </c>
      <c r="C15" s="159">
        <v>5.2466992093654796E-2</v>
      </c>
      <c r="D15" s="134">
        <v>607.83383459013214</v>
      </c>
      <c r="E15" s="159">
        <v>5.0889198313097593E-2</v>
      </c>
      <c r="F15" s="658">
        <v>0.27520979583864619</v>
      </c>
      <c r="G15" s="1032"/>
    </row>
    <row r="16" spans="1:11" ht="20" customHeight="1" thickBot="1">
      <c r="A16" s="123">
        <v>2005</v>
      </c>
      <c r="B16" s="134">
        <v>4710.4063185000005</v>
      </c>
      <c r="C16" s="159">
        <v>4.9559026314465314E-2</v>
      </c>
      <c r="D16" s="134">
        <v>633.47119917588623</v>
      </c>
      <c r="E16" s="159">
        <v>4.2178245314431359E-2</v>
      </c>
      <c r="F16" s="658">
        <v>0.27145060304290114</v>
      </c>
      <c r="G16" s="1032"/>
    </row>
    <row r="17" spans="1:7" ht="20" customHeight="1" thickBot="1">
      <c r="A17" s="123">
        <v>2006</v>
      </c>
      <c r="B17" s="134">
        <v>4989.9724866999995</v>
      </c>
      <c r="C17" s="159">
        <v>5.9350754329198757E-2</v>
      </c>
      <c r="D17" s="134">
        <v>667.24876129732593</v>
      </c>
      <c r="E17" s="159">
        <v>5.3321385668965833E-2</v>
      </c>
      <c r="F17" s="658">
        <v>0.28410364747524469</v>
      </c>
      <c r="G17" s="1032"/>
    </row>
    <row r="18" spans="1:7" ht="20" customHeight="1" thickBot="1">
      <c r="A18" s="123">
        <v>2007</v>
      </c>
      <c r="B18" s="134">
        <v>5234.0909351299997</v>
      </c>
      <c r="C18" s="159">
        <v>4.8921802491027788E-2</v>
      </c>
      <c r="D18" s="134">
        <v>694.39892686185294</v>
      </c>
      <c r="E18" s="159">
        <v>4.0689720445099345E-2</v>
      </c>
      <c r="F18" s="658">
        <v>0.28409673931984064</v>
      </c>
      <c r="G18" s="1032"/>
    </row>
    <row r="19" spans="1:7" ht="20" customHeight="1" thickBot="1">
      <c r="A19" s="123">
        <v>2008</v>
      </c>
      <c r="B19" s="134">
        <v>5191.0501722600002</v>
      </c>
      <c r="C19" s="159">
        <v>-8.2231591700327455E-3</v>
      </c>
      <c r="D19" s="134">
        <v>681.6372651023346</v>
      </c>
      <c r="E19" s="159">
        <v>-1.8377997525415551E-2</v>
      </c>
      <c r="F19" s="658">
        <v>0.2671467252402307</v>
      </c>
      <c r="G19" s="1032"/>
    </row>
    <row r="20" spans="1:7" ht="20" customHeight="1" thickBot="1">
      <c r="A20" s="123">
        <v>2009</v>
      </c>
      <c r="B20" s="134">
        <v>5095.2223594300003</v>
      </c>
      <c r="C20" s="159">
        <v>-1.8460197773099121E-2</v>
      </c>
      <c r="D20" s="134">
        <v>660.95763076127741</v>
      </c>
      <c r="E20" s="159">
        <v>-3.0338180436705636E-2</v>
      </c>
      <c r="F20" s="658">
        <v>0.25131991260496045</v>
      </c>
      <c r="G20" s="1032"/>
    </row>
    <row r="21" spans="1:7" ht="20" customHeight="1" thickBot="1">
      <c r="A21" s="123">
        <v>2010</v>
      </c>
      <c r="B21" s="134">
        <v>5227.2935513399998</v>
      </c>
      <c r="C21" s="159">
        <v>2.5920594351602391E-2</v>
      </c>
      <c r="D21" s="134">
        <v>671.91787438718086</v>
      </c>
      <c r="E21" s="159">
        <v>1.6582369452758511E-2</v>
      </c>
      <c r="F21" s="658">
        <v>0.25030439071727145</v>
      </c>
      <c r="G21" s="1032"/>
    </row>
    <row r="22" spans="1:7" ht="20" customHeight="1" thickBot="1">
      <c r="A22" s="123">
        <v>2011</v>
      </c>
      <c r="B22" s="134">
        <v>5648.6367269299999</v>
      </c>
      <c r="C22" s="159">
        <v>8.060446031043926E-2</v>
      </c>
      <c r="D22" s="134">
        <v>718.40285248896862</v>
      </c>
      <c r="E22" s="159">
        <v>6.9182529403886056E-2</v>
      </c>
      <c r="F22" s="658">
        <v>0.26449379028433989</v>
      </c>
      <c r="G22" s="1032"/>
    </row>
    <row r="23" spans="1:7" ht="30" customHeight="1" thickBot="1">
      <c r="A23" s="126">
        <v>2012</v>
      </c>
      <c r="B23" s="1294" vm="167">
        <v>5476.6391031200001</v>
      </c>
      <c r="C23" s="2003">
        <v>-3.0449404365127108E-2</v>
      </c>
      <c r="D23" s="1294" vm="167">
        <v>688.59461917377769</v>
      </c>
      <c r="E23" s="2003">
        <v>-4.1492364920208358E-2</v>
      </c>
      <c r="F23" s="2005" vm="167">
        <v>0.24674001180472338</v>
      </c>
      <c r="G23" s="1033"/>
    </row>
    <row r="24" spans="1:7" ht="20" customHeight="1">
      <c r="A24" s="130" t="s">
        <v>396</v>
      </c>
      <c r="B24" s="130"/>
      <c r="C24" s="130"/>
      <c r="D24" s="130"/>
      <c r="E24" s="130"/>
      <c r="F24" s="709"/>
      <c r="G24" s="131"/>
    </row>
    <row r="25" spans="1:7" ht="12.75" customHeight="1">
      <c r="A25" s="131"/>
      <c r="B25" s="131"/>
      <c r="C25" s="131"/>
      <c r="D25" s="131"/>
      <c r="E25" s="131"/>
      <c r="F25" s="710"/>
      <c r="G25" s="131"/>
    </row>
    <row r="26" spans="1:7" ht="12.75" customHeight="1">
      <c r="A26" s="434" t="s">
        <v>2562</v>
      </c>
      <c r="B26" s="131"/>
      <c r="C26" s="131"/>
      <c r="D26" s="131"/>
      <c r="E26" s="131"/>
      <c r="F26" s="710"/>
      <c r="G26" s="131"/>
    </row>
    <row r="27" spans="1:7" ht="12.75" customHeight="1">
      <c r="A27" s="2006" t="s">
        <v>2558</v>
      </c>
      <c r="B27" s="131"/>
      <c r="C27" s="131"/>
      <c r="D27" s="131"/>
      <c r="E27" s="131"/>
      <c r="F27" s="710"/>
      <c r="G27" s="131"/>
    </row>
    <row r="28" spans="1:7" ht="12.75" customHeight="1">
      <c r="A28" s="3" t="s">
        <v>2559</v>
      </c>
      <c r="B28" s="131"/>
      <c r="C28" s="131"/>
      <c r="D28" s="131"/>
      <c r="E28" s="131"/>
      <c r="F28" s="710"/>
      <c r="G28" s="131"/>
    </row>
    <row r="29" spans="1:7" ht="12.75" customHeight="1">
      <c r="A29" s="3" t="s">
        <v>2560</v>
      </c>
    </row>
    <row r="31" spans="1:7">
      <c r="A31" s="3" t="s">
        <v>1545</v>
      </c>
    </row>
    <row r="34" spans="1:1">
      <c r="A34" s="3" t="s">
        <v>395</v>
      </c>
    </row>
  </sheetData>
  <mergeCells count="1">
    <mergeCell ref="A2:F2"/>
  </mergeCells>
  <pageMargins left="0.62" right="0.78740157480314965" top="0.99" bottom="0.49" header="0.6" footer="0.4921259845"/>
  <pageSetup paperSize="9" scale="76" orientation="portrait" horizontalDpi="4294967292" verticalDpi="429496729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CC3E-6DE7-634C-9B88-EABC2527D5AE}">
  <sheetPr>
    <pageSetUpPr fitToPage="1"/>
  </sheetPr>
  <dimension ref="A1:B31"/>
  <sheetViews>
    <sheetView zoomScale="115" zoomScaleNormal="115" workbookViewId="0">
      <selection activeCell="I23" sqref="I23"/>
    </sheetView>
  </sheetViews>
  <sheetFormatPr baseColWidth="10" defaultColWidth="11.59765625" defaultRowHeight="13"/>
  <cols>
    <col min="1" max="1" width="5.59765625" style="294" customWidth="1"/>
    <col min="2" max="7" width="11.59765625" style="294"/>
    <col min="8" max="8" width="12" style="294" customWidth="1"/>
    <col min="9" max="16384" width="11.59765625" style="294"/>
  </cols>
  <sheetData>
    <row r="1" spans="1:2" ht="16">
      <c r="A1" s="293" t="s">
        <v>398</v>
      </c>
    </row>
    <row r="2" spans="1:2" ht="16">
      <c r="A2" s="293"/>
    </row>
    <row r="3" spans="1:2" s="296" customFormat="1">
      <c r="A3" s="295">
        <v>2.0099999999999998</v>
      </c>
      <c r="B3" s="63" t="s">
        <v>399</v>
      </c>
    </row>
    <row r="4" spans="1:2" s="296" customFormat="1">
      <c r="A4" s="295">
        <v>2.02</v>
      </c>
      <c r="B4" s="63" t="s">
        <v>400</v>
      </c>
    </row>
    <row r="5" spans="1:2" s="296" customFormat="1">
      <c r="A5" s="295">
        <v>2.0299999999999998</v>
      </c>
      <c r="B5" s="64" t="s">
        <v>401</v>
      </c>
    </row>
    <row r="6" spans="1:2" s="296" customFormat="1">
      <c r="A6" s="295">
        <v>2.04</v>
      </c>
      <c r="B6" s="64" t="s">
        <v>402</v>
      </c>
    </row>
    <row r="7" spans="1:2" s="296" customFormat="1">
      <c r="A7" s="295">
        <v>2.0499999999999998</v>
      </c>
      <c r="B7" s="64" t="s">
        <v>403</v>
      </c>
    </row>
    <row r="8" spans="1:2" s="296" customFormat="1">
      <c r="A8" s="295">
        <v>2.06</v>
      </c>
      <c r="B8" s="64" t="s">
        <v>404</v>
      </c>
    </row>
    <row r="9" spans="1:2" s="296" customFormat="1">
      <c r="A9" s="295">
        <v>2.0699999999999998</v>
      </c>
      <c r="B9" s="64" t="s">
        <v>405</v>
      </c>
    </row>
    <row r="10" spans="1:2" s="296" customFormat="1">
      <c r="A10" s="295">
        <v>2.08</v>
      </c>
      <c r="B10" s="64" t="s">
        <v>406</v>
      </c>
    </row>
    <row r="11" spans="1:2" s="296" customFormat="1">
      <c r="A11" s="295">
        <v>2.09</v>
      </c>
      <c r="B11" s="64" t="s">
        <v>407</v>
      </c>
    </row>
    <row r="12" spans="1:2">
      <c r="A12" s="297">
        <v>2.1</v>
      </c>
      <c r="B12" s="63" t="s">
        <v>408</v>
      </c>
    </row>
    <row r="13" spans="1:2">
      <c r="A13" s="297">
        <v>2.11</v>
      </c>
      <c r="B13" s="63" t="s">
        <v>409</v>
      </c>
    </row>
    <row r="14" spans="1:2">
      <c r="A14" s="295">
        <v>2.12</v>
      </c>
      <c r="B14" s="64" t="s">
        <v>410</v>
      </c>
    </row>
    <row r="15" spans="1:2">
      <c r="A15" s="295">
        <v>2.13</v>
      </c>
      <c r="B15" s="63" t="s">
        <v>411</v>
      </c>
    </row>
    <row r="16" spans="1:2">
      <c r="A16" s="295">
        <v>2.14</v>
      </c>
      <c r="B16" s="63" t="s">
        <v>412</v>
      </c>
    </row>
    <row r="17" spans="1:2">
      <c r="A17" s="295">
        <v>2.15</v>
      </c>
      <c r="B17" s="63" t="s">
        <v>413</v>
      </c>
    </row>
    <row r="18" spans="1:2">
      <c r="A18" s="295">
        <v>2.16</v>
      </c>
      <c r="B18" s="63" t="s">
        <v>414</v>
      </c>
    </row>
    <row r="19" spans="1:2">
      <c r="A19" s="295">
        <v>2.17</v>
      </c>
      <c r="B19" s="63" t="s">
        <v>415</v>
      </c>
    </row>
    <row r="20" spans="1:2">
      <c r="A20" s="295">
        <v>2.1800000000000002</v>
      </c>
      <c r="B20" s="63" t="s">
        <v>416</v>
      </c>
    </row>
    <row r="21" spans="1:2">
      <c r="A21" s="295">
        <v>2.19</v>
      </c>
      <c r="B21" s="63" t="s">
        <v>417</v>
      </c>
    </row>
    <row r="22" spans="1:2">
      <c r="A22" s="298" t="s">
        <v>39</v>
      </c>
      <c r="B22" s="63" t="s">
        <v>418</v>
      </c>
    </row>
    <row r="23" spans="1:2">
      <c r="A23" s="295">
        <v>2.21</v>
      </c>
      <c r="B23" s="63" t="s">
        <v>419</v>
      </c>
    </row>
    <row r="24" spans="1:2">
      <c r="A24" s="295">
        <v>2.2200000000000002</v>
      </c>
      <c r="B24" s="63" t="s">
        <v>420</v>
      </c>
    </row>
    <row r="25" spans="1:2">
      <c r="A25" s="295">
        <v>2.23</v>
      </c>
      <c r="B25" s="63" t="s">
        <v>421</v>
      </c>
    </row>
    <row r="26" spans="1:2">
      <c r="A26" s="295">
        <v>2.2400000000000002</v>
      </c>
      <c r="B26" s="63" t="s">
        <v>422</v>
      </c>
    </row>
    <row r="27" spans="1:2">
      <c r="A27" s="295">
        <v>2.25</v>
      </c>
      <c r="B27" s="64" t="s">
        <v>423</v>
      </c>
    </row>
    <row r="28" spans="1:2">
      <c r="A28" s="295">
        <v>2.2599999999999998</v>
      </c>
      <c r="B28" s="64" t="s">
        <v>424</v>
      </c>
    </row>
    <row r="29" spans="1:2">
      <c r="A29" s="295"/>
    </row>
    <row r="31" spans="1:2">
      <c r="A31" s="299" t="s">
        <v>395</v>
      </c>
    </row>
  </sheetData>
  <pageMargins left="0.46" right="0.35" top="0.88" bottom="0.984251969" header="0.4921259845" footer="0.4921259845"/>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A2AC-FEAF-9E48-9E54-1A95C77AE6F9}">
  <sheetPr>
    <pageSetUpPr fitToPage="1"/>
  </sheetPr>
  <dimension ref="A1:J30"/>
  <sheetViews>
    <sheetView zoomScaleNormal="100" workbookViewId="0">
      <selection activeCell="J21" sqref="J21"/>
    </sheetView>
  </sheetViews>
  <sheetFormatPr baseColWidth="10" defaultColWidth="11.3984375" defaultRowHeight="13"/>
  <cols>
    <col min="1" max="1" width="20.796875" style="3" customWidth="1"/>
    <col min="2" max="7" width="16" style="3" customWidth="1"/>
    <col min="8" max="16384" width="11.3984375" style="3"/>
  </cols>
  <sheetData>
    <row r="1" spans="1:10" s="2" customFormat="1" ht="14" customHeight="1">
      <c r="A1" s="272"/>
      <c r="B1" s="272"/>
      <c r="C1" s="272"/>
      <c r="D1" s="272"/>
      <c r="E1" s="272"/>
      <c r="F1" s="272"/>
      <c r="G1" s="272"/>
    </row>
    <row r="2" spans="1:10" s="2" customFormat="1" ht="23.5" customHeight="1">
      <c r="A2" s="2056" t="s">
        <v>1627</v>
      </c>
      <c r="B2" s="2055"/>
      <c r="C2" s="2055"/>
      <c r="D2" s="2055"/>
      <c r="E2" s="2055"/>
      <c r="F2" s="2055"/>
      <c r="G2" s="2055"/>
    </row>
    <row r="3" spans="1:10" ht="24" customHeight="1">
      <c r="A3" s="109" t="s">
        <v>241</v>
      </c>
      <c r="B3" s="110" t="s">
        <v>226</v>
      </c>
      <c r="C3" s="111" t="s">
        <v>227</v>
      </c>
      <c r="D3" s="110" t="s">
        <v>228</v>
      </c>
      <c r="E3" s="111" t="s">
        <v>229</v>
      </c>
      <c r="F3" s="110" t="s">
        <v>230</v>
      </c>
      <c r="G3" s="155" t="s">
        <v>256</v>
      </c>
    </row>
    <row r="4" spans="1:10" ht="15" customHeight="1">
      <c r="A4" s="112"/>
      <c r="B4" s="113" t="s">
        <v>231</v>
      </c>
      <c r="C4" s="114" t="s">
        <v>232</v>
      </c>
      <c r="D4" s="113" t="s">
        <v>233</v>
      </c>
      <c r="E4" s="115" t="s">
        <v>234</v>
      </c>
      <c r="F4" s="113"/>
      <c r="G4" s="156" t="s">
        <v>257</v>
      </c>
    </row>
    <row r="5" spans="1:10" ht="15" customHeight="1">
      <c r="A5" s="112"/>
      <c r="B5" s="113" t="s">
        <v>235</v>
      </c>
      <c r="C5" s="114" t="s">
        <v>236</v>
      </c>
      <c r="D5" s="113"/>
      <c r="E5" s="115" t="s">
        <v>244</v>
      </c>
      <c r="F5" s="113"/>
      <c r="G5" s="156" t="s">
        <v>258</v>
      </c>
    </row>
    <row r="6" spans="1:10" ht="24" customHeight="1">
      <c r="A6" s="116"/>
      <c r="B6" s="117"/>
      <c r="C6" s="118"/>
      <c r="D6" s="117"/>
      <c r="E6" s="119" t="s">
        <v>238</v>
      </c>
      <c r="F6" s="117"/>
      <c r="G6" s="157"/>
    </row>
    <row r="7" spans="1:10" ht="1.5" customHeight="1" thickBot="1">
      <c r="A7" s="120">
        <v>1996</v>
      </c>
      <c r="B7" s="121">
        <v>1089.2648005000001</v>
      </c>
      <c r="C7" s="122">
        <v>580.10166180000022</v>
      </c>
      <c r="D7" s="121">
        <v>4.3753463500000001</v>
      </c>
      <c r="E7" s="122">
        <v>4.7899289500000002</v>
      </c>
      <c r="F7" s="121">
        <v>1678.5317376000003</v>
      </c>
      <c r="G7" s="158" t="s">
        <v>29</v>
      </c>
    </row>
    <row r="8" spans="1:10" ht="0.75" hidden="1" customHeight="1" thickBot="1">
      <c r="A8" s="123">
        <v>1997</v>
      </c>
      <c r="B8" s="124">
        <v>879.95045900000002</v>
      </c>
      <c r="C8" s="125">
        <v>850.70337900000004</v>
      </c>
      <c r="D8" s="124">
        <v>1.7040200000000001</v>
      </c>
      <c r="E8" s="125">
        <v>45.624484000000002</v>
      </c>
      <c r="F8" s="124">
        <v>1777.9823429999999</v>
      </c>
      <c r="G8" s="159">
        <v>5.9248570147500512E-2</v>
      </c>
      <c r="H8" s="9"/>
      <c r="I8" s="9"/>
      <c r="J8" s="9"/>
    </row>
    <row r="9" spans="1:10" ht="19.5" hidden="1" customHeight="1" thickBot="1">
      <c r="A9" s="123">
        <v>1998</v>
      </c>
      <c r="B9" s="124">
        <v>1013.8999679999999</v>
      </c>
      <c r="C9" s="125">
        <v>981.74108000000001</v>
      </c>
      <c r="D9" s="124">
        <v>1.2942830000000001</v>
      </c>
      <c r="E9" s="125">
        <v>100.29746900000001</v>
      </c>
      <c r="F9" s="124">
        <v>2097.2328000000002</v>
      </c>
      <c r="G9" s="159">
        <v>0.17955772072591403</v>
      </c>
    </row>
    <row r="10" spans="1:10" ht="19.75" hidden="1" customHeight="1" thickBot="1">
      <c r="A10" s="123">
        <v>1999</v>
      </c>
      <c r="B10" s="124">
        <v>1011.36115</v>
      </c>
      <c r="C10" s="125">
        <v>1055.56864</v>
      </c>
      <c r="D10" s="124">
        <v>0.79245500000000002</v>
      </c>
      <c r="E10" s="125">
        <v>122.17894</v>
      </c>
      <c r="F10" s="124">
        <v>2189.9011839999998</v>
      </c>
      <c r="G10" s="159">
        <v>4.4186026463061134E-2</v>
      </c>
    </row>
    <row r="11" spans="1:10" ht="19.75" hidden="1" customHeight="1" thickBot="1">
      <c r="A11" s="123">
        <v>2000</v>
      </c>
      <c r="B11" s="124">
        <v>1054.450601</v>
      </c>
      <c r="C11" s="125">
        <v>1090.7209829999999</v>
      </c>
      <c r="D11" s="124">
        <v>1.2512209999999999</v>
      </c>
      <c r="E11" s="125">
        <v>141.59474</v>
      </c>
      <c r="F11" s="124">
        <v>2288.0175450000002</v>
      </c>
      <c r="G11" s="159">
        <v>4.4804012946732197E-2</v>
      </c>
    </row>
    <row r="12" spans="1:10" ht="20" hidden="1" customHeight="1" thickBot="1">
      <c r="A12" s="123">
        <v>2001</v>
      </c>
      <c r="B12" s="124">
        <v>1083.514122</v>
      </c>
      <c r="C12" s="125">
        <v>1158.4133609999999</v>
      </c>
      <c r="D12" s="124">
        <v>1.2681009299999999</v>
      </c>
      <c r="E12" s="125">
        <v>156.9939449</v>
      </c>
      <c r="F12" s="124">
        <v>2400.1895288299997</v>
      </c>
      <c r="G12" s="159">
        <v>4.9025840765569706E-2</v>
      </c>
    </row>
    <row r="13" spans="1:10" ht="20" customHeight="1" thickBot="1">
      <c r="A13" s="123">
        <v>2002</v>
      </c>
      <c r="B13" s="124">
        <v>1089.8289460000001</v>
      </c>
      <c r="C13" s="125">
        <v>1244.155033</v>
      </c>
      <c r="D13" s="124">
        <v>1.2603006499999998</v>
      </c>
      <c r="E13" s="125">
        <v>167.5860868</v>
      </c>
      <c r="F13" s="124">
        <v>2502.8303664500004</v>
      </c>
      <c r="G13" s="159">
        <v>4.2763638615669786E-2</v>
      </c>
    </row>
    <row r="14" spans="1:10" ht="20" customHeight="1" thickBot="1">
      <c r="A14" s="123">
        <v>2003</v>
      </c>
      <c r="B14" s="124">
        <v>1079.925866</v>
      </c>
      <c r="C14" s="125">
        <v>1341.49136</v>
      </c>
      <c r="D14" s="124">
        <v>1.2206523200000001</v>
      </c>
      <c r="E14" s="125">
        <v>165.86177330000001</v>
      </c>
      <c r="F14" s="124">
        <v>2588.4996516200003</v>
      </c>
      <c r="G14" s="159">
        <v>3.4228961865886642E-2</v>
      </c>
    </row>
    <row r="15" spans="1:10" ht="20" customHeight="1" thickBot="1">
      <c r="A15" s="123">
        <v>2004</v>
      </c>
      <c r="B15" s="124">
        <v>1255.4702629999999</v>
      </c>
      <c r="C15" s="125">
        <v>1341.301393</v>
      </c>
      <c r="D15" s="124">
        <v>1.3776067599999999</v>
      </c>
      <c r="E15" s="125">
        <v>234.16313299999999</v>
      </c>
      <c r="F15" s="124">
        <v>2832.3123957600001</v>
      </c>
      <c r="G15" s="159">
        <v>9.4190757950232129E-2</v>
      </c>
    </row>
    <row r="16" spans="1:10" ht="20" customHeight="1" thickBot="1">
      <c r="A16" s="123">
        <v>2005</v>
      </c>
      <c r="B16" s="124">
        <v>1328.0246323900001</v>
      </c>
      <c r="C16" s="125">
        <v>1371.8229592</v>
      </c>
      <c r="D16" s="124">
        <v>1.4003180399999999</v>
      </c>
      <c r="E16" s="125">
        <v>293.73870004000003</v>
      </c>
      <c r="F16" s="124">
        <v>2994.9866096700002</v>
      </c>
      <c r="G16" s="159">
        <v>5.7435124089251222E-2</v>
      </c>
    </row>
    <row r="17" spans="1:7" ht="20" customHeight="1" thickBot="1">
      <c r="A17" s="123">
        <v>2006</v>
      </c>
      <c r="B17" s="124">
        <v>1275.3436029700001</v>
      </c>
      <c r="C17" s="125">
        <v>1332.0194115899999</v>
      </c>
      <c r="D17" s="124">
        <v>1.24792378</v>
      </c>
      <c r="E17" s="125">
        <v>430.10038037999999</v>
      </c>
      <c r="F17" s="124">
        <v>3038.7113187199998</v>
      </c>
      <c r="G17" s="159">
        <v>1.4599300347061472E-2</v>
      </c>
    </row>
    <row r="18" spans="1:7" ht="20" customHeight="1" thickBot="1">
      <c r="A18" s="123">
        <v>2007</v>
      </c>
      <c r="B18" s="124">
        <v>1254.93473436</v>
      </c>
      <c r="C18" s="125">
        <v>1283.5501741300002</v>
      </c>
      <c r="D18" s="124">
        <v>1.3477021599999999</v>
      </c>
      <c r="E18" s="125">
        <v>615.23426004999999</v>
      </c>
      <c r="F18" s="124">
        <v>3155.0668707000004</v>
      </c>
      <c r="G18" s="159">
        <v>3.8291084534154862E-2</v>
      </c>
    </row>
    <row r="19" spans="1:7" ht="20" customHeight="1" thickBot="1">
      <c r="A19" s="123">
        <v>2008</v>
      </c>
      <c r="B19" s="124">
        <v>1219.7052699400001</v>
      </c>
      <c r="C19" s="125">
        <v>1260.4115306800002</v>
      </c>
      <c r="D19" s="124">
        <v>1.4081255100000001</v>
      </c>
      <c r="E19" s="125">
        <v>808.9293028300001</v>
      </c>
      <c r="F19" s="124">
        <v>3290.4542289600004</v>
      </c>
      <c r="G19" s="159">
        <v>4.2911089941482627E-2</v>
      </c>
    </row>
    <row r="20" spans="1:7" ht="20" customHeight="1" thickBot="1">
      <c r="A20" s="123">
        <v>2009</v>
      </c>
      <c r="B20" s="124">
        <v>1153.6249357700001</v>
      </c>
      <c r="C20" s="125">
        <v>1187.9370805399999</v>
      </c>
      <c r="D20" s="124">
        <v>1.3760763200000001</v>
      </c>
      <c r="E20" s="125">
        <v>1039.5337555199999</v>
      </c>
      <c r="F20" s="124">
        <v>3382.4718481499999</v>
      </c>
      <c r="G20" s="159">
        <v>2.7965020263808205E-2</v>
      </c>
    </row>
    <row r="21" spans="1:7" ht="20" customHeight="1" thickBot="1">
      <c r="A21" s="123">
        <v>2010</v>
      </c>
      <c r="B21" s="124">
        <v>1051.15195066</v>
      </c>
      <c r="C21" s="125">
        <v>1011.90131852</v>
      </c>
      <c r="D21" s="124">
        <v>1.2471693700000002</v>
      </c>
      <c r="E21" s="125">
        <v>1344.41420606</v>
      </c>
      <c r="F21" s="124">
        <v>3408.7146446099996</v>
      </c>
      <c r="G21" s="159">
        <v>7.7584670732302463E-3</v>
      </c>
    </row>
    <row r="22" spans="1:7" ht="20" customHeight="1" thickBot="1">
      <c r="A22" s="123">
        <v>2011</v>
      </c>
      <c r="B22" s="124">
        <v>1006.5158743300001</v>
      </c>
      <c r="C22" s="125">
        <v>916.41476747000002</v>
      </c>
      <c r="D22" s="124">
        <v>1.21822674</v>
      </c>
      <c r="E22" s="125">
        <v>1650.95538848</v>
      </c>
      <c r="F22" s="124">
        <v>3575.1042570200002</v>
      </c>
      <c r="G22" s="159">
        <v>4.8813007176503609E-2</v>
      </c>
    </row>
    <row r="23" spans="1:7" ht="26.5" customHeight="1" thickBot="1">
      <c r="A23" s="126">
        <v>2012</v>
      </c>
      <c r="B23" s="127" vm="213">
        <v>961.44815567106002</v>
      </c>
      <c r="C23" s="128" vm="211">
        <v>862.99103208311021</v>
      </c>
      <c r="D23" s="127" vm="210">
        <v>1.20313202</v>
      </c>
      <c r="E23" s="128" vm="210">
        <v>1879.5948841358395</v>
      </c>
      <c r="F23" s="127">
        <v>3705.2372039100101</v>
      </c>
      <c r="G23" s="160">
        <v>3.6399762785793932E-2</v>
      </c>
    </row>
    <row r="24" spans="1:7" ht="20" customHeight="1">
      <c r="A24" s="695" t="s">
        <v>396</v>
      </c>
      <c r="B24" s="695"/>
      <c r="C24" s="695"/>
      <c r="D24" s="695"/>
      <c r="E24" s="695"/>
      <c r="F24" s="695"/>
      <c r="G24" s="695"/>
    </row>
    <row r="26" spans="1:7">
      <c r="A26" s="1112" t="s">
        <v>1628</v>
      </c>
    </row>
    <row r="27" spans="1:7">
      <c r="A27" s="1113" t="s">
        <v>1629</v>
      </c>
    </row>
    <row r="28" spans="1:7">
      <c r="A28" s="43"/>
    </row>
    <row r="30" spans="1:7">
      <c r="A30" s="3" t="s">
        <v>395</v>
      </c>
    </row>
  </sheetData>
  <mergeCells count="1">
    <mergeCell ref="A2:G2"/>
  </mergeCells>
  <pageMargins left="0.53" right="0.6" top="0.97" bottom="0.49" header="0.63" footer="0.4921259845"/>
  <pageSetup paperSize="9" scale="72" orientation="portrait" horizontalDpi="4294967292" verticalDpi="4294967292"/>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25A56-B476-8C4C-8F47-F0F16294990E}">
  <sheetPr>
    <pageSetUpPr fitToPage="1"/>
  </sheetPr>
  <dimension ref="A1:J62"/>
  <sheetViews>
    <sheetView topLeftCell="A27" zoomScaleNormal="100" workbookViewId="0">
      <selection activeCell="I43" sqref="I43"/>
    </sheetView>
  </sheetViews>
  <sheetFormatPr baseColWidth="10" defaultColWidth="11.3984375" defaultRowHeight="13"/>
  <cols>
    <col min="1" max="1" width="24.796875" style="3" customWidth="1"/>
    <col min="2" max="5" width="17.59765625" style="3" customWidth="1"/>
    <col min="6" max="6" width="18.59765625" style="3" customWidth="1"/>
    <col min="7" max="7" width="17.59765625" style="3" customWidth="1"/>
    <col min="8" max="8" width="13" style="3" customWidth="1"/>
    <col min="9" max="10" width="13.3984375" style="3" customWidth="1"/>
    <col min="11" max="16384" width="11.3984375" style="3"/>
  </cols>
  <sheetData>
    <row r="1" spans="1:10" s="2" customFormat="1" ht="14" customHeight="1"/>
    <row r="2" spans="1:10" s="2" customFormat="1" ht="23.5" customHeight="1">
      <c r="A2" s="2054" t="s">
        <v>1620</v>
      </c>
      <c r="B2" s="2055"/>
      <c r="C2" s="2055"/>
      <c r="D2" s="2055"/>
      <c r="E2" s="2055"/>
      <c r="F2" s="2055"/>
      <c r="G2" s="2055"/>
    </row>
    <row r="3" spans="1:10" ht="24" customHeight="1">
      <c r="A3" s="109" t="s">
        <v>1621</v>
      </c>
      <c r="B3" s="110" t="s">
        <v>226</v>
      </c>
      <c r="C3" s="111" t="s">
        <v>227</v>
      </c>
      <c r="D3" s="110" t="s">
        <v>228</v>
      </c>
      <c r="E3" s="111" t="s">
        <v>229</v>
      </c>
      <c r="F3" s="110" t="s">
        <v>430</v>
      </c>
      <c r="G3" s="155" t="s">
        <v>256</v>
      </c>
    </row>
    <row r="4" spans="1:10" ht="15" customHeight="1">
      <c r="A4" s="112"/>
      <c r="B4" s="113" t="s">
        <v>231</v>
      </c>
      <c r="C4" s="114" t="s">
        <v>232</v>
      </c>
      <c r="D4" s="113" t="s">
        <v>233</v>
      </c>
      <c r="E4" s="115" t="s">
        <v>234</v>
      </c>
      <c r="F4" s="113"/>
      <c r="G4" s="156" t="s">
        <v>257</v>
      </c>
    </row>
    <row r="5" spans="1:10" ht="15" customHeight="1">
      <c r="A5" s="112"/>
      <c r="B5" s="113" t="s">
        <v>235</v>
      </c>
      <c r="C5" s="114" t="s">
        <v>236</v>
      </c>
      <c r="D5" s="113"/>
      <c r="E5" s="115" t="s">
        <v>244</v>
      </c>
      <c r="F5" s="113"/>
      <c r="G5" s="156" t="s">
        <v>258</v>
      </c>
    </row>
    <row r="6" spans="1:10" ht="24" customHeight="1">
      <c r="A6" s="167" t="s">
        <v>626</v>
      </c>
      <c r="B6" s="117"/>
      <c r="C6" s="118"/>
      <c r="D6" s="117"/>
      <c r="E6" s="119" t="s">
        <v>238</v>
      </c>
      <c r="F6" s="117"/>
      <c r="G6" s="504"/>
    </row>
    <row r="7" spans="1:10" ht="1.5" customHeight="1" thickBot="1">
      <c r="A7" s="120">
        <v>1996</v>
      </c>
      <c r="B7" s="132">
        <v>228.61851592074831</v>
      </c>
      <c r="C7" s="133">
        <v>250.28080917066114</v>
      </c>
      <c r="D7" s="132">
        <v>156.40767594799246</v>
      </c>
      <c r="E7" s="133">
        <v>39.181749983856008</v>
      </c>
      <c r="F7" s="132">
        <v>232.07567799264095</v>
      </c>
      <c r="G7" s="158" t="s">
        <v>29</v>
      </c>
    </row>
    <row r="8" spans="1:10" ht="0.75" hidden="1" customHeight="1" thickBot="1">
      <c r="A8" s="123">
        <v>1997</v>
      </c>
      <c r="B8" s="134">
        <v>214.82091350284739</v>
      </c>
      <c r="C8" s="135">
        <v>309.95377266694288</v>
      </c>
      <c r="D8" s="134">
        <v>147.80819168288531</v>
      </c>
      <c r="E8" s="135">
        <v>118.73527169724866</v>
      </c>
      <c r="F8" s="134">
        <v>245.69341951346181</v>
      </c>
      <c r="G8" s="159">
        <v>5.8678021060236452E-2</v>
      </c>
      <c r="H8" s="9"/>
      <c r="I8" s="9"/>
      <c r="J8" s="9"/>
    </row>
    <row r="9" spans="1:10" ht="19.5" hidden="1" customHeight="1" thickBot="1">
      <c r="A9" s="123">
        <v>1998</v>
      </c>
      <c r="B9" s="134">
        <v>252.5128510168046</v>
      </c>
      <c r="C9" s="135">
        <v>360.17625657491357</v>
      </c>
      <c r="D9" s="134">
        <v>109.45734992662796</v>
      </c>
      <c r="E9" s="135">
        <v>203.07165413877752</v>
      </c>
      <c r="F9" s="134">
        <v>289.40816378154983</v>
      </c>
      <c r="G9" s="159">
        <v>0.17792395235759595</v>
      </c>
    </row>
    <row r="10" spans="1:10" ht="19.75" hidden="1" customHeight="1" thickBot="1">
      <c r="A10" s="123">
        <v>1999</v>
      </c>
      <c r="B10" s="134">
        <v>252.78194503280005</v>
      </c>
      <c r="C10" s="135">
        <v>388.48632413108436</v>
      </c>
      <c r="D10" s="134">
        <v>77.211639339766236</v>
      </c>
      <c r="E10" s="135">
        <v>225.34003908380205</v>
      </c>
      <c r="F10" s="134">
        <v>301.19915324099151</v>
      </c>
      <c r="G10" s="159">
        <v>4.0741730659476838E-2</v>
      </c>
    </row>
    <row r="11" spans="1:10" ht="19.75" hidden="1" customHeight="1" thickBot="1">
      <c r="A11" s="123">
        <v>2000</v>
      </c>
      <c r="B11" s="134">
        <v>268.97415894253976</v>
      </c>
      <c r="C11" s="135">
        <v>395.55641048968283</v>
      </c>
      <c r="D11" s="134">
        <v>127.58078154223918</v>
      </c>
      <c r="E11" s="135">
        <v>245.13884972744927</v>
      </c>
      <c r="F11" s="134">
        <v>314.93035979343995</v>
      </c>
      <c r="G11" s="159">
        <v>4.5588463329649498E-2</v>
      </c>
    </row>
    <row r="12" spans="1:10" ht="22.75" hidden="1" customHeight="1" thickBot="1">
      <c r="A12" s="123">
        <v>2001</v>
      </c>
      <c r="B12" s="134">
        <v>279.87221622151498</v>
      </c>
      <c r="C12" s="135">
        <v>409.91519673787701</v>
      </c>
      <c r="D12" s="134">
        <v>136.13273133558098</v>
      </c>
      <c r="E12" s="135">
        <v>264.16982213438177</v>
      </c>
      <c r="F12" s="134">
        <v>328.74580078618828</v>
      </c>
      <c r="G12" s="159">
        <v>4.3868241225805571E-2</v>
      </c>
    </row>
    <row r="13" spans="1:10" ht="22.75" customHeight="1" thickBot="1">
      <c r="A13" s="123">
        <v>2002</v>
      </c>
      <c r="B13" s="134">
        <v>286.4170414821387</v>
      </c>
      <c r="C13" s="135">
        <v>418.22409665521263</v>
      </c>
      <c r="D13" s="134">
        <v>142.93477715564441</v>
      </c>
      <c r="E13" s="135">
        <v>301.45728171382285</v>
      </c>
      <c r="F13" s="134">
        <v>340.77001631259407</v>
      </c>
      <c r="G13" s="159">
        <v>3.6576027732217797E-2</v>
      </c>
    </row>
    <row r="14" spans="1:10" ht="22.75" customHeight="1" thickBot="1">
      <c r="A14" s="123">
        <v>2003</v>
      </c>
      <c r="B14" s="134">
        <v>294.74032000405879</v>
      </c>
      <c r="C14" s="135">
        <v>432.96196147343414</v>
      </c>
      <c r="D14" s="134">
        <v>147.17768028203764</v>
      </c>
      <c r="E14" s="135">
        <v>275.60229235265177</v>
      </c>
      <c r="F14" s="134">
        <v>351.10178312798706</v>
      </c>
      <c r="G14" s="159">
        <v>3.0318884645988087E-2</v>
      </c>
    </row>
    <row r="15" spans="1:10" ht="22.75" customHeight="1" thickBot="1">
      <c r="A15" s="123">
        <v>2004</v>
      </c>
      <c r="B15" s="134">
        <v>346.67767559714537</v>
      </c>
      <c r="C15" s="135">
        <v>445.61742079017637</v>
      </c>
      <c r="D15" s="134">
        <v>170.9555657016069</v>
      </c>
      <c r="E15" s="135">
        <v>314.69406860308436</v>
      </c>
      <c r="F15" s="134">
        <v>383.59639867630506</v>
      </c>
      <c r="G15" s="159">
        <v>9.2550414466202602E-2</v>
      </c>
    </row>
    <row r="16" spans="1:10" ht="22.75" customHeight="1" thickBot="1">
      <c r="A16" s="123">
        <v>2005</v>
      </c>
      <c r="B16" s="134">
        <v>369.44498634392721</v>
      </c>
      <c r="C16" s="135">
        <v>468.17286197785694</v>
      </c>
      <c r="D16" s="134">
        <v>182.15224262282666</v>
      </c>
      <c r="E16" s="135">
        <v>325.16017542364909</v>
      </c>
      <c r="F16" s="134">
        <v>402.77581823634506</v>
      </c>
      <c r="G16" s="159">
        <v>4.9998956262945482E-2</v>
      </c>
    </row>
    <row r="17" spans="1:7" ht="22.75" customHeight="1" thickBot="1">
      <c r="A17" s="123">
        <v>2006</v>
      </c>
      <c r="B17" s="134">
        <v>381.48826099648591</v>
      </c>
      <c r="C17" s="135">
        <v>479.72716225398437</v>
      </c>
      <c r="D17" s="134">
        <v>173.51556238627722</v>
      </c>
      <c r="E17" s="135">
        <v>318.22891670236891</v>
      </c>
      <c r="F17" s="134">
        <v>406.33016890579557</v>
      </c>
      <c r="G17" s="159">
        <v>8.8246376979981278E-3</v>
      </c>
    </row>
    <row r="18" spans="1:7" ht="22.75" customHeight="1" thickBot="1">
      <c r="A18" s="123">
        <v>2007</v>
      </c>
      <c r="B18" s="134">
        <v>400.55455286147281</v>
      </c>
      <c r="C18" s="135">
        <v>500.15854269388518</v>
      </c>
      <c r="D18" s="134">
        <v>196.2585932147031</v>
      </c>
      <c r="E18" s="135">
        <v>335.92959502889681</v>
      </c>
      <c r="F18" s="134">
        <v>418.57794913092192</v>
      </c>
      <c r="G18" s="159">
        <v>3.014243381954218E-2</v>
      </c>
    </row>
    <row r="19" spans="1:7" ht="22.75" customHeight="1" thickBot="1">
      <c r="A19" s="123">
        <v>2008</v>
      </c>
      <c r="B19" s="134">
        <v>413.84569612436934</v>
      </c>
      <c r="C19" s="135">
        <v>530.13155278898682</v>
      </c>
      <c r="D19" s="134">
        <v>216.27564645013524</v>
      </c>
      <c r="E19" s="135">
        <v>354.13205606736216</v>
      </c>
      <c r="F19" s="134">
        <v>432.06984081146493</v>
      </c>
      <c r="G19" s="159">
        <v>3.223268619036368E-2</v>
      </c>
    </row>
    <row r="20" spans="1:7" ht="22.75" customHeight="1" thickBot="1">
      <c r="A20" s="123">
        <v>2009</v>
      </c>
      <c r="B20" s="134">
        <v>419.73019788908238</v>
      </c>
      <c r="C20" s="135">
        <v>544.40918884592361</v>
      </c>
      <c r="D20" s="134">
        <v>223.50620861263292</v>
      </c>
      <c r="E20" s="135">
        <v>374.97265629912067</v>
      </c>
      <c r="F20" s="134">
        <v>438.77782718478119</v>
      </c>
      <c r="G20" s="159">
        <v>1.5525236292165401E-2</v>
      </c>
    </row>
    <row r="21" spans="1:7" ht="22.75" customHeight="1" thickBot="1">
      <c r="A21" s="123">
        <v>2010</v>
      </c>
      <c r="B21" s="134">
        <v>435.70361068231057</v>
      </c>
      <c r="C21" s="135">
        <v>572.69650597987197</v>
      </c>
      <c r="D21" s="134">
        <v>219.33149556032734</v>
      </c>
      <c r="E21" s="135">
        <v>374.02084561196324</v>
      </c>
      <c r="F21" s="134">
        <v>438.15718058625299</v>
      </c>
      <c r="G21" s="159">
        <v>-1.4144894296740373E-3</v>
      </c>
    </row>
    <row r="22" spans="1:7" ht="22.75" customHeight="1" thickBot="1">
      <c r="A22" s="123">
        <v>2011</v>
      </c>
      <c r="B22" s="134">
        <v>461.61305816298312</v>
      </c>
      <c r="C22" s="135">
        <v>594.28475480059626</v>
      </c>
      <c r="D22" s="134">
        <v>231.45610961860717</v>
      </c>
      <c r="E22" s="135">
        <v>399.26485796677258</v>
      </c>
      <c r="F22" s="134">
        <v>454.68758890719317</v>
      </c>
      <c r="G22" s="159">
        <v>3.7727119520950314E-2</v>
      </c>
    </row>
    <row r="23" spans="1:7" ht="26.5" customHeight="1" thickBot="1">
      <c r="A23" s="126">
        <v>2012</v>
      </c>
      <c r="B23" s="136">
        <v>476.13093952499298</v>
      </c>
      <c r="C23" s="137">
        <v>620.94082593533938</v>
      </c>
      <c r="D23" s="136">
        <v>240.56320702034301</v>
      </c>
      <c r="E23" s="137">
        <v>414.05131832536978</v>
      </c>
      <c r="F23" s="136">
        <v>465.87080943736197</v>
      </c>
      <c r="G23" s="512">
        <v>2.4595394294897766E-2</v>
      </c>
    </row>
    <row r="24" spans="1:7" ht="17.25" customHeight="1">
      <c r="A24" s="130" t="s">
        <v>396</v>
      </c>
      <c r="B24" s="130"/>
      <c r="C24" s="130"/>
      <c r="D24" s="130"/>
      <c r="E24" s="130"/>
      <c r="F24" s="130"/>
      <c r="G24" s="513"/>
    </row>
    <row r="25" spans="1:7">
      <c r="G25" s="514"/>
    </row>
    <row r="26" spans="1:7">
      <c r="A26" s="3" t="s">
        <v>1622</v>
      </c>
      <c r="G26" s="514"/>
    </row>
    <row r="27" spans="1:7">
      <c r="G27" s="514"/>
    </row>
    <row r="28" spans="1:7">
      <c r="G28" s="514"/>
    </row>
    <row r="29" spans="1:7" ht="21" customHeight="1">
      <c r="A29" s="515" t="s">
        <v>1623</v>
      </c>
      <c r="G29" s="514"/>
    </row>
    <row r="30" spans="1:7" ht="8.5" customHeight="1">
      <c r="G30" s="514"/>
    </row>
    <row r="31" spans="1:7" ht="18" customHeight="1">
      <c r="A31" s="109" t="s">
        <v>241</v>
      </c>
      <c r="B31" s="110" t="s">
        <v>427</v>
      </c>
      <c r="C31" s="155" t="s">
        <v>256</v>
      </c>
      <c r="D31" s="110" t="s">
        <v>428</v>
      </c>
      <c r="E31" s="155" t="s">
        <v>256</v>
      </c>
      <c r="F31" s="110" t="s">
        <v>629</v>
      </c>
      <c r="G31" s="155" t="s">
        <v>256</v>
      </c>
    </row>
    <row r="32" spans="1:7" ht="18" customHeight="1">
      <c r="A32" s="517"/>
      <c r="B32" s="113" t="s">
        <v>431</v>
      </c>
      <c r="C32" s="156" t="s">
        <v>257</v>
      </c>
      <c r="D32" s="113" t="s">
        <v>432</v>
      </c>
      <c r="E32" s="156" t="s">
        <v>257</v>
      </c>
      <c r="F32" s="113" t="s">
        <v>630</v>
      </c>
      <c r="G32" s="156" t="s">
        <v>257</v>
      </c>
    </row>
    <row r="33" spans="1:7" ht="18" customHeight="1">
      <c r="A33" s="112"/>
      <c r="B33" s="113"/>
      <c r="C33" s="518" t="s">
        <v>258</v>
      </c>
      <c r="D33" s="113"/>
      <c r="E33" s="518" t="s">
        <v>258</v>
      </c>
      <c r="F33" s="113"/>
      <c r="G33" s="518" t="s">
        <v>258</v>
      </c>
    </row>
    <row r="34" spans="1:7" ht="18" customHeight="1">
      <c r="A34" s="116"/>
      <c r="B34" s="117"/>
      <c r="C34" s="118"/>
      <c r="D34" s="117"/>
      <c r="E34" s="119"/>
      <c r="F34" s="117"/>
      <c r="G34" s="403"/>
    </row>
    <row r="35" spans="1:7" ht="1.25" customHeight="1" thickBot="1">
      <c r="A35" s="120">
        <v>1996</v>
      </c>
      <c r="B35" s="132" t="s">
        <v>29</v>
      </c>
      <c r="C35" s="519" t="s">
        <v>29</v>
      </c>
      <c r="D35" s="132" t="s">
        <v>29</v>
      </c>
      <c r="E35" s="519" t="s">
        <v>29</v>
      </c>
      <c r="F35" s="132" t="s">
        <v>29</v>
      </c>
      <c r="G35" s="158" t="s">
        <v>29</v>
      </c>
    </row>
    <row r="36" spans="1:7" ht="0.75" customHeight="1" thickBot="1">
      <c r="A36" s="120">
        <v>1997</v>
      </c>
      <c r="B36" s="132">
        <v>63.770000000000095</v>
      </c>
      <c r="C36" s="159" t="s">
        <v>29</v>
      </c>
      <c r="D36" s="132">
        <v>180.87</v>
      </c>
      <c r="E36" s="159" t="s">
        <v>29</v>
      </c>
      <c r="F36" s="132">
        <v>315.02000000000021</v>
      </c>
      <c r="G36" s="159" t="s">
        <v>29</v>
      </c>
    </row>
    <row r="37" spans="1:7" ht="18" hidden="1" customHeight="1" thickBot="1">
      <c r="A37" s="120">
        <v>1998</v>
      </c>
      <c r="B37" s="134">
        <v>67.759999999999991</v>
      </c>
      <c r="C37" s="159">
        <v>6.2568605927550314E-2</v>
      </c>
      <c r="D37" s="134">
        <v>220.31000000000006</v>
      </c>
      <c r="E37" s="159">
        <v>0.21805716813180775</v>
      </c>
      <c r="F37" s="134">
        <v>369.30999999999995</v>
      </c>
      <c r="G37" s="159">
        <v>0.17233826423719023</v>
      </c>
    </row>
    <row r="38" spans="1:7" ht="18" hidden="1" customHeight="1" thickBot="1">
      <c r="A38" s="120">
        <v>1999</v>
      </c>
      <c r="B38" s="134">
        <v>68.569999999999936</v>
      </c>
      <c r="C38" s="159">
        <v>1.1953955135772576E-2</v>
      </c>
      <c r="D38" s="134">
        <v>233.62</v>
      </c>
      <c r="E38" s="159">
        <v>6.0414869955970785E-2</v>
      </c>
      <c r="F38" s="134">
        <v>384.64000000000033</v>
      </c>
      <c r="G38" s="159">
        <v>4.150984267959279E-2</v>
      </c>
    </row>
    <row r="39" spans="1:7" ht="22.75" hidden="1" customHeight="1" thickBot="1">
      <c r="A39" s="120">
        <v>2000</v>
      </c>
      <c r="B39" s="134">
        <v>71.980000000000018</v>
      </c>
      <c r="C39" s="159">
        <v>4.9730202712557681E-2</v>
      </c>
      <c r="D39" s="134">
        <v>241.04000000000008</v>
      </c>
      <c r="E39" s="159">
        <v>3.1760979368204989E-2</v>
      </c>
      <c r="F39" s="134">
        <v>405.15000000000009</v>
      </c>
      <c r="G39" s="159">
        <v>5.3322587354408757E-2</v>
      </c>
    </row>
    <row r="40" spans="1:7" ht="22.75" hidden="1" customHeight="1" thickBot="1">
      <c r="A40" s="120">
        <v>2001</v>
      </c>
      <c r="B40" s="134">
        <v>75.100000000000023</v>
      </c>
      <c r="C40" s="159">
        <v>4.3345373714920754E-2</v>
      </c>
      <c r="D40" s="134">
        <v>251.89</v>
      </c>
      <c r="E40" s="159">
        <v>4.5013275804845376E-2</v>
      </c>
      <c r="F40" s="134">
        <v>422.20000000000027</v>
      </c>
      <c r="G40" s="159">
        <v>4.2083179069480892E-2</v>
      </c>
    </row>
    <row r="41" spans="1:7" ht="22.75" customHeight="1" thickBot="1">
      <c r="A41" s="120">
        <v>2002</v>
      </c>
      <c r="B41" s="1994">
        <v>75.169999999999959</v>
      </c>
      <c r="C41" s="2010">
        <v>9.320905459377915E-4</v>
      </c>
      <c r="D41" s="1994">
        <v>258.49</v>
      </c>
      <c r="E41" s="2010">
        <v>2.6201913533685506E-2</v>
      </c>
      <c r="F41" s="1994">
        <v>434.13000000000011</v>
      </c>
      <c r="G41" s="2010">
        <v>2.8256750355281524E-2</v>
      </c>
    </row>
    <row r="42" spans="1:7" ht="22.75" customHeight="1" thickBot="1">
      <c r="A42" s="120">
        <v>2003</v>
      </c>
      <c r="B42" s="1994">
        <v>77.519999999999982</v>
      </c>
      <c r="C42" s="2010">
        <v>3.1262471730743924E-2</v>
      </c>
      <c r="D42" s="1994">
        <v>267.20999999999992</v>
      </c>
      <c r="E42" s="2010">
        <v>3.373438044024879E-2</v>
      </c>
      <c r="F42" s="1994">
        <v>444.80999999999995</v>
      </c>
      <c r="G42" s="2010">
        <v>2.4600925989910483E-2</v>
      </c>
    </row>
    <row r="43" spans="1:7" ht="22.75" customHeight="1" thickBot="1">
      <c r="A43" s="120">
        <v>2004</v>
      </c>
      <c r="B43" s="1994">
        <v>80.840000000000032</v>
      </c>
      <c r="C43" s="2010">
        <v>4.2827657378741613E-2</v>
      </c>
      <c r="D43" s="1994">
        <v>289.2399999999999</v>
      </c>
      <c r="E43" s="2010">
        <v>8.244451929194252E-2</v>
      </c>
      <c r="F43" s="1994">
        <v>485.31999999999971</v>
      </c>
      <c r="G43" s="2010">
        <v>9.1072592792427631E-2</v>
      </c>
    </row>
    <row r="44" spans="1:7" ht="22.75" customHeight="1" thickBot="1">
      <c r="A44" s="120">
        <v>2005</v>
      </c>
      <c r="B44" s="1994">
        <v>88.199999999999932</v>
      </c>
      <c r="C44" s="2010">
        <v>9.1044037605144679E-2</v>
      </c>
      <c r="D44" s="1994">
        <v>304.45000000000016</v>
      </c>
      <c r="E44" s="2010">
        <v>5.2586087678053728E-2</v>
      </c>
      <c r="F44" s="1994">
        <v>506.7800000000002</v>
      </c>
      <c r="G44" s="2010">
        <v>4.4218247754060247E-2</v>
      </c>
    </row>
    <row r="45" spans="1:7" ht="22.75" customHeight="1" thickBot="1">
      <c r="A45" s="120">
        <v>2006</v>
      </c>
      <c r="B45" s="1994">
        <v>89.889999999999986</v>
      </c>
      <c r="C45" s="2010">
        <v>1.9160997732426965E-2</v>
      </c>
      <c r="D45" s="1994">
        <v>303.98</v>
      </c>
      <c r="E45" s="2010">
        <v>-1.5437674494995779E-3</v>
      </c>
      <c r="F45" s="1994">
        <v>509.94000000000005</v>
      </c>
      <c r="G45" s="2010">
        <v>6.2354473341486027E-3</v>
      </c>
    </row>
    <row r="46" spans="1:7" ht="22.75" customHeight="1" thickBot="1">
      <c r="A46" s="120">
        <v>2007</v>
      </c>
      <c r="B46" s="1994">
        <v>93.17999999999995</v>
      </c>
      <c r="C46" s="2010">
        <v>3.660028924240688E-2</v>
      </c>
      <c r="D46" s="1994">
        <v>309.60000000000002</v>
      </c>
      <c r="E46" s="2010">
        <v>1.8488058424896314E-2</v>
      </c>
      <c r="F46" s="1994">
        <v>522.09000000000015</v>
      </c>
      <c r="G46" s="2010">
        <v>2.3826332509707226E-2</v>
      </c>
    </row>
    <row r="47" spans="1:7" ht="22.75" customHeight="1" thickBot="1">
      <c r="A47" s="120">
        <v>2008</v>
      </c>
      <c r="B47" s="1994">
        <v>95.289999999999964</v>
      </c>
      <c r="C47" s="2010">
        <v>2.2644344279888484E-2</v>
      </c>
      <c r="D47" s="1994">
        <v>321.29999999999995</v>
      </c>
      <c r="E47" s="2010">
        <v>3.779069767441845E-2</v>
      </c>
      <c r="F47" s="1994">
        <v>537.44000000000005</v>
      </c>
      <c r="G47" s="2010">
        <v>2.9401061119730176E-2</v>
      </c>
    </row>
    <row r="48" spans="1:7" ht="22.75" customHeight="1" thickBot="1">
      <c r="A48" s="120">
        <v>2009</v>
      </c>
      <c r="B48" s="134">
        <v>95.725122980230481</v>
      </c>
      <c r="C48" s="2010">
        <v>4.5663026574720433E-3</v>
      </c>
      <c r="D48" s="134">
        <v>334.16938022804311</v>
      </c>
      <c r="E48" s="2010">
        <v>4.0054093457961848E-2</v>
      </c>
      <c r="F48" s="134">
        <v>544.22522061426776</v>
      </c>
      <c r="G48" s="2010">
        <v>1.262507556986403E-2</v>
      </c>
    </row>
    <row r="49" spans="1:7" ht="22.75" customHeight="1" thickBot="1">
      <c r="A49" s="120">
        <v>2010</v>
      </c>
      <c r="B49" s="134">
        <v>93.937047957694219</v>
      </c>
      <c r="C49" s="159">
        <v>-1.8679265869478656E-2</v>
      </c>
      <c r="D49" s="134">
        <v>331.62812709047785</v>
      </c>
      <c r="E49" s="159">
        <v>-7.6046857908736998E-3</v>
      </c>
      <c r="F49" s="134">
        <v>542.78191935372695</v>
      </c>
      <c r="G49" s="159">
        <v>-2.6520293545230222E-3</v>
      </c>
    </row>
    <row r="50" spans="1:7" ht="22.75" customHeight="1" thickBot="1">
      <c r="A50" s="120">
        <v>2011</v>
      </c>
      <c r="B50" s="134">
        <v>94.253152352868312</v>
      </c>
      <c r="C50" s="159">
        <v>3.3650663081987719E-3</v>
      </c>
      <c r="D50" s="134">
        <v>340.38460160443998</v>
      </c>
      <c r="E50" s="159">
        <v>2.6404498890931327E-2</v>
      </c>
      <c r="F50" s="134">
        <v>563.24138007099987</v>
      </c>
      <c r="G50" s="159">
        <v>3.769370347050871E-2</v>
      </c>
    </row>
    <row r="51" spans="1:7" ht="22.75" customHeight="1" thickBot="1">
      <c r="A51" s="520">
        <v>2012</v>
      </c>
      <c r="B51" s="1111">
        <v>95.293888279279315</v>
      </c>
      <c r="C51" s="512">
        <v>1.1041921680398081E-2</v>
      </c>
      <c r="D51" s="353">
        <v>353.60651268115112</v>
      </c>
      <c r="E51" s="512">
        <v>3.884403411431725E-2</v>
      </c>
      <c r="F51" s="353">
        <v>575.68115065131337</v>
      </c>
      <c r="G51" s="512">
        <v>2.2086038101009953E-2</v>
      </c>
    </row>
    <row r="52" spans="1:7" ht="15" customHeight="1">
      <c r="A52" s="359" t="s">
        <v>396</v>
      </c>
    </row>
    <row r="54" spans="1:7">
      <c r="A54" s="131" t="s">
        <v>2584</v>
      </c>
    </row>
    <row r="56" spans="1:7">
      <c r="G56" s="514"/>
    </row>
    <row r="57" spans="1:7">
      <c r="A57" s="336" t="s">
        <v>1624</v>
      </c>
    </row>
    <row r="58" spans="1:7">
      <c r="A58" s="3" t="s">
        <v>1625</v>
      </c>
    </row>
    <row r="59" spans="1:7">
      <c r="A59" s="3" t="s">
        <v>1626</v>
      </c>
    </row>
    <row r="62" spans="1:7">
      <c r="A62" s="3" t="s">
        <v>395</v>
      </c>
    </row>
  </sheetData>
  <mergeCells count="1">
    <mergeCell ref="A2:G2"/>
  </mergeCells>
  <pageMargins left="0.32" right="0.23" top="0.39370078740157483" bottom="0.31496062992125984" header="0.23622047244094491" footer="0.19685039370078741"/>
  <pageSetup paperSize="9" scale="69" orientation="portrait" horizontalDpi="1200" verticalDpi="12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43546-5A68-1340-BC96-B7A85D004996}">
  <sheetPr>
    <pageSetUpPr fitToPage="1"/>
  </sheetPr>
  <dimension ref="A1:R43"/>
  <sheetViews>
    <sheetView topLeftCell="C1" zoomScaleNormal="100" workbookViewId="0">
      <selection activeCell="R2" sqref="R2"/>
    </sheetView>
  </sheetViews>
  <sheetFormatPr baseColWidth="10" defaultColWidth="11.3984375" defaultRowHeight="13"/>
  <cols>
    <col min="1" max="1" width="13.3984375" style="3" customWidth="1"/>
    <col min="2" max="7" width="10.796875" style="3" customWidth="1"/>
    <col min="8" max="11" width="10.3984375" style="3" customWidth="1"/>
    <col min="12" max="13" width="11.3984375" style="3"/>
    <col min="14" max="14" width="11.59765625" style="3" customWidth="1"/>
    <col min="15" max="16384" width="11.3984375" style="3"/>
  </cols>
  <sheetData>
    <row r="1" spans="1:18" s="2" customFormat="1" ht="14" customHeight="1"/>
    <row r="2" spans="1:18" s="2" customFormat="1" ht="27.5" customHeight="1">
      <c r="A2" s="222" t="s">
        <v>474</v>
      </c>
      <c r="B2" s="328"/>
      <c r="C2" s="328"/>
      <c r="D2" s="328"/>
      <c r="E2" s="328"/>
      <c r="F2" s="328"/>
      <c r="G2" s="328"/>
      <c r="H2" s="328"/>
      <c r="I2" s="222"/>
      <c r="J2" s="222"/>
      <c r="K2" s="222"/>
      <c r="L2" s="222"/>
      <c r="M2" s="222"/>
      <c r="N2" s="222"/>
      <c r="O2" s="222"/>
      <c r="P2" s="222"/>
      <c r="Q2" s="222"/>
      <c r="R2" s="343"/>
    </row>
    <row r="3" spans="1:18" ht="24" customHeight="1">
      <c r="A3" s="344" t="s">
        <v>426</v>
      </c>
      <c r="B3" s="114">
        <v>1996</v>
      </c>
      <c r="C3" s="113">
        <v>1997</v>
      </c>
      <c r="D3" s="114">
        <v>1998</v>
      </c>
      <c r="E3" s="345">
        <v>1999</v>
      </c>
      <c r="F3" s="346">
        <v>2000</v>
      </c>
      <c r="G3" s="113">
        <v>2001</v>
      </c>
      <c r="H3" s="114">
        <v>2002</v>
      </c>
      <c r="I3" s="113">
        <v>2003</v>
      </c>
      <c r="J3" s="114">
        <v>2004</v>
      </c>
      <c r="K3" s="113">
        <v>2005</v>
      </c>
      <c r="L3" s="114">
        <v>2006</v>
      </c>
      <c r="M3" s="113">
        <v>2007</v>
      </c>
      <c r="N3" s="114">
        <v>2008</v>
      </c>
      <c r="O3" s="113">
        <v>2009</v>
      </c>
      <c r="P3" s="114">
        <v>2010</v>
      </c>
      <c r="Q3" s="113">
        <v>2011</v>
      </c>
      <c r="R3" s="114">
        <v>2012</v>
      </c>
    </row>
    <row r="4" spans="1:18" ht="15" customHeight="1">
      <c r="A4" s="347"/>
      <c r="B4" s="114"/>
      <c r="C4" s="113"/>
      <c r="D4" s="114"/>
      <c r="E4" s="348"/>
      <c r="F4" s="115"/>
      <c r="G4" s="113"/>
      <c r="H4" s="114"/>
      <c r="I4" s="113"/>
      <c r="J4" s="114"/>
      <c r="K4" s="113"/>
      <c r="L4" s="114"/>
      <c r="M4" s="113"/>
      <c r="N4" s="114"/>
      <c r="O4" s="113"/>
      <c r="P4" s="114"/>
      <c r="Q4" s="113"/>
      <c r="R4" s="114"/>
    </row>
    <row r="5" spans="1:18" ht="16" customHeight="1">
      <c r="A5" s="349"/>
      <c r="B5" s="118"/>
      <c r="C5" s="117"/>
      <c r="D5" s="118"/>
      <c r="E5" s="330"/>
      <c r="F5" s="119"/>
      <c r="G5" s="117"/>
      <c r="H5" s="118"/>
      <c r="I5" s="117"/>
      <c r="J5" s="118"/>
      <c r="K5" s="117"/>
      <c r="L5" s="118"/>
      <c r="M5" s="117"/>
      <c r="N5" s="118"/>
      <c r="O5" s="117"/>
      <c r="P5" s="118"/>
      <c r="Q5" s="117"/>
      <c r="R5" s="118"/>
    </row>
    <row r="6" spans="1:18" ht="30" customHeight="1" thickBot="1">
      <c r="A6" s="350" t="s">
        <v>434</v>
      </c>
      <c r="B6" s="321">
        <v>1531.4368043385546</v>
      </c>
      <c r="C6" s="320">
        <v>1592.1404612983295</v>
      </c>
      <c r="D6" s="321">
        <v>1716.0245551444925</v>
      </c>
      <c r="E6" s="320">
        <v>1773.1739518220609</v>
      </c>
      <c r="F6" s="321">
        <v>1834.7116093744457</v>
      </c>
      <c r="G6" s="320">
        <v>1932.4611205334261</v>
      </c>
      <c r="H6" s="133">
        <v>2000.5046781814647</v>
      </c>
      <c r="I6" s="132">
        <v>2034.9237040545336</v>
      </c>
      <c r="J6" s="133">
        <v>2196.6080176712967</v>
      </c>
      <c r="K6" s="132">
        <v>2276.3332940228111</v>
      </c>
      <c r="L6" s="133">
        <v>2275.0555158102898</v>
      </c>
      <c r="M6" s="132">
        <v>2377.7251299329969</v>
      </c>
      <c r="N6" s="133">
        <v>2490.7057595098518</v>
      </c>
      <c r="O6" s="132">
        <v>2595.1602371058643</v>
      </c>
      <c r="P6" s="133">
        <v>2658.1695727129568</v>
      </c>
      <c r="Q6" s="132">
        <v>2660.7115895562274</v>
      </c>
      <c r="R6" s="133">
        <v>2754.8719287245185</v>
      </c>
    </row>
    <row r="7" spans="1:18" ht="20" customHeight="1" thickBot="1">
      <c r="A7" s="351" t="s">
        <v>435</v>
      </c>
      <c r="B7" s="135">
        <v>1429.5179276925787</v>
      </c>
      <c r="C7" s="134">
        <v>1560.9828221225171</v>
      </c>
      <c r="D7" s="135">
        <v>1549.4957062423252</v>
      </c>
      <c r="E7" s="134">
        <v>1630.1556937084752</v>
      </c>
      <c r="F7" s="135">
        <v>1781.6542916392134</v>
      </c>
      <c r="G7" s="134">
        <v>1847.9692160332511</v>
      </c>
      <c r="H7" s="133">
        <v>1922.939690101945</v>
      </c>
      <c r="I7" s="132">
        <v>2056.6964015673011</v>
      </c>
      <c r="J7" s="133">
        <v>2341.8816259440355</v>
      </c>
      <c r="K7" s="132">
        <v>2485.1444407832573</v>
      </c>
      <c r="L7" s="133">
        <v>2547.105985823775</v>
      </c>
      <c r="M7" s="132">
        <v>2678.4157621860086</v>
      </c>
      <c r="N7" s="133">
        <v>2798.8865785595031</v>
      </c>
      <c r="O7" s="132">
        <v>2847.3804001022049</v>
      </c>
      <c r="P7" s="133">
        <v>2892.7488001419242</v>
      </c>
      <c r="Q7" s="132">
        <v>2988.005313494667</v>
      </c>
      <c r="R7" s="133">
        <v>2949.2440552222347</v>
      </c>
    </row>
    <row r="8" spans="1:18" ht="20" customHeight="1" thickBot="1">
      <c r="A8" s="351" t="s">
        <v>436</v>
      </c>
      <c r="B8" s="135">
        <v>1133.4959137144647</v>
      </c>
      <c r="C8" s="134">
        <v>1164.2366846696132</v>
      </c>
      <c r="D8" s="135">
        <v>1255.3914661537981</v>
      </c>
      <c r="E8" s="134">
        <v>1318.1977597711782</v>
      </c>
      <c r="F8" s="135">
        <v>1420.093796759051</v>
      </c>
      <c r="G8" s="134">
        <v>1529.4853321539028</v>
      </c>
      <c r="H8" s="133">
        <v>1576.1526530652723</v>
      </c>
      <c r="I8" s="132">
        <v>1674.3818428454581</v>
      </c>
      <c r="J8" s="133">
        <v>1805.4006977487363</v>
      </c>
      <c r="K8" s="132">
        <v>1947.7473971890336</v>
      </c>
      <c r="L8" s="133">
        <v>1934.0866644296423</v>
      </c>
      <c r="M8" s="132">
        <v>2024.2185351854032</v>
      </c>
      <c r="N8" s="133">
        <v>2117.1685537566664</v>
      </c>
      <c r="O8" s="132">
        <v>2239.5335043069604</v>
      </c>
      <c r="P8" s="133">
        <v>2291.8030558776159</v>
      </c>
      <c r="Q8" s="132">
        <v>2306.388892515361</v>
      </c>
      <c r="R8" s="133">
        <v>2436.4494032087719</v>
      </c>
    </row>
    <row r="9" spans="1:18" ht="20" customHeight="1" thickBot="1">
      <c r="A9" s="351" t="s">
        <v>437</v>
      </c>
      <c r="B9" s="135">
        <v>1170.5713898768597</v>
      </c>
      <c r="C9" s="134">
        <v>1188.7947173285502</v>
      </c>
      <c r="D9" s="135">
        <v>1184.7634491989279</v>
      </c>
      <c r="E9" s="134">
        <v>1276.0434772253018</v>
      </c>
      <c r="F9" s="135">
        <v>1372.3320896788282</v>
      </c>
      <c r="G9" s="134">
        <v>1524.2356863549176</v>
      </c>
      <c r="H9" s="133">
        <v>1447.1828874585042</v>
      </c>
      <c r="I9" s="132">
        <v>1570.7474754638181</v>
      </c>
      <c r="J9" s="133">
        <v>1666.6492681434515</v>
      </c>
      <c r="K9" s="132">
        <v>1860.0091614818257</v>
      </c>
      <c r="L9" s="133">
        <v>1869.5080282563245</v>
      </c>
      <c r="M9" s="132">
        <v>2009.4927026379683</v>
      </c>
      <c r="N9" s="133">
        <v>2068.8412540501618</v>
      </c>
      <c r="O9" s="132">
        <v>2163.02623550206</v>
      </c>
      <c r="P9" s="133">
        <v>2174.6586066543464</v>
      </c>
      <c r="Q9" s="132">
        <v>2159.5054345717153</v>
      </c>
      <c r="R9" s="133">
        <v>2260.5216634437506</v>
      </c>
    </row>
    <row r="10" spans="1:18" ht="20" customHeight="1" thickBot="1">
      <c r="A10" s="351" t="s">
        <v>438</v>
      </c>
      <c r="B10" s="135">
        <v>1183.904502547374</v>
      </c>
      <c r="C10" s="134">
        <v>1177.3390952712084</v>
      </c>
      <c r="D10" s="135">
        <v>1210.2794637805375</v>
      </c>
      <c r="E10" s="134">
        <v>1328.6042502309097</v>
      </c>
      <c r="F10" s="135">
        <v>1401.49371094512</v>
      </c>
      <c r="G10" s="134">
        <v>1562.5834963549732</v>
      </c>
      <c r="H10" s="133">
        <v>1546.5923642876348</v>
      </c>
      <c r="I10" s="132">
        <v>1661.3339067844468</v>
      </c>
      <c r="J10" s="133">
        <v>1779.1950576893307</v>
      </c>
      <c r="K10" s="132">
        <v>1883.5767671342526</v>
      </c>
      <c r="L10" s="133">
        <v>1924.2853426193594</v>
      </c>
      <c r="M10" s="132">
        <v>2012.3715910012818</v>
      </c>
      <c r="N10" s="133">
        <v>2081.1379398518775</v>
      </c>
      <c r="O10" s="132">
        <v>2224.6461416556958</v>
      </c>
      <c r="P10" s="133">
        <v>2225.2091375768055</v>
      </c>
      <c r="Q10" s="132">
        <v>2268.4311930371427</v>
      </c>
      <c r="R10" s="133">
        <v>2416.2630099855819</v>
      </c>
    </row>
    <row r="11" spans="1:18" ht="20" customHeight="1" thickBot="1">
      <c r="A11" s="351" t="s">
        <v>439</v>
      </c>
      <c r="B11" s="135">
        <v>1133.7894159595787</v>
      </c>
      <c r="C11" s="134">
        <v>1137.0381481642287</v>
      </c>
      <c r="D11" s="135">
        <v>1204.9714456028103</v>
      </c>
      <c r="E11" s="134">
        <v>1277.9778714096794</v>
      </c>
      <c r="F11" s="135">
        <v>1369.3814863200012</v>
      </c>
      <c r="G11" s="134">
        <v>1410.6232418448128</v>
      </c>
      <c r="H11" s="133">
        <v>1421.5873003326212</v>
      </c>
      <c r="I11" s="132">
        <v>1531.0057506857099</v>
      </c>
      <c r="J11" s="133">
        <v>1618.0639843081201</v>
      </c>
      <c r="K11" s="132">
        <v>1769.3426699028305</v>
      </c>
      <c r="L11" s="133">
        <v>1824.6505680668256</v>
      </c>
      <c r="M11" s="132">
        <v>1975.9418241624771</v>
      </c>
      <c r="N11" s="133">
        <v>2028.3068967183267</v>
      </c>
      <c r="O11" s="132">
        <v>2058.8767642458251</v>
      </c>
      <c r="P11" s="133">
        <v>2033.766976369847</v>
      </c>
      <c r="Q11" s="132">
        <v>2101.0595424357598</v>
      </c>
      <c r="R11" s="133">
        <v>2280.1500491427919</v>
      </c>
    </row>
    <row r="12" spans="1:18" ht="20" customHeight="1" thickBot="1">
      <c r="A12" s="351" t="s">
        <v>440</v>
      </c>
      <c r="B12" s="135">
        <v>1084.0519649237353</v>
      </c>
      <c r="C12" s="134">
        <v>1048.6278972234743</v>
      </c>
      <c r="D12" s="135">
        <v>1090.0190923265952</v>
      </c>
      <c r="E12" s="134">
        <v>1162.2748100441377</v>
      </c>
      <c r="F12" s="135">
        <v>1285.619302307706</v>
      </c>
      <c r="G12" s="134">
        <v>1333.9556699963334</v>
      </c>
      <c r="H12" s="133">
        <v>1388.3951215522666</v>
      </c>
      <c r="I12" s="132">
        <v>1470.2141545515597</v>
      </c>
      <c r="J12" s="133">
        <v>1489.3604369062462</v>
      </c>
      <c r="K12" s="132">
        <v>1586.5911426422597</v>
      </c>
      <c r="L12" s="133">
        <v>1696.2506591330434</v>
      </c>
      <c r="M12" s="132">
        <v>1847.7498182499899</v>
      </c>
      <c r="N12" s="133">
        <v>1912.6361784172177</v>
      </c>
      <c r="O12" s="132">
        <v>1987.0067973913037</v>
      </c>
      <c r="P12" s="133">
        <v>2022.6549757315913</v>
      </c>
      <c r="Q12" s="132">
        <v>2027.1509724747493</v>
      </c>
      <c r="R12" s="133">
        <v>2287.2711565217187</v>
      </c>
    </row>
    <row r="13" spans="1:18" ht="20" customHeight="1" thickBot="1">
      <c r="A13" s="351" t="s">
        <v>441</v>
      </c>
      <c r="B13" s="135">
        <v>1203.4670187360268</v>
      </c>
      <c r="C13" s="134">
        <v>1262.1814850826552</v>
      </c>
      <c r="D13" s="135">
        <v>1295.9536270179703</v>
      </c>
      <c r="E13" s="134">
        <v>1417.7423234774992</v>
      </c>
      <c r="F13" s="135">
        <v>1519.2532199850962</v>
      </c>
      <c r="G13" s="134">
        <v>1646.5068743383752</v>
      </c>
      <c r="H13" s="133">
        <v>1683.4135242730229</v>
      </c>
      <c r="I13" s="132">
        <v>1718.6463437398302</v>
      </c>
      <c r="J13" s="133">
        <v>1844.6230302894276</v>
      </c>
      <c r="K13" s="132">
        <v>1974.6194053054242</v>
      </c>
      <c r="L13" s="133">
        <v>1962.9238127623209</v>
      </c>
      <c r="M13" s="132">
        <v>2030.5993941412801</v>
      </c>
      <c r="N13" s="133">
        <v>2180.6976400750987</v>
      </c>
      <c r="O13" s="132">
        <v>2247.2239645196319</v>
      </c>
      <c r="P13" s="133">
        <v>2348.5362628836929</v>
      </c>
      <c r="Q13" s="132">
        <v>2320.9659389464027</v>
      </c>
      <c r="R13" s="133">
        <v>2499.6467524433988</v>
      </c>
    </row>
    <row r="14" spans="1:18" ht="20" customHeight="1" thickBot="1">
      <c r="A14" s="351" t="s">
        <v>442</v>
      </c>
      <c r="B14" s="135">
        <v>1094.0639115654201</v>
      </c>
      <c r="C14" s="134">
        <v>1161.1799024238769</v>
      </c>
      <c r="D14" s="135">
        <v>1242.798626689103</v>
      </c>
      <c r="E14" s="134">
        <v>1321.3699370390195</v>
      </c>
      <c r="F14" s="135">
        <v>1410.2859117015253</v>
      </c>
      <c r="G14" s="134">
        <v>1564.7256669968224</v>
      </c>
      <c r="H14" s="133">
        <v>1656.1215954686197</v>
      </c>
      <c r="I14" s="132">
        <v>1696.8018273040691</v>
      </c>
      <c r="J14" s="133">
        <v>1771.3567195235237</v>
      </c>
      <c r="K14" s="132">
        <v>1868.8308402935636</v>
      </c>
      <c r="L14" s="133">
        <v>1882.3434464219522</v>
      </c>
      <c r="M14" s="132">
        <v>1989.6316671374429</v>
      </c>
      <c r="N14" s="133">
        <v>2067.1180660524301</v>
      </c>
      <c r="O14" s="132">
        <v>2181.154562467118</v>
      </c>
      <c r="P14" s="133">
        <v>2224.593910365787</v>
      </c>
      <c r="Q14" s="132">
        <v>2199.877229776308</v>
      </c>
      <c r="R14" s="133">
        <v>2307.9196894147185</v>
      </c>
    </row>
    <row r="15" spans="1:18" ht="20" customHeight="1" thickBot="1">
      <c r="A15" s="351" t="s">
        <v>443</v>
      </c>
      <c r="B15" s="135">
        <v>1427.9019124955446</v>
      </c>
      <c r="C15" s="134">
        <v>1443.573073884357</v>
      </c>
      <c r="D15" s="135">
        <v>1581.4626164183628</v>
      </c>
      <c r="E15" s="134">
        <v>1644.3563810475111</v>
      </c>
      <c r="F15" s="135">
        <v>1680.4040099177951</v>
      </c>
      <c r="G15" s="134">
        <v>1802.6509633245694</v>
      </c>
      <c r="H15" s="133">
        <v>1872.05548578351</v>
      </c>
      <c r="I15" s="132">
        <v>1920.7924785796415</v>
      </c>
      <c r="J15" s="133">
        <v>2003.6490356385605</v>
      </c>
      <c r="K15" s="132">
        <v>2136.675674591248</v>
      </c>
      <c r="L15" s="133">
        <v>2199.1855706445126</v>
      </c>
      <c r="M15" s="132">
        <v>2287.1500697004531</v>
      </c>
      <c r="N15" s="133">
        <v>2361.1948283509614</v>
      </c>
      <c r="O15" s="132">
        <v>2443.415487617106</v>
      </c>
      <c r="P15" s="133">
        <v>2480.6567752780611</v>
      </c>
      <c r="Q15" s="132">
        <v>2526.5040794693264</v>
      </c>
      <c r="R15" s="133">
        <v>2506.9049862271036</v>
      </c>
    </row>
    <row r="16" spans="1:18" ht="20" customHeight="1" thickBot="1">
      <c r="A16" s="351" t="s">
        <v>444</v>
      </c>
      <c r="B16" s="135">
        <v>1431.8919903527553</v>
      </c>
      <c r="C16" s="134">
        <v>1457.8482686616719</v>
      </c>
      <c r="D16" s="135">
        <v>1515.3951924182315</v>
      </c>
      <c r="E16" s="134">
        <v>1590.0159505008266</v>
      </c>
      <c r="F16" s="135">
        <v>1677.7139003459774</v>
      </c>
      <c r="G16" s="134">
        <v>1720.8346090900102</v>
      </c>
      <c r="H16" s="133">
        <v>1808.6814390145466</v>
      </c>
      <c r="I16" s="132">
        <v>1956.7024643352372</v>
      </c>
      <c r="J16" s="133">
        <v>2064.430553915814</v>
      </c>
      <c r="K16" s="132">
        <v>2177.3620068910054</v>
      </c>
      <c r="L16" s="133">
        <v>2247.2996222450583</v>
      </c>
      <c r="M16" s="132">
        <v>2362.7306711772153</v>
      </c>
      <c r="N16" s="133">
        <v>2479.7218561845107</v>
      </c>
      <c r="O16" s="132">
        <v>2523.1512987399551</v>
      </c>
      <c r="P16" s="133">
        <v>2535.0844626187836</v>
      </c>
      <c r="Q16" s="132">
        <v>2557.8603879584407</v>
      </c>
      <c r="R16" s="133">
        <v>2714.7234684026585</v>
      </c>
    </row>
    <row r="17" spans="1:18" ht="20" customHeight="1" thickBot="1">
      <c r="A17" s="351" t="s">
        <v>445</v>
      </c>
      <c r="B17" s="135">
        <v>2180.6017798482239</v>
      </c>
      <c r="C17" s="134">
        <v>2280.4789547108621</v>
      </c>
      <c r="D17" s="135">
        <v>2427.4331336155037</v>
      </c>
      <c r="E17" s="134">
        <v>2536.1203989117002</v>
      </c>
      <c r="F17" s="135">
        <v>2665.407573760051</v>
      </c>
      <c r="G17" s="134">
        <v>2813.4091035230354</v>
      </c>
      <c r="H17" s="133">
        <v>2896.8369473907801</v>
      </c>
      <c r="I17" s="132">
        <v>3004.8119413329973</v>
      </c>
      <c r="J17" s="133">
        <v>3087.9425345584004</v>
      </c>
      <c r="K17" s="132">
        <v>3367.6417484198873</v>
      </c>
      <c r="L17" s="133">
        <v>3420.2923870264158</v>
      </c>
      <c r="M17" s="132">
        <v>3563.1516131085218</v>
      </c>
      <c r="N17" s="133">
        <v>3736.2508968110014</v>
      </c>
      <c r="O17" s="132">
        <v>3773.6015111169786</v>
      </c>
      <c r="P17" s="133">
        <v>3765.5756161655959</v>
      </c>
      <c r="Q17" s="132">
        <v>3794.5561698916395</v>
      </c>
      <c r="R17" s="133">
        <v>3822.2664700377072</v>
      </c>
    </row>
    <row r="18" spans="1:18" ht="20" customHeight="1" thickBot="1">
      <c r="A18" s="351" t="s">
        <v>446</v>
      </c>
      <c r="B18" s="135">
        <v>1576.5959329930722</v>
      </c>
      <c r="C18" s="134">
        <v>1631.3844050196694</v>
      </c>
      <c r="D18" s="135">
        <v>1672.2843199240745</v>
      </c>
      <c r="E18" s="134">
        <v>1798.9493024475437</v>
      </c>
      <c r="F18" s="135">
        <v>1916.5475181932675</v>
      </c>
      <c r="G18" s="134">
        <v>2022.2270471181564</v>
      </c>
      <c r="H18" s="133">
        <v>2085.5586454253635</v>
      </c>
      <c r="I18" s="132">
        <v>2153.1393034951911</v>
      </c>
      <c r="J18" s="133">
        <v>2231.2058003509765</v>
      </c>
      <c r="K18" s="132">
        <v>2409.918131194413</v>
      </c>
      <c r="L18" s="133">
        <v>2414.7492919502483</v>
      </c>
      <c r="M18" s="132">
        <v>2553.1528418238199</v>
      </c>
      <c r="N18" s="133">
        <v>2741.6151255799837</v>
      </c>
      <c r="O18" s="132">
        <v>2841.1033072223063</v>
      </c>
      <c r="P18" s="133">
        <v>2900.7793797217996</v>
      </c>
      <c r="Q18" s="132">
        <v>2914.9276757131242</v>
      </c>
      <c r="R18" s="133">
        <v>3039.4996901615032</v>
      </c>
    </row>
    <row r="19" spans="1:18" ht="20" customHeight="1" thickBot="1">
      <c r="A19" s="351" t="s">
        <v>447</v>
      </c>
      <c r="B19" s="135">
        <v>1380.5502099272192</v>
      </c>
      <c r="C19" s="134">
        <v>1468.4771008262453</v>
      </c>
      <c r="D19" s="135">
        <v>1477.0084639083805</v>
      </c>
      <c r="E19" s="134">
        <v>1693.5570065888753</v>
      </c>
      <c r="F19" s="135">
        <v>1790.1012541841883</v>
      </c>
      <c r="G19" s="134">
        <v>1892.2705076175041</v>
      </c>
      <c r="H19" s="133">
        <v>1900.4769588270376</v>
      </c>
      <c r="I19" s="132">
        <v>1937.2498637296981</v>
      </c>
      <c r="J19" s="133">
        <v>2128.7910176856135</v>
      </c>
      <c r="K19" s="132">
        <v>2201.8604898626745</v>
      </c>
      <c r="L19" s="133">
        <v>2223.1704350966802</v>
      </c>
      <c r="M19" s="132">
        <v>2318.9744060617741</v>
      </c>
      <c r="N19" s="133">
        <v>2414.8750908522229</v>
      </c>
      <c r="O19" s="132">
        <v>2489.3090827995265</v>
      </c>
      <c r="P19" s="133">
        <v>2594.3235905194601</v>
      </c>
      <c r="Q19" s="132">
        <v>2592.3361211672668</v>
      </c>
      <c r="R19" s="133">
        <v>2684.1632575747785</v>
      </c>
    </row>
    <row r="20" spans="1:18" ht="20" customHeight="1" thickBot="1">
      <c r="A20" s="351" t="s">
        <v>448</v>
      </c>
      <c r="B20" s="135">
        <v>1084.0818240518406</v>
      </c>
      <c r="C20" s="134">
        <v>1180.45390669277</v>
      </c>
      <c r="D20" s="135">
        <v>1150.476854810451</v>
      </c>
      <c r="E20" s="134">
        <v>1273.353236043673</v>
      </c>
      <c r="F20" s="135">
        <v>1341.6471591825518</v>
      </c>
      <c r="G20" s="134">
        <v>1392.3756242443965</v>
      </c>
      <c r="H20" s="133">
        <v>1434.6176045226941</v>
      </c>
      <c r="I20" s="132">
        <v>1579.3450512080924</v>
      </c>
      <c r="J20" s="133">
        <v>1671.1285070870231</v>
      </c>
      <c r="K20" s="132">
        <v>1764.1241839787133</v>
      </c>
      <c r="L20" s="133">
        <v>1752.9128718806344</v>
      </c>
      <c r="M20" s="132">
        <v>1850.9489980496937</v>
      </c>
      <c r="N20" s="133">
        <v>1948.0697136338156</v>
      </c>
      <c r="O20" s="132">
        <v>2059.6722283954427</v>
      </c>
      <c r="P20" s="133">
        <v>2127.1393635695599</v>
      </c>
      <c r="Q20" s="132">
        <v>2155.6545024088141</v>
      </c>
      <c r="R20" s="133">
        <v>2352.5594322869501</v>
      </c>
    </row>
    <row r="21" spans="1:18" ht="20" customHeight="1" thickBot="1">
      <c r="A21" s="351" t="s">
        <v>449</v>
      </c>
      <c r="B21" s="135">
        <v>954.5730845024259</v>
      </c>
      <c r="C21" s="134">
        <v>975.48326612041524</v>
      </c>
      <c r="D21" s="135">
        <v>986.54224550184404</v>
      </c>
      <c r="E21" s="134">
        <v>1121.6595682884724</v>
      </c>
      <c r="F21" s="135">
        <v>1184.612154774358</v>
      </c>
      <c r="G21" s="134">
        <v>1231.7855632121377</v>
      </c>
      <c r="H21" s="133">
        <v>1356.8761363743531</v>
      </c>
      <c r="I21" s="132">
        <v>1409.1399647307283</v>
      </c>
      <c r="J21" s="133">
        <v>1461.518086780929</v>
      </c>
      <c r="K21" s="132">
        <v>1564.8157857562708</v>
      </c>
      <c r="L21" s="133">
        <v>1540.8129025893111</v>
      </c>
      <c r="M21" s="132">
        <v>1560.342952187144</v>
      </c>
      <c r="N21" s="133">
        <v>1781.6266974463535</v>
      </c>
      <c r="O21" s="132">
        <v>1740.1560081825285</v>
      </c>
      <c r="P21" s="133">
        <v>1777.8068734259887</v>
      </c>
      <c r="Q21" s="132">
        <v>1894.5928128026669</v>
      </c>
      <c r="R21" s="133">
        <v>1986.1866108182728</v>
      </c>
    </row>
    <row r="22" spans="1:18" ht="20" customHeight="1" thickBot="1">
      <c r="A22" s="351" t="s">
        <v>450</v>
      </c>
      <c r="B22" s="135">
        <v>1138.5080596692771</v>
      </c>
      <c r="C22" s="134">
        <v>1224.9103826817075</v>
      </c>
      <c r="D22" s="135">
        <v>1256.3508095278153</v>
      </c>
      <c r="E22" s="134">
        <v>1352.2406840417314</v>
      </c>
      <c r="F22" s="135">
        <v>1406.9954574849744</v>
      </c>
      <c r="G22" s="134">
        <v>1473.1303047318702</v>
      </c>
      <c r="H22" s="133">
        <v>1564.7730716018234</v>
      </c>
      <c r="I22" s="132">
        <v>1712.4385679183324</v>
      </c>
      <c r="J22" s="133">
        <v>1813.0412462234362</v>
      </c>
      <c r="K22" s="132">
        <v>1888.2455140450277</v>
      </c>
      <c r="L22" s="133">
        <v>1888.2284705256739</v>
      </c>
      <c r="M22" s="132">
        <v>1976.1784544310754</v>
      </c>
      <c r="N22" s="133">
        <v>2073.0018942345587</v>
      </c>
      <c r="O22" s="132">
        <v>2188.1389100107331</v>
      </c>
      <c r="P22" s="133">
        <v>2238.4001883806627</v>
      </c>
      <c r="Q22" s="132">
        <v>2254.3801142763896</v>
      </c>
      <c r="R22" s="133">
        <v>2431.0490453454699</v>
      </c>
    </row>
    <row r="23" spans="1:18" ht="20" customHeight="1" thickBot="1">
      <c r="A23" s="351" t="s">
        <v>451</v>
      </c>
      <c r="B23" s="135">
        <v>1104.4916088981208</v>
      </c>
      <c r="C23" s="134">
        <v>1061.5019562532173</v>
      </c>
      <c r="D23" s="135">
        <v>1158.6719421376101</v>
      </c>
      <c r="E23" s="134">
        <v>1353.8739751619062</v>
      </c>
      <c r="F23" s="135">
        <v>1489.2693401125439</v>
      </c>
      <c r="G23" s="134">
        <v>1551.2354164333785</v>
      </c>
      <c r="H23" s="133">
        <v>1608.7833104527003</v>
      </c>
      <c r="I23" s="132">
        <v>1718.3818274144037</v>
      </c>
      <c r="J23" s="133">
        <v>1843.7705637644858</v>
      </c>
      <c r="K23" s="132">
        <v>1921.1971300570419</v>
      </c>
      <c r="L23" s="133">
        <v>1957.5211782069607</v>
      </c>
      <c r="M23" s="132">
        <v>2126.0191035073431</v>
      </c>
      <c r="N23" s="133">
        <v>2198.8899922488613</v>
      </c>
      <c r="O23" s="132">
        <v>2293.471184708183</v>
      </c>
      <c r="P23" s="133">
        <v>2324.1735380507153</v>
      </c>
      <c r="Q23" s="132">
        <v>2332.1200997547285</v>
      </c>
      <c r="R23" s="133">
        <v>2381.0435840283717</v>
      </c>
    </row>
    <row r="24" spans="1:18" ht="20" customHeight="1" thickBot="1">
      <c r="A24" s="351" t="s">
        <v>452</v>
      </c>
      <c r="B24" s="135">
        <v>1228.596407039445</v>
      </c>
      <c r="C24" s="134">
        <v>1278.9323442787233</v>
      </c>
      <c r="D24" s="135">
        <v>1393.7234109066944</v>
      </c>
      <c r="E24" s="134">
        <v>1477.742640114355</v>
      </c>
      <c r="F24" s="135">
        <v>1577.6759415994654</v>
      </c>
      <c r="G24" s="134">
        <v>1636.1657378612056</v>
      </c>
      <c r="H24" s="133">
        <v>1712.7233845247633</v>
      </c>
      <c r="I24" s="132">
        <v>1804.5198720520671</v>
      </c>
      <c r="J24" s="133">
        <v>1892.7897057709893</v>
      </c>
      <c r="K24" s="132">
        <v>2025.9039271516788</v>
      </c>
      <c r="L24" s="133">
        <v>2085.8067572550881</v>
      </c>
      <c r="M24" s="132">
        <v>2159.1798098364375</v>
      </c>
      <c r="N24" s="133">
        <v>2283.5779240587103</v>
      </c>
      <c r="O24" s="132">
        <v>2360.210714916836</v>
      </c>
      <c r="P24" s="133">
        <v>2427.3223725664839</v>
      </c>
      <c r="Q24" s="132">
        <v>2453.7381351624349</v>
      </c>
      <c r="R24" s="133">
        <v>2607.448572935828</v>
      </c>
    </row>
    <row r="25" spans="1:18" ht="20" customHeight="1" thickBot="1">
      <c r="A25" s="351" t="s">
        <v>453</v>
      </c>
      <c r="B25" s="135">
        <v>1164.7847345516263</v>
      </c>
      <c r="C25" s="134">
        <v>1368.261088527636</v>
      </c>
      <c r="D25" s="135">
        <v>1418.0873330003469</v>
      </c>
      <c r="E25" s="134">
        <v>1501.7362997740595</v>
      </c>
      <c r="F25" s="135">
        <v>1593.8394113823024</v>
      </c>
      <c r="G25" s="134">
        <v>1664.6342055410319</v>
      </c>
      <c r="H25" s="133">
        <v>1769.1114412104155</v>
      </c>
      <c r="I25" s="132">
        <v>1872.8260455234893</v>
      </c>
      <c r="J25" s="133">
        <v>1887.2865497552884</v>
      </c>
      <c r="K25" s="132">
        <v>1959.3771181296381</v>
      </c>
      <c r="L25" s="133">
        <v>1949.5365546751752</v>
      </c>
      <c r="M25" s="132">
        <v>2050.2224657798888</v>
      </c>
      <c r="N25" s="133">
        <v>2170.2155949635535</v>
      </c>
      <c r="O25" s="132">
        <v>2232.1540949027544</v>
      </c>
      <c r="P25" s="133">
        <v>2264.2043659244682</v>
      </c>
      <c r="Q25" s="132">
        <v>2303.3959576575207</v>
      </c>
      <c r="R25" s="133">
        <v>2335.0036395432153</v>
      </c>
    </row>
    <row r="26" spans="1:18" ht="20" customHeight="1" thickBot="1">
      <c r="A26" s="351" t="s">
        <v>454</v>
      </c>
      <c r="B26" s="135">
        <v>1896.8026629309772</v>
      </c>
      <c r="C26" s="134">
        <v>1910.5277918899142</v>
      </c>
      <c r="D26" s="135">
        <v>1976.5817892979815</v>
      </c>
      <c r="E26" s="134">
        <v>2018.8657382981467</v>
      </c>
      <c r="F26" s="135">
        <v>2166.1043519788736</v>
      </c>
      <c r="G26" s="134">
        <v>2308.4148834211696</v>
      </c>
      <c r="H26" s="133">
        <v>2463.4536075157698</v>
      </c>
      <c r="I26" s="132">
        <v>2597.5405820613723</v>
      </c>
      <c r="J26" s="133">
        <v>2604.5346697995269</v>
      </c>
      <c r="K26" s="132">
        <v>2798.603658570345</v>
      </c>
      <c r="L26" s="133">
        <v>2776.2294514760056</v>
      </c>
      <c r="M26" s="132">
        <v>2861.8480046404452</v>
      </c>
      <c r="N26" s="133">
        <v>2865.4649561210445</v>
      </c>
      <c r="O26" s="132">
        <v>2992.7155287390519</v>
      </c>
      <c r="P26" s="133">
        <v>3063.7613533942704</v>
      </c>
      <c r="Q26" s="132">
        <v>3108.3734318370643</v>
      </c>
      <c r="R26" s="133">
        <v>3054.2551930481563</v>
      </c>
    </row>
    <row r="27" spans="1:18" ht="20" customHeight="1" thickBot="1">
      <c r="A27" s="351" t="s">
        <v>455</v>
      </c>
      <c r="B27" s="135">
        <v>1898.0743294611764</v>
      </c>
      <c r="C27" s="134">
        <v>1997.7023437083599</v>
      </c>
      <c r="D27" s="135">
        <v>2019.0638919104133</v>
      </c>
      <c r="E27" s="134">
        <v>2066.9063099211612</v>
      </c>
      <c r="F27" s="135">
        <v>2201.824731855736</v>
      </c>
      <c r="G27" s="134">
        <v>2334.2006121970758</v>
      </c>
      <c r="H27" s="133">
        <v>2410.3960323458523</v>
      </c>
      <c r="I27" s="132">
        <v>2514.3354036211631</v>
      </c>
      <c r="J27" s="133">
        <v>2628.6473220914554</v>
      </c>
      <c r="K27" s="132">
        <v>2755.905041303417</v>
      </c>
      <c r="L27" s="133">
        <v>2732.9908696229272</v>
      </c>
      <c r="M27" s="132">
        <v>2780.9536745674886</v>
      </c>
      <c r="N27" s="133">
        <v>2870.6569703095656</v>
      </c>
      <c r="O27" s="132">
        <v>2928.8429319040929</v>
      </c>
      <c r="P27" s="133">
        <v>3000.5752805927932</v>
      </c>
      <c r="Q27" s="132">
        <v>3025.9720874333657</v>
      </c>
      <c r="R27" s="133">
        <v>3048.727807999795</v>
      </c>
    </row>
    <row r="28" spans="1:18" ht="20" customHeight="1" thickBot="1">
      <c r="A28" s="351" t="s">
        <v>456</v>
      </c>
      <c r="B28" s="135">
        <v>1306.6403819606062</v>
      </c>
      <c r="C28" s="134">
        <v>1361.8453098306245</v>
      </c>
      <c r="D28" s="135">
        <v>1376.5124556178826</v>
      </c>
      <c r="E28" s="134">
        <v>1433.5893239917536</v>
      </c>
      <c r="F28" s="135">
        <v>1556.3534596161526</v>
      </c>
      <c r="G28" s="134">
        <v>1655.5190584508061</v>
      </c>
      <c r="H28" s="133">
        <v>1739.1566608782025</v>
      </c>
      <c r="I28" s="132">
        <v>1851.6117360307155</v>
      </c>
      <c r="J28" s="133">
        <v>1873.4360325028056</v>
      </c>
      <c r="K28" s="132">
        <v>2018.8565154122919</v>
      </c>
      <c r="L28" s="133">
        <v>2132.729717003032</v>
      </c>
      <c r="M28" s="132">
        <v>2217.8401524334809</v>
      </c>
      <c r="N28" s="133">
        <v>2292.7037323562349</v>
      </c>
      <c r="O28" s="132">
        <v>2375.5839560085515</v>
      </c>
      <c r="P28" s="133">
        <v>2458.3602175078854</v>
      </c>
      <c r="Q28" s="132">
        <v>2461.0699079555598</v>
      </c>
      <c r="R28" s="133">
        <v>2609.5897762630429</v>
      </c>
    </row>
    <row r="29" spans="1:18" ht="20" customHeight="1" thickBot="1">
      <c r="A29" s="351" t="s">
        <v>457</v>
      </c>
      <c r="B29" s="135">
        <v>1818.9238081131236</v>
      </c>
      <c r="C29" s="134">
        <v>1961.3289326189874</v>
      </c>
      <c r="D29" s="135">
        <v>2021.7607577514182</v>
      </c>
      <c r="E29" s="134">
        <v>1881.74532998874</v>
      </c>
      <c r="F29" s="135">
        <v>2227.1122818687704</v>
      </c>
      <c r="G29" s="134">
        <v>2315.8636954302247</v>
      </c>
      <c r="H29" s="133">
        <v>2387.3652927304915</v>
      </c>
      <c r="I29" s="132">
        <v>2560.0461906563714</v>
      </c>
      <c r="J29" s="133">
        <v>2680.8592129585641</v>
      </c>
      <c r="K29" s="132">
        <v>2675.4198363193022</v>
      </c>
      <c r="L29" s="133">
        <v>2564.8291244355028</v>
      </c>
      <c r="M29" s="132">
        <v>2599.2291895795956</v>
      </c>
      <c r="N29" s="133">
        <v>2706.8139221823776</v>
      </c>
      <c r="O29" s="132">
        <v>2706.1362717380475</v>
      </c>
      <c r="P29" s="133">
        <v>2762.9302320989705</v>
      </c>
      <c r="Q29" s="132">
        <v>2811.7523926176791</v>
      </c>
      <c r="R29" s="133">
        <v>2871.9943908875362</v>
      </c>
    </row>
    <row r="30" spans="1:18" ht="20" customHeight="1" thickBot="1">
      <c r="A30" s="351" t="s">
        <v>458</v>
      </c>
      <c r="B30" s="135">
        <v>2070.7055924720303</v>
      </c>
      <c r="C30" s="134">
        <v>2259.3214815363717</v>
      </c>
      <c r="D30" s="135">
        <v>2522.6730551616743</v>
      </c>
      <c r="E30" s="134">
        <v>2517.2153807728232</v>
      </c>
      <c r="F30" s="135">
        <v>2598.3424238217312</v>
      </c>
      <c r="G30" s="134">
        <v>2805.0849410640894</v>
      </c>
      <c r="H30" s="133">
        <v>2847.3501428386908</v>
      </c>
      <c r="I30" s="132">
        <v>2892.7584851537499</v>
      </c>
      <c r="J30" s="133">
        <v>3010.3792503012851</v>
      </c>
      <c r="K30" s="132">
        <v>3233.3383857545473</v>
      </c>
      <c r="L30" s="133">
        <v>3167.5185727633507</v>
      </c>
      <c r="M30" s="132">
        <v>3215.8719312559856</v>
      </c>
      <c r="N30" s="133">
        <v>3398.0746224899831</v>
      </c>
      <c r="O30" s="132">
        <v>3397.4995519788049</v>
      </c>
      <c r="P30" s="133">
        <v>3462.626766805437</v>
      </c>
      <c r="Q30" s="132">
        <v>3546.9238264659521</v>
      </c>
      <c r="R30" s="133">
        <v>3652.8675246070202</v>
      </c>
    </row>
    <row r="31" spans="1:18" ht="20" customHeight="1" thickBot="1">
      <c r="A31" s="351" t="s">
        <v>459</v>
      </c>
      <c r="B31" s="135">
        <v>1717.0496844759566</v>
      </c>
      <c r="C31" s="134">
        <v>1845.0558806075642</v>
      </c>
      <c r="D31" s="135">
        <v>1848.3342486228491</v>
      </c>
      <c r="E31" s="134">
        <v>2074.061466642424</v>
      </c>
      <c r="F31" s="135">
        <v>2087.6961782399458</v>
      </c>
      <c r="G31" s="134">
        <v>2167.5827623087298</v>
      </c>
      <c r="H31" s="133">
        <v>2229.0850697777792</v>
      </c>
      <c r="I31" s="132">
        <v>2132.4432120453034</v>
      </c>
      <c r="J31" s="133">
        <v>2309.4576105953747</v>
      </c>
      <c r="K31" s="132">
        <v>2497.2469193750835</v>
      </c>
      <c r="L31" s="133">
        <v>2409.1473481488047</v>
      </c>
      <c r="M31" s="132">
        <v>2547.3958354148162</v>
      </c>
      <c r="N31" s="133">
        <v>2662.5536009307011</v>
      </c>
      <c r="O31" s="132">
        <v>2721.44023616817</v>
      </c>
      <c r="P31" s="133">
        <v>2854.251260616285</v>
      </c>
      <c r="Q31" s="132">
        <v>2846.9898661415164</v>
      </c>
      <c r="R31" s="133">
        <v>2827.1977080906604</v>
      </c>
    </row>
    <row r="32" spans="1:18" ht="30" customHeight="1" thickBot="1">
      <c r="A32" s="352" t="s">
        <v>462</v>
      </c>
      <c r="B32" s="137">
        <v>1490.5270087783661</v>
      </c>
      <c r="C32" s="136">
        <v>1569.89438526044</v>
      </c>
      <c r="D32" s="137">
        <v>1645.8523332821831</v>
      </c>
      <c r="E32" s="136">
        <v>1709.7272154599079</v>
      </c>
      <c r="F32" s="137">
        <v>1815.5684429134135</v>
      </c>
      <c r="G32" s="136">
        <v>1915.651858294355</v>
      </c>
      <c r="H32" s="189">
        <v>1986.8602051130679</v>
      </c>
      <c r="I32" s="353">
        <v>2080.1097731368104</v>
      </c>
      <c r="J32" s="206">
        <v>2208.6199103577751</v>
      </c>
      <c r="K32" s="353">
        <v>2333.6518395021967</v>
      </c>
      <c r="L32" s="206">
        <v>2348.6110145248435</v>
      </c>
      <c r="M32" s="353">
        <v>2444.23328932606</v>
      </c>
      <c r="N32" s="206">
        <v>2551.5456227393033</v>
      </c>
      <c r="O32" s="353">
        <v>2629.9453998465406</v>
      </c>
      <c r="P32" s="206">
        <v>2684.4030022827769</v>
      </c>
      <c r="Q32" s="353">
        <v>2716.1426118234731</v>
      </c>
      <c r="R32" s="206">
        <v>2790.7698697073065</v>
      </c>
    </row>
    <row r="33" spans="1:8" ht="20" customHeight="1">
      <c r="A33" s="130" t="s">
        <v>396</v>
      </c>
      <c r="B33" s="354"/>
      <c r="C33" s="354"/>
      <c r="D33" s="354"/>
      <c r="E33" s="354"/>
      <c r="F33" s="355"/>
      <c r="G33" s="354"/>
      <c r="H33" s="356"/>
    </row>
    <row r="34" spans="1:8" ht="15.75" customHeight="1">
      <c r="A34" s="131"/>
      <c r="B34" s="357"/>
      <c r="C34" s="357"/>
      <c r="D34" s="357"/>
      <c r="E34" s="357"/>
      <c r="F34" s="357"/>
      <c r="G34" s="357"/>
      <c r="H34" s="358"/>
    </row>
    <row r="35" spans="1:8" ht="14.25" customHeight="1">
      <c r="A35" s="359" t="s">
        <v>475</v>
      </c>
      <c r="B35" s="357"/>
      <c r="C35" s="357"/>
      <c r="D35" s="357"/>
      <c r="E35" s="357"/>
      <c r="F35" s="357"/>
      <c r="G35" s="357"/>
      <c r="H35" s="358"/>
    </row>
    <row r="36" spans="1:8" ht="14.25" customHeight="1">
      <c r="A36" s="359" t="s">
        <v>476</v>
      </c>
      <c r="B36" s="357"/>
      <c r="C36" s="357"/>
      <c r="D36" s="357"/>
      <c r="E36" s="357"/>
      <c r="F36" s="357"/>
      <c r="G36" s="357"/>
      <c r="H36" s="358"/>
    </row>
    <row r="37" spans="1:8" ht="13.5" customHeight="1">
      <c r="A37" s="131"/>
      <c r="B37" s="357"/>
      <c r="C37" s="357"/>
      <c r="D37" s="357"/>
      <c r="E37" s="357"/>
      <c r="F37" s="357"/>
      <c r="G37" s="357"/>
      <c r="H37" s="358"/>
    </row>
    <row r="38" spans="1:8" ht="12.75" customHeight="1">
      <c r="A38" s="131" t="s">
        <v>477</v>
      </c>
      <c r="B38" s="357"/>
      <c r="C38" s="357"/>
      <c r="D38" s="357"/>
      <c r="E38" s="357"/>
      <c r="F38" s="357"/>
      <c r="G38" s="357"/>
      <c r="H38" s="358"/>
    </row>
    <row r="39" spans="1:8" ht="12.75" customHeight="1">
      <c r="A39" s="131" t="s">
        <v>478</v>
      </c>
      <c r="B39" s="357"/>
      <c r="C39" s="357"/>
      <c r="D39" s="357"/>
      <c r="E39" s="357"/>
      <c r="F39" s="357"/>
      <c r="G39" s="357"/>
      <c r="H39" s="358"/>
    </row>
    <row r="40" spans="1:8" ht="12.75" customHeight="1">
      <c r="A40" s="3" t="s">
        <v>479</v>
      </c>
      <c r="B40" s="357"/>
      <c r="C40" s="357"/>
      <c r="D40" s="357"/>
      <c r="E40" s="357"/>
      <c r="F40" s="357"/>
      <c r="G40" s="357"/>
      <c r="H40" s="358"/>
    </row>
    <row r="42" spans="1:8">
      <c r="A42" s="131"/>
    </row>
    <row r="43" spans="1:8">
      <c r="A43" s="131" t="s">
        <v>395</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1A6D-904E-934C-9EB4-AA72D337FC6A}">
  <sheetPr>
    <pageSetUpPr fitToPage="1"/>
  </sheetPr>
  <dimension ref="A1:G44"/>
  <sheetViews>
    <sheetView zoomScaleNormal="100" workbookViewId="0">
      <selection activeCell="C4" sqref="C4"/>
    </sheetView>
  </sheetViews>
  <sheetFormatPr baseColWidth="10" defaultColWidth="11.3984375" defaultRowHeight="13"/>
  <cols>
    <col min="1" max="1" width="21.3984375" style="3" customWidth="1"/>
    <col min="2" max="5" width="19.796875" style="3" customWidth="1"/>
    <col min="6" max="6" width="11.3984375" style="3"/>
    <col min="7" max="7" width="14.59765625" style="3" customWidth="1"/>
    <col min="8" max="16384" width="11.3984375" style="3"/>
  </cols>
  <sheetData>
    <row r="1" spans="1:7" s="2" customFormat="1" ht="14" customHeight="1"/>
    <row r="2" spans="1:7" s="2" customFormat="1" ht="28" customHeight="1">
      <c r="A2" s="139" t="s">
        <v>471</v>
      </c>
      <c r="E2" s="139">
        <v>2012</v>
      </c>
    </row>
    <row r="3" spans="1:7" ht="27" customHeight="1">
      <c r="A3" s="109" t="s">
        <v>426</v>
      </c>
      <c r="B3" s="110" t="s">
        <v>427</v>
      </c>
      <c r="C3" s="111" t="s">
        <v>428</v>
      </c>
      <c r="D3" s="110" t="s">
        <v>429</v>
      </c>
      <c r="E3" s="111" t="s">
        <v>230</v>
      </c>
    </row>
    <row r="4" spans="1:7" ht="21.75" customHeight="1">
      <c r="A4" s="156"/>
      <c r="B4" s="113"/>
      <c r="C4" s="114"/>
      <c r="D4" s="300"/>
      <c r="E4" s="114"/>
    </row>
    <row r="5" spans="1:7" ht="21.75" customHeight="1">
      <c r="A5" s="156"/>
      <c r="B5" s="113" t="s">
        <v>431</v>
      </c>
      <c r="C5" s="114" t="s">
        <v>432</v>
      </c>
      <c r="D5" s="113" t="s">
        <v>433</v>
      </c>
      <c r="E5" s="114"/>
    </row>
    <row r="6" spans="1:7" ht="24" customHeight="1">
      <c r="A6" s="157"/>
      <c r="B6" s="169"/>
      <c r="C6" s="157"/>
      <c r="D6" s="169"/>
      <c r="E6" s="118"/>
    </row>
    <row r="7" spans="1:7" ht="30" customHeight="1" thickBot="1">
      <c r="A7" s="302" t="s">
        <v>434</v>
      </c>
      <c r="B7" s="303">
        <v>276308657.95999998</v>
      </c>
      <c r="C7" s="304">
        <v>158725140.12</v>
      </c>
      <c r="D7" s="303">
        <v>4064251312.7199998</v>
      </c>
      <c r="E7" s="304">
        <v>4499285110.8000002</v>
      </c>
      <c r="G7" s="306"/>
    </row>
    <row r="8" spans="1:7" ht="20" customHeight="1" thickBot="1">
      <c r="A8" s="307" t="s">
        <v>435</v>
      </c>
      <c r="B8" s="303">
        <v>159794416.80000001</v>
      </c>
      <c r="C8" s="304">
        <v>111036990.79000001</v>
      </c>
      <c r="D8" s="303">
        <v>3103023594.98</v>
      </c>
      <c r="E8" s="304">
        <v>3373855002.5700002</v>
      </c>
      <c r="G8" s="306"/>
    </row>
    <row r="9" spans="1:7" ht="20" customHeight="1" thickBot="1">
      <c r="A9" s="307" t="s">
        <v>436</v>
      </c>
      <c r="B9" s="303">
        <v>64042154.530000001</v>
      </c>
      <c r="C9" s="304">
        <v>42179574.579999998</v>
      </c>
      <c r="D9" s="303">
        <v>991280675.34000003</v>
      </c>
      <c r="E9" s="304">
        <v>1097502404.45</v>
      </c>
      <c r="G9" s="306"/>
    </row>
    <row r="10" spans="1:7" ht="20" customHeight="1" thickBot="1">
      <c r="A10" s="307" t="s">
        <v>437</v>
      </c>
      <c r="B10" s="303">
        <v>5261669.3099999996</v>
      </c>
      <c r="C10" s="304">
        <v>3216425.75</v>
      </c>
      <c r="D10" s="303">
        <v>86896144.510000005</v>
      </c>
      <c r="E10" s="304">
        <v>95374239.570000008</v>
      </c>
      <c r="G10" s="306"/>
    </row>
    <row r="11" spans="1:7" ht="20" customHeight="1" thickBot="1">
      <c r="A11" s="307" t="s">
        <v>438</v>
      </c>
      <c r="B11" s="303">
        <v>27744228.870000001</v>
      </c>
      <c r="C11" s="304">
        <v>15698993.130000001</v>
      </c>
      <c r="D11" s="303">
        <v>385052838.68000001</v>
      </c>
      <c r="E11" s="304">
        <v>428496060.68000001</v>
      </c>
      <c r="G11" s="306"/>
    </row>
    <row r="12" spans="1:7" ht="20" customHeight="1" thickBot="1">
      <c r="A12" s="307" t="s">
        <v>439</v>
      </c>
      <c r="B12" s="303">
        <v>6339966.0199999996</v>
      </c>
      <c r="C12" s="304">
        <v>3566199.17</v>
      </c>
      <c r="D12" s="303">
        <v>88295247.900000006</v>
      </c>
      <c r="E12" s="304">
        <v>98201413.090000004</v>
      </c>
      <c r="G12" s="306"/>
    </row>
    <row r="13" spans="1:7" ht="20" customHeight="1" thickBot="1">
      <c r="A13" s="307" t="s">
        <v>440</v>
      </c>
      <c r="B13" s="303">
        <v>5945896.9500000002</v>
      </c>
      <c r="C13" s="304">
        <v>3503539.66</v>
      </c>
      <c r="D13" s="303">
        <v>101699751</v>
      </c>
      <c r="E13" s="304">
        <v>111149187.61</v>
      </c>
      <c r="G13" s="306"/>
    </row>
    <row r="14" spans="1:7" ht="20" customHeight="1" thickBot="1">
      <c r="A14" s="307" t="s">
        <v>441</v>
      </c>
      <c r="B14" s="303">
        <v>6567750.5599999996</v>
      </c>
      <c r="C14" s="304">
        <v>5107716.43</v>
      </c>
      <c r="D14" s="303">
        <v>104752905.18000001</v>
      </c>
      <c r="E14" s="304">
        <v>116428372.17</v>
      </c>
      <c r="G14" s="306"/>
    </row>
    <row r="15" spans="1:7" ht="20" customHeight="1" thickBot="1">
      <c r="A15" s="307" t="s">
        <v>442</v>
      </c>
      <c r="B15" s="303">
        <v>19152087.870000001</v>
      </c>
      <c r="C15" s="304">
        <v>11154320.84</v>
      </c>
      <c r="D15" s="303">
        <v>285990374.12</v>
      </c>
      <c r="E15" s="304">
        <v>316296782.82999998</v>
      </c>
      <c r="G15" s="306"/>
    </row>
    <row r="16" spans="1:7" ht="20" customHeight="1" thickBot="1">
      <c r="A16" s="307" t="s">
        <v>443</v>
      </c>
      <c r="B16" s="303">
        <v>57981036.43</v>
      </c>
      <c r="C16" s="304">
        <v>34009138.850000001</v>
      </c>
      <c r="D16" s="303">
        <v>757910302.36000001</v>
      </c>
      <c r="E16" s="304">
        <v>849900477.63999999</v>
      </c>
      <c r="G16" s="306"/>
    </row>
    <row r="17" spans="1:7" ht="20" customHeight="1" thickBot="1">
      <c r="A17" s="307" t="s">
        <v>444</v>
      </c>
      <c r="B17" s="303">
        <v>47333651.229999997</v>
      </c>
      <c r="C17" s="304">
        <v>30027702.870000001</v>
      </c>
      <c r="D17" s="303">
        <v>747928608.13</v>
      </c>
      <c r="E17" s="304">
        <v>825289962.23000002</v>
      </c>
      <c r="G17" s="306"/>
    </row>
    <row r="18" spans="1:7" ht="20" customHeight="1" thickBot="1">
      <c r="A18" s="307" t="s">
        <v>445</v>
      </c>
      <c r="B18" s="303">
        <v>38584620.329999998</v>
      </c>
      <c r="C18" s="304">
        <v>23075675.239999998</v>
      </c>
      <c r="D18" s="303">
        <v>725638630.74000001</v>
      </c>
      <c r="E18" s="304">
        <v>787298926.30999994</v>
      </c>
      <c r="G18" s="306"/>
    </row>
    <row r="19" spans="1:7" ht="20" customHeight="1" thickBot="1">
      <c r="A19" s="307" t="s">
        <v>446</v>
      </c>
      <c r="B19" s="303">
        <v>56412991.520000003</v>
      </c>
      <c r="C19" s="304">
        <v>34889046.119999997</v>
      </c>
      <c r="D19" s="303">
        <v>890612313.24000001</v>
      </c>
      <c r="E19" s="304">
        <v>981914350.88</v>
      </c>
      <c r="G19" s="306"/>
    </row>
    <row r="20" spans="1:7" ht="20" customHeight="1" thickBot="1">
      <c r="A20" s="307" t="s">
        <v>447</v>
      </c>
      <c r="B20" s="303">
        <v>11147049.310000001</v>
      </c>
      <c r="C20" s="304">
        <v>8890383.1600000001</v>
      </c>
      <c r="D20" s="303">
        <v>223041363.41999999</v>
      </c>
      <c r="E20" s="304">
        <v>243078795.88999999</v>
      </c>
      <c r="G20" s="306"/>
    </row>
    <row r="21" spans="1:7" ht="20" customHeight="1" thickBot="1">
      <c r="A21" s="307" t="s">
        <v>448</v>
      </c>
      <c r="B21" s="303">
        <v>8158493.7599999998</v>
      </c>
      <c r="C21" s="304">
        <v>5780909.1699999999</v>
      </c>
      <c r="D21" s="303">
        <v>135640063.83000001</v>
      </c>
      <c r="E21" s="304">
        <v>149579466.76000002</v>
      </c>
      <c r="G21" s="306"/>
    </row>
    <row r="22" spans="1:7" ht="20" customHeight="1" thickBot="1">
      <c r="A22" s="307" t="s">
        <v>449</v>
      </c>
      <c r="B22" s="303">
        <v>2182322.44</v>
      </c>
      <c r="C22" s="310">
        <v>1379848.73</v>
      </c>
      <c r="D22" s="309">
        <v>34190939.189999998</v>
      </c>
      <c r="E22" s="310">
        <v>37753110.359999999</v>
      </c>
      <c r="G22" s="306"/>
    </row>
    <row r="23" spans="1:7" ht="20" customHeight="1" thickBot="1">
      <c r="A23" s="307" t="s">
        <v>450</v>
      </c>
      <c r="B23" s="303">
        <v>86802626.310000002</v>
      </c>
      <c r="C23" s="318">
        <v>57443109.060000002</v>
      </c>
      <c r="D23" s="317">
        <v>1249717712.3800001</v>
      </c>
      <c r="E23" s="318">
        <v>1393963447.75</v>
      </c>
      <c r="G23" s="306"/>
    </row>
    <row r="24" spans="1:7" ht="20" customHeight="1" thickBot="1">
      <c r="A24" s="307" t="s">
        <v>451</v>
      </c>
      <c r="B24" s="303">
        <v>31338596.579999998</v>
      </c>
      <c r="C24" s="304">
        <v>19891725.739999998</v>
      </c>
      <c r="D24" s="303">
        <v>501729208.81</v>
      </c>
      <c r="E24" s="304">
        <v>552959531.13</v>
      </c>
      <c r="G24" s="306"/>
    </row>
    <row r="25" spans="1:7" ht="20" customHeight="1" thickBot="1">
      <c r="A25" s="307" t="s">
        <v>452</v>
      </c>
      <c r="B25" s="303">
        <v>120671378.48999999</v>
      </c>
      <c r="C25" s="304">
        <v>76449668.640000001</v>
      </c>
      <c r="D25" s="303">
        <v>1714393140.3800001</v>
      </c>
      <c r="E25" s="304">
        <v>1911514187.5100002</v>
      </c>
      <c r="G25" s="306"/>
    </row>
    <row r="26" spans="1:7" ht="20" customHeight="1" thickBot="1">
      <c r="A26" s="307" t="s">
        <v>453</v>
      </c>
      <c r="B26" s="303">
        <v>45344368.159999996</v>
      </c>
      <c r="C26" s="304">
        <v>29499203.440000001</v>
      </c>
      <c r="D26" s="303">
        <v>627861937.83000004</v>
      </c>
      <c r="E26" s="304">
        <v>702705509.43000007</v>
      </c>
      <c r="G26" s="306"/>
    </row>
    <row r="27" spans="1:7" ht="20" customHeight="1" thickBot="1">
      <c r="A27" s="307" t="s">
        <v>454</v>
      </c>
      <c r="B27" s="303">
        <v>61678771.359999999</v>
      </c>
      <c r="C27" s="304">
        <v>30099176.239999998</v>
      </c>
      <c r="D27" s="303">
        <v>1111091477.8099999</v>
      </c>
      <c r="E27" s="304">
        <v>1202869425.4099998</v>
      </c>
      <c r="G27" s="306"/>
    </row>
    <row r="28" spans="1:7" ht="20" customHeight="1" thickBot="1">
      <c r="A28" s="307" t="s">
        <v>455</v>
      </c>
      <c r="B28" s="303">
        <v>177046078.77000001</v>
      </c>
      <c r="C28" s="304">
        <v>89048228.150000006</v>
      </c>
      <c r="D28" s="303">
        <v>2270222995.3099999</v>
      </c>
      <c r="E28" s="304">
        <v>2536317302.23</v>
      </c>
      <c r="G28" s="306"/>
    </row>
    <row r="29" spans="1:7" ht="20" customHeight="1" thickBot="1">
      <c r="A29" s="307" t="s">
        <v>456</v>
      </c>
      <c r="B29" s="303">
        <v>59774063.729999997</v>
      </c>
      <c r="C29" s="304">
        <v>35245423.399999999</v>
      </c>
      <c r="D29" s="303">
        <v>889637944.60000002</v>
      </c>
      <c r="E29" s="304">
        <v>984657431.73000002</v>
      </c>
      <c r="G29" s="306"/>
    </row>
    <row r="30" spans="1:7" ht="20" customHeight="1" thickBot="1">
      <c r="A30" s="307" t="s">
        <v>457</v>
      </c>
      <c r="B30" s="303">
        <v>35547156.409999996</v>
      </c>
      <c r="C30" s="304">
        <v>18423498.93</v>
      </c>
      <c r="D30" s="303">
        <v>522582987.5</v>
      </c>
      <c r="E30" s="304">
        <v>576553642.84000003</v>
      </c>
      <c r="G30" s="306"/>
    </row>
    <row r="31" spans="1:7" ht="20" customHeight="1" thickBot="1">
      <c r="A31" s="307" t="s">
        <v>458</v>
      </c>
      <c r="B31" s="303">
        <v>123843036.76000001</v>
      </c>
      <c r="C31" s="304">
        <v>66657216.850000001</v>
      </c>
      <c r="D31" s="303">
        <v>1599756418.7</v>
      </c>
      <c r="E31" s="304">
        <v>1790256672.3099999</v>
      </c>
      <c r="G31" s="306"/>
    </row>
    <row r="32" spans="1:7" ht="20" customHeight="1" thickBot="1">
      <c r="A32" s="174" t="s">
        <v>459</v>
      </c>
      <c r="B32" s="303">
        <v>13554249.15</v>
      </c>
      <c r="C32" s="304">
        <v>7007737.9199999999</v>
      </c>
      <c r="D32" s="303">
        <v>212512150.59</v>
      </c>
      <c r="E32" s="304">
        <v>233074137.66</v>
      </c>
      <c r="G32" s="306"/>
    </row>
    <row r="33" spans="1:7" ht="20" customHeight="1" thickBot="1">
      <c r="A33" s="187" t="s">
        <v>460</v>
      </c>
      <c r="B33" s="303">
        <v>480011.02</v>
      </c>
      <c r="C33" s="304">
        <v>260604.46</v>
      </c>
      <c r="D33" s="303">
        <v>4212724.6399999997</v>
      </c>
      <c r="E33" s="304">
        <v>4953340.1199999992</v>
      </c>
      <c r="G33" s="306"/>
    </row>
    <row r="34" spans="1:7" ht="0.5" customHeight="1" thickBot="1">
      <c r="A34" s="174" t="s">
        <v>461</v>
      </c>
      <c r="B34" s="303">
        <v>0</v>
      </c>
      <c r="C34" s="304">
        <v>0</v>
      </c>
      <c r="D34" s="303">
        <v>0</v>
      </c>
      <c r="E34" s="304">
        <v>0</v>
      </c>
      <c r="G34" s="306"/>
    </row>
    <row r="35" spans="1:7" ht="30" customHeight="1" thickBot="1">
      <c r="A35" s="322" t="s">
        <v>462</v>
      </c>
      <c r="B35" s="323">
        <v>1549037330.6300001</v>
      </c>
      <c r="C35" s="324">
        <v>922267197.45000005</v>
      </c>
      <c r="D35" s="323">
        <v>23429923763.759998</v>
      </c>
      <c r="E35" s="324">
        <v>25901228291.839996</v>
      </c>
      <c r="G35" s="306"/>
    </row>
    <row r="36" spans="1:7" ht="20" customHeight="1">
      <c r="A36" s="130" t="s">
        <v>396</v>
      </c>
      <c r="B36" s="130"/>
      <c r="C36" s="130"/>
      <c r="D36" s="130"/>
      <c r="E36" s="130"/>
    </row>
    <row r="37" spans="1:7" ht="13.5" customHeight="1">
      <c r="A37" s="131"/>
      <c r="B37" s="131"/>
      <c r="C37" s="131"/>
      <c r="D37" s="131"/>
      <c r="E37" s="131"/>
    </row>
    <row r="38" spans="1:7" ht="13.5" customHeight="1">
      <c r="A38" s="131" t="s">
        <v>472</v>
      </c>
      <c r="B38" s="131"/>
      <c r="C38" s="131"/>
      <c r="D38" s="131"/>
      <c r="E38" s="131"/>
    </row>
    <row r="39" spans="1:7" ht="12.75" customHeight="1">
      <c r="A39" s="131"/>
      <c r="B39" s="131"/>
      <c r="C39" s="131"/>
      <c r="D39" s="131"/>
      <c r="E39" s="131"/>
    </row>
    <row r="40" spans="1:7" ht="12" customHeight="1">
      <c r="A40" s="131" t="s">
        <v>473</v>
      </c>
    </row>
    <row r="41" spans="1:7" ht="14.25" customHeight="1">
      <c r="A41" s="131" t="s">
        <v>465</v>
      </c>
    </row>
    <row r="42" spans="1:7" ht="14.25" customHeight="1">
      <c r="A42" s="131"/>
    </row>
    <row r="43" spans="1:7" ht="12" customHeight="1"/>
    <row r="44" spans="1:7">
      <c r="A44" s="131" t="s">
        <v>395</v>
      </c>
    </row>
  </sheetData>
  <pageMargins left="0.56000000000000005" right="1.03" top="0.81" bottom="0.49" header="0.44" footer="0.4921259845"/>
  <pageSetup paperSize="9" scale="85" orientation="portrait" horizontalDpi="1200" verticalDpi="1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6B7D-51DD-D04A-9F72-5FB300E7615F}">
  <sheetPr>
    <pageSetUpPr fitToPage="1"/>
  </sheetPr>
  <dimension ref="A1:H44"/>
  <sheetViews>
    <sheetView zoomScaleNormal="100" workbookViewId="0">
      <selection activeCell="A3" sqref="A3"/>
    </sheetView>
  </sheetViews>
  <sheetFormatPr baseColWidth="10" defaultColWidth="11.3984375" defaultRowHeight="13"/>
  <cols>
    <col min="1" max="1" width="20.59765625" style="3" customWidth="1"/>
    <col min="2" max="5" width="18.59765625" style="8" customWidth="1"/>
    <col min="6" max="6" width="18.19921875" style="283" customWidth="1"/>
    <col min="7" max="7" width="11.3984375" style="3"/>
    <col min="8" max="8" width="0" style="3" hidden="1" customWidth="1"/>
    <col min="9" max="16384" width="11.3984375" style="3"/>
  </cols>
  <sheetData>
    <row r="1" spans="1:8" s="2" customFormat="1" ht="14" customHeight="1">
      <c r="B1" s="502"/>
      <c r="C1" s="502"/>
      <c r="D1" s="502"/>
      <c r="E1" s="502"/>
      <c r="F1" s="327"/>
    </row>
    <row r="2" spans="1:8" s="2" customFormat="1" ht="24.5" customHeight="1">
      <c r="A2" s="2054" t="s">
        <v>1630</v>
      </c>
      <c r="B2" s="2055"/>
      <c r="C2" s="2055"/>
      <c r="D2" s="2055"/>
      <c r="E2" s="2055"/>
      <c r="F2" s="329">
        <v>2012</v>
      </c>
      <c r="G2" s="329"/>
    </row>
    <row r="3" spans="1:8" ht="27" customHeight="1">
      <c r="A3" s="109" t="s">
        <v>426</v>
      </c>
      <c r="B3" s="110" t="s">
        <v>427</v>
      </c>
      <c r="C3" s="111" t="s">
        <v>428</v>
      </c>
      <c r="D3" s="110" t="s">
        <v>429</v>
      </c>
      <c r="E3" s="111" t="s">
        <v>430</v>
      </c>
      <c r="F3" s="165" t="s">
        <v>256</v>
      </c>
    </row>
    <row r="4" spans="1:8" ht="20.25" customHeight="1">
      <c r="A4" s="156"/>
      <c r="B4" s="113"/>
      <c r="C4" s="114"/>
      <c r="D4" s="300"/>
      <c r="E4" s="114"/>
      <c r="F4" s="300" t="s">
        <v>257</v>
      </c>
    </row>
    <row r="5" spans="1:8" ht="20.25" customHeight="1">
      <c r="A5" s="156"/>
      <c r="B5" s="113" t="s">
        <v>431</v>
      </c>
      <c r="C5" s="114" t="s">
        <v>432</v>
      </c>
      <c r="D5" s="113" t="s">
        <v>433</v>
      </c>
      <c r="E5" s="114"/>
      <c r="F5" s="300" t="s">
        <v>258</v>
      </c>
    </row>
    <row r="6" spans="1:8" ht="24" customHeight="1">
      <c r="A6" s="157"/>
      <c r="B6" s="503"/>
      <c r="C6" s="504"/>
      <c r="D6" s="503"/>
      <c r="E6" s="119"/>
      <c r="F6" s="169"/>
    </row>
    <row r="7" spans="1:8" ht="30" customHeight="1" thickBot="1">
      <c r="A7" s="302" t="s">
        <v>434</v>
      </c>
      <c r="B7" s="339">
        <v>1081.5770800525936</v>
      </c>
      <c r="C7" s="340">
        <v>1509.3594000034234</v>
      </c>
      <c r="D7" s="339">
        <v>3935.0211265036473</v>
      </c>
      <c r="E7" s="340">
        <v>3228.8354748267552</v>
      </c>
      <c r="F7" s="505">
        <v>3.301650366327151E-2</v>
      </c>
      <c r="H7" s="306">
        <v>172.8785586534616</v>
      </c>
    </row>
    <row r="8" spans="1:8" ht="20" customHeight="1" thickBot="1">
      <c r="A8" s="307" t="s">
        <v>435</v>
      </c>
      <c r="B8" s="339">
        <v>904.0347030201641</v>
      </c>
      <c r="C8" s="340">
        <v>1360.9569167754253</v>
      </c>
      <c r="D8" s="339">
        <v>4262.4992684985982</v>
      </c>
      <c r="E8" s="340">
        <v>3420.6265636187181</v>
      </c>
      <c r="F8" s="319">
        <v>-7.7729904222521374E-3</v>
      </c>
      <c r="H8" s="306">
        <v>161.49387493756916</v>
      </c>
    </row>
    <row r="9" spans="1:8" ht="20" customHeight="1" thickBot="1">
      <c r="A9" s="307" t="s">
        <v>436</v>
      </c>
      <c r="B9" s="339">
        <v>850.50686099820189</v>
      </c>
      <c r="C9" s="340">
        <v>1180.5430267211807</v>
      </c>
      <c r="D9" s="339">
        <v>3616.7438963018844</v>
      </c>
      <c r="E9" s="340">
        <v>2849.8509017103243</v>
      </c>
      <c r="F9" s="319">
        <v>5.3883756455668175E-2</v>
      </c>
      <c r="H9" s="306">
        <v>129.41591119853354</v>
      </c>
    </row>
    <row r="10" spans="1:8" ht="20" customHeight="1" thickBot="1">
      <c r="A10" s="307" t="s">
        <v>437</v>
      </c>
      <c r="B10" s="339">
        <v>755.07133734379579</v>
      </c>
      <c r="C10" s="340">
        <v>1000.4403563285961</v>
      </c>
      <c r="D10" s="339">
        <v>3397.5525787747142</v>
      </c>
      <c r="E10" s="340">
        <v>2667.098427413096</v>
      </c>
      <c r="F10" s="319">
        <v>4.3120791682081008E-2</v>
      </c>
      <c r="H10" s="306">
        <v>126.90557061409594</v>
      </c>
    </row>
    <row r="11" spans="1:8" ht="20" customHeight="1" thickBot="1">
      <c r="A11" s="307" t="s">
        <v>438</v>
      </c>
      <c r="B11" s="339">
        <v>963.38209014409654</v>
      </c>
      <c r="C11" s="340">
        <v>1235.608031337659</v>
      </c>
      <c r="D11" s="339">
        <v>3576.2390750904365</v>
      </c>
      <c r="E11" s="340">
        <v>2872.4567257566941</v>
      </c>
      <c r="F11" s="319">
        <v>6.0561187318768195E-2</v>
      </c>
      <c r="H11" s="306">
        <v>131.64111605385247</v>
      </c>
    </row>
    <row r="12" spans="1:8" ht="20" customHeight="1" thickBot="1">
      <c r="A12" s="307" t="s">
        <v>439</v>
      </c>
      <c r="B12" s="339">
        <v>883.19428567448404</v>
      </c>
      <c r="C12" s="340">
        <v>1040.6578510419131</v>
      </c>
      <c r="D12" s="339">
        <v>3403.663352253016</v>
      </c>
      <c r="E12" s="340">
        <v>2687.0220641833321</v>
      </c>
      <c r="F12" s="319">
        <v>7.5831764412168615E-2</v>
      </c>
      <c r="H12" s="306">
        <v>125.19129183854066</v>
      </c>
    </row>
    <row r="13" spans="1:8" ht="20" customHeight="1" thickBot="1">
      <c r="A13" s="307" t="s">
        <v>440</v>
      </c>
      <c r="B13" s="339">
        <v>807.74790519869373</v>
      </c>
      <c r="C13" s="340">
        <v>968.61530082442653</v>
      </c>
      <c r="D13" s="339">
        <v>3366.8100902585388</v>
      </c>
      <c r="E13" s="340">
        <v>2698.798039320428</v>
      </c>
      <c r="F13" s="319">
        <v>0.11622054592443486</v>
      </c>
      <c r="H13" s="306">
        <v>117.8833340734285</v>
      </c>
    </row>
    <row r="14" spans="1:8" ht="20" customHeight="1" thickBot="1">
      <c r="A14" s="307" t="s">
        <v>441</v>
      </c>
      <c r="B14" s="339">
        <v>909.08154915150999</v>
      </c>
      <c r="C14" s="340">
        <v>1372.3632477484255</v>
      </c>
      <c r="D14" s="339">
        <v>3654.9879582390372</v>
      </c>
      <c r="E14" s="340">
        <v>2939.6130495597954</v>
      </c>
      <c r="F14" s="319">
        <v>7.0375568410652914E-2</v>
      </c>
      <c r="H14" s="306">
        <v>140.25371771237261</v>
      </c>
    </row>
    <row r="15" spans="1:8" ht="20" customHeight="1" thickBot="1">
      <c r="A15" s="307" t="s">
        <v>442</v>
      </c>
      <c r="B15" s="339">
        <v>868.82088998388213</v>
      </c>
      <c r="C15" s="340">
        <v>1257.204523732237</v>
      </c>
      <c r="D15" s="339">
        <v>3376.3901410811891</v>
      </c>
      <c r="E15" s="340">
        <v>2735.678627144141</v>
      </c>
      <c r="F15" s="319">
        <v>4.5905047761149953E-2</v>
      </c>
      <c r="H15" s="306">
        <v>131.3336445580656</v>
      </c>
    </row>
    <row r="16" spans="1:8" ht="20" customHeight="1" thickBot="1">
      <c r="A16" s="307" t="s">
        <v>443</v>
      </c>
      <c r="B16" s="339">
        <v>919.94315478060423</v>
      </c>
      <c r="C16" s="340">
        <v>1302.9727322777239</v>
      </c>
      <c r="D16" s="339">
        <v>3800.4237641043492</v>
      </c>
      <c r="E16" s="340">
        <v>2945.3586806159024</v>
      </c>
      <c r="F16" s="319">
        <v>-5.5684246616768815E-3</v>
      </c>
      <c r="H16" s="306">
        <v>163.19734143075968</v>
      </c>
    </row>
    <row r="17" spans="1:8" ht="20" customHeight="1" thickBot="1">
      <c r="A17" s="307" t="s">
        <v>444</v>
      </c>
      <c r="B17" s="339">
        <v>1007.3930353711766</v>
      </c>
      <c r="C17" s="340">
        <v>1315.3044231863462</v>
      </c>
      <c r="D17" s="339">
        <v>3940.007803487787</v>
      </c>
      <c r="E17" s="340">
        <v>3178.5328157367521</v>
      </c>
      <c r="F17" s="319">
        <v>5.7467111869691598E-2</v>
      </c>
      <c r="H17" s="306">
        <v>156.59253023292777</v>
      </c>
    </row>
    <row r="18" spans="1:8" ht="20" customHeight="1" thickBot="1">
      <c r="A18" s="307" t="s">
        <v>445</v>
      </c>
      <c r="B18" s="339">
        <v>1369.7211552558797</v>
      </c>
      <c r="C18" s="340">
        <v>1769.4387374206749</v>
      </c>
      <c r="D18" s="339">
        <v>5218.7690685295202</v>
      </c>
      <c r="E18" s="340">
        <v>4367.6977785902072</v>
      </c>
      <c r="F18" s="319">
        <v>7.0914813804012029E-3</v>
      </c>
      <c r="H18" s="306">
        <v>239.48436004651805</v>
      </c>
    </row>
    <row r="19" spans="1:8" ht="20" customHeight="1" thickBot="1">
      <c r="A19" s="307" t="s">
        <v>446</v>
      </c>
      <c r="B19" s="339">
        <v>1143.8011136516302</v>
      </c>
      <c r="C19" s="340">
        <v>1615.6592231935169</v>
      </c>
      <c r="D19" s="339">
        <v>4362.9321145770673</v>
      </c>
      <c r="E19" s="340">
        <v>3569.993726443075</v>
      </c>
      <c r="F19" s="319">
        <v>4.0195387272803029E-2</v>
      </c>
      <c r="H19" s="306">
        <v>177.06647582891381</v>
      </c>
    </row>
    <row r="20" spans="1:8" ht="20" customHeight="1" thickBot="1">
      <c r="A20" s="307" t="s">
        <v>447</v>
      </c>
      <c r="B20" s="339">
        <v>819.76738256573481</v>
      </c>
      <c r="C20" s="340">
        <v>1294.8718816634237</v>
      </c>
      <c r="D20" s="339">
        <v>3919.5423846255903</v>
      </c>
      <c r="E20" s="340">
        <v>3141.8275099975963</v>
      </c>
      <c r="F20" s="319">
        <v>3.3071025793989718E-2</v>
      </c>
      <c r="H20" s="306">
        <v>165.60622548393192</v>
      </c>
    </row>
    <row r="21" spans="1:8" ht="20" customHeight="1" thickBot="1">
      <c r="A21" s="307" t="s">
        <v>448</v>
      </c>
      <c r="B21" s="339">
        <v>790.97403361678585</v>
      </c>
      <c r="C21" s="340">
        <v>1149.1353361189188</v>
      </c>
      <c r="D21" s="339">
        <v>3491.4578201513968</v>
      </c>
      <c r="E21" s="340">
        <v>2760.0600424989507</v>
      </c>
      <c r="F21" s="319">
        <v>8.0706394513835988E-2</v>
      </c>
      <c r="H21" s="306">
        <v>125.02923450612184</v>
      </c>
    </row>
    <row r="22" spans="1:8" ht="20" customHeight="1" thickBot="1">
      <c r="A22" s="307" t="s">
        <v>449</v>
      </c>
      <c r="B22" s="339">
        <v>649.5606558938473</v>
      </c>
      <c r="C22" s="340">
        <v>833.86637941453762</v>
      </c>
      <c r="D22" s="339">
        <v>3130.5940264889141</v>
      </c>
      <c r="E22" s="340">
        <v>2369.045579819277</v>
      </c>
      <c r="F22" s="319">
        <v>4.4573393367503843E-2</v>
      </c>
      <c r="H22" s="306">
        <v>109.87124540182084</v>
      </c>
    </row>
    <row r="23" spans="1:8" ht="20" customHeight="1" thickBot="1">
      <c r="A23" s="307" t="s">
        <v>450</v>
      </c>
      <c r="B23" s="339">
        <v>910.30616099221197</v>
      </c>
      <c r="C23" s="340">
        <v>1231.7218333393016</v>
      </c>
      <c r="D23" s="339">
        <v>3633.4405897272218</v>
      </c>
      <c r="E23" s="340">
        <v>2868.5875026811395</v>
      </c>
      <c r="F23" s="319">
        <v>7.0436013110744308E-2</v>
      </c>
      <c r="H23" s="306">
        <v>134.24530167185685</v>
      </c>
    </row>
    <row r="24" spans="1:8" ht="20" customHeight="1" thickBot="1">
      <c r="A24" s="307" t="s">
        <v>451</v>
      </c>
      <c r="B24" s="339">
        <v>933.59046193646157</v>
      </c>
      <c r="C24" s="340">
        <v>1105.9788141977792</v>
      </c>
      <c r="D24" s="339">
        <v>3440.5589331994402</v>
      </c>
      <c r="E24" s="340">
        <v>2801.479528222666</v>
      </c>
      <c r="F24" s="319">
        <v>2.0963301009163056E-2</v>
      </c>
      <c r="H24" s="306">
        <v>132.91701511018809</v>
      </c>
    </row>
    <row r="25" spans="1:8" ht="20" customHeight="1" thickBot="1">
      <c r="A25" s="307" t="s">
        <v>452</v>
      </c>
      <c r="B25" s="339">
        <v>1007.728938709953</v>
      </c>
      <c r="C25" s="340">
        <v>1416.9602750823908</v>
      </c>
      <c r="D25" s="339">
        <v>3792.2865820581965</v>
      </c>
      <c r="E25" s="340">
        <v>3054.6454964552313</v>
      </c>
      <c r="F25" s="319">
        <v>5.8862220545377472E-2</v>
      </c>
      <c r="H25" s="306">
        <v>145.05617363699608</v>
      </c>
    </row>
    <row r="26" spans="1:8" ht="20" customHeight="1" thickBot="1">
      <c r="A26" s="307" t="s">
        <v>453</v>
      </c>
      <c r="B26" s="339">
        <v>910.3139670347116</v>
      </c>
      <c r="C26" s="340">
        <v>1218.1533469357246</v>
      </c>
      <c r="D26" s="339">
        <v>3476.3753974971569</v>
      </c>
      <c r="E26" s="340">
        <v>2759.6433479744742</v>
      </c>
      <c r="F26" s="319">
        <v>1.3548932526857309E-2</v>
      </c>
      <c r="H26" s="306">
        <v>145.7338374894791</v>
      </c>
    </row>
    <row r="27" spans="1:8" ht="20" customHeight="1" thickBot="1">
      <c r="A27" s="307" t="s">
        <v>454</v>
      </c>
      <c r="B27" s="339">
        <v>1041.6214653953721</v>
      </c>
      <c r="C27" s="340">
        <v>1246.7288518348541</v>
      </c>
      <c r="D27" s="339">
        <v>4379.3637162971945</v>
      </c>
      <c r="E27" s="340">
        <v>3568.6312202795011</v>
      </c>
      <c r="F27" s="319">
        <v>-1.128745534667736E-2</v>
      </c>
      <c r="H27" s="306">
        <v>199.67764846714121</v>
      </c>
    </row>
    <row r="28" spans="1:8" ht="20" customHeight="1" thickBot="1">
      <c r="A28" s="307" t="s">
        <v>455</v>
      </c>
      <c r="B28" s="339">
        <v>1183.1174902117498</v>
      </c>
      <c r="C28" s="340">
        <v>1467.8005160892603</v>
      </c>
      <c r="D28" s="339">
        <v>4480.9224032185739</v>
      </c>
      <c r="E28" s="340">
        <v>3537.6320165717889</v>
      </c>
      <c r="F28" s="319">
        <v>9.3227508918641462E-3</v>
      </c>
      <c r="H28" s="306">
        <v>203.24357993536964</v>
      </c>
    </row>
    <row r="29" spans="1:8" ht="20" customHeight="1" thickBot="1">
      <c r="A29" s="307" t="s">
        <v>456</v>
      </c>
      <c r="B29" s="339">
        <v>977.14185788186978</v>
      </c>
      <c r="C29" s="340">
        <v>1212.8267108410848</v>
      </c>
      <c r="D29" s="339">
        <v>3814.6210323212313</v>
      </c>
      <c r="E29" s="340">
        <v>3044.2262046893625</v>
      </c>
      <c r="F29" s="319">
        <v>5.7313446709998307E-2</v>
      </c>
      <c r="H29" s="306">
        <v>144.85185631308477</v>
      </c>
    </row>
    <row r="30" spans="1:8" ht="20" customHeight="1" thickBot="1">
      <c r="A30" s="307" t="s">
        <v>457</v>
      </c>
      <c r="B30" s="339">
        <v>1008.2860916584099</v>
      </c>
      <c r="C30" s="340">
        <v>1195.1700769901447</v>
      </c>
      <c r="D30" s="339">
        <v>4215.3692032652507</v>
      </c>
      <c r="E30" s="340">
        <v>3301.3681614641973</v>
      </c>
      <c r="F30" s="319">
        <v>2.0443868480971954E-2</v>
      </c>
      <c r="H30" s="306">
        <v>184.5803903521614</v>
      </c>
    </row>
    <row r="31" spans="1:8" ht="20" customHeight="1" thickBot="1">
      <c r="A31" s="307" t="s">
        <v>458</v>
      </c>
      <c r="B31" s="339">
        <v>1411.0527793036081</v>
      </c>
      <c r="C31" s="340">
        <v>1925.1431960848588</v>
      </c>
      <c r="D31" s="339">
        <v>5245.3427500915941</v>
      </c>
      <c r="E31" s="340">
        <v>4188.939850861897</v>
      </c>
      <c r="F31" s="319">
        <v>2.9190378433000985E-2</v>
      </c>
      <c r="H31" s="306">
        <v>244.01642882305748</v>
      </c>
    </row>
    <row r="32" spans="1:8" ht="20" customHeight="1" thickBot="1">
      <c r="A32" s="174" t="s">
        <v>459</v>
      </c>
      <c r="B32" s="339">
        <v>919.83514324570831</v>
      </c>
      <c r="C32" s="340">
        <v>1089.0187928036289</v>
      </c>
      <c r="D32" s="339">
        <v>4243.0696782020323</v>
      </c>
      <c r="E32" s="340">
        <v>3270.9864242509298</v>
      </c>
      <c r="F32" s="319">
        <v>-6.8362699968514771E-3</v>
      </c>
      <c r="H32" s="306">
        <v>200.58331332206401</v>
      </c>
    </row>
    <row r="33" spans="1:8" ht="20" customHeight="1" thickBot="1">
      <c r="A33" s="187" t="s">
        <v>460</v>
      </c>
      <c r="B33" s="339">
        <v>642.87764176465862</v>
      </c>
      <c r="C33" s="340">
        <v>581.92720451957211</v>
      </c>
      <c r="D33" s="339">
        <v>1082.7956202128205</v>
      </c>
      <c r="E33" s="340">
        <v>974.09094430973676</v>
      </c>
      <c r="F33" s="319">
        <v>-7.1358046963861971E-2</v>
      </c>
      <c r="H33" s="306">
        <v>244.01642882305748</v>
      </c>
    </row>
    <row r="34" spans="1:8" ht="0.5" customHeight="1" thickBot="1">
      <c r="A34" s="174" t="s">
        <v>461</v>
      </c>
      <c r="B34" s="132" t="s">
        <v>29</v>
      </c>
      <c r="C34" s="133" t="s">
        <v>29</v>
      </c>
      <c r="D34" s="132" t="s">
        <v>29</v>
      </c>
      <c r="E34" s="133" t="s">
        <v>29</v>
      </c>
      <c r="F34" s="319" t="s">
        <v>29</v>
      </c>
      <c r="H34" s="306">
        <v>200.58331332206401</v>
      </c>
    </row>
    <row r="35" spans="1:8" s="411" customFormat="1" ht="30" customHeight="1" thickBot="1">
      <c r="A35" s="322" t="s">
        <v>462</v>
      </c>
      <c r="B35" s="506">
        <v>1026.607671371253</v>
      </c>
      <c r="C35" s="507">
        <v>1379.1163162021994</v>
      </c>
      <c r="D35" s="506">
        <v>4056.6164501786152</v>
      </c>
      <c r="E35" s="507">
        <v>3256.6406797857449</v>
      </c>
      <c r="F35" s="508">
        <v>2.7062459226558578E-2</v>
      </c>
      <c r="H35" s="509">
        <v>167.9825427102873</v>
      </c>
    </row>
    <row r="36" spans="1:8" ht="20" customHeight="1">
      <c r="A36" s="130" t="s">
        <v>396</v>
      </c>
      <c r="B36" s="195"/>
      <c r="C36" s="195"/>
      <c r="D36" s="195"/>
      <c r="E36" s="195"/>
      <c r="F36" s="510"/>
    </row>
    <row r="37" spans="1:8" ht="14.25" customHeight="1">
      <c r="A37" s="131"/>
      <c r="B37" s="511"/>
      <c r="C37" s="511"/>
      <c r="D37" s="511"/>
      <c r="E37" s="511"/>
      <c r="F37" s="334"/>
    </row>
    <row r="38" spans="1:8" ht="20" customHeight="1">
      <c r="A38" s="131" t="s">
        <v>1631</v>
      </c>
      <c r="B38" s="511"/>
      <c r="C38" s="511"/>
      <c r="D38" s="511"/>
      <c r="E38" s="511"/>
      <c r="F38" s="334"/>
    </row>
    <row r="39" spans="1:8" ht="9.75" customHeight="1">
      <c r="A39" s="131"/>
      <c r="B39" s="511"/>
      <c r="C39" s="511"/>
      <c r="D39" s="511"/>
      <c r="E39" s="511"/>
      <c r="F39" s="334"/>
    </row>
    <row r="40" spans="1:8" ht="15.75" customHeight="1">
      <c r="A40" s="131" t="s">
        <v>473</v>
      </c>
    </row>
    <row r="41" spans="1:8" ht="15.75" customHeight="1">
      <c r="A41" s="131" t="s">
        <v>465</v>
      </c>
    </row>
    <row r="42" spans="1:8" ht="12" customHeight="1">
      <c r="A42" s="131"/>
    </row>
    <row r="43" spans="1:8" ht="12" customHeight="1"/>
    <row r="44" spans="1:8">
      <c r="A44" s="131" t="s">
        <v>395</v>
      </c>
    </row>
  </sheetData>
  <mergeCells count="1">
    <mergeCell ref="A2:E2"/>
  </mergeCells>
  <pageMargins left="0.55000000000000004" right="0.78740157480314965" top="1.1000000000000001" bottom="0.49" header="0.92" footer="0.4921259845"/>
  <pageSetup paperSize="9" scale="78" orientation="portrait" horizontalDpi="4294967292" verticalDpi="4294967292"/>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B58F-E01C-1D40-A106-47571A0A9752}">
  <sheetPr>
    <pageSetUpPr fitToPage="1"/>
  </sheetPr>
  <dimension ref="A1:J50"/>
  <sheetViews>
    <sheetView topLeftCell="A23" zoomScaleNormal="100" workbookViewId="0">
      <selection activeCell="K7" sqref="K7"/>
    </sheetView>
  </sheetViews>
  <sheetFormatPr baseColWidth="10" defaultColWidth="11.3984375" defaultRowHeight="13"/>
  <cols>
    <col min="1" max="1" width="21.19921875" style="3" customWidth="1"/>
    <col min="2" max="2" width="14.796875" style="338" customWidth="1"/>
    <col min="3" max="3" width="14.796875" style="181" customWidth="1"/>
    <col min="4" max="4" width="16" style="338" customWidth="1"/>
    <col min="5" max="5" width="15.796875" style="181" customWidth="1"/>
    <col min="6" max="6" width="16" style="338" customWidth="1"/>
    <col min="7" max="7" width="14" style="3" customWidth="1"/>
    <col min="8" max="8" width="13.59765625" style="3" customWidth="1"/>
    <col min="9" max="9" width="7.796875" style="3" customWidth="1"/>
    <col min="10" max="10" width="9" style="3" customWidth="1"/>
    <col min="11" max="16384" width="11.3984375" style="3"/>
  </cols>
  <sheetData>
    <row r="1" spans="1:10" s="2" customFormat="1" ht="15.5" customHeight="1">
      <c r="A1" s="523"/>
      <c r="B1" s="524"/>
      <c r="C1" s="161"/>
      <c r="D1" s="326"/>
      <c r="E1" s="161"/>
      <c r="F1" s="326"/>
    </row>
    <row r="2" spans="1:10" s="2" customFormat="1" ht="23.5" customHeight="1">
      <c r="A2" s="525" t="s">
        <v>1632</v>
      </c>
      <c r="B2" s="328"/>
      <c r="C2" s="328"/>
      <c r="D2" s="328"/>
      <c r="E2" s="328"/>
      <c r="F2" s="460"/>
      <c r="H2" s="460">
        <v>2012</v>
      </c>
    </row>
    <row r="3" spans="1:10" ht="27" customHeight="1">
      <c r="A3" s="109" t="s">
        <v>637</v>
      </c>
      <c r="B3" s="2057" t="s">
        <v>638</v>
      </c>
      <c r="C3" s="2058"/>
      <c r="D3" s="2059" t="s">
        <v>639</v>
      </c>
      <c r="E3" s="2058"/>
      <c r="F3" s="2057" t="s">
        <v>430</v>
      </c>
      <c r="G3" s="2058"/>
      <c r="H3" s="2058"/>
    </row>
    <row r="4" spans="1:10" ht="15" customHeight="1">
      <c r="A4" s="156"/>
      <c r="B4" s="348" t="s">
        <v>640</v>
      </c>
      <c r="C4" s="526" t="s">
        <v>641</v>
      </c>
      <c r="D4" s="348" t="s">
        <v>640</v>
      </c>
      <c r="E4" s="526" t="s">
        <v>641</v>
      </c>
      <c r="F4" s="348" t="s">
        <v>640</v>
      </c>
      <c r="G4" s="526" t="s">
        <v>579</v>
      </c>
      <c r="H4" s="348" t="s">
        <v>641</v>
      </c>
    </row>
    <row r="5" spans="1:10" ht="15" customHeight="1">
      <c r="A5" s="156"/>
      <c r="B5" s="348"/>
      <c r="C5" s="526" t="s">
        <v>642</v>
      </c>
      <c r="D5" s="348"/>
      <c r="E5" s="526" t="s">
        <v>642</v>
      </c>
      <c r="F5" s="348"/>
      <c r="G5" s="526"/>
      <c r="H5" s="348" t="s">
        <v>642</v>
      </c>
    </row>
    <row r="6" spans="1:10" ht="19.5" customHeight="1">
      <c r="A6" s="157"/>
      <c r="B6" s="330"/>
      <c r="C6" s="527"/>
      <c r="D6" s="330"/>
      <c r="E6" s="527"/>
      <c r="F6" s="330"/>
      <c r="G6" s="528"/>
      <c r="H6" s="330"/>
    </row>
    <row r="7" spans="1:10" ht="30" customHeight="1" thickBot="1">
      <c r="A7" s="302" t="s">
        <v>643</v>
      </c>
      <c r="B7" s="121">
        <v>290.68335364000001</v>
      </c>
      <c r="C7" s="529">
        <v>1265.5627687815024</v>
      </c>
      <c r="D7" s="121">
        <v>239.09180515</v>
      </c>
      <c r="E7" s="529">
        <v>1096.8145923911948</v>
      </c>
      <c r="F7" s="121">
        <v>529.77515880999999</v>
      </c>
      <c r="G7" s="530">
        <v>2.045366933392925E-2</v>
      </c>
      <c r="H7" s="132">
        <v>1183.3937518124219</v>
      </c>
      <c r="I7" s="531"/>
      <c r="J7" s="531"/>
    </row>
    <row r="8" spans="1:10" ht="20" customHeight="1" thickBot="1">
      <c r="A8" s="307" t="s">
        <v>644</v>
      </c>
      <c r="B8" s="121">
        <v>183.73011599</v>
      </c>
      <c r="C8" s="529">
        <v>924.29311211150718</v>
      </c>
      <c r="D8" s="121">
        <v>133.89146013999999</v>
      </c>
      <c r="E8" s="529">
        <v>709.19949279732577</v>
      </c>
      <c r="F8" s="121">
        <v>317.62157611999999</v>
      </c>
      <c r="G8" s="530">
        <v>1.2262799761832265E-2</v>
      </c>
      <c r="H8" s="132">
        <v>819.51749623243654</v>
      </c>
      <c r="I8" s="531"/>
      <c r="J8" s="531"/>
    </row>
    <row r="9" spans="1:10" ht="20" customHeight="1" thickBot="1">
      <c r="A9" s="307" t="s">
        <v>645</v>
      </c>
      <c r="B9" s="121">
        <v>197.85625478</v>
      </c>
      <c r="C9" s="529">
        <v>936.33814050590956</v>
      </c>
      <c r="D9" s="121">
        <v>182.62091518</v>
      </c>
      <c r="E9" s="529">
        <v>911.97313642829022</v>
      </c>
      <c r="F9" s="121">
        <v>380.47716995999997</v>
      </c>
      <c r="G9" s="530">
        <v>1.4689541580151838E-2</v>
      </c>
      <c r="H9" s="132">
        <v>924.48297091304858</v>
      </c>
      <c r="I9" s="531"/>
      <c r="J9" s="531"/>
    </row>
    <row r="10" spans="1:10" ht="20" customHeight="1" thickBot="1">
      <c r="A10" s="307" t="s">
        <v>646</v>
      </c>
      <c r="B10" s="121">
        <v>138.41797941999999</v>
      </c>
      <c r="C10" s="529">
        <v>1028.9852885367566</v>
      </c>
      <c r="D10" s="121">
        <v>182.74544599000001</v>
      </c>
      <c r="E10" s="529">
        <v>1432.5368542713513</v>
      </c>
      <c r="F10" s="121">
        <v>321.16342544999998</v>
      </c>
      <c r="G10" s="530">
        <v>1.2399544216195026E-2</v>
      </c>
      <c r="H10" s="132">
        <v>1225.4095610000663</v>
      </c>
      <c r="I10" s="531"/>
      <c r="J10" s="531"/>
    </row>
    <row r="11" spans="1:10" ht="20" customHeight="1" thickBot="1">
      <c r="A11" s="532" t="s">
        <v>647</v>
      </c>
      <c r="B11" s="533">
        <v>810.68770385000005</v>
      </c>
      <c r="C11" s="534">
        <v>1047.0030034990089</v>
      </c>
      <c r="D11" s="533">
        <v>738.34962646999998</v>
      </c>
      <c r="E11" s="534">
        <v>1005.1102623191412</v>
      </c>
      <c r="F11" s="533">
        <v>1549.03733033</v>
      </c>
      <c r="G11" s="535">
        <v>5.9805554891722297E-2</v>
      </c>
      <c r="H11" s="536">
        <v>1026.6076847798931</v>
      </c>
      <c r="I11" s="531"/>
      <c r="J11" s="531"/>
    </row>
    <row r="12" spans="1:10" ht="20" customHeight="1" thickBot="1">
      <c r="A12" s="307" t="s">
        <v>648</v>
      </c>
      <c r="B12" s="121">
        <v>90.541349940000003</v>
      </c>
      <c r="C12" s="529">
        <v>978.29744142404445</v>
      </c>
      <c r="D12" s="121">
        <v>131.40091451000001</v>
      </c>
      <c r="E12" s="529">
        <v>1470.456447207232</v>
      </c>
      <c r="F12" s="121">
        <v>221.94226442999999</v>
      </c>
      <c r="G12" s="530">
        <v>8.568793029238235E-3</v>
      </c>
      <c r="H12" s="132">
        <v>1220.0628332545034</v>
      </c>
      <c r="I12" s="531"/>
      <c r="J12" s="531"/>
    </row>
    <row r="13" spans="1:10" ht="20" customHeight="1" thickBot="1">
      <c r="A13" s="307" t="s">
        <v>649</v>
      </c>
      <c r="B13" s="121">
        <v>260.81031366000002</v>
      </c>
      <c r="C13" s="529">
        <v>1054.9401185789936</v>
      </c>
      <c r="D13" s="121">
        <v>439.51460377999996</v>
      </c>
      <c r="E13" s="529">
        <v>1834.3728760066072</v>
      </c>
      <c r="F13" s="121">
        <v>700.32491745000004</v>
      </c>
      <c r="G13" s="530">
        <v>2.7038289828479622E-2</v>
      </c>
      <c r="H13" s="132">
        <v>1438.5500175164914</v>
      </c>
      <c r="I13" s="531"/>
      <c r="J13" s="531"/>
    </row>
    <row r="14" spans="1:10" ht="20" customHeight="1" thickBot="1">
      <c r="A14" s="532" t="s">
        <v>650</v>
      </c>
      <c r="B14" s="533">
        <v>351.35166360000005</v>
      </c>
      <c r="C14" s="534">
        <v>1034.0639494963616</v>
      </c>
      <c r="D14" s="533">
        <v>570.91551830999992</v>
      </c>
      <c r="E14" s="534">
        <v>1735.5166901006223</v>
      </c>
      <c r="F14" s="533">
        <v>922.26718185000004</v>
      </c>
      <c r="G14" s="535">
        <v>3.5607082856559613E-2</v>
      </c>
      <c r="H14" s="536">
        <v>1379.1170146687168</v>
      </c>
      <c r="I14" s="531"/>
      <c r="J14" s="531"/>
    </row>
    <row r="15" spans="1:10" ht="20" customHeight="1" thickBot="1">
      <c r="A15" s="307" t="s">
        <v>651</v>
      </c>
      <c r="B15" s="121">
        <v>282.99141256000001</v>
      </c>
      <c r="C15" s="529">
        <v>1050.1404691220016</v>
      </c>
      <c r="D15" s="121">
        <v>629.74362728999995</v>
      </c>
      <c r="E15" s="529">
        <v>2398.4390366232683</v>
      </c>
      <c r="F15" s="121">
        <v>912.73503984000001</v>
      </c>
      <c r="G15" s="530">
        <v>3.5239063938582144E-2</v>
      </c>
      <c r="H15" s="132">
        <v>1715.5270947582294</v>
      </c>
      <c r="I15" s="531"/>
      <c r="J15" s="531"/>
    </row>
    <row r="16" spans="1:10" ht="20" customHeight="1" thickBot="1">
      <c r="A16" s="307" t="s">
        <v>652</v>
      </c>
      <c r="B16" s="121">
        <v>354.06018644</v>
      </c>
      <c r="C16" s="529">
        <v>1271.819670103672</v>
      </c>
      <c r="D16" s="121">
        <v>772.96674561999998</v>
      </c>
      <c r="E16" s="529">
        <v>2835.6085049170392</v>
      </c>
      <c r="F16" s="121">
        <v>1127.0269320099999</v>
      </c>
      <c r="G16" s="530">
        <v>4.3512489807081861E-2</v>
      </c>
      <c r="H16" s="132">
        <v>2045.4891245829738</v>
      </c>
      <c r="I16" s="531"/>
      <c r="J16" s="531"/>
    </row>
    <row r="17" spans="1:10" ht="20" customHeight="1" thickBot="1">
      <c r="A17" s="307" t="s">
        <v>653</v>
      </c>
      <c r="B17" s="121">
        <v>425.79525316000002</v>
      </c>
      <c r="C17" s="529">
        <v>1522.9126266887513</v>
      </c>
      <c r="D17" s="121">
        <v>756.20826308000005</v>
      </c>
      <c r="E17" s="529">
        <v>2736.8378991375876</v>
      </c>
      <c r="F17" s="121">
        <v>1182.00351624</v>
      </c>
      <c r="G17" s="530">
        <v>4.5635037186379832E-2</v>
      </c>
      <c r="H17" s="132">
        <v>2126.2881454014109</v>
      </c>
      <c r="I17" s="531"/>
      <c r="J17" s="531"/>
    </row>
    <row r="18" spans="1:10" ht="20" customHeight="1" thickBot="1">
      <c r="A18" s="307" t="s">
        <v>654</v>
      </c>
      <c r="B18" s="121">
        <v>569.39817753</v>
      </c>
      <c r="C18" s="529">
        <v>1813.6781441369096</v>
      </c>
      <c r="D18" s="121">
        <v>823.01008471</v>
      </c>
      <c r="E18" s="529">
        <v>2646.8863533229019</v>
      </c>
      <c r="F18" s="121">
        <v>1392.40826229</v>
      </c>
      <c r="G18" s="530">
        <v>5.3758387310351E-2</v>
      </c>
      <c r="H18" s="132">
        <v>2228.2744170074002</v>
      </c>
      <c r="I18" s="531"/>
      <c r="J18" s="531"/>
    </row>
    <row r="19" spans="1:10" ht="20" customHeight="1" thickBot="1">
      <c r="A19" s="307" t="s">
        <v>655</v>
      </c>
      <c r="B19" s="121">
        <v>742.16500475999999</v>
      </c>
      <c r="C19" s="529">
        <v>2215.4836616943203</v>
      </c>
      <c r="D19" s="121">
        <v>973.71163365999996</v>
      </c>
      <c r="E19" s="529">
        <v>2995.0936776410299</v>
      </c>
      <c r="F19" s="121">
        <v>1715.8766384600001</v>
      </c>
      <c r="G19" s="530">
        <v>6.6246921542544093E-2</v>
      </c>
      <c r="H19" s="132">
        <v>2599.4494019730637</v>
      </c>
      <c r="I19" s="531"/>
      <c r="J19" s="531"/>
    </row>
    <row r="20" spans="1:10" ht="20" customHeight="1" thickBot="1">
      <c r="A20" s="307" t="s">
        <v>656</v>
      </c>
      <c r="B20" s="121">
        <v>815.17808489000004</v>
      </c>
      <c r="C20" s="529">
        <v>2787.4317399899123</v>
      </c>
      <c r="D20" s="121">
        <v>982.04914794000001</v>
      </c>
      <c r="E20" s="529">
        <v>3431.4877754474105</v>
      </c>
      <c r="F20" s="121">
        <v>1797.2272328399999</v>
      </c>
      <c r="G20" s="530">
        <v>6.9387722182016651E-2</v>
      </c>
      <c r="H20" s="132">
        <v>3105.9757896554183</v>
      </c>
      <c r="I20" s="531"/>
      <c r="J20" s="531"/>
    </row>
    <row r="21" spans="1:10" ht="20" customHeight="1" thickBot="1">
      <c r="A21" s="307" t="s">
        <v>657</v>
      </c>
      <c r="B21" s="121">
        <v>904.62428544000011</v>
      </c>
      <c r="C21" s="529">
        <v>3644.6160641064553</v>
      </c>
      <c r="D21" s="121">
        <v>973.39304389999995</v>
      </c>
      <c r="E21" s="529">
        <v>3947.5317769656995</v>
      </c>
      <c r="F21" s="121">
        <v>1878.0173293599998</v>
      </c>
      <c r="G21" s="530">
        <v>7.2506883003728456E-2</v>
      </c>
      <c r="H21" s="132">
        <v>3795.5759824554652</v>
      </c>
      <c r="I21" s="531"/>
      <c r="J21" s="531"/>
    </row>
    <row r="22" spans="1:10" ht="20" customHeight="1" thickBot="1">
      <c r="A22" s="307" t="s">
        <v>658</v>
      </c>
      <c r="B22" s="121">
        <v>1049.92756932</v>
      </c>
      <c r="C22" s="529">
        <v>4724.3169508216879</v>
      </c>
      <c r="D22" s="121">
        <v>1063.9214093999999</v>
      </c>
      <c r="E22" s="529">
        <v>4647.7042463059815</v>
      </c>
      <c r="F22" s="121">
        <v>2113.8489787600001</v>
      </c>
      <c r="G22" s="530">
        <v>8.1611920291882425E-2</v>
      </c>
      <c r="H22" s="132">
        <v>4685.4444178040194</v>
      </c>
      <c r="I22" s="531"/>
      <c r="J22" s="531"/>
    </row>
    <row r="23" spans="1:10" ht="20" customHeight="1" thickBot="1">
      <c r="A23" s="307" t="s">
        <v>659</v>
      </c>
      <c r="B23" s="121">
        <v>1168.2370682400001</v>
      </c>
      <c r="C23" s="529">
        <v>5972.0438706879331</v>
      </c>
      <c r="D23" s="121">
        <v>1201.4399979100001</v>
      </c>
      <c r="E23" s="529">
        <v>5737.4947071057277</v>
      </c>
      <c r="F23" s="121">
        <v>2369.6770661799997</v>
      </c>
      <c r="G23" s="530">
        <v>9.1488984211175892E-2</v>
      </c>
      <c r="H23" s="132">
        <v>5850.7779809615904</v>
      </c>
      <c r="I23" s="531"/>
      <c r="J23" s="531"/>
    </row>
    <row r="24" spans="1:10" ht="20" customHeight="1" thickBot="1">
      <c r="A24" s="307" t="s">
        <v>660</v>
      </c>
      <c r="B24" s="121">
        <v>1027.3103246200001</v>
      </c>
      <c r="C24" s="529">
        <v>7292.9262423016135</v>
      </c>
      <c r="D24" s="121">
        <v>1145.78655078</v>
      </c>
      <c r="E24" s="529">
        <v>6904.3920341494822</v>
      </c>
      <c r="F24" s="121">
        <v>2173.0968753800003</v>
      </c>
      <c r="G24" s="530">
        <v>8.3899375386829456E-2</v>
      </c>
      <c r="H24" s="132">
        <v>7082.7747991831147</v>
      </c>
      <c r="I24" s="531"/>
      <c r="J24" s="531"/>
    </row>
    <row r="25" spans="1:10" ht="20" customHeight="1" thickBot="1">
      <c r="A25" s="307" t="s">
        <v>661</v>
      </c>
      <c r="B25" s="121">
        <v>983.81194644000004</v>
      </c>
      <c r="C25" s="529">
        <v>8982.6242150456856</v>
      </c>
      <c r="D25" s="121">
        <v>1239.6609973299999</v>
      </c>
      <c r="E25" s="529">
        <v>8589.400354312651</v>
      </c>
      <c r="F25" s="121">
        <v>2223.4729437800002</v>
      </c>
      <c r="G25" s="530">
        <v>8.584430509571099E-2</v>
      </c>
      <c r="H25" s="132">
        <v>8759.0590248399458</v>
      </c>
      <c r="I25" s="531"/>
      <c r="J25" s="531"/>
    </row>
    <row r="26" spans="1:10" ht="20" customHeight="1" thickBot="1">
      <c r="A26" s="307" t="s">
        <v>662</v>
      </c>
      <c r="B26" s="121">
        <v>774.93937036</v>
      </c>
      <c r="C26" s="529">
        <v>10524.044302766899</v>
      </c>
      <c r="D26" s="121">
        <v>1260.3211359700001</v>
      </c>
      <c r="E26" s="529">
        <v>10744.095969518412</v>
      </c>
      <c r="F26" s="121">
        <v>2035.2605063199999</v>
      </c>
      <c r="G26" s="530">
        <v>7.8577760229796789E-2</v>
      </c>
      <c r="H26" s="132">
        <v>10659.2312620428</v>
      </c>
      <c r="I26" s="531"/>
      <c r="J26" s="531"/>
    </row>
    <row r="27" spans="1:10" ht="20" customHeight="1" thickBot="1">
      <c r="A27" s="307" t="s">
        <v>663</v>
      </c>
      <c r="B27" s="121">
        <v>470.71953655999999</v>
      </c>
      <c r="C27" s="529">
        <v>12306.647289185843</v>
      </c>
      <c r="D27" s="121">
        <v>1069.8674463300001</v>
      </c>
      <c r="E27" s="529">
        <v>13785.780902498102</v>
      </c>
      <c r="F27" s="121">
        <v>1540.5869828699999</v>
      </c>
      <c r="G27" s="530">
        <v>5.9479302122355214E-2</v>
      </c>
      <c r="H27" s="132">
        <v>13297.452375021361</v>
      </c>
      <c r="I27" s="531"/>
      <c r="J27" s="531"/>
    </row>
    <row r="28" spans="1:10" ht="20" customHeight="1" thickBot="1">
      <c r="A28" s="307" t="s">
        <v>664</v>
      </c>
      <c r="B28" s="121">
        <v>182.55284233</v>
      </c>
      <c r="C28" s="529">
        <v>14831.54152441987</v>
      </c>
      <c r="D28" s="121">
        <v>560.12281590999999</v>
      </c>
      <c r="E28" s="529">
        <v>17553.173385133086</v>
      </c>
      <c r="F28" s="121">
        <v>742.67565822000006</v>
      </c>
      <c r="G28" s="530">
        <v>2.8673376021841893E-2</v>
      </c>
      <c r="H28" s="132">
        <v>16795.579278094337</v>
      </c>
      <c r="I28" s="531"/>
      <c r="J28" s="531"/>
    </row>
    <row r="29" spans="1:10" ht="20" customHeight="1" thickBot="1">
      <c r="A29" s="307" t="s">
        <v>665</v>
      </c>
      <c r="B29" s="121">
        <v>38.014976529999998</v>
      </c>
      <c r="C29" s="529">
        <v>17978.234348545757</v>
      </c>
      <c r="D29" s="121">
        <v>160.68635631000001</v>
      </c>
      <c r="E29" s="529">
        <v>21871.552087842087</v>
      </c>
      <c r="F29" s="121">
        <v>198.70133286000001</v>
      </c>
      <c r="G29" s="530">
        <v>7.6715023174331884E-3</v>
      </c>
      <c r="H29" s="132">
        <v>21001.460987960443</v>
      </c>
      <c r="I29" s="531"/>
      <c r="J29" s="531"/>
    </row>
    <row r="30" spans="1:10" ht="20" customHeight="1" thickBot="1">
      <c r="A30" s="307" t="s">
        <v>666</v>
      </c>
      <c r="B30" s="121">
        <v>3.2065647400000001</v>
      </c>
      <c r="C30" s="529">
        <v>18965.900159697168</v>
      </c>
      <c r="D30" s="121">
        <v>24.101918909999998</v>
      </c>
      <c r="E30" s="529">
        <v>25989.819390527951</v>
      </c>
      <c r="F30" s="121">
        <v>27.308483670000001</v>
      </c>
      <c r="G30" s="530">
        <v>1.0543316078689708E-3</v>
      </c>
      <c r="H30" s="132">
        <v>24906.500738754516</v>
      </c>
      <c r="I30" s="531"/>
      <c r="J30" s="531"/>
    </row>
    <row r="31" spans="1:10" ht="20" customHeight="1" thickBot="1">
      <c r="A31" s="532" t="s">
        <v>667</v>
      </c>
      <c r="B31" s="533">
        <v>9792.9326038899999</v>
      </c>
      <c r="C31" s="534">
        <v>3482.8298220449492</v>
      </c>
      <c r="D31" s="533">
        <v>13636.991175090001</v>
      </c>
      <c r="E31" s="534">
        <v>4600.9425622776707</v>
      </c>
      <c r="F31" s="533">
        <v>23429.923778959997</v>
      </c>
      <c r="G31" s="535">
        <v>0.90458736225094583</v>
      </c>
      <c r="H31" s="536">
        <v>4056.6164247160946</v>
      </c>
      <c r="I31" s="531"/>
      <c r="J31" s="531"/>
    </row>
    <row r="32" spans="1:10" ht="0.5" customHeight="1" thickBot="1">
      <c r="A32" s="307" t="s">
        <v>461</v>
      </c>
      <c r="B32" s="121">
        <v>0</v>
      </c>
      <c r="C32" s="529" t="s">
        <v>29</v>
      </c>
      <c r="D32" s="121">
        <v>0</v>
      </c>
      <c r="E32" s="529" t="s">
        <v>29</v>
      </c>
      <c r="F32" s="121" t="s">
        <v>29</v>
      </c>
      <c r="G32" s="530" t="s">
        <v>29</v>
      </c>
      <c r="H32" s="132" t="s">
        <v>29</v>
      </c>
      <c r="I32" s="531"/>
      <c r="J32" s="531"/>
    </row>
    <row r="33" spans="1:10" s="138" customFormat="1" ht="24.75" customHeight="1" thickBot="1">
      <c r="A33" s="322" t="s">
        <v>230</v>
      </c>
      <c r="B33" s="537">
        <v>10954.971971319999</v>
      </c>
      <c r="C33" s="192">
        <v>2790.4743835706595</v>
      </c>
      <c r="D33" s="537">
        <v>14946.256319829999</v>
      </c>
      <c r="E33" s="192">
        <v>3711.0398816451338</v>
      </c>
      <c r="F33" s="537">
        <v>25901.228291160001</v>
      </c>
      <c r="G33" s="538">
        <v>1</v>
      </c>
      <c r="H33" s="353">
        <v>3256.6408148244927</v>
      </c>
      <c r="I33" s="539"/>
      <c r="J33" s="539"/>
    </row>
    <row r="34" spans="1:10" ht="20" customHeight="1">
      <c r="A34" s="130" t="s">
        <v>396</v>
      </c>
      <c r="B34" s="333"/>
      <c r="C34" s="194"/>
      <c r="D34" s="333"/>
      <c r="E34" s="194"/>
      <c r="F34" s="333"/>
    </row>
    <row r="35" spans="1:10" ht="12.75" customHeight="1">
      <c r="A35" s="131"/>
      <c r="B35" s="335"/>
      <c r="C35" s="540"/>
      <c r="D35" s="335"/>
      <c r="E35" s="540"/>
      <c r="F35" s="335"/>
    </row>
    <row r="36" spans="1:10" ht="16.5" customHeight="1">
      <c r="A36" s="131" t="s">
        <v>1633</v>
      </c>
      <c r="B36" s="335"/>
      <c r="C36" s="540"/>
      <c r="D36" s="335"/>
      <c r="E36" s="540"/>
      <c r="F36" s="335"/>
    </row>
    <row r="37" spans="1:10" ht="14.25" customHeight="1">
      <c r="A37" s="131"/>
      <c r="B37" s="335"/>
      <c r="C37" s="540"/>
      <c r="D37" s="335"/>
      <c r="E37" s="540"/>
      <c r="F37" s="335"/>
    </row>
    <row r="38" spans="1:10" ht="13.5" customHeight="1">
      <c r="A38" s="131" t="s">
        <v>473</v>
      </c>
      <c r="B38" s="335"/>
      <c r="C38" s="540"/>
      <c r="D38" s="335"/>
      <c r="E38" s="540"/>
      <c r="F38" s="335"/>
    </row>
    <row r="39" spans="1:10" ht="12" customHeight="1">
      <c r="A39" s="131"/>
      <c r="B39" s="335"/>
      <c r="C39" s="540"/>
      <c r="D39" s="335"/>
      <c r="E39" s="540"/>
      <c r="F39" s="335"/>
    </row>
    <row r="40" spans="1:10" ht="14.25" customHeight="1">
      <c r="A40" s="131"/>
      <c r="B40" s="335"/>
      <c r="C40" s="540"/>
      <c r="D40" s="335"/>
      <c r="E40" s="540"/>
      <c r="F40" s="335"/>
    </row>
    <row r="41" spans="1:10" ht="15.75" customHeight="1">
      <c r="A41" s="131" t="s">
        <v>395</v>
      </c>
      <c r="B41" s="335"/>
      <c r="C41" s="540"/>
      <c r="D41" s="335"/>
      <c r="E41" s="540"/>
      <c r="F41" s="335"/>
    </row>
    <row r="42" spans="1:10" ht="18" customHeight="1">
      <c r="A42"/>
    </row>
    <row r="43" spans="1:10" ht="30" customHeight="1"/>
    <row r="44" spans="1:10" ht="30" customHeight="1">
      <c r="H44" s="541"/>
    </row>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46" right="0.43" top="0.6692913385826772" bottom="0.47244094488188981" header="0.43307086614173229" footer="0.51181102362204722"/>
  <pageSetup paperSize="9" scale="74" orientation="portrait"/>
  <headerFooter alignWithMargins="0"/>
  <rowBreaks count="1" manualBreakCount="1">
    <brk id="41"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4555-EA81-D040-8E8C-2B06ECE39A22}">
  <dimension ref="A1:G44"/>
  <sheetViews>
    <sheetView zoomScaleNormal="100" workbookViewId="0">
      <selection activeCell="C4" sqref="C4"/>
    </sheetView>
  </sheetViews>
  <sheetFormatPr baseColWidth="10" defaultColWidth="11.3984375" defaultRowHeight="13"/>
  <cols>
    <col min="1" max="5" width="19.796875" style="3" customWidth="1"/>
    <col min="6" max="6" width="11.3984375" style="3"/>
    <col min="7" max="7" width="15.19921875" style="3" hidden="1" customWidth="1"/>
    <col min="8" max="16384" width="11.3984375" style="3"/>
  </cols>
  <sheetData>
    <row r="1" spans="1:7" s="2" customFormat="1" ht="14" customHeight="1"/>
    <row r="2" spans="1:7" s="2" customFormat="1" ht="28" customHeight="1">
      <c r="A2" s="139" t="s">
        <v>469</v>
      </c>
      <c r="E2" s="139">
        <v>2012</v>
      </c>
    </row>
    <row r="3" spans="1:7" ht="27" customHeight="1">
      <c r="A3" s="109" t="s">
        <v>426</v>
      </c>
      <c r="B3" s="110" t="s">
        <v>427</v>
      </c>
      <c r="C3" s="111" t="s">
        <v>428</v>
      </c>
      <c r="D3" s="110" t="s">
        <v>429</v>
      </c>
      <c r="E3" s="111" t="s">
        <v>230</v>
      </c>
    </row>
    <row r="4" spans="1:7" ht="21" customHeight="1">
      <c r="A4" s="156"/>
      <c r="B4" s="113"/>
      <c r="C4" s="114"/>
      <c r="D4" s="300"/>
      <c r="E4" s="114"/>
    </row>
    <row r="5" spans="1:7" ht="21" customHeight="1">
      <c r="A5" s="156"/>
      <c r="B5" s="113" t="s">
        <v>431</v>
      </c>
      <c r="C5" s="114" t="s">
        <v>432</v>
      </c>
      <c r="D5" s="113" t="s">
        <v>433</v>
      </c>
      <c r="E5" s="114"/>
    </row>
    <row r="6" spans="1:7" ht="24" customHeight="1">
      <c r="A6" s="157"/>
      <c r="B6" s="169"/>
      <c r="C6" s="157"/>
      <c r="D6" s="169"/>
      <c r="E6" s="118"/>
    </row>
    <row r="7" spans="1:7" ht="30" customHeight="1" thickBot="1">
      <c r="A7" s="302" t="s">
        <v>434</v>
      </c>
      <c r="B7" s="339">
        <v>251805587.27999997</v>
      </c>
      <c r="C7" s="340">
        <v>120607736.25</v>
      </c>
      <c r="D7" s="339">
        <v>3466417842.5999999</v>
      </c>
      <c r="E7" s="340">
        <v>3838831166.1300001</v>
      </c>
      <c r="G7" s="8">
        <v>2156035045</v>
      </c>
    </row>
    <row r="8" spans="1:7" ht="20" customHeight="1" thickBot="1">
      <c r="A8" s="307" t="s">
        <v>435</v>
      </c>
      <c r="B8" s="317">
        <v>144780963.36000001</v>
      </c>
      <c r="C8" s="318">
        <v>83243088.170000002</v>
      </c>
      <c r="D8" s="317">
        <v>2680893839.52</v>
      </c>
      <c r="E8" s="318">
        <v>2908917891.0500002</v>
      </c>
      <c r="G8" s="8">
        <v>1563935884</v>
      </c>
    </row>
    <row r="9" spans="1:7" ht="20" customHeight="1" thickBot="1">
      <c r="A9" s="307" t="s">
        <v>436</v>
      </c>
      <c r="B9" s="317">
        <v>57837951.390000001</v>
      </c>
      <c r="C9" s="318">
        <v>30710348.25</v>
      </c>
      <c r="D9" s="317">
        <v>849749587.00999999</v>
      </c>
      <c r="E9" s="318">
        <v>938297886.6500001</v>
      </c>
      <c r="G9" s="8">
        <v>464604355</v>
      </c>
    </row>
    <row r="10" spans="1:7" ht="20" customHeight="1" thickBot="1">
      <c r="A10" s="307" t="s">
        <v>437</v>
      </c>
      <c r="B10" s="317">
        <v>4685054.6399999997</v>
      </c>
      <c r="C10" s="318">
        <v>2189868.6800000002</v>
      </c>
      <c r="D10" s="317">
        <v>73960314.13000001</v>
      </c>
      <c r="E10" s="318">
        <v>80835237.450000003</v>
      </c>
      <c r="G10" s="8">
        <v>45901795</v>
      </c>
    </row>
    <row r="11" spans="1:7" ht="20" customHeight="1" thickBot="1">
      <c r="A11" s="307" t="s">
        <v>438</v>
      </c>
      <c r="B11" s="317">
        <v>25070977.400000002</v>
      </c>
      <c r="C11" s="318">
        <v>10934905.490000002</v>
      </c>
      <c r="D11" s="317">
        <v>324437904.5</v>
      </c>
      <c r="E11" s="318">
        <v>360443787.38999999</v>
      </c>
      <c r="G11" s="8">
        <v>171549320</v>
      </c>
    </row>
    <row r="12" spans="1:7" ht="20" customHeight="1" thickBot="1">
      <c r="A12" s="307" t="s">
        <v>439</v>
      </c>
      <c r="B12" s="317">
        <v>5733963.0299999993</v>
      </c>
      <c r="C12" s="318">
        <v>2481872</v>
      </c>
      <c r="D12" s="317">
        <v>75115805.550000012</v>
      </c>
      <c r="E12" s="318">
        <v>83331640.579999998</v>
      </c>
      <c r="G12" s="8">
        <v>41764939</v>
      </c>
    </row>
    <row r="13" spans="1:7" ht="20" customHeight="1" thickBot="1">
      <c r="A13" s="307" t="s">
        <v>440</v>
      </c>
      <c r="B13" s="317">
        <v>5353453.28</v>
      </c>
      <c r="C13" s="318">
        <v>2418100.09</v>
      </c>
      <c r="D13" s="317">
        <v>86429023.030000001</v>
      </c>
      <c r="E13" s="318">
        <v>94200576.400000006</v>
      </c>
      <c r="G13" s="8">
        <v>44323506</v>
      </c>
    </row>
    <row r="14" spans="1:7" ht="20" customHeight="1" thickBot="1">
      <c r="A14" s="307" t="s">
        <v>441</v>
      </c>
      <c r="B14" s="317">
        <v>5949081.0099999998</v>
      </c>
      <c r="C14" s="318">
        <v>3783882.6099999994</v>
      </c>
      <c r="D14" s="317">
        <v>89269795.410000011</v>
      </c>
      <c r="E14" s="318">
        <v>99002759.030000001</v>
      </c>
      <c r="G14" s="8">
        <v>55927154</v>
      </c>
    </row>
    <row r="15" spans="1:7" ht="20" customHeight="1" thickBot="1">
      <c r="A15" s="307" t="s">
        <v>442</v>
      </c>
      <c r="B15" s="317">
        <v>17367072.27</v>
      </c>
      <c r="C15" s="318">
        <v>8158334.8300000001</v>
      </c>
      <c r="D15" s="317">
        <v>241314259.5</v>
      </c>
      <c r="E15" s="318">
        <v>266839666.59999999</v>
      </c>
      <c r="G15" s="8">
        <v>128772453</v>
      </c>
    </row>
    <row r="16" spans="1:7" ht="20" customHeight="1" thickBot="1">
      <c r="A16" s="307" t="s">
        <v>443</v>
      </c>
      <c r="B16" s="317">
        <v>52423804.719999999</v>
      </c>
      <c r="C16" s="318">
        <v>25008339.469999999</v>
      </c>
      <c r="D16" s="317">
        <v>645949954.98000002</v>
      </c>
      <c r="E16" s="318">
        <v>723382099.16999996</v>
      </c>
      <c r="G16" s="8">
        <v>391250033</v>
      </c>
    </row>
    <row r="17" spans="1:7" ht="20" customHeight="1" thickBot="1">
      <c r="A17" s="307" t="s">
        <v>444</v>
      </c>
      <c r="B17" s="317">
        <v>43062318.649999999</v>
      </c>
      <c r="C17" s="318">
        <v>22019163.990000002</v>
      </c>
      <c r="D17" s="317">
        <v>639782729.42999995</v>
      </c>
      <c r="E17" s="318">
        <v>704864212.07000005</v>
      </c>
      <c r="G17" s="8">
        <v>393696828</v>
      </c>
    </row>
    <row r="18" spans="1:7" ht="20" customHeight="1" thickBot="1">
      <c r="A18" s="307" t="s">
        <v>445</v>
      </c>
      <c r="B18" s="317">
        <v>35398573.890000001</v>
      </c>
      <c r="C18" s="318">
        <v>17813019.339999996</v>
      </c>
      <c r="D18" s="317">
        <v>635770667.10000002</v>
      </c>
      <c r="E18" s="318">
        <v>688982260.32999992</v>
      </c>
      <c r="G18" s="8">
        <v>473520714</v>
      </c>
    </row>
    <row r="19" spans="1:7" ht="20" customHeight="1" thickBot="1">
      <c r="A19" s="307" t="s">
        <v>446</v>
      </c>
      <c r="B19" s="317">
        <v>51076599.220000006</v>
      </c>
      <c r="C19" s="318">
        <v>26151269.159999996</v>
      </c>
      <c r="D19" s="317">
        <v>758775943.94000006</v>
      </c>
      <c r="E19" s="318">
        <v>836003812.31999993</v>
      </c>
      <c r="G19" s="8">
        <v>469771093</v>
      </c>
    </row>
    <row r="20" spans="1:7" ht="20" customHeight="1" thickBot="1">
      <c r="A20" s="307" t="s">
        <v>447</v>
      </c>
      <c r="B20" s="317">
        <v>10132854.190000001</v>
      </c>
      <c r="C20" s="318">
        <v>6675820.3800000008</v>
      </c>
      <c r="D20" s="317">
        <v>190861278.83999997</v>
      </c>
      <c r="E20" s="318">
        <v>207669953.41</v>
      </c>
      <c r="G20" s="8">
        <v>127694959</v>
      </c>
    </row>
    <row r="21" spans="1:7" ht="20" customHeight="1" thickBot="1">
      <c r="A21" s="307" t="s">
        <v>448</v>
      </c>
      <c r="B21" s="317">
        <v>7413419.4199999999</v>
      </c>
      <c r="C21" s="318">
        <v>4247836.3099999996</v>
      </c>
      <c r="D21" s="317">
        <v>115834008.86000001</v>
      </c>
      <c r="E21" s="318">
        <v>127495264.59000002</v>
      </c>
      <c r="G21" s="8">
        <v>69489100</v>
      </c>
    </row>
    <row r="22" spans="1:7" ht="20" customHeight="1" thickBot="1">
      <c r="A22" s="307" t="s">
        <v>449</v>
      </c>
      <c r="B22" s="317">
        <v>1958858.13</v>
      </c>
      <c r="C22" s="318">
        <v>896326.84</v>
      </c>
      <c r="D22" s="317">
        <v>28796684.859999999</v>
      </c>
      <c r="E22" s="318">
        <v>31651869.829999998</v>
      </c>
      <c r="G22" s="8">
        <v>16712649</v>
      </c>
    </row>
    <row r="23" spans="1:7" ht="20" customHeight="1" thickBot="1">
      <c r="A23" s="307" t="s">
        <v>450</v>
      </c>
      <c r="B23" s="317">
        <v>78747860.530000001</v>
      </c>
      <c r="C23" s="318">
        <v>40939587.510000005</v>
      </c>
      <c r="D23" s="317">
        <v>1061658251.1000001</v>
      </c>
      <c r="E23" s="318">
        <v>1181345699.1399999</v>
      </c>
      <c r="G23" s="8">
        <v>615853738</v>
      </c>
    </row>
    <row r="24" spans="1:7" ht="20" customHeight="1" thickBot="1">
      <c r="A24" s="307" t="s">
        <v>451</v>
      </c>
      <c r="B24" s="317">
        <v>28553212.229999997</v>
      </c>
      <c r="C24" s="318">
        <v>14284955.919999998</v>
      </c>
      <c r="D24" s="317">
        <v>427135190.76999998</v>
      </c>
      <c r="E24" s="318">
        <v>469973358.91999996</v>
      </c>
      <c r="G24" s="8">
        <v>264690646</v>
      </c>
    </row>
    <row r="25" spans="1:7" ht="20" customHeight="1" thickBot="1">
      <c r="A25" s="307" t="s">
        <v>452</v>
      </c>
      <c r="B25" s="317">
        <v>110075007.23999999</v>
      </c>
      <c r="C25" s="318">
        <v>57664193.450000003</v>
      </c>
      <c r="D25" s="317">
        <v>1463931297.95</v>
      </c>
      <c r="E25" s="318">
        <v>1631670498.6400003</v>
      </c>
      <c r="G25" s="8">
        <v>819222625</v>
      </c>
    </row>
    <row r="26" spans="1:7" ht="20" customHeight="1" thickBot="1">
      <c r="A26" s="307" t="s">
        <v>453</v>
      </c>
      <c r="B26" s="317">
        <v>41151650.059999995</v>
      </c>
      <c r="C26" s="318">
        <v>21505032.030000001</v>
      </c>
      <c r="D26" s="317">
        <v>531920121.92000008</v>
      </c>
      <c r="E26" s="318">
        <v>594576804.01000011</v>
      </c>
      <c r="G26" s="8">
        <v>344655658</v>
      </c>
    </row>
    <row r="27" spans="1:7" ht="20" customHeight="1" thickBot="1">
      <c r="A27" s="307" t="s">
        <v>454</v>
      </c>
      <c r="B27" s="317">
        <v>55449270.710000001</v>
      </c>
      <c r="C27" s="318">
        <v>21088366.199999999</v>
      </c>
      <c r="D27" s="317">
        <v>952952372.65999997</v>
      </c>
      <c r="E27" s="318">
        <v>1029490009.5699998</v>
      </c>
      <c r="G27" s="8">
        <v>627641817</v>
      </c>
    </row>
    <row r="28" spans="1:7" ht="20" customHeight="1" thickBot="1">
      <c r="A28" s="307" t="s">
        <v>455</v>
      </c>
      <c r="B28" s="317">
        <v>159320022.65000001</v>
      </c>
      <c r="C28" s="318">
        <v>66143171.260000005</v>
      </c>
      <c r="D28" s="317">
        <v>1960332573.71</v>
      </c>
      <c r="E28" s="318">
        <v>2185795767.6199999</v>
      </c>
      <c r="G28" s="8">
        <v>1280335377</v>
      </c>
    </row>
    <row r="29" spans="1:7" ht="20" customHeight="1" thickBot="1">
      <c r="A29" s="307" t="s">
        <v>456</v>
      </c>
      <c r="B29" s="317">
        <v>54167381.169999994</v>
      </c>
      <c r="C29" s="318">
        <v>26288277.25</v>
      </c>
      <c r="D29" s="317">
        <v>763618268.48000002</v>
      </c>
      <c r="E29" s="318">
        <v>844073926.89999998</v>
      </c>
      <c r="G29" s="8">
        <v>410743307</v>
      </c>
    </row>
    <row r="30" spans="1:7" ht="20" customHeight="1" thickBot="1">
      <c r="A30" s="307" t="s">
        <v>457</v>
      </c>
      <c r="B30" s="317">
        <v>32150883.579999998</v>
      </c>
      <c r="C30" s="318">
        <v>13779512.92</v>
      </c>
      <c r="D30" s="317">
        <v>455637058.95999998</v>
      </c>
      <c r="E30" s="318">
        <v>501567455.46000004</v>
      </c>
      <c r="G30" s="8">
        <v>318756043</v>
      </c>
    </row>
    <row r="31" spans="1:7" ht="20" customHeight="1" thickBot="1">
      <c r="A31" s="307" t="s">
        <v>458</v>
      </c>
      <c r="B31" s="317">
        <v>112925387.12</v>
      </c>
      <c r="C31" s="318">
        <v>51572200.880000003</v>
      </c>
      <c r="D31" s="317">
        <v>1396654085.6500001</v>
      </c>
      <c r="E31" s="318">
        <v>1561151673.6499999</v>
      </c>
      <c r="G31" s="8">
        <v>966736347</v>
      </c>
    </row>
    <row r="32" spans="1:7" ht="20" customHeight="1" thickBot="1">
      <c r="A32" s="174" t="s">
        <v>459</v>
      </c>
      <c r="B32" s="317">
        <v>12229521.82</v>
      </c>
      <c r="C32" s="318">
        <v>4996037</v>
      </c>
      <c r="D32" s="317">
        <v>184226413.87</v>
      </c>
      <c r="E32" s="318">
        <v>201451972.69</v>
      </c>
      <c r="G32" s="8">
        <v>146808815</v>
      </c>
    </row>
    <row r="33" spans="1:7" ht="20" customHeight="1" thickBot="1">
      <c r="A33" s="187" t="s">
        <v>460</v>
      </c>
      <c r="B33" s="317">
        <v>428673.26</v>
      </c>
      <c r="C33" s="318">
        <v>195913.4</v>
      </c>
      <c r="D33" s="317">
        <v>3519251.8699999996</v>
      </c>
      <c r="E33" s="318">
        <v>4143838.5299999993</v>
      </c>
      <c r="G33" s="8">
        <v>966736347</v>
      </c>
    </row>
    <row r="34" spans="1:7" ht="0.5" customHeight="1" thickBot="1">
      <c r="A34" s="174" t="s">
        <v>461</v>
      </c>
      <c r="B34" s="317">
        <v>0</v>
      </c>
      <c r="C34" s="318">
        <v>0</v>
      </c>
      <c r="D34" s="317">
        <v>0</v>
      </c>
      <c r="E34" s="318">
        <v>0</v>
      </c>
      <c r="G34" s="8">
        <v>146808815</v>
      </c>
    </row>
    <row r="35" spans="1:7" ht="30" customHeight="1" thickBot="1">
      <c r="A35" s="322" t="s">
        <v>462</v>
      </c>
      <c r="B35" s="341">
        <v>1405249402.25</v>
      </c>
      <c r="C35" s="342">
        <v>685797159.63000011</v>
      </c>
      <c r="D35" s="341">
        <v>20104944526.099998</v>
      </c>
      <c r="E35" s="342">
        <v>22195991087.979996</v>
      </c>
      <c r="G35" s="8">
        <v>12410394200</v>
      </c>
    </row>
    <row r="36" spans="1:7" ht="20" customHeight="1">
      <c r="A36" s="130" t="s">
        <v>396</v>
      </c>
      <c r="B36" s="130"/>
      <c r="C36" s="130"/>
      <c r="D36" s="130"/>
      <c r="E36" s="130"/>
    </row>
    <row r="37" spans="1:7" ht="12.75" customHeight="1">
      <c r="A37" s="131"/>
      <c r="B37" s="131"/>
      <c r="C37" s="131"/>
      <c r="D37" s="131"/>
      <c r="E37" s="131"/>
    </row>
    <row r="38" spans="1:7" ht="14.25" customHeight="1">
      <c r="A38" s="131" t="s">
        <v>470</v>
      </c>
      <c r="B38" s="131"/>
      <c r="C38" s="131"/>
      <c r="D38" s="131"/>
      <c r="E38" s="131"/>
    </row>
    <row r="39" spans="1:7" ht="10.5" customHeight="1">
      <c r="A39" s="131"/>
      <c r="B39" s="131"/>
      <c r="C39" s="131"/>
      <c r="D39" s="131"/>
      <c r="E39" s="131"/>
    </row>
    <row r="40" spans="1:7" ht="15" customHeight="1">
      <c r="A40" s="131" t="s">
        <v>464</v>
      </c>
      <c r="B40" s="131"/>
      <c r="C40" s="131"/>
      <c r="D40" s="131"/>
      <c r="E40" s="131"/>
    </row>
    <row r="41" spans="1:7" ht="13.5" customHeight="1">
      <c r="A41" s="131" t="s">
        <v>465</v>
      </c>
    </row>
    <row r="42" spans="1:7" ht="12" customHeight="1"/>
    <row r="43" spans="1:7" ht="12" customHeight="1"/>
    <row r="44" spans="1:7" ht="12" customHeight="1">
      <c r="A44" s="131" t="s">
        <v>395</v>
      </c>
    </row>
  </sheetData>
  <pageMargins left="0.6" right="0.59" top="0.76" bottom="0.49" header="0.35" footer="0.4921259845"/>
  <pageSetup paperSize="9" scale="80" orientation="portrait" horizontalDpi="4294967292" verticalDpi="4294967292"/>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6147-BC65-9841-AD12-A96EF037C5AF}">
  <sheetPr>
    <pageSetUpPr fitToPage="1"/>
  </sheetPr>
  <dimension ref="A1:G52"/>
  <sheetViews>
    <sheetView topLeftCell="A25" zoomScaleNormal="100" workbookViewId="0">
      <selection activeCell="G41" sqref="G41"/>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72"/>
      <c r="B1" s="272"/>
      <c r="C1" s="272"/>
      <c r="D1" s="272"/>
      <c r="E1" s="272"/>
      <c r="F1" s="272"/>
    </row>
    <row r="2" spans="1:7" s="2" customFormat="1" ht="20.25" customHeight="1">
      <c r="A2" s="396" t="s">
        <v>1637</v>
      </c>
      <c r="B2" s="396"/>
      <c r="C2" s="272"/>
      <c r="D2" s="272"/>
      <c r="E2" s="272"/>
      <c r="F2" s="460">
        <v>2012</v>
      </c>
      <c r="G2" s="460"/>
    </row>
    <row r="3" spans="1:7" s="2" customFormat="1" ht="7.75" customHeight="1">
      <c r="A3" s="461"/>
      <c r="B3" s="461"/>
      <c r="C3" s="462"/>
      <c r="D3" s="462"/>
      <c r="E3" s="462"/>
      <c r="F3" s="462"/>
      <c r="G3" s="277"/>
    </row>
    <row r="4" spans="1:7" s="2" customFormat="1" ht="81.75" customHeight="1">
      <c r="A4" s="463" t="s">
        <v>589</v>
      </c>
      <c r="B4" s="464"/>
      <c r="C4" s="465" t="s">
        <v>689</v>
      </c>
      <c r="D4" s="466" t="s">
        <v>1638</v>
      </c>
      <c r="E4" s="465" t="s">
        <v>690</v>
      </c>
      <c r="F4" s="467" t="s">
        <v>430</v>
      </c>
    </row>
    <row r="5" spans="1:7" ht="8.25" customHeight="1">
      <c r="A5" s="468"/>
      <c r="B5" s="469"/>
      <c r="C5" s="444"/>
      <c r="D5" s="443"/>
      <c r="E5" s="444"/>
      <c r="F5" s="443"/>
    </row>
    <row r="6" spans="1:7" ht="47.25" customHeight="1" thickBot="1">
      <c r="A6" s="470" t="s">
        <v>593</v>
      </c>
      <c r="B6" s="471" t="s">
        <v>594</v>
      </c>
      <c r="C6" s="472">
        <v>1085.303183261977</v>
      </c>
      <c r="D6" s="473">
        <v>1876.6409450767849</v>
      </c>
      <c r="E6" s="472">
        <v>6666.1136667868686</v>
      </c>
      <c r="F6" s="473">
        <v>4815.298597139511</v>
      </c>
    </row>
    <row r="7" spans="1:7" ht="19.5" customHeight="1" thickBot="1">
      <c r="A7" s="174"/>
      <c r="B7" s="474"/>
      <c r="C7" s="475"/>
      <c r="D7" s="476"/>
      <c r="E7" s="475"/>
      <c r="F7" s="476"/>
    </row>
    <row r="8" spans="1:7" ht="22.5" customHeight="1" thickBot="1">
      <c r="A8" s="477" t="s">
        <v>595</v>
      </c>
      <c r="B8" s="478" t="s">
        <v>596</v>
      </c>
      <c r="C8" s="475">
        <v>944.21272680845959</v>
      </c>
      <c r="D8" s="476">
        <v>1509.5836424007909</v>
      </c>
      <c r="E8" s="475">
        <v>5019.6935313758804</v>
      </c>
      <c r="F8" s="476">
        <v>4927.5582371514047</v>
      </c>
    </row>
    <row r="9" spans="1:7" ht="20" customHeight="1" thickBot="1">
      <c r="A9" s="479" t="s">
        <v>597</v>
      </c>
      <c r="B9" s="478" t="s">
        <v>598</v>
      </c>
      <c r="C9" s="475">
        <v>874.86632133348405</v>
      </c>
      <c r="D9" s="476">
        <v>615.86868502880145</v>
      </c>
      <c r="E9" s="475">
        <v>2251.9656656250609</v>
      </c>
      <c r="F9" s="476">
        <v>1940.0247578518279</v>
      </c>
    </row>
    <row r="10" spans="1:7" ht="20" customHeight="1" thickBot="1">
      <c r="A10" s="479" t="s">
        <v>599</v>
      </c>
      <c r="B10" s="478" t="s">
        <v>600</v>
      </c>
      <c r="C10" s="475">
        <v>750.01912208582758</v>
      </c>
      <c r="D10" s="476">
        <v>425.86196597119016</v>
      </c>
      <c r="E10" s="475">
        <v>1304.1960036731459</v>
      </c>
      <c r="F10" s="476">
        <v>1229.4988482044864</v>
      </c>
    </row>
    <row r="11" spans="1:7" ht="20" customHeight="1" thickBot="1">
      <c r="A11" s="479"/>
      <c r="B11" s="478" t="s">
        <v>601</v>
      </c>
      <c r="C11" s="475">
        <v>604.98161598221589</v>
      </c>
      <c r="D11" s="476">
        <v>317.45838288998698</v>
      </c>
      <c r="E11" s="475">
        <v>819.91349313634419</v>
      </c>
      <c r="F11" s="476">
        <v>736.24432988438161</v>
      </c>
    </row>
    <row r="12" spans="1:7" ht="20" customHeight="1" thickBot="1">
      <c r="A12" s="479"/>
      <c r="B12" s="478" t="s">
        <v>602</v>
      </c>
      <c r="C12" s="475">
        <v>488.09010745401963</v>
      </c>
      <c r="D12" s="476">
        <v>325.95804593614446</v>
      </c>
      <c r="E12" s="475">
        <v>645.42234117784722</v>
      </c>
      <c r="F12" s="476">
        <v>612.7102873568864</v>
      </c>
    </row>
    <row r="13" spans="1:7" ht="20" customHeight="1" thickBot="1">
      <c r="A13" s="479"/>
      <c r="B13" s="478" t="s">
        <v>603</v>
      </c>
      <c r="C13" s="475">
        <v>391.28979742854506</v>
      </c>
      <c r="D13" s="480" t="s">
        <v>29</v>
      </c>
      <c r="E13" s="481" t="s">
        <v>29</v>
      </c>
      <c r="F13" s="476">
        <v>391.28979742854506</v>
      </c>
    </row>
    <row r="14" spans="1:7" ht="20" customHeight="1" thickBot="1">
      <c r="A14" s="482"/>
      <c r="B14" s="478" t="s">
        <v>230</v>
      </c>
      <c r="C14" s="475">
        <v>652.55028921130133</v>
      </c>
      <c r="D14" s="476">
        <v>568.92922167716904</v>
      </c>
      <c r="E14" s="475">
        <v>2841.0557653066503</v>
      </c>
      <c r="F14" s="476">
        <v>2629.0668436364158</v>
      </c>
    </row>
    <row r="15" spans="1:7" ht="18.75" customHeight="1" thickBot="1">
      <c r="A15" s="483"/>
      <c r="B15" s="484"/>
      <c r="C15" s="475"/>
      <c r="D15" s="476"/>
      <c r="E15" s="475"/>
      <c r="F15" s="476"/>
    </row>
    <row r="16" spans="1:7" ht="20" customHeight="1" thickBot="1">
      <c r="A16" s="483" t="s">
        <v>582</v>
      </c>
      <c r="B16" s="484"/>
      <c r="C16" s="475">
        <v>816.77173913043475</v>
      </c>
      <c r="D16" s="476">
        <v>938.05960369463946</v>
      </c>
      <c r="E16" s="475">
        <v>1431.8026943073353</v>
      </c>
      <c r="F16" s="476">
        <v>1416.5078899082569</v>
      </c>
    </row>
    <row r="17" spans="1:6" ht="20.25" customHeight="1" thickBot="1">
      <c r="A17" s="483"/>
      <c r="B17" s="484"/>
      <c r="C17" s="475"/>
      <c r="D17" s="476"/>
      <c r="E17" s="475"/>
      <c r="F17" s="476"/>
    </row>
    <row r="18" spans="1:6" ht="58.5" customHeight="1" thickBot="1">
      <c r="A18" s="477" t="s">
        <v>693</v>
      </c>
      <c r="B18" s="478" t="s">
        <v>594</v>
      </c>
      <c r="C18" s="475">
        <v>891.94882729418441</v>
      </c>
      <c r="D18" s="476">
        <v>1531.3639161315932</v>
      </c>
      <c r="E18" s="475">
        <v>4514.4263305354798</v>
      </c>
      <c r="F18" s="476">
        <v>2892.3274347887063</v>
      </c>
    </row>
    <row r="19" spans="1:6" ht="20" customHeight="1" thickBot="1">
      <c r="A19" s="322"/>
      <c r="B19" s="478" t="s">
        <v>596</v>
      </c>
      <c r="C19" s="475">
        <v>998.31668815208241</v>
      </c>
      <c r="D19" s="476">
        <v>1173.2412958320133</v>
      </c>
      <c r="E19" s="475">
        <v>2943.7732652474378</v>
      </c>
      <c r="F19" s="476">
        <v>2799.1885723484024</v>
      </c>
    </row>
    <row r="20" spans="1:6" ht="20" customHeight="1" thickBot="1">
      <c r="A20" s="322"/>
      <c r="B20" s="478" t="s">
        <v>598</v>
      </c>
      <c r="C20" s="475">
        <v>649.12899319765665</v>
      </c>
      <c r="D20" s="476">
        <v>485.89006296412384</v>
      </c>
      <c r="E20" s="475">
        <v>1228.5914366789525</v>
      </c>
      <c r="F20" s="476">
        <v>1079.8587515309846</v>
      </c>
    </row>
    <row r="21" spans="1:6" ht="20" customHeight="1" thickBot="1">
      <c r="A21" s="322"/>
      <c r="B21" s="478" t="s">
        <v>600</v>
      </c>
      <c r="C21" s="475">
        <v>510.69821641639345</v>
      </c>
      <c r="D21" s="476">
        <v>301.58251757852759</v>
      </c>
      <c r="E21" s="475">
        <v>763.74596988214671</v>
      </c>
      <c r="F21" s="476">
        <v>693.98657565951908</v>
      </c>
    </row>
    <row r="22" spans="1:6" ht="20" customHeight="1" thickBot="1">
      <c r="A22" s="322"/>
      <c r="B22" s="478" t="s">
        <v>601</v>
      </c>
      <c r="C22" s="475">
        <v>436.89119988773234</v>
      </c>
      <c r="D22" s="476">
        <v>204.47098805149506</v>
      </c>
      <c r="E22" s="475">
        <v>519.67972555382164</v>
      </c>
      <c r="F22" s="476">
        <v>473.16670622772591</v>
      </c>
    </row>
    <row r="23" spans="1:6" ht="20" customHeight="1" thickBot="1">
      <c r="A23" s="322"/>
      <c r="B23" s="478" t="s">
        <v>602</v>
      </c>
      <c r="C23" s="475">
        <v>326.10494294967503</v>
      </c>
      <c r="D23" s="476">
        <v>173.38503073190014</v>
      </c>
      <c r="E23" s="475">
        <v>411.43433906791506</v>
      </c>
      <c r="F23" s="476">
        <v>383.61436350335129</v>
      </c>
    </row>
    <row r="24" spans="1:6" ht="20" customHeight="1" thickBot="1">
      <c r="A24" s="322"/>
      <c r="B24" s="478" t="s">
        <v>603</v>
      </c>
      <c r="C24" s="475">
        <v>269.10732107462604</v>
      </c>
      <c r="D24" s="480" t="s">
        <v>29</v>
      </c>
      <c r="E24" s="481" t="s">
        <v>29</v>
      </c>
      <c r="F24" s="476">
        <v>269.10732107462604</v>
      </c>
    </row>
    <row r="25" spans="1:6" ht="20" customHeight="1" thickBot="1">
      <c r="A25" s="322"/>
      <c r="B25" s="478" t="s">
        <v>605</v>
      </c>
      <c r="C25" s="475">
        <v>854.11846966604094</v>
      </c>
      <c r="D25" s="476">
        <v>844.93254290555001</v>
      </c>
      <c r="E25" s="475">
        <v>2404.08515933635</v>
      </c>
      <c r="F25" s="476">
        <v>1939.9618307915507</v>
      </c>
    </row>
    <row r="26" spans="1:6" ht="39.75" customHeight="1" thickBot="1">
      <c r="A26" s="485"/>
      <c r="B26" s="486" t="s">
        <v>606</v>
      </c>
      <c r="C26" s="487">
        <v>897.2880090577479</v>
      </c>
      <c r="D26" s="488">
        <v>846.46066843766312</v>
      </c>
      <c r="E26" s="487">
        <v>1995.3648100652781</v>
      </c>
      <c r="F26" s="488">
        <v>1655.8554585697475</v>
      </c>
    </row>
    <row r="27" spans="1:6" ht="45" customHeight="1" thickBot="1">
      <c r="A27" s="485"/>
      <c r="B27" s="489" t="s">
        <v>607</v>
      </c>
      <c r="C27" s="487">
        <v>833.7400404033524</v>
      </c>
      <c r="D27" s="488">
        <v>819.43452132257607</v>
      </c>
      <c r="E27" s="487">
        <v>2482.2946557902542</v>
      </c>
      <c r="F27" s="488">
        <v>1998.4343338130254</v>
      </c>
    </row>
    <row r="28" spans="1:6" ht="45" customHeight="1" thickBot="1">
      <c r="A28" s="490"/>
      <c r="B28" s="489" t="s">
        <v>608</v>
      </c>
      <c r="C28" s="487">
        <v>455.45969054858233</v>
      </c>
      <c r="D28" s="488">
        <v>402.79540563260997</v>
      </c>
      <c r="E28" s="487">
        <v>1186.227888150908</v>
      </c>
      <c r="F28" s="488">
        <v>1070.7315587898327</v>
      </c>
    </row>
    <row r="29" spans="1:6" ht="15.75" customHeight="1" thickBot="1">
      <c r="A29" s="491"/>
      <c r="B29" s="492"/>
      <c r="C29" s="475"/>
      <c r="D29" s="476"/>
      <c r="E29" s="475"/>
      <c r="F29" s="476"/>
    </row>
    <row r="30" spans="1:6" ht="27.75" customHeight="1" thickBot="1">
      <c r="A30" s="493" t="s">
        <v>609</v>
      </c>
      <c r="B30" s="494"/>
      <c r="C30" s="495">
        <v>931.31380757524903</v>
      </c>
      <c r="D30" s="496">
        <v>1025.5098495111149</v>
      </c>
      <c r="E30" s="495">
        <v>3480.9352452979415</v>
      </c>
      <c r="F30" s="496">
        <v>2790.7698661682102</v>
      </c>
    </row>
    <row r="31" spans="1:6" ht="15.75" customHeight="1">
      <c r="A31" s="359" t="s">
        <v>396</v>
      </c>
      <c r="B31" s="359"/>
      <c r="C31" s="359"/>
      <c r="D31" s="359"/>
      <c r="E31" s="359"/>
      <c r="F31" s="359"/>
    </row>
    <row r="32" spans="1:6" ht="13.5" customHeight="1">
      <c r="A32" s="336"/>
      <c r="B32" s="336"/>
      <c r="C32" s="359"/>
      <c r="D32" s="359"/>
      <c r="E32" s="359"/>
      <c r="F32" s="359"/>
    </row>
    <row r="33" spans="1:6" ht="13.5" customHeight="1">
      <c r="A33" s="359" t="s">
        <v>1639</v>
      </c>
      <c r="B33" s="359"/>
      <c r="C33" s="359"/>
      <c r="D33" s="359"/>
      <c r="E33" s="359"/>
      <c r="F33" s="359"/>
    </row>
    <row r="34" spans="1:6" ht="16.5" customHeight="1">
      <c r="A34" s="359"/>
      <c r="B34" s="359"/>
      <c r="C34" s="359"/>
      <c r="D34" s="359"/>
      <c r="E34" s="359"/>
      <c r="F34" s="359"/>
    </row>
    <row r="35" spans="1:6" ht="12" customHeight="1">
      <c r="A35" s="359" t="s">
        <v>611</v>
      </c>
      <c r="B35" s="359"/>
      <c r="C35" s="60"/>
      <c r="D35" s="60"/>
      <c r="E35" s="60"/>
      <c r="F35" s="60"/>
    </row>
    <row r="36" spans="1:6" ht="12" customHeight="1">
      <c r="A36" s="131" t="s">
        <v>612</v>
      </c>
      <c r="B36" s="131"/>
    </row>
    <row r="37" spans="1:6" ht="12" customHeight="1">
      <c r="A37" s="131" t="s">
        <v>1640</v>
      </c>
      <c r="B37" s="131"/>
    </row>
    <row r="38" spans="1:6" ht="12" customHeight="1">
      <c r="A38" s="131" t="s">
        <v>614</v>
      </c>
      <c r="B38" s="131"/>
    </row>
    <row r="39" spans="1:6" ht="12" customHeight="1">
      <c r="A39" s="131" t="s">
        <v>615</v>
      </c>
      <c r="B39" s="131"/>
    </row>
    <row r="40" spans="1:6" ht="12" customHeight="1">
      <c r="A40" s="131" t="s">
        <v>616</v>
      </c>
      <c r="B40" s="131"/>
    </row>
    <row r="41" spans="1:6" ht="12" customHeight="1">
      <c r="A41" s="3" t="s">
        <v>617</v>
      </c>
    </row>
    <row r="42" spans="1:6" ht="12" customHeight="1">
      <c r="A42" s="131" t="s">
        <v>1641</v>
      </c>
    </row>
    <row r="43" spans="1:6" ht="12" customHeight="1"/>
    <row r="44" spans="1:6" ht="12" customHeight="1"/>
    <row r="45" spans="1:6" ht="12" customHeight="1">
      <c r="A45" s="359" t="s">
        <v>395</v>
      </c>
      <c r="B45" s="359"/>
      <c r="C45" s="131"/>
      <c r="D45" s="131"/>
      <c r="E45" s="131"/>
      <c r="F45" s="131"/>
    </row>
    <row r="50" spans="1:7">
      <c r="A50" s="48"/>
      <c r="B50" s="48"/>
      <c r="C50" s="497"/>
      <c r="D50" s="498"/>
      <c r="E50" s="497"/>
      <c r="F50" s="498"/>
      <c r="G50" s="498"/>
    </row>
    <row r="51" spans="1:7">
      <c r="A51" s="499"/>
      <c r="B51" s="499"/>
      <c r="C51" s="499"/>
      <c r="D51" s="500"/>
      <c r="E51" s="499"/>
      <c r="F51" s="501"/>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B69D-5F37-2C4D-BAF7-0FAA89121E74}">
  <sheetPr>
    <pageSetUpPr fitToPage="1"/>
  </sheetPr>
  <dimension ref="A1:L50"/>
  <sheetViews>
    <sheetView zoomScaleNormal="100" workbookViewId="0">
      <selection activeCell="K13" sqref="K13"/>
    </sheetView>
  </sheetViews>
  <sheetFormatPr baseColWidth="10" defaultColWidth="11.3984375" defaultRowHeight="13"/>
  <cols>
    <col min="1" max="1" width="21.19921875" style="3" customWidth="1"/>
    <col min="2" max="2" width="14.796875" style="338" customWidth="1"/>
    <col min="3" max="3" width="14.796875" style="181" customWidth="1"/>
    <col min="4" max="4" width="16" style="338" customWidth="1"/>
    <col min="5" max="5" width="15.796875" style="181" customWidth="1"/>
    <col min="6" max="8" width="16" style="338" customWidth="1"/>
    <col min="9" max="9" width="13.59765625" style="3" customWidth="1"/>
    <col min="10" max="10" width="8" style="3" customWidth="1"/>
    <col min="11" max="11" width="7.796875" style="3" customWidth="1"/>
    <col min="12" max="12" width="9" style="3" customWidth="1"/>
    <col min="13" max="16384" width="11.3984375" style="3"/>
  </cols>
  <sheetData>
    <row r="1" spans="1:12" s="2" customFormat="1" ht="18.75" customHeight="1">
      <c r="A1" s="523"/>
      <c r="B1" s="524"/>
      <c r="C1" s="161"/>
      <c r="D1" s="326"/>
      <c r="E1" s="161"/>
      <c r="F1" s="326"/>
      <c r="G1" s="326"/>
      <c r="H1" s="326"/>
    </row>
    <row r="2" spans="1:12" s="2" customFormat="1" ht="25.25" customHeight="1">
      <c r="A2" s="525" t="s">
        <v>1642</v>
      </c>
      <c r="B2" s="328"/>
      <c r="C2" s="328"/>
      <c r="D2" s="328"/>
      <c r="E2" s="328"/>
      <c r="F2" s="460"/>
      <c r="G2" s="460"/>
      <c r="H2" s="460">
        <v>2012</v>
      </c>
    </row>
    <row r="3" spans="1:12" ht="27" customHeight="1">
      <c r="A3" s="109" t="s">
        <v>637</v>
      </c>
      <c r="B3" s="2057" t="s">
        <v>638</v>
      </c>
      <c r="C3" s="2058"/>
      <c r="D3" s="2059" t="s">
        <v>639</v>
      </c>
      <c r="E3" s="2058"/>
      <c r="F3" s="2057" t="s">
        <v>430</v>
      </c>
      <c r="G3" s="2058"/>
      <c r="H3" s="2058"/>
    </row>
    <row r="4" spans="1:12" ht="15" customHeight="1">
      <c r="A4" s="156"/>
      <c r="B4" s="348" t="s">
        <v>640</v>
      </c>
      <c r="C4" s="526" t="s">
        <v>641</v>
      </c>
      <c r="D4" s="348" t="s">
        <v>640</v>
      </c>
      <c r="E4" s="526" t="s">
        <v>641</v>
      </c>
      <c r="F4" s="348" t="s">
        <v>640</v>
      </c>
      <c r="G4" s="526" t="s">
        <v>579</v>
      </c>
      <c r="H4" s="348" t="s">
        <v>641</v>
      </c>
    </row>
    <row r="5" spans="1:12" ht="15" customHeight="1">
      <c r="A5" s="156"/>
      <c r="B5" s="348"/>
      <c r="C5" s="526" t="s">
        <v>642</v>
      </c>
      <c r="D5" s="348"/>
      <c r="E5" s="526" t="s">
        <v>642</v>
      </c>
      <c r="F5" s="348"/>
      <c r="G5" s="526"/>
      <c r="H5" s="348" t="s">
        <v>642</v>
      </c>
    </row>
    <row r="6" spans="1:12" ht="19.5" customHeight="1">
      <c r="A6" s="157"/>
      <c r="B6" s="330"/>
      <c r="C6" s="527"/>
      <c r="D6" s="330"/>
      <c r="E6" s="527"/>
      <c r="F6" s="330"/>
      <c r="G6" s="528"/>
      <c r="H6" s="330"/>
    </row>
    <row r="7" spans="1:12" ht="30" customHeight="1" thickBot="1">
      <c r="A7" s="302" t="s">
        <v>643</v>
      </c>
      <c r="B7" s="121">
        <v>264.42521152</v>
      </c>
      <c r="C7" s="529">
        <v>1151.2413718789433</v>
      </c>
      <c r="D7" s="121">
        <v>216.82122132999999</v>
      </c>
      <c r="E7" s="529">
        <v>994.65006483859793</v>
      </c>
      <c r="F7" s="121">
        <v>481.24643291000001</v>
      </c>
      <c r="G7" s="530">
        <v>2.1681682562288203E-2</v>
      </c>
      <c r="H7" s="132">
        <v>1074.9919325529538</v>
      </c>
      <c r="J7" s="531"/>
      <c r="K7" s="531"/>
      <c r="L7" s="531"/>
    </row>
    <row r="8" spans="1:12" ht="20" customHeight="1" thickBot="1">
      <c r="A8" s="307" t="s">
        <v>644</v>
      </c>
      <c r="B8" s="121">
        <v>166.99116172000001</v>
      </c>
      <c r="C8" s="529">
        <v>840.08427104947577</v>
      </c>
      <c r="D8" s="121">
        <v>120.77242258</v>
      </c>
      <c r="E8" s="529">
        <v>639.71026044589303</v>
      </c>
      <c r="F8" s="121">
        <v>287.76358427999998</v>
      </c>
      <c r="G8" s="530">
        <v>1.2964664796823639E-2</v>
      </c>
      <c r="H8" s="132">
        <v>742.47881701499978</v>
      </c>
      <c r="J8" s="531"/>
      <c r="K8" s="531"/>
      <c r="L8" s="531"/>
    </row>
    <row r="9" spans="1:12" ht="20" customHeight="1" thickBot="1">
      <c r="A9" s="307" t="s">
        <v>645</v>
      </c>
      <c r="B9" s="121">
        <v>179.02756565000001</v>
      </c>
      <c r="C9" s="529">
        <v>847.23294750732998</v>
      </c>
      <c r="D9" s="121">
        <v>165.29455934000001</v>
      </c>
      <c r="E9" s="529">
        <v>825.44870376567314</v>
      </c>
      <c r="F9" s="121">
        <v>344.32212496</v>
      </c>
      <c r="G9" s="530">
        <v>1.5512806957161184E-2</v>
      </c>
      <c r="H9" s="132">
        <v>836.6334859660044</v>
      </c>
      <c r="J9" s="531"/>
      <c r="K9" s="531"/>
      <c r="L9" s="531"/>
    </row>
    <row r="10" spans="1:12" ht="20" customHeight="1" thickBot="1">
      <c r="A10" s="307" t="s">
        <v>646</v>
      </c>
      <c r="B10" s="121">
        <v>125.41321788</v>
      </c>
      <c r="C10" s="529">
        <v>932.30920381379838</v>
      </c>
      <c r="D10" s="121">
        <v>166.50404189</v>
      </c>
      <c r="E10" s="529">
        <v>1305.220904960981</v>
      </c>
      <c r="F10" s="121">
        <v>291.91725979</v>
      </c>
      <c r="G10" s="530">
        <v>1.3151801090655481E-2</v>
      </c>
      <c r="H10" s="132">
        <v>1113.8198587413474</v>
      </c>
      <c r="J10" s="531"/>
      <c r="K10" s="531"/>
      <c r="L10" s="531"/>
    </row>
    <row r="11" spans="1:12" ht="20" customHeight="1" thickBot="1">
      <c r="A11" s="532" t="s">
        <v>647</v>
      </c>
      <c r="B11" s="533">
        <v>735.85715675000006</v>
      </c>
      <c r="C11" s="534">
        <v>950.35936724414023</v>
      </c>
      <c r="D11" s="533">
        <v>669.39224517999992</v>
      </c>
      <c r="E11" s="534">
        <v>911.23905400202125</v>
      </c>
      <c r="F11" s="533">
        <v>1405.2494019400001</v>
      </c>
      <c r="G11" s="535">
        <v>6.3310955406928507E-2</v>
      </c>
      <c r="H11" s="536">
        <v>931.31379523088663</v>
      </c>
      <c r="J11" s="531"/>
      <c r="K11" s="531"/>
      <c r="L11" s="531"/>
    </row>
    <row r="12" spans="1:12" ht="20" customHeight="1" thickBot="1">
      <c r="A12" s="307" t="s">
        <v>648</v>
      </c>
      <c r="B12" s="121">
        <v>63.308881159999999</v>
      </c>
      <c r="C12" s="529">
        <v>684.05117108691172</v>
      </c>
      <c r="D12" s="121">
        <v>94.832190690000004</v>
      </c>
      <c r="E12" s="529">
        <v>1061.2301042416552</v>
      </c>
      <c r="F12" s="121">
        <v>158.14107185</v>
      </c>
      <c r="G12" s="530">
        <v>7.1247583055913033E-3</v>
      </c>
      <c r="H12" s="132">
        <v>869.33439500915063</v>
      </c>
      <c r="J12" s="531"/>
      <c r="K12" s="531"/>
      <c r="L12" s="531"/>
    </row>
    <row r="13" spans="1:12" ht="20" customHeight="1" thickBot="1">
      <c r="A13" s="307" t="s">
        <v>649</v>
      </c>
      <c r="B13" s="121">
        <v>191.76226944000001</v>
      </c>
      <c r="C13" s="529">
        <v>775.65073414133371</v>
      </c>
      <c r="D13" s="121">
        <v>335.89380271999994</v>
      </c>
      <c r="E13" s="529">
        <v>1401.8976289504587</v>
      </c>
      <c r="F13" s="121">
        <v>527.65607220000004</v>
      </c>
      <c r="G13" s="530">
        <v>2.3772584433147909E-2</v>
      </c>
      <c r="H13" s="132">
        <v>1083.8678347614075</v>
      </c>
      <c r="J13" s="531"/>
      <c r="K13" s="531"/>
      <c r="L13" s="531"/>
    </row>
    <row r="14" spans="1:12" ht="20" customHeight="1" thickBot="1">
      <c r="A14" s="532" t="s">
        <v>650</v>
      </c>
      <c r="B14" s="533">
        <v>255.07115063000001</v>
      </c>
      <c r="C14" s="534">
        <v>750.70053381992625</v>
      </c>
      <c r="D14" s="533">
        <v>430.72599345999993</v>
      </c>
      <c r="E14" s="534">
        <v>1309.3568602283128</v>
      </c>
      <c r="F14" s="533">
        <v>685.79714402000002</v>
      </c>
      <c r="G14" s="535">
        <v>3.0897342737387614E-2</v>
      </c>
      <c r="H14" s="536">
        <v>1025.5103169040453</v>
      </c>
      <c r="J14" s="531"/>
      <c r="K14" s="531"/>
      <c r="L14" s="531"/>
    </row>
    <row r="15" spans="1:12" ht="20" customHeight="1" thickBot="1">
      <c r="A15" s="307" t="s">
        <v>651</v>
      </c>
      <c r="B15" s="121">
        <v>206.94000985000005</v>
      </c>
      <c r="C15" s="529">
        <v>767.92464145149711</v>
      </c>
      <c r="D15" s="121">
        <v>505.21848815999994</v>
      </c>
      <c r="E15" s="529">
        <v>1924.1730944404208</v>
      </c>
      <c r="F15" s="121">
        <v>712.15849802999992</v>
      </c>
      <c r="G15" s="530">
        <v>3.2085005586337624E-2</v>
      </c>
      <c r="H15" s="132">
        <v>1338.5343454623542</v>
      </c>
      <c r="J15" s="531"/>
      <c r="K15" s="531"/>
      <c r="L15" s="531"/>
    </row>
    <row r="16" spans="1:12" ht="20" customHeight="1" thickBot="1">
      <c r="A16" s="307" t="s">
        <v>652</v>
      </c>
      <c r="B16" s="121">
        <v>263.94906374000004</v>
      </c>
      <c r="C16" s="529">
        <v>948.13148731950923</v>
      </c>
      <c r="D16" s="121">
        <v>628.78290971999991</v>
      </c>
      <c r="E16" s="529">
        <v>2306.6738338379314</v>
      </c>
      <c r="F16" s="121">
        <v>892.73197344999994</v>
      </c>
      <c r="G16" s="530">
        <v>4.0220415026261266E-2</v>
      </c>
      <c r="H16" s="132">
        <v>1620.2572369790257</v>
      </c>
      <c r="J16" s="531"/>
      <c r="K16" s="531"/>
      <c r="L16" s="531"/>
    </row>
    <row r="17" spans="1:12" ht="20" customHeight="1" thickBot="1">
      <c r="A17" s="307" t="s">
        <v>653</v>
      </c>
      <c r="B17" s="121">
        <v>323.28361856999999</v>
      </c>
      <c r="C17" s="529">
        <v>1156.2663065595059</v>
      </c>
      <c r="D17" s="121">
        <v>605.35419796000008</v>
      </c>
      <c r="E17" s="529">
        <v>2190.8730600629469</v>
      </c>
      <c r="F17" s="121">
        <v>928.6378165299999</v>
      </c>
      <c r="G17" s="530">
        <v>4.1838087467144541E-2</v>
      </c>
      <c r="H17" s="132">
        <v>1670.5124422474782</v>
      </c>
      <c r="J17" s="531"/>
      <c r="K17" s="531"/>
      <c r="L17" s="531"/>
    </row>
    <row r="18" spans="1:12" ht="20" customHeight="1" thickBot="1">
      <c r="A18" s="307" t="s">
        <v>654</v>
      </c>
      <c r="B18" s="121">
        <v>444.47563158999998</v>
      </c>
      <c r="C18" s="529">
        <v>1415.7680344415203</v>
      </c>
      <c r="D18" s="121">
        <v>653.91800235999995</v>
      </c>
      <c r="E18" s="529">
        <v>2103.0685635507693</v>
      </c>
      <c r="F18" s="121">
        <v>1098.39363402</v>
      </c>
      <c r="G18" s="530">
        <v>4.9486127008267204E-2</v>
      </c>
      <c r="H18" s="132">
        <v>1757.7620736502097</v>
      </c>
      <c r="J18" s="531"/>
      <c r="K18" s="531"/>
      <c r="L18" s="531"/>
    </row>
    <row r="19" spans="1:12" ht="20" customHeight="1" thickBot="1">
      <c r="A19" s="307" t="s">
        <v>655</v>
      </c>
      <c r="B19" s="121">
        <v>595.59622196999999</v>
      </c>
      <c r="C19" s="529">
        <v>1777.9519248123363</v>
      </c>
      <c r="D19" s="121">
        <v>789.73741855999992</v>
      </c>
      <c r="E19" s="529">
        <v>2429.1971745625983</v>
      </c>
      <c r="F19" s="121">
        <v>1385.3336405900002</v>
      </c>
      <c r="G19" s="530">
        <v>6.2413687009600483E-2</v>
      </c>
      <c r="H19" s="132">
        <v>2098.6967377776268</v>
      </c>
      <c r="J19" s="531"/>
      <c r="K19" s="531"/>
      <c r="L19" s="531"/>
    </row>
    <row r="20" spans="1:12" ht="20" customHeight="1" thickBot="1">
      <c r="A20" s="307" t="s">
        <v>656</v>
      </c>
      <c r="B20" s="121">
        <v>669.06536540000002</v>
      </c>
      <c r="C20" s="529">
        <v>2287.8117925552028</v>
      </c>
      <c r="D20" s="121">
        <v>810.85903980000001</v>
      </c>
      <c r="E20" s="529">
        <v>2833.3132700347537</v>
      </c>
      <c r="F20" s="121">
        <v>1479.9244052099998</v>
      </c>
      <c r="G20" s="530">
        <v>6.6675301832205311E-2</v>
      </c>
      <c r="H20" s="132">
        <v>2557.6116859963431</v>
      </c>
      <c r="J20" s="531"/>
      <c r="K20" s="531"/>
      <c r="L20" s="531"/>
    </row>
    <row r="21" spans="1:12" ht="20" customHeight="1" thickBot="1">
      <c r="A21" s="307" t="s">
        <v>657</v>
      </c>
      <c r="B21" s="121">
        <v>761.68571038000016</v>
      </c>
      <c r="C21" s="529">
        <v>3068.7347449455679</v>
      </c>
      <c r="D21" s="121">
        <v>820.59517497000002</v>
      </c>
      <c r="E21" s="529">
        <v>3327.8700207678803</v>
      </c>
      <c r="F21" s="121">
        <v>1582.2808853599997</v>
      </c>
      <c r="G21" s="530">
        <v>7.1286786840802738E-2</v>
      </c>
      <c r="H21" s="132">
        <v>3197.87641577164</v>
      </c>
      <c r="J21" s="531"/>
      <c r="K21" s="531"/>
      <c r="L21" s="531"/>
    </row>
    <row r="22" spans="1:12" ht="20" customHeight="1" thickBot="1">
      <c r="A22" s="307" t="s">
        <v>658</v>
      </c>
      <c r="B22" s="121">
        <v>903.69874985000001</v>
      </c>
      <c r="C22" s="529">
        <v>4066.3369999111769</v>
      </c>
      <c r="D22" s="121">
        <v>912.52127458999996</v>
      </c>
      <c r="E22" s="529">
        <v>3986.3179416121347</v>
      </c>
      <c r="F22" s="121">
        <v>1816.2200244800001</v>
      </c>
      <c r="G22" s="530">
        <v>8.1826489177138598E-2</v>
      </c>
      <c r="H22" s="132">
        <v>4025.7360202693421</v>
      </c>
      <c r="J22" s="531"/>
      <c r="K22" s="531"/>
      <c r="L22" s="531"/>
    </row>
    <row r="23" spans="1:12" ht="20" customHeight="1" thickBot="1">
      <c r="A23" s="307" t="s">
        <v>659</v>
      </c>
      <c r="B23" s="121">
        <v>1024.3810118900001</v>
      </c>
      <c r="C23" s="529">
        <v>5236.6497431238695</v>
      </c>
      <c r="D23" s="121">
        <v>1050.6027774300001</v>
      </c>
      <c r="E23" s="529">
        <v>5017.1693012227706</v>
      </c>
      <c r="F23" s="121">
        <v>2074.9837893199997</v>
      </c>
      <c r="G23" s="530">
        <v>9.3484619864899338E-2</v>
      </c>
      <c r="H23" s="132">
        <v>5123.1746463142445</v>
      </c>
      <c r="J23" s="531"/>
      <c r="K23" s="531"/>
      <c r="L23" s="531"/>
    </row>
    <row r="24" spans="1:12" ht="20" customHeight="1" thickBot="1">
      <c r="A24" s="307" t="s">
        <v>660</v>
      </c>
      <c r="B24" s="121">
        <v>915.27004769000007</v>
      </c>
      <c r="C24" s="529">
        <v>6497.5468362591591</v>
      </c>
      <c r="D24" s="121">
        <v>1017.9349699099999</v>
      </c>
      <c r="E24" s="529">
        <v>6133.9715436040851</v>
      </c>
      <c r="F24" s="121">
        <v>1933.2050175800002</v>
      </c>
      <c r="G24" s="530">
        <v>8.7097035224843064E-2</v>
      </c>
      <c r="H24" s="132">
        <v>6300.8952501372651</v>
      </c>
      <c r="J24" s="531"/>
      <c r="K24" s="531"/>
      <c r="L24" s="531"/>
    </row>
    <row r="25" spans="1:12" ht="20" customHeight="1" thickBot="1">
      <c r="A25" s="307" t="s">
        <v>661</v>
      </c>
      <c r="B25" s="121">
        <v>889.29086553000002</v>
      </c>
      <c r="C25" s="529">
        <v>8119.6062843458167</v>
      </c>
      <c r="D25" s="121">
        <v>1119.1858121099999</v>
      </c>
      <c r="E25" s="529">
        <v>7754.6482722165474</v>
      </c>
      <c r="F25" s="121">
        <v>2008.4766776500003</v>
      </c>
      <c r="G25" s="530">
        <v>9.0488262936819511E-2</v>
      </c>
      <c r="H25" s="132">
        <v>7912.1114645285516</v>
      </c>
      <c r="J25" s="531"/>
      <c r="K25" s="531"/>
      <c r="L25" s="531"/>
    </row>
    <row r="26" spans="1:12" ht="20" customHeight="1" thickBot="1">
      <c r="A26" s="307" t="s">
        <v>662</v>
      </c>
      <c r="B26" s="121">
        <v>706.39687842000001</v>
      </c>
      <c r="C26" s="529">
        <v>9593.2047437140391</v>
      </c>
      <c r="D26" s="121">
        <v>1153.8020969000002</v>
      </c>
      <c r="E26" s="529">
        <v>9836.0331387953993</v>
      </c>
      <c r="F26" s="121">
        <v>1860.1989752999998</v>
      </c>
      <c r="G26" s="530">
        <v>8.3807880800835136E-2</v>
      </c>
      <c r="H26" s="132">
        <v>9742.3848247267942</v>
      </c>
      <c r="J26" s="531"/>
      <c r="K26" s="531"/>
      <c r="L26" s="531"/>
    </row>
    <row r="27" spans="1:12" ht="20" customHeight="1" thickBot="1">
      <c r="A27" s="307" t="s">
        <v>663</v>
      </c>
      <c r="B27" s="121">
        <v>432.02538518</v>
      </c>
      <c r="C27" s="529">
        <v>11295.014594549797</v>
      </c>
      <c r="D27" s="121">
        <v>992.84729118000007</v>
      </c>
      <c r="E27" s="529">
        <v>12793.337410908018</v>
      </c>
      <c r="F27" s="121">
        <v>1424.87267634</v>
      </c>
      <c r="G27" s="530">
        <v>6.4195046336809836E-2</v>
      </c>
      <c r="H27" s="132">
        <v>12298.673664503633</v>
      </c>
      <c r="J27" s="531"/>
      <c r="K27" s="531"/>
      <c r="L27" s="531"/>
    </row>
    <row r="28" spans="1:12" ht="20" customHeight="1" thickBot="1">
      <c r="A28" s="307" t="s">
        <v>664</v>
      </c>
      <c r="B28" s="121">
        <v>168.78688325000002</v>
      </c>
      <c r="C28" s="529">
        <v>13713.123475637005</v>
      </c>
      <c r="D28" s="121">
        <v>525.52469587999997</v>
      </c>
      <c r="E28" s="529">
        <v>16468.934745970393</v>
      </c>
      <c r="F28" s="121">
        <v>694.31157911000003</v>
      </c>
      <c r="G28" s="530">
        <v>3.1280945121102556E-2</v>
      </c>
      <c r="H28" s="132">
        <v>15701.827630368454</v>
      </c>
      <c r="J28" s="531"/>
      <c r="K28" s="531"/>
      <c r="L28" s="531"/>
    </row>
    <row r="29" spans="1:12" ht="20" customHeight="1" thickBot="1">
      <c r="A29" s="307" t="s">
        <v>665</v>
      </c>
      <c r="B29" s="121">
        <v>35.400598479999999</v>
      </c>
      <c r="C29" s="529">
        <v>16741.82950106408</v>
      </c>
      <c r="D29" s="121">
        <v>151.92359046000001</v>
      </c>
      <c r="E29" s="529">
        <v>20678.82300913865</v>
      </c>
      <c r="F29" s="121">
        <v>187.32418898</v>
      </c>
      <c r="G29" s="530">
        <v>8.4395505586261771E-3</v>
      </c>
      <c r="H29" s="132">
        <v>19798.969590891749</v>
      </c>
      <c r="J29" s="531"/>
      <c r="K29" s="531"/>
      <c r="L29" s="531"/>
    </row>
    <row r="30" spans="1:12" ht="20" customHeight="1" thickBot="1">
      <c r="A30" s="307" t="s">
        <v>666</v>
      </c>
      <c r="B30" s="121">
        <v>2.9916720100000003</v>
      </c>
      <c r="C30" s="529">
        <v>17694.872005678124</v>
      </c>
      <c r="D30" s="121">
        <v>22.899087469999998</v>
      </c>
      <c r="E30" s="529">
        <v>24692.770304951689</v>
      </c>
      <c r="F30" s="121">
        <v>25.890759500000001</v>
      </c>
      <c r="G30" s="530">
        <v>1.1664610693967036E-3</v>
      </c>
      <c r="H30" s="132">
        <v>23613.475885593372</v>
      </c>
      <c r="J30" s="531"/>
      <c r="K30" s="531"/>
      <c r="L30" s="531"/>
    </row>
    <row r="31" spans="1:12" ht="20" customHeight="1" thickBot="1">
      <c r="A31" s="532" t="s">
        <v>667</v>
      </c>
      <c r="B31" s="533">
        <v>8343.2377137600015</v>
      </c>
      <c r="C31" s="534">
        <v>2967.2497807603472</v>
      </c>
      <c r="D31" s="533">
        <v>11761.70682756</v>
      </c>
      <c r="E31" s="534">
        <v>3968.2461367872475</v>
      </c>
      <c r="F31" s="533">
        <v>20104.944541309997</v>
      </c>
      <c r="G31" s="535">
        <v>0.90579170185478253</v>
      </c>
      <c r="H31" s="536">
        <v>3480.93527805341</v>
      </c>
      <c r="J31" s="531"/>
      <c r="K31" s="531"/>
      <c r="L31" s="531"/>
    </row>
    <row r="32" spans="1:12" ht="0.5" customHeight="1" thickBot="1">
      <c r="A32" s="307" t="s">
        <v>461</v>
      </c>
      <c r="B32" s="121">
        <v>0</v>
      </c>
      <c r="C32" s="529" t="s">
        <v>29</v>
      </c>
      <c r="D32" s="121">
        <v>0</v>
      </c>
      <c r="E32" s="529" t="s">
        <v>29</v>
      </c>
      <c r="F32" s="121" t="s">
        <v>29</v>
      </c>
      <c r="G32" s="530" t="s">
        <v>29</v>
      </c>
      <c r="H32" s="132" t="s">
        <v>29</v>
      </c>
      <c r="J32" s="531"/>
      <c r="K32" s="531"/>
      <c r="L32" s="531"/>
    </row>
    <row r="33" spans="1:12" s="138" customFormat="1" ht="24.75" customHeight="1" thickBot="1">
      <c r="A33" s="322" t="s">
        <v>230</v>
      </c>
      <c r="B33" s="537">
        <v>9334.1660211500002</v>
      </c>
      <c r="C33" s="192">
        <v>2377.6191524912028</v>
      </c>
      <c r="D33" s="537">
        <v>12861.82506612</v>
      </c>
      <c r="E33" s="192">
        <v>3193.49171790848</v>
      </c>
      <c r="F33" s="537">
        <v>22195.991087290004</v>
      </c>
      <c r="G33" s="538">
        <v>1</v>
      </c>
      <c r="H33" s="353">
        <v>2790.7699854149273</v>
      </c>
      <c r="J33" s="539"/>
      <c r="K33" s="539"/>
      <c r="L33" s="539"/>
    </row>
    <row r="34" spans="1:12" ht="20" customHeight="1">
      <c r="A34" s="130" t="s">
        <v>396</v>
      </c>
      <c r="B34" s="333"/>
      <c r="C34" s="194"/>
      <c r="D34" s="333"/>
      <c r="E34" s="194"/>
      <c r="F34" s="333"/>
      <c r="G34" s="3"/>
      <c r="H34" s="3"/>
    </row>
    <row r="35" spans="1:12" ht="12.75" customHeight="1">
      <c r="A35" s="131"/>
      <c r="B35" s="335"/>
      <c r="C35" s="540"/>
      <c r="D35" s="335"/>
      <c r="E35" s="540"/>
      <c r="F35" s="335"/>
      <c r="G35" s="335"/>
      <c r="H35" s="335"/>
    </row>
    <row r="36" spans="1:12" ht="16.5" customHeight="1">
      <c r="A36" s="131" t="s">
        <v>1643</v>
      </c>
      <c r="B36" s="335"/>
      <c r="C36" s="540"/>
      <c r="D36" s="335"/>
      <c r="E36" s="540"/>
      <c r="F36" s="335"/>
      <c r="G36" s="335"/>
      <c r="H36" s="335"/>
    </row>
    <row r="37" spans="1:12" ht="14.25" customHeight="1">
      <c r="A37" s="131"/>
      <c r="B37" s="335"/>
      <c r="C37" s="540"/>
      <c r="D37" s="335"/>
      <c r="E37" s="540"/>
      <c r="F37" s="335"/>
      <c r="G37" s="335"/>
      <c r="H37" s="335"/>
    </row>
    <row r="38" spans="1:12" ht="13.5" customHeight="1">
      <c r="A38" s="131" t="s">
        <v>464</v>
      </c>
      <c r="B38" s="335"/>
      <c r="C38" s="540"/>
      <c r="D38" s="335"/>
      <c r="E38" s="540"/>
      <c r="F38" s="335"/>
      <c r="G38" s="335"/>
      <c r="H38" s="335"/>
    </row>
    <row r="39" spans="1:12" ht="12" customHeight="1">
      <c r="A39" s="131"/>
      <c r="B39" s="335"/>
      <c r="C39" s="540"/>
      <c r="D39" s="335"/>
      <c r="E39" s="540"/>
      <c r="F39" s="335"/>
      <c r="G39" s="335"/>
      <c r="H39" s="335"/>
    </row>
    <row r="40" spans="1:12" ht="14.25" customHeight="1">
      <c r="A40" s="131"/>
      <c r="B40" s="335"/>
      <c r="C40" s="540"/>
      <c r="D40" s="335"/>
      <c r="E40" s="540"/>
      <c r="F40" s="335"/>
      <c r="G40" s="335"/>
      <c r="H40" s="335"/>
    </row>
    <row r="41" spans="1:12" ht="15.75" customHeight="1">
      <c r="A41" s="131" t="s">
        <v>395</v>
      </c>
      <c r="B41" s="335"/>
      <c r="C41" s="540"/>
      <c r="D41" s="335"/>
      <c r="E41" s="540"/>
      <c r="F41" s="335"/>
      <c r="G41" s="335"/>
      <c r="H41" s="335"/>
    </row>
    <row r="42" spans="1:12" ht="18" customHeight="1">
      <c r="A42"/>
    </row>
    <row r="43" spans="1:12" ht="30" customHeight="1"/>
    <row r="44" spans="1:12" ht="30" customHeight="1">
      <c r="J44" s="541"/>
    </row>
    <row r="45" spans="1:12" ht="30" customHeight="1"/>
    <row r="46" spans="1:12" ht="30" customHeight="1"/>
    <row r="47" spans="1:12" ht="30" customHeight="1"/>
    <row r="48" spans="1:12" ht="30" customHeight="1"/>
    <row r="49" ht="30" customHeight="1"/>
    <row r="50" ht="30" customHeight="1"/>
  </sheetData>
  <mergeCells count="3">
    <mergeCell ref="B3:C3"/>
    <mergeCell ref="D3:E3"/>
    <mergeCell ref="F3:H3"/>
  </mergeCells>
  <pageMargins left="0.49" right="0.55118110236220474" top="0.6692913385826772" bottom="0.47244094488188981" header="0.43307086614173229" footer="0.51181102362204722"/>
  <pageSetup paperSize="9" scale="72" orientation="portrait"/>
  <headerFooter alignWithMargins="0"/>
  <rowBreaks count="1" manualBreakCount="1">
    <brk id="41"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8D62-9A73-8D4F-A369-6FCC53F36C83}">
  <sheetPr>
    <pageSetUpPr fitToPage="1"/>
  </sheetPr>
  <dimension ref="A1:H45"/>
  <sheetViews>
    <sheetView zoomScaleNormal="100" workbookViewId="0">
      <selection activeCell="C4" sqref="C4"/>
    </sheetView>
  </sheetViews>
  <sheetFormatPr baseColWidth="10" defaultColWidth="11.3984375" defaultRowHeight="13"/>
  <cols>
    <col min="1" max="1" width="19.3984375" style="3" customWidth="1"/>
    <col min="2" max="5" width="19.3984375" style="338" customWidth="1"/>
    <col min="6" max="6" width="12.59765625" style="283" customWidth="1"/>
    <col min="7" max="7" width="11.3984375" style="3"/>
    <col min="8" max="8" width="15.19921875" style="3" hidden="1" customWidth="1"/>
    <col min="9" max="16384" width="11.3984375" style="3"/>
  </cols>
  <sheetData>
    <row r="1" spans="1:8" s="2" customFormat="1" ht="14" customHeight="1">
      <c r="B1" s="326"/>
      <c r="C1" s="326"/>
      <c r="D1" s="326"/>
      <c r="E1" s="326"/>
      <c r="F1" s="327"/>
    </row>
    <row r="2" spans="1:8" s="2" customFormat="1" ht="28.25" customHeight="1">
      <c r="A2" s="222" t="s">
        <v>466</v>
      </c>
      <c r="B2" s="328"/>
      <c r="C2" s="328"/>
      <c r="D2" s="328"/>
      <c r="E2" s="329">
        <v>2012</v>
      </c>
    </row>
    <row r="3" spans="1:8" ht="27" customHeight="1">
      <c r="A3" s="109" t="s">
        <v>426</v>
      </c>
      <c r="B3" s="110" t="s">
        <v>427</v>
      </c>
      <c r="C3" s="111" t="s">
        <v>428</v>
      </c>
      <c r="D3" s="110" t="s">
        <v>429</v>
      </c>
      <c r="E3" s="111" t="s">
        <v>230</v>
      </c>
      <c r="F3"/>
    </row>
    <row r="4" spans="1:8" ht="18" customHeight="1">
      <c r="A4" s="156"/>
      <c r="B4" s="113"/>
      <c r="C4" s="114"/>
      <c r="D4" s="300"/>
      <c r="E4" s="114"/>
      <c r="F4"/>
    </row>
    <row r="5" spans="1:8" ht="21" customHeight="1">
      <c r="A5" s="156"/>
      <c r="B5" s="113" t="s">
        <v>431</v>
      </c>
      <c r="C5" s="114" t="s">
        <v>432</v>
      </c>
      <c r="D5" s="113" t="s">
        <v>433</v>
      </c>
      <c r="E5" s="114"/>
      <c r="F5"/>
    </row>
    <row r="6" spans="1:8" ht="24" customHeight="1">
      <c r="A6" s="157"/>
      <c r="B6" s="330"/>
      <c r="C6" s="119"/>
      <c r="D6" s="330"/>
      <c r="E6" s="119"/>
      <c r="F6"/>
    </row>
    <row r="7" spans="1:8" ht="30" customHeight="1" thickBot="1">
      <c r="A7" s="302" t="s">
        <v>434</v>
      </c>
      <c r="B7" s="132">
        <v>24503070.68</v>
      </c>
      <c r="C7" s="133">
        <v>38117403.869999997</v>
      </c>
      <c r="D7" s="132">
        <v>597833470.12</v>
      </c>
      <c r="E7" s="133">
        <v>660453944.66999996</v>
      </c>
      <c r="F7"/>
      <c r="H7" s="8">
        <v>2156035045</v>
      </c>
    </row>
    <row r="8" spans="1:8" ht="20" customHeight="1" thickBot="1">
      <c r="A8" s="307" t="s">
        <v>435</v>
      </c>
      <c r="B8" s="134">
        <v>15013453.439999999</v>
      </c>
      <c r="C8" s="135">
        <v>27793902.620000001</v>
      </c>
      <c r="D8" s="134">
        <v>422129755.45999998</v>
      </c>
      <c r="E8" s="135">
        <v>464937111.51999998</v>
      </c>
      <c r="F8"/>
      <c r="H8" s="8">
        <v>1563935884</v>
      </c>
    </row>
    <row r="9" spans="1:8" ht="20" customHeight="1" thickBot="1">
      <c r="A9" s="307" t="s">
        <v>436</v>
      </c>
      <c r="B9" s="134">
        <v>6204203.1399999997</v>
      </c>
      <c r="C9" s="135">
        <v>11469226.33</v>
      </c>
      <c r="D9" s="134">
        <v>141531088.33000001</v>
      </c>
      <c r="E9" s="135">
        <v>159204517.80000001</v>
      </c>
      <c r="F9"/>
      <c r="H9" s="8">
        <v>464604355</v>
      </c>
    </row>
    <row r="10" spans="1:8" ht="20" customHeight="1" thickBot="1">
      <c r="A10" s="307" t="s">
        <v>437</v>
      </c>
      <c r="B10" s="134">
        <v>576614.67000000004</v>
      </c>
      <c r="C10" s="135">
        <v>1026557.07</v>
      </c>
      <c r="D10" s="134">
        <v>12935830.380000001</v>
      </c>
      <c r="E10" s="135">
        <v>14539002.120000001</v>
      </c>
      <c r="F10"/>
      <c r="H10" s="8">
        <v>45901795</v>
      </c>
    </row>
    <row r="11" spans="1:8" ht="20" customHeight="1" thickBot="1">
      <c r="A11" s="307" t="s">
        <v>438</v>
      </c>
      <c r="B11" s="134">
        <v>2673251.4700000002</v>
      </c>
      <c r="C11" s="135">
        <v>4764087.6399999997</v>
      </c>
      <c r="D11" s="134">
        <v>60614934.18</v>
      </c>
      <c r="E11" s="135">
        <v>68052273.289999992</v>
      </c>
      <c r="F11"/>
      <c r="H11" s="8">
        <v>171549320</v>
      </c>
    </row>
    <row r="12" spans="1:8" ht="20" customHeight="1" thickBot="1">
      <c r="A12" s="307" t="s">
        <v>439</v>
      </c>
      <c r="B12" s="134">
        <v>606002.99</v>
      </c>
      <c r="C12" s="135">
        <v>1084327.17</v>
      </c>
      <c r="D12" s="134">
        <v>13179442.35</v>
      </c>
      <c r="E12" s="135">
        <v>14869772.51</v>
      </c>
      <c r="F12"/>
      <c r="H12" s="8">
        <v>41764939</v>
      </c>
    </row>
    <row r="13" spans="1:8" ht="20" customHeight="1" thickBot="1">
      <c r="A13" s="307" t="s">
        <v>440</v>
      </c>
      <c r="B13" s="134">
        <v>592443.67000000004</v>
      </c>
      <c r="C13" s="135">
        <v>1085439.57</v>
      </c>
      <c r="D13" s="134">
        <v>15270727.970000001</v>
      </c>
      <c r="E13" s="135">
        <v>16948611.210000001</v>
      </c>
      <c r="F13"/>
      <c r="H13" s="8">
        <v>44323506</v>
      </c>
    </row>
    <row r="14" spans="1:8" ht="20" customHeight="1" thickBot="1">
      <c r="A14" s="307" t="s">
        <v>441</v>
      </c>
      <c r="B14" s="134">
        <v>618669.55000000005</v>
      </c>
      <c r="C14" s="135">
        <v>1323833.82</v>
      </c>
      <c r="D14" s="134">
        <v>15483109.77</v>
      </c>
      <c r="E14" s="135">
        <v>17425613.140000001</v>
      </c>
      <c r="F14"/>
      <c r="H14" s="8">
        <v>55927154</v>
      </c>
    </row>
    <row r="15" spans="1:8" ht="20" customHeight="1" thickBot="1">
      <c r="A15" s="307" t="s">
        <v>442</v>
      </c>
      <c r="B15" s="134">
        <v>1785015.6</v>
      </c>
      <c r="C15" s="135">
        <v>2995986.01</v>
      </c>
      <c r="D15" s="134">
        <v>44676114.619999997</v>
      </c>
      <c r="E15" s="135">
        <v>49457116.229999997</v>
      </c>
      <c r="F15"/>
      <c r="H15" s="8">
        <v>128772453</v>
      </c>
    </row>
    <row r="16" spans="1:8" ht="20" customHeight="1" thickBot="1">
      <c r="A16" s="307" t="s">
        <v>443</v>
      </c>
      <c r="B16" s="134">
        <v>5557231.71</v>
      </c>
      <c r="C16" s="135">
        <v>9000799.3800000008</v>
      </c>
      <c r="D16" s="134">
        <v>111960347.38</v>
      </c>
      <c r="E16" s="135">
        <v>126518378.47</v>
      </c>
      <c r="F16"/>
      <c r="H16" s="8">
        <v>391250033</v>
      </c>
    </row>
    <row r="17" spans="1:8" ht="20" customHeight="1" thickBot="1">
      <c r="A17" s="307" t="s">
        <v>444</v>
      </c>
      <c r="B17" s="134">
        <v>4271332.58</v>
      </c>
      <c r="C17" s="135">
        <v>8008538.8799999999</v>
      </c>
      <c r="D17" s="134">
        <v>108145878.7</v>
      </c>
      <c r="E17" s="135">
        <v>120425750.16</v>
      </c>
      <c r="F17"/>
      <c r="H17" s="8">
        <v>393696828</v>
      </c>
    </row>
    <row r="18" spans="1:8" ht="20" customHeight="1" thickBot="1">
      <c r="A18" s="307" t="s">
        <v>445</v>
      </c>
      <c r="B18" s="134">
        <v>3186046.44</v>
      </c>
      <c r="C18" s="135">
        <v>5262655.9000000004</v>
      </c>
      <c r="D18" s="134">
        <v>89867963.640000001</v>
      </c>
      <c r="E18" s="135">
        <v>98316665.980000004</v>
      </c>
      <c r="F18"/>
      <c r="H18" s="8">
        <v>473520714</v>
      </c>
    </row>
    <row r="19" spans="1:8" ht="20" customHeight="1" thickBot="1">
      <c r="A19" s="307" t="s">
        <v>446</v>
      </c>
      <c r="B19" s="134">
        <v>5336392.3</v>
      </c>
      <c r="C19" s="135">
        <v>8737776.9600000009</v>
      </c>
      <c r="D19" s="134">
        <v>131836369.3</v>
      </c>
      <c r="E19" s="135">
        <v>145910538.56</v>
      </c>
      <c r="F19"/>
      <c r="H19" s="8">
        <v>469771093</v>
      </c>
    </row>
    <row r="20" spans="1:8" ht="20" customHeight="1" thickBot="1">
      <c r="A20" s="307" t="s">
        <v>447</v>
      </c>
      <c r="B20" s="134">
        <v>1014195.12</v>
      </c>
      <c r="C20" s="135">
        <v>2214562.7799999998</v>
      </c>
      <c r="D20" s="134">
        <v>32180084.579999998</v>
      </c>
      <c r="E20" s="135">
        <v>35408842.479999997</v>
      </c>
      <c r="F20"/>
      <c r="H20" s="8">
        <v>127694959</v>
      </c>
    </row>
    <row r="21" spans="1:8" ht="20" customHeight="1" thickBot="1">
      <c r="A21" s="307" t="s">
        <v>448</v>
      </c>
      <c r="B21" s="134">
        <v>745074.34</v>
      </c>
      <c r="C21" s="135">
        <v>1533072.86</v>
      </c>
      <c r="D21" s="134">
        <v>19806054.969999999</v>
      </c>
      <c r="E21" s="135">
        <v>22084202.169999998</v>
      </c>
      <c r="F21"/>
      <c r="H21" s="8">
        <v>69489100</v>
      </c>
    </row>
    <row r="22" spans="1:8" ht="20" customHeight="1" thickBot="1">
      <c r="A22" s="307" t="s">
        <v>449</v>
      </c>
      <c r="B22" s="134">
        <v>223464.31</v>
      </c>
      <c r="C22" s="135">
        <v>483521.89</v>
      </c>
      <c r="D22" s="134">
        <v>5394254.3300000001</v>
      </c>
      <c r="E22" s="135">
        <v>6101240.5300000003</v>
      </c>
      <c r="F22"/>
      <c r="H22" s="8">
        <v>16712649</v>
      </c>
    </row>
    <row r="23" spans="1:8" ht="20" customHeight="1" thickBot="1">
      <c r="A23" s="307" t="s">
        <v>450</v>
      </c>
      <c r="B23" s="134">
        <v>8054765.7800000003</v>
      </c>
      <c r="C23" s="135">
        <v>16503521.550000001</v>
      </c>
      <c r="D23" s="134">
        <v>188059461.28</v>
      </c>
      <c r="E23" s="135">
        <v>212617748.61000001</v>
      </c>
      <c r="F23"/>
      <c r="H23" s="8">
        <v>615853738</v>
      </c>
    </row>
    <row r="24" spans="1:8" ht="20" customHeight="1" thickBot="1">
      <c r="A24" s="307" t="s">
        <v>451</v>
      </c>
      <c r="B24" s="134">
        <v>2785384.35</v>
      </c>
      <c r="C24" s="135">
        <v>5606769.8200000003</v>
      </c>
      <c r="D24" s="134">
        <v>74594018.040000007</v>
      </c>
      <c r="E24" s="135">
        <v>82986172.210000008</v>
      </c>
      <c r="F24"/>
      <c r="H24" s="8">
        <v>264690646</v>
      </c>
    </row>
    <row r="25" spans="1:8" ht="20" customHeight="1" thickBot="1">
      <c r="A25" s="307" t="s">
        <v>452</v>
      </c>
      <c r="B25" s="134">
        <v>10596371.25</v>
      </c>
      <c r="C25" s="135">
        <v>18785475.190000001</v>
      </c>
      <c r="D25" s="134">
        <v>250461842.43000001</v>
      </c>
      <c r="E25" s="135">
        <v>279843688.87</v>
      </c>
      <c r="F25"/>
      <c r="H25" s="8">
        <v>819222625</v>
      </c>
    </row>
    <row r="26" spans="1:8" ht="20" customHeight="1" thickBot="1">
      <c r="A26" s="307" t="s">
        <v>453</v>
      </c>
      <c r="B26" s="134">
        <v>4192718.1</v>
      </c>
      <c r="C26" s="135">
        <v>7994171.4100000001</v>
      </c>
      <c r="D26" s="134">
        <v>95941815.909999996</v>
      </c>
      <c r="E26" s="135">
        <v>108128705.42</v>
      </c>
      <c r="F26"/>
      <c r="H26" s="8">
        <v>344655658</v>
      </c>
    </row>
    <row r="27" spans="1:8" ht="20" customHeight="1" thickBot="1">
      <c r="A27" s="307" t="s">
        <v>454</v>
      </c>
      <c r="B27" s="134">
        <v>6229500.6500000004</v>
      </c>
      <c r="C27" s="135">
        <v>9010810.0399999991</v>
      </c>
      <c r="D27" s="134">
        <v>158139105.15000001</v>
      </c>
      <c r="E27" s="135">
        <v>173379415.84</v>
      </c>
      <c r="F27"/>
      <c r="H27" s="8">
        <v>627641817</v>
      </c>
    </row>
    <row r="28" spans="1:8" ht="20" customHeight="1" thickBot="1">
      <c r="A28" s="307" t="s">
        <v>455</v>
      </c>
      <c r="B28" s="134">
        <v>17726056.120000001</v>
      </c>
      <c r="C28" s="135">
        <v>22905056.890000001</v>
      </c>
      <c r="D28" s="134">
        <v>309890421.60000002</v>
      </c>
      <c r="E28" s="135">
        <v>350521534.61000001</v>
      </c>
      <c r="F28"/>
      <c r="H28" s="8">
        <v>1280335377</v>
      </c>
    </row>
    <row r="29" spans="1:8" ht="20" customHeight="1" thickBot="1">
      <c r="A29" s="307" t="s">
        <v>456</v>
      </c>
      <c r="B29" s="134">
        <v>5606682.5599999996</v>
      </c>
      <c r="C29" s="135">
        <v>8957146.1500000004</v>
      </c>
      <c r="D29" s="134">
        <v>126019676.12</v>
      </c>
      <c r="E29" s="135">
        <v>140583504.83000001</v>
      </c>
      <c r="F29"/>
      <c r="H29" s="8">
        <v>410743307</v>
      </c>
    </row>
    <row r="30" spans="1:8" ht="20" customHeight="1" thickBot="1">
      <c r="A30" s="307" t="s">
        <v>457</v>
      </c>
      <c r="B30" s="134">
        <v>3396272.83</v>
      </c>
      <c r="C30" s="135">
        <v>4643986.01</v>
      </c>
      <c r="D30" s="134">
        <v>66945928.539999999</v>
      </c>
      <c r="E30" s="135">
        <v>74986187.379999995</v>
      </c>
      <c r="F30"/>
      <c r="H30" s="8">
        <v>318756043</v>
      </c>
    </row>
    <row r="31" spans="1:8" ht="20" customHeight="1" thickBot="1">
      <c r="A31" s="307" t="s">
        <v>458</v>
      </c>
      <c r="B31" s="134">
        <v>10917649.640000001</v>
      </c>
      <c r="C31" s="135">
        <v>15085015.970000001</v>
      </c>
      <c r="D31" s="134">
        <v>203102333.05000001</v>
      </c>
      <c r="E31" s="135">
        <v>229104998.66000003</v>
      </c>
      <c r="F31"/>
      <c r="H31" s="8">
        <v>966736347</v>
      </c>
    </row>
    <row r="32" spans="1:8" ht="20" customHeight="1" thickBot="1">
      <c r="A32" s="174" t="s">
        <v>459</v>
      </c>
      <c r="B32" s="134">
        <v>1324727.33</v>
      </c>
      <c r="C32" s="135">
        <v>2011700.92</v>
      </c>
      <c r="D32" s="134">
        <v>28285736.719999999</v>
      </c>
      <c r="E32" s="135">
        <v>31622164.969999999</v>
      </c>
      <c r="F32"/>
      <c r="H32" s="8">
        <v>146808815</v>
      </c>
    </row>
    <row r="33" spans="1:8" ht="20" customHeight="1" thickBot="1">
      <c r="A33" s="187" t="s">
        <v>460</v>
      </c>
      <c r="B33" s="134">
        <v>51337.760000000002</v>
      </c>
      <c r="C33" s="135">
        <v>64691.06</v>
      </c>
      <c r="D33" s="134">
        <v>693472.77</v>
      </c>
      <c r="E33" s="135">
        <v>809501.59000000008</v>
      </c>
      <c r="F33"/>
      <c r="H33" s="8">
        <v>966736347</v>
      </c>
    </row>
    <row r="34" spans="1:8" ht="0.5" customHeight="1" thickBot="1">
      <c r="A34" s="174" t="s">
        <v>461</v>
      </c>
      <c r="B34" s="134">
        <v>0</v>
      </c>
      <c r="C34" s="135">
        <v>0</v>
      </c>
      <c r="D34" s="134">
        <v>0</v>
      </c>
      <c r="E34" s="135">
        <v>0</v>
      </c>
      <c r="F34"/>
      <c r="H34" s="8">
        <v>146808815</v>
      </c>
    </row>
    <row r="35" spans="1:8" ht="30" customHeight="1" thickBot="1">
      <c r="A35" s="322" t="s">
        <v>462</v>
      </c>
      <c r="B35" s="331">
        <v>143787928.38</v>
      </c>
      <c r="C35" s="192">
        <v>236470037.81999999</v>
      </c>
      <c r="D35" s="331">
        <v>3324979237.6599998</v>
      </c>
      <c r="E35" s="192">
        <v>3705237203.8599997</v>
      </c>
      <c r="F35" s="332"/>
      <c r="H35" s="8">
        <v>12410394200</v>
      </c>
    </row>
    <row r="36" spans="1:8" ht="20" customHeight="1">
      <c r="A36" s="130" t="s">
        <v>396</v>
      </c>
      <c r="B36" s="333"/>
      <c r="C36" s="333"/>
      <c r="D36" s="333"/>
      <c r="E36" s="333"/>
      <c r="F36" s="334"/>
    </row>
    <row r="37" spans="1:8" ht="14.25" customHeight="1">
      <c r="A37" s="131"/>
      <c r="B37" s="335"/>
      <c r="C37" s="335"/>
      <c r="D37" s="335"/>
      <c r="E37" s="335"/>
      <c r="F37" s="334"/>
    </row>
    <row r="38" spans="1:8" ht="15.75" customHeight="1">
      <c r="A38" s="131" t="s">
        <v>467</v>
      </c>
      <c r="B38" s="335"/>
      <c r="C38" s="335"/>
      <c r="D38" s="335"/>
      <c r="E38" s="335"/>
      <c r="F38" s="334"/>
    </row>
    <row r="39" spans="1:8" ht="13.5" customHeight="1">
      <c r="A39" s="131"/>
      <c r="B39" s="335"/>
      <c r="C39" s="335"/>
      <c r="D39" s="335"/>
      <c r="E39" s="335"/>
      <c r="F39" s="334"/>
    </row>
    <row r="40" spans="1:8" ht="15" customHeight="1">
      <c r="A40" s="336" t="s">
        <v>468</v>
      </c>
      <c r="B40" s="337"/>
      <c r="C40" s="335"/>
      <c r="D40" s="335"/>
      <c r="E40" s="335"/>
      <c r="F40" s="334"/>
    </row>
    <row r="41" spans="1:8" ht="15" customHeight="1">
      <c r="A41" s="131" t="s">
        <v>465</v>
      </c>
      <c r="B41" s="337"/>
      <c r="C41" s="335"/>
      <c r="D41" s="335"/>
      <c r="E41" s="335"/>
      <c r="F41" s="334"/>
    </row>
    <row r="42" spans="1:8" ht="12" customHeight="1"/>
    <row r="43" spans="1:8" ht="12" customHeight="1"/>
    <row r="44" spans="1:8" ht="12" customHeight="1">
      <c r="A44" s="131" t="s">
        <v>395</v>
      </c>
    </row>
    <row r="45" spans="1:8" ht="12" customHeight="1"/>
  </sheetData>
  <pageMargins left="0.62" right="0.56000000000000005" top="0.78" bottom="0.49" header="0.4" footer="0.4921259845"/>
  <pageSetup paperSize="9" scale="83" orientation="portrait" horizontalDpi="4294967292" verticalDpi="4294967292"/>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8626-E05E-7C43-AC6F-BAC828B5C43F}">
  <sheetPr>
    <pageSetUpPr fitToPage="1"/>
  </sheetPr>
  <dimension ref="A1:J50"/>
  <sheetViews>
    <sheetView topLeftCell="A21" zoomScaleNormal="100" workbookViewId="0">
      <selection activeCell="A39" sqref="A39"/>
    </sheetView>
  </sheetViews>
  <sheetFormatPr baseColWidth="10" defaultColWidth="11.3984375" defaultRowHeight="13"/>
  <cols>
    <col min="1" max="1" width="21.19921875" style="3" customWidth="1"/>
    <col min="2" max="2" width="14.796875" style="338" customWidth="1"/>
    <col min="3" max="3" width="14.796875" style="181" customWidth="1"/>
    <col min="4" max="4" width="16" style="338" customWidth="1"/>
    <col min="5" max="5" width="15.796875" style="181" customWidth="1"/>
    <col min="6" max="8" width="16" style="338" customWidth="1"/>
    <col min="9" max="9" width="7.796875" style="3" customWidth="1"/>
    <col min="10" max="10" width="9" style="3" customWidth="1"/>
    <col min="11" max="16384" width="11.3984375" style="3"/>
  </cols>
  <sheetData>
    <row r="1" spans="1:10" s="2" customFormat="1" ht="18.75" customHeight="1">
      <c r="A1" s="523"/>
      <c r="B1" s="524"/>
      <c r="C1" s="161"/>
      <c r="D1" s="326"/>
      <c r="E1" s="161"/>
      <c r="F1" s="326"/>
      <c r="G1" s="326"/>
      <c r="H1" s="326"/>
    </row>
    <row r="2" spans="1:10" s="2" customFormat="1" ht="26.5" customHeight="1">
      <c r="A2" s="525" t="s">
        <v>1644</v>
      </c>
      <c r="B2" s="328"/>
      <c r="C2" s="328"/>
      <c r="D2" s="328"/>
      <c r="E2" s="328"/>
      <c r="F2" s="460"/>
      <c r="G2" s="460"/>
      <c r="H2" s="460">
        <v>2012</v>
      </c>
    </row>
    <row r="3" spans="1:10" ht="27" customHeight="1">
      <c r="A3" s="109" t="s">
        <v>637</v>
      </c>
      <c r="B3" s="2057" t="s">
        <v>638</v>
      </c>
      <c r="C3" s="2058"/>
      <c r="D3" s="2059" t="s">
        <v>639</v>
      </c>
      <c r="E3" s="2058"/>
      <c r="F3" s="2057" t="s">
        <v>430</v>
      </c>
      <c r="G3" s="2058"/>
      <c r="H3" s="2058"/>
    </row>
    <row r="4" spans="1:10" ht="17.5" customHeight="1">
      <c r="A4" s="156"/>
      <c r="B4" s="348" t="s">
        <v>640</v>
      </c>
      <c r="C4" s="526" t="s">
        <v>641</v>
      </c>
      <c r="D4" s="348" t="s">
        <v>640</v>
      </c>
      <c r="E4" s="526" t="s">
        <v>641</v>
      </c>
      <c r="F4" s="348" t="s">
        <v>640</v>
      </c>
      <c r="G4" s="526" t="s">
        <v>579</v>
      </c>
      <c r="H4" s="348" t="s">
        <v>641</v>
      </c>
    </row>
    <row r="5" spans="1:10" ht="15" customHeight="1">
      <c r="A5" s="156"/>
      <c r="B5" s="348"/>
      <c r="C5" s="526" t="s">
        <v>642</v>
      </c>
      <c r="D5" s="348"/>
      <c r="E5" s="526" t="s">
        <v>642</v>
      </c>
      <c r="F5" s="348"/>
      <c r="G5" s="526"/>
      <c r="H5" s="348" t="s">
        <v>642</v>
      </c>
    </row>
    <row r="6" spans="1:10" ht="19.5" customHeight="1">
      <c r="A6" s="157"/>
      <c r="B6" s="330"/>
      <c r="C6" s="527"/>
      <c r="D6" s="330"/>
      <c r="E6" s="527"/>
      <c r="F6" s="330"/>
      <c r="G6" s="528"/>
      <c r="H6" s="330"/>
    </row>
    <row r="7" spans="1:10" ht="30" customHeight="1" thickBot="1">
      <c r="A7" s="302" t="s">
        <v>643</v>
      </c>
      <c r="B7" s="121">
        <v>26.258142120000009</v>
      </c>
      <c r="C7" s="529">
        <v>114.32139690255914</v>
      </c>
      <c r="D7" s="121">
        <v>22.270583820000009</v>
      </c>
      <c r="E7" s="529">
        <v>102.16452755259664</v>
      </c>
      <c r="F7" s="121">
        <v>48.528725899999998</v>
      </c>
      <c r="G7" s="530">
        <v>1.3097333107125592E-2</v>
      </c>
      <c r="H7" s="132">
        <v>108.40181925946813</v>
      </c>
      <c r="I7" s="531"/>
      <c r="J7" s="531"/>
    </row>
    <row r="8" spans="1:10" ht="20" customHeight="1" thickBot="1">
      <c r="A8" s="307" t="s">
        <v>644</v>
      </c>
      <c r="B8" s="121">
        <v>16.738954269999994</v>
      </c>
      <c r="C8" s="529">
        <v>84.208841062031354</v>
      </c>
      <c r="D8" s="121">
        <v>13.119037559999997</v>
      </c>
      <c r="E8" s="529">
        <v>69.489232351432804</v>
      </c>
      <c r="F8" s="121">
        <v>29.857991840000007</v>
      </c>
      <c r="G8" s="530">
        <v>8.0583212888001646E-3</v>
      </c>
      <c r="H8" s="132">
        <v>77.03867921743668</v>
      </c>
      <c r="I8" s="531"/>
      <c r="J8" s="531"/>
    </row>
    <row r="9" spans="1:10" ht="20" customHeight="1" thickBot="1">
      <c r="A9" s="307" t="s">
        <v>645</v>
      </c>
      <c r="B9" s="121">
        <v>18.828689129999994</v>
      </c>
      <c r="C9" s="529">
        <v>89.105192998579554</v>
      </c>
      <c r="D9" s="121">
        <v>17.326355840000002</v>
      </c>
      <c r="E9" s="529">
        <v>86.524432662617116</v>
      </c>
      <c r="F9" s="121">
        <v>36.155045000000001</v>
      </c>
      <c r="G9" s="530">
        <v>9.7578219721634121E-3</v>
      </c>
      <c r="H9" s="132">
        <v>87.849484947044104</v>
      </c>
      <c r="I9" s="531"/>
      <c r="J9" s="531"/>
    </row>
    <row r="10" spans="1:10" ht="20" customHeight="1" thickBot="1">
      <c r="A10" s="307" t="s">
        <v>646</v>
      </c>
      <c r="B10" s="121">
        <v>13.004761539999995</v>
      </c>
      <c r="C10" s="529">
        <v>96.676084722958251</v>
      </c>
      <c r="D10" s="121">
        <v>16.241404100000004</v>
      </c>
      <c r="E10" s="529">
        <v>127.31594931037019</v>
      </c>
      <c r="F10" s="121">
        <v>29.246165660000003</v>
      </c>
      <c r="G10" s="530">
        <v>7.8931965892637956E-3</v>
      </c>
      <c r="H10" s="132">
        <v>111.58970225871907</v>
      </c>
      <c r="I10" s="531"/>
      <c r="J10" s="531"/>
    </row>
    <row r="11" spans="1:10" ht="20" customHeight="1" thickBot="1">
      <c r="A11" s="532" t="s">
        <v>647</v>
      </c>
      <c r="B11" s="533">
        <v>74.83054709999999</v>
      </c>
      <c r="C11" s="534">
        <v>96.643636254868596</v>
      </c>
      <c r="D11" s="533">
        <v>68.957381290000001</v>
      </c>
      <c r="E11" s="534">
        <v>93.871208317119766</v>
      </c>
      <c r="F11" s="533">
        <v>143.78792838999996</v>
      </c>
      <c r="G11" s="535">
        <v>3.8806672954654071E-2</v>
      </c>
      <c r="H11" s="536">
        <v>95.293889549006508</v>
      </c>
      <c r="I11" s="531"/>
      <c r="J11" s="531"/>
    </row>
    <row r="12" spans="1:10" ht="20" customHeight="1" thickBot="1">
      <c r="A12" s="307" t="s">
        <v>648</v>
      </c>
      <c r="B12" s="121">
        <v>27.232468780000001</v>
      </c>
      <c r="C12" s="529">
        <v>294.24627033713267</v>
      </c>
      <c r="D12" s="121">
        <v>36.568723819999995</v>
      </c>
      <c r="E12" s="529">
        <v>409.22634296557658</v>
      </c>
      <c r="F12" s="121">
        <v>63.801192579999984</v>
      </c>
      <c r="G12" s="530">
        <v>1.7219192475278432E-2</v>
      </c>
      <c r="H12" s="132">
        <v>350.72843824535266</v>
      </c>
      <c r="I12" s="531"/>
      <c r="J12" s="531"/>
    </row>
    <row r="13" spans="1:10" ht="20" customHeight="1" thickBot="1">
      <c r="A13" s="307" t="s">
        <v>649</v>
      </c>
      <c r="B13" s="121">
        <v>69.048044219999994</v>
      </c>
      <c r="C13" s="529">
        <v>279.28938443765986</v>
      </c>
      <c r="D13" s="121">
        <v>103.62080106000001</v>
      </c>
      <c r="E13" s="529">
        <v>432.47524705614848</v>
      </c>
      <c r="F13" s="121">
        <v>172.66884524999998</v>
      </c>
      <c r="G13" s="530">
        <v>4.6601293182971661E-2</v>
      </c>
      <c r="H13" s="132">
        <v>354.68218275508366</v>
      </c>
      <c r="I13" s="531"/>
      <c r="J13" s="531"/>
    </row>
    <row r="14" spans="1:10" ht="20" customHeight="1" thickBot="1">
      <c r="A14" s="532" t="s">
        <v>650</v>
      </c>
      <c r="B14" s="533">
        <v>96.280512970000046</v>
      </c>
      <c r="C14" s="534">
        <v>283.36341567643547</v>
      </c>
      <c r="D14" s="533">
        <v>140.18952485000003</v>
      </c>
      <c r="E14" s="534">
        <v>426.1598298723095</v>
      </c>
      <c r="F14" s="533">
        <v>236.47003783000005</v>
      </c>
      <c r="G14" s="535">
        <v>6.3820485658250117E-2</v>
      </c>
      <c r="H14" s="536">
        <v>353.60669776467137</v>
      </c>
      <c r="I14" s="531"/>
      <c r="J14" s="531"/>
    </row>
    <row r="15" spans="1:10" ht="20" customHeight="1" thickBot="1">
      <c r="A15" s="307" t="s">
        <v>651</v>
      </c>
      <c r="B15" s="121">
        <v>76.051402709999962</v>
      </c>
      <c r="C15" s="529">
        <v>282.21582767050461</v>
      </c>
      <c r="D15" s="121">
        <v>124.52513913000001</v>
      </c>
      <c r="E15" s="529">
        <v>474.26594218284725</v>
      </c>
      <c r="F15" s="121">
        <v>200.57654181000007</v>
      </c>
      <c r="G15" s="530">
        <v>5.4133252683662043E-2</v>
      </c>
      <c r="H15" s="132">
        <v>376.99274929587534</v>
      </c>
      <c r="I15" s="531"/>
      <c r="J15" s="531"/>
    </row>
    <row r="16" spans="1:10" ht="20" customHeight="1" thickBot="1">
      <c r="A16" s="307" t="s">
        <v>652</v>
      </c>
      <c r="B16" s="121">
        <v>90.111122699999967</v>
      </c>
      <c r="C16" s="529">
        <v>323.68818278416279</v>
      </c>
      <c r="D16" s="121">
        <v>144.18383590000008</v>
      </c>
      <c r="E16" s="529">
        <v>528.93467107910749</v>
      </c>
      <c r="F16" s="121">
        <v>234.29495855999994</v>
      </c>
      <c r="G16" s="530">
        <v>6.3233457311528268E-2</v>
      </c>
      <c r="H16" s="132">
        <v>425.23188760394777</v>
      </c>
      <c r="I16" s="531"/>
      <c r="J16" s="531"/>
    </row>
    <row r="17" spans="1:10" ht="20" customHeight="1" thickBot="1">
      <c r="A17" s="307" t="s">
        <v>653</v>
      </c>
      <c r="B17" s="121">
        <v>102.51163459000001</v>
      </c>
      <c r="C17" s="529">
        <v>366.64632012924523</v>
      </c>
      <c r="D17" s="121">
        <v>150.85406512</v>
      </c>
      <c r="E17" s="529">
        <v>545.96483907464051</v>
      </c>
      <c r="F17" s="121">
        <v>253.36569971000006</v>
      </c>
      <c r="G17" s="530">
        <v>6.8380426345003728E-2</v>
      </c>
      <c r="H17" s="132">
        <v>455.77570315393268</v>
      </c>
      <c r="I17" s="531"/>
      <c r="J17" s="531"/>
    </row>
    <row r="18" spans="1:10" ht="20" customHeight="1" thickBot="1">
      <c r="A18" s="307" t="s">
        <v>654</v>
      </c>
      <c r="B18" s="121">
        <v>124.92254594000002</v>
      </c>
      <c r="C18" s="529">
        <v>397.91010969538939</v>
      </c>
      <c r="D18" s="121">
        <v>169.09208235</v>
      </c>
      <c r="E18" s="529">
        <v>543.81778977213196</v>
      </c>
      <c r="F18" s="121">
        <v>294.01462827000006</v>
      </c>
      <c r="G18" s="530">
        <v>7.9351094705329903E-2</v>
      </c>
      <c r="H18" s="132">
        <v>470.51234335719084</v>
      </c>
      <c r="I18" s="531"/>
      <c r="J18" s="531"/>
    </row>
    <row r="19" spans="1:10" ht="20" customHeight="1" thickBot="1">
      <c r="A19" s="307" t="s">
        <v>655</v>
      </c>
      <c r="B19" s="121">
        <v>146.56878279</v>
      </c>
      <c r="C19" s="529">
        <v>437.53173688198387</v>
      </c>
      <c r="D19" s="121">
        <v>183.97421509999998</v>
      </c>
      <c r="E19" s="529">
        <v>565.89650307843169</v>
      </c>
      <c r="F19" s="121">
        <v>330.54299786999991</v>
      </c>
      <c r="G19" s="530">
        <v>8.920967260200198E-2</v>
      </c>
      <c r="H19" s="132">
        <v>500.75266419543652</v>
      </c>
      <c r="I19" s="531"/>
      <c r="J19" s="531"/>
    </row>
    <row r="20" spans="1:10" ht="20" customHeight="1" thickBot="1">
      <c r="A20" s="307" t="s">
        <v>656</v>
      </c>
      <c r="B20" s="121">
        <v>146.11271949000007</v>
      </c>
      <c r="C20" s="529">
        <v>499.61994743470939</v>
      </c>
      <c r="D20" s="121">
        <v>171.19010813999998</v>
      </c>
      <c r="E20" s="529">
        <v>598.17450541265634</v>
      </c>
      <c r="F20" s="121">
        <v>317.30282763000008</v>
      </c>
      <c r="G20" s="530">
        <v>8.5636306171866045E-2</v>
      </c>
      <c r="H20" s="132">
        <v>548.36410365907511</v>
      </c>
      <c r="I20" s="531"/>
      <c r="J20" s="531"/>
    </row>
    <row r="21" spans="1:10" ht="20" customHeight="1" thickBot="1">
      <c r="A21" s="307" t="s">
        <v>657</v>
      </c>
      <c r="B21" s="121">
        <v>142.93857505999995</v>
      </c>
      <c r="C21" s="529">
        <v>575.88131916088707</v>
      </c>
      <c r="D21" s="121">
        <v>152.79786892999996</v>
      </c>
      <c r="E21" s="529">
        <v>619.66175619781916</v>
      </c>
      <c r="F21" s="121">
        <v>295.73644400000006</v>
      </c>
      <c r="G21" s="530">
        <v>7.9815792546591352E-2</v>
      </c>
      <c r="H21" s="132">
        <v>597.69956668382486</v>
      </c>
      <c r="I21" s="531"/>
      <c r="J21" s="531"/>
    </row>
    <row r="22" spans="1:10" ht="20" customHeight="1" thickBot="1">
      <c r="A22" s="307" t="s">
        <v>658</v>
      </c>
      <c r="B22" s="121">
        <v>146.22881946999993</v>
      </c>
      <c r="C22" s="529">
        <v>657.97995091051041</v>
      </c>
      <c r="D22" s="121">
        <v>151.40013480999997</v>
      </c>
      <c r="E22" s="529">
        <v>661.38630469384645</v>
      </c>
      <c r="F22" s="121">
        <v>297.62895427999996</v>
      </c>
      <c r="G22" s="530">
        <v>8.0326558841937637E-2</v>
      </c>
      <c r="H22" s="132">
        <v>659.70839753467726</v>
      </c>
      <c r="I22" s="531"/>
      <c r="J22" s="531"/>
    </row>
    <row r="23" spans="1:10" ht="20" customHeight="1" thickBot="1">
      <c r="A23" s="307" t="s">
        <v>659</v>
      </c>
      <c r="B23" s="121">
        <v>143.85605634999996</v>
      </c>
      <c r="C23" s="529">
        <v>735.39412756406443</v>
      </c>
      <c r="D23" s="121">
        <v>150.83722048000004</v>
      </c>
      <c r="E23" s="529">
        <v>720.32540588295717</v>
      </c>
      <c r="F23" s="121">
        <v>294.69327686000008</v>
      </c>
      <c r="G23" s="530">
        <v>7.9534253988436304E-2</v>
      </c>
      <c r="H23" s="132">
        <v>727.60333464734549</v>
      </c>
      <c r="I23" s="531"/>
      <c r="J23" s="531"/>
    </row>
    <row r="24" spans="1:10" ht="20" customHeight="1" thickBot="1">
      <c r="A24" s="307" t="s">
        <v>660</v>
      </c>
      <c r="B24" s="121">
        <v>112.04027693000002</v>
      </c>
      <c r="C24" s="529">
        <v>795.379406042455</v>
      </c>
      <c r="D24" s="121">
        <v>127.85158087000001</v>
      </c>
      <c r="E24" s="529">
        <v>770.42049054539734</v>
      </c>
      <c r="F24" s="121">
        <v>239.89185780000003</v>
      </c>
      <c r="G24" s="530">
        <v>6.4743994675817471E-2</v>
      </c>
      <c r="H24" s="132">
        <v>781.87954904584967</v>
      </c>
      <c r="I24" s="531"/>
      <c r="J24" s="531"/>
    </row>
    <row r="25" spans="1:10" ht="20" customHeight="1" thickBot="1">
      <c r="A25" s="307" t="s">
        <v>661</v>
      </c>
      <c r="B25" s="121">
        <v>94.521080909999995</v>
      </c>
      <c r="C25" s="529">
        <v>863.01793069986832</v>
      </c>
      <c r="D25" s="121">
        <v>120.47518522000003</v>
      </c>
      <c r="E25" s="529">
        <v>834.75208209610423</v>
      </c>
      <c r="F25" s="121">
        <v>214.99626612999992</v>
      </c>
      <c r="G25" s="530">
        <v>5.8024966905072459E-2</v>
      </c>
      <c r="H25" s="132">
        <v>846.94756031139502</v>
      </c>
      <c r="I25" s="531"/>
      <c r="J25" s="531"/>
    </row>
    <row r="26" spans="1:10" ht="20" customHeight="1" thickBot="1">
      <c r="A26" s="307" t="s">
        <v>662</v>
      </c>
      <c r="B26" s="121">
        <v>68.542491940000019</v>
      </c>
      <c r="C26" s="529">
        <v>930.83955905285984</v>
      </c>
      <c r="D26" s="121">
        <v>106.51903906999996</v>
      </c>
      <c r="E26" s="529">
        <v>908.06283072301244</v>
      </c>
      <c r="F26" s="121">
        <v>175.06153101999996</v>
      </c>
      <c r="G26" s="530">
        <v>4.724705096806054E-2</v>
      </c>
      <c r="H26" s="132">
        <v>916.84643731600431</v>
      </c>
      <c r="I26" s="531"/>
      <c r="J26" s="531"/>
    </row>
    <row r="27" spans="1:10" ht="20" customHeight="1" thickBot="1">
      <c r="A27" s="307" t="s">
        <v>663</v>
      </c>
      <c r="B27" s="121">
        <v>38.694151379999994</v>
      </c>
      <c r="C27" s="529">
        <v>1011.6326946360459</v>
      </c>
      <c r="D27" s="121">
        <v>77.020155150000051</v>
      </c>
      <c r="E27" s="529">
        <v>992.44349159008345</v>
      </c>
      <c r="F27" s="121">
        <v>115.71430652999999</v>
      </c>
      <c r="G27" s="530">
        <v>3.1229932164434756E-2</v>
      </c>
      <c r="H27" s="132">
        <v>998.77871051772968</v>
      </c>
      <c r="I27" s="531"/>
      <c r="J27" s="531"/>
    </row>
    <row r="28" spans="1:10" ht="20" customHeight="1" thickBot="1">
      <c r="A28" s="307" t="s">
        <v>664</v>
      </c>
      <c r="B28" s="121">
        <v>13.765959079999998</v>
      </c>
      <c r="C28" s="529">
        <v>1118.4180487828655</v>
      </c>
      <c r="D28" s="121">
        <v>34.598120029999997</v>
      </c>
      <c r="E28" s="529">
        <v>1084.2386391626965</v>
      </c>
      <c r="F28" s="121">
        <v>48.364079109999984</v>
      </c>
      <c r="G28" s="530">
        <v>1.3052896872428379E-2</v>
      </c>
      <c r="H28" s="132">
        <v>1093.7516477258848</v>
      </c>
      <c r="I28" s="531"/>
      <c r="J28" s="531"/>
    </row>
    <row r="29" spans="1:10" ht="20" customHeight="1" thickBot="1">
      <c r="A29" s="307" t="s">
        <v>665</v>
      </c>
      <c r="B29" s="121">
        <v>2.6143780500000005</v>
      </c>
      <c r="C29" s="529">
        <v>1236.4048474816743</v>
      </c>
      <c r="D29" s="121">
        <v>8.7627658499999974</v>
      </c>
      <c r="E29" s="529">
        <v>1192.7290787034387</v>
      </c>
      <c r="F29" s="121">
        <v>11.37714388</v>
      </c>
      <c r="G29" s="530">
        <v>3.0705574984826733E-3</v>
      </c>
      <c r="H29" s="132">
        <v>1202.4913970686937</v>
      </c>
      <c r="I29" s="531"/>
      <c r="J29" s="531"/>
    </row>
    <row r="30" spans="1:10" ht="20" customHeight="1" thickBot="1">
      <c r="A30" s="307" t="s">
        <v>666</v>
      </c>
      <c r="B30" s="121">
        <v>0.21489273000000003</v>
      </c>
      <c r="C30" s="529">
        <v>1271.0281540190456</v>
      </c>
      <c r="D30" s="121">
        <v>1.20283144</v>
      </c>
      <c r="E30" s="529">
        <v>1297.0490855762594</v>
      </c>
      <c r="F30" s="121">
        <v>1.4177241699999996</v>
      </c>
      <c r="G30" s="530">
        <v>3.8262710104476795E-4</v>
      </c>
      <c r="H30" s="132">
        <v>1293.0248531611394</v>
      </c>
      <c r="I30" s="531"/>
      <c r="J30" s="531"/>
    </row>
    <row r="31" spans="1:10" ht="20" customHeight="1" thickBot="1">
      <c r="A31" s="532" t="s">
        <v>667</v>
      </c>
      <c r="B31" s="533">
        <v>1449.6948901299993</v>
      </c>
      <c r="C31" s="534">
        <v>515.58004128460277</v>
      </c>
      <c r="D31" s="533">
        <v>1875.2843475300006</v>
      </c>
      <c r="E31" s="534">
        <v>632.69642549042328</v>
      </c>
      <c r="F31" s="533">
        <v>3324.97923765</v>
      </c>
      <c r="G31" s="535">
        <v>0.89737284138709605</v>
      </c>
      <c r="H31" s="536">
        <v>575.68114666268445</v>
      </c>
      <c r="I31" s="531"/>
      <c r="J31" s="531"/>
    </row>
    <row r="32" spans="1:10" ht="1.25" hidden="1" customHeight="1" thickBot="1">
      <c r="A32" s="307" t="s">
        <v>461</v>
      </c>
      <c r="B32" s="121">
        <v>0</v>
      </c>
      <c r="C32" s="529" t="s">
        <v>29</v>
      </c>
      <c r="D32" s="121">
        <v>0</v>
      </c>
      <c r="E32" s="529" t="s">
        <v>29</v>
      </c>
      <c r="F32" s="121" t="s">
        <v>29</v>
      </c>
      <c r="G32" s="530" t="s">
        <v>29</v>
      </c>
      <c r="H32" s="132" t="s">
        <v>29</v>
      </c>
      <c r="I32" s="531"/>
      <c r="J32" s="531"/>
    </row>
    <row r="33" spans="1:10" s="138" customFormat="1" ht="24.75" customHeight="1" thickBot="1">
      <c r="A33" s="322" t="s">
        <v>230</v>
      </c>
      <c r="B33" s="537">
        <v>1620.8059501699997</v>
      </c>
      <c r="C33" s="192">
        <v>412.85523107945647</v>
      </c>
      <c r="D33" s="537">
        <v>2084.43125371</v>
      </c>
      <c r="E33" s="192">
        <v>517.54816373665403</v>
      </c>
      <c r="F33" s="537">
        <v>3705.2372038699991</v>
      </c>
      <c r="G33" s="538">
        <v>1</v>
      </c>
      <c r="H33" s="353">
        <v>465.87082940956577</v>
      </c>
      <c r="I33" s="539"/>
      <c r="J33" s="539"/>
    </row>
    <row r="34" spans="1:10" ht="20" customHeight="1">
      <c r="A34" s="130" t="s">
        <v>396</v>
      </c>
      <c r="B34" s="333"/>
      <c r="C34" s="194"/>
      <c r="D34" s="333"/>
      <c r="E34" s="194"/>
      <c r="F34" s="333"/>
      <c r="G34" s="333"/>
      <c r="H34" s="333"/>
    </row>
    <row r="35" spans="1:10" ht="12.75" customHeight="1">
      <c r="A35" s="131"/>
      <c r="B35" s="335"/>
      <c r="C35" s="540"/>
      <c r="D35" s="335"/>
      <c r="E35" s="540"/>
      <c r="F35" s="335"/>
      <c r="G35" s="335"/>
      <c r="H35" s="335"/>
    </row>
    <row r="36" spans="1:10" ht="16.5" customHeight="1">
      <c r="A36" s="131" t="s">
        <v>1645</v>
      </c>
      <c r="B36" s="335"/>
      <c r="C36" s="540"/>
      <c r="D36" s="335"/>
      <c r="E36" s="540"/>
      <c r="F36" s="335"/>
      <c r="G36" s="335"/>
      <c r="H36" s="335"/>
    </row>
    <row r="37" spans="1:10" ht="14.25" customHeight="1">
      <c r="A37" s="131"/>
      <c r="B37" s="335"/>
      <c r="C37" s="540"/>
      <c r="D37" s="335"/>
      <c r="E37" s="540"/>
      <c r="F37" s="335"/>
      <c r="G37" s="335"/>
      <c r="H37" s="335"/>
    </row>
    <row r="38" spans="1:10" ht="13.5" customHeight="1">
      <c r="A38" s="1114" t="s">
        <v>468</v>
      </c>
      <c r="B38" s="335"/>
      <c r="C38" s="540"/>
      <c r="D38" s="335"/>
      <c r="E38" s="540"/>
      <c r="F38" s="335"/>
      <c r="G38" s="335"/>
      <c r="H38" s="335"/>
    </row>
    <row r="39" spans="1:10" ht="12" customHeight="1">
      <c r="A39" s="131"/>
      <c r="B39" s="335"/>
      <c r="C39" s="540"/>
      <c r="D39" s="335"/>
      <c r="E39" s="540"/>
      <c r="F39" s="335"/>
      <c r="G39" s="335"/>
      <c r="H39" s="335"/>
    </row>
    <row r="40" spans="1:10" ht="14.25" customHeight="1">
      <c r="A40" s="131"/>
      <c r="B40" s="335"/>
      <c r="C40" s="540"/>
      <c r="D40" s="335"/>
      <c r="E40" s="540"/>
      <c r="F40" s="335"/>
      <c r="G40" s="335"/>
      <c r="H40" s="335"/>
    </row>
    <row r="41" spans="1:10" ht="15.75" customHeight="1">
      <c r="A41" s="131" t="s">
        <v>395</v>
      </c>
      <c r="B41" s="335"/>
      <c r="C41" s="540"/>
      <c r="D41" s="335"/>
      <c r="E41" s="540"/>
      <c r="F41" s="335"/>
      <c r="G41" s="335"/>
      <c r="H41" s="335"/>
    </row>
    <row r="42" spans="1:10" ht="18" customHeight="1">
      <c r="A42"/>
    </row>
    <row r="43" spans="1:10" ht="30" customHeight="1"/>
    <row r="44" spans="1:10" ht="30" customHeight="1"/>
    <row r="45" spans="1:10" ht="30" customHeight="1"/>
    <row r="46" spans="1:10" ht="30" customHeight="1"/>
    <row r="47" spans="1:10" ht="30" customHeight="1"/>
    <row r="48" spans="1:10" ht="30" customHeight="1"/>
    <row r="49" ht="30" customHeight="1"/>
    <row r="50" ht="30" customHeight="1"/>
  </sheetData>
  <mergeCells count="3">
    <mergeCell ref="B3:C3"/>
    <mergeCell ref="D3:E3"/>
    <mergeCell ref="F3:H3"/>
  </mergeCells>
  <pageMargins left="0.54" right="0.55118110236220474" top="0.6692913385826772" bottom="0.47244094488188981" header="0.43307086614173229" footer="0.51181102362204722"/>
  <pageSetup paperSize="9" scale="70" orientation="portrait"/>
  <headerFooter alignWithMargins="0"/>
  <rowBreaks count="1" manualBreakCount="1">
    <brk id="41"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ECD7-1B72-654F-A908-A56669BB88BD}">
  <sheetPr>
    <pageSetUpPr fitToPage="1"/>
  </sheetPr>
  <dimension ref="A1:H44"/>
  <sheetViews>
    <sheetView topLeftCell="A18" zoomScaleNormal="100" workbookViewId="0">
      <selection activeCell="G32" sqref="G32"/>
    </sheetView>
  </sheetViews>
  <sheetFormatPr baseColWidth="10" defaultColWidth="11.3984375" defaultRowHeight="13"/>
  <cols>
    <col min="1" max="1" width="19.796875" style="3" customWidth="1"/>
    <col min="2" max="6" width="18.3984375" style="3" customWidth="1"/>
    <col min="7" max="7" width="16.796875" style="3" customWidth="1"/>
    <col min="8" max="8" width="12.19921875" style="3" customWidth="1"/>
    <col min="9" max="16384" width="11.3984375" style="3"/>
  </cols>
  <sheetData>
    <row r="1" spans="1:8" s="2" customFormat="1" ht="14" customHeight="1"/>
    <row r="2" spans="1:8" s="2" customFormat="1" ht="27.75" customHeight="1">
      <c r="A2" s="2054" t="s">
        <v>425</v>
      </c>
      <c r="B2" s="2055"/>
      <c r="C2" s="2055"/>
      <c r="D2" s="2055"/>
      <c r="E2" s="2055"/>
      <c r="F2" s="139">
        <v>2012</v>
      </c>
    </row>
    <row r="3" spans="1:8" ht="27" customHeight="1">
      <c r="A3" s="109" t="s">
        <v>426</v>
      </c>
      <c r="B3" s="110" t="s">
        <v>427</v>
      </c>
      <c r="C3" s="111" t="s">
        <v>428</v>
      </c>
      <c r="D3" s="110" t="s">
        <v>429</v>
      </c>
      <c r="E3" s="111" t="s">
        <v>430</v>
      </c>
      <c r="F3" s="165" t="s">
        <v>256</v>
      </c>
    </row>
    <row r="4" spans="1:8" ht="15" customHeight="1">
      <c r="A4" s="156"/>
      <c r="B4" s="113"/>
      <c r="C4" s="114"/>
      <c r="D4" s="300"/>
      <c r="E4" s="114"/>
      <c r="F4" s="300" t="s">
        <v>257</v>
      </c>
    </row>
    <row r="5" spans="1:8" ht="15" customHeight="1">
      <c r="A5" s="156"/>
      <c r="B5" s="113" t="s">
        <v>431</v>
      </c>
      <c r="C5" s="114" t="s">
        <v>432</v>
      </c>
      <c r="D5" s="113" t="s">
        <v>433</v>
      </c>
      <c r="E5" s="114"/>
      <c r="F5" s="300" t="s">
        <v>258</v>
      </c>
    </row>
    <row r="6" spans="1:8" ht="24" customHeight="1">
      <c r="A6" s="157"/>
      <c r="B6" s="169"/>
      <c r="C6" s="157"/>
      <c r="D6" s="169"/>
      <c r="E6" s="118"/>
      <c r="F6" s="117"/>
      <c r="H6" s="301"/>
    </row>
    <row r="7" spans="1:8" ht="30" customHeight="1" thickBot="1">
      <c r="A7" s="302" t="s">
        <v>434</v>
      </c>
      <c r="B7" s="303">
        <v>985.66275064264335</v>
      </c>
      <c r="C7" s="304">
        <v>1146.8909101887969</v>
      </c>
      <c r="D7" s="303">
        <v>3356.1968476775469</v>
      </c>
      <c r="E7" s="304">
        <v>2754.8719287245185</v>
      </c>
      <c r="F7" s="305">
        <v>3.538915662181779E-2</v>
      </c>
      <c r="H7" s="306"/>
    </row>
    <row r="8" spans="1:8" ht="20" customHeight="1" thickBot="1">
      <c r="A8" s="307" t="s">
        <v>435</v>
      </c>
      <c r="B8" s="303">
        <v>819.09629782591298</v>
      </c>
      <c r="C8" s="304">
        <v>1020.2929295244464</v>
      </c>
      <c r="D8" s="303">
        <v>3682.6365253436143</v>
      </c>
      <c r="E8" s="304">
        <v>2949.2440552222347</v>
      </c>
      <c r="F8" s="305">
        <v>-1.2972285590449134E-2</v>
      </c>
      <c r="H8" s="306"/>
    </row>
    <row r="9" spans="1:8" ht="20" customHeight="1" thickBot="1">
      <c r="A9" s="307" t="s">
        <v>436</v>
      </c>
      <c r="B9" s="303">
        <v>768.11242289220786</v>
      </c>
      <c r="C9" s="304">
        <v>859.53658460811619</v>
      </c>
      <c r="D9" s="303">
        <v>3100.359674770561</v>
      </c>
      <c r="E9" s="304">
        <v>2436.4494032087719</v>
      </c>
      <c r="F9" s="305">
        <v>5.6391405246305225E-2</v>
      </c>
      <c r="H9" s="306"/>
    </row>
    <row r="10" spans="1:8" ht="20" customHeight="1" thickBot="1">
      <c r="A10" s="307" t="s">
        <v>437</v>
      </c>
      <c r="B10" s="303">
        <v>672.32474413211571</v>
      </c>
      <c r="C10" s="304">
        <v>681.13899490203767</v>
      </c>
      <c r="D10" s="303">
        <v>2891.7745133151648</v>
      </c>
      <c r="E10" s="304">
        <v>2260.5216634437506</v>
      </c>
      <c r="F10" s="305">
        <v>4.6777483054618652E-2</v>
      </c>
      <c r="H10" s="306"/>
    </row>
    <row r="11" spans="1:8" ht="20" customHeight="1" thickBot="1">
      <c r="A11" s="307" t="s">
        <v>438</v>
      </c>
      <c r="B11" s="303">
        <v>870.55692636979779</v>
      </c>
      <c r="C11" s="304">
        <v>860.64481546545278</v>
      </c>
      <c r="D11" s="303">
        <v>3013.2682971274112</v>
      </c>
      <c r="E11" s="304">
        <v>2416.2630099855819</v>
      </c>
      <c r="F11" s="305">
        <v>6.5169187146695437E-2</v>
      </c>
      <c r="H11" s="306"/>
    </row>
    <row r="12" spans="1:8" ht="20" customHeight="1" thickBot="1">
      <c r="A12" s="307" t="s">
        <v>439</v>
      </c>
      <c r="B12" s="303">
        <v>798.77453071345474</v>
      </c>
      <c r="C12" s="304">
        <v>724.23873680647364</v>
      </c>
      <c r="D12" s="303">
        <v>2895.6135308104017</v>
      </c>
      <c r="E12" s="304">
        <v>2280.1500491427919</v>
      </c>
      <c r="F12" s="305">
        <v>8.5238187252614617E-2</v>
      </c>
      <c r="H12" s="306"/>
    </row>
    <row r="13" spans="1:8" ht="20" customHeight="1" thickBot="1">
      <c r="A13" s="307" t="s">
        <v>440</v>
      </c>
      <c r="B13" s="303">
        <v>727.26465138267758</v>
      </c>
      <c r="C13" s="304">
        <v>668.52639712916016</v>
      </c>
      <c r="D13" s="303">
        <v>2861.2666596262525</v>
      </c>
      <c r="E13" s="304">
        <v>2287.2711565217187</v>
      </c>
      <c r="F13" s="305">
        <v>0.12831811126993378</v>
      </c>
      <c r="H13" s="306"/>
    </row>
    <row r="14" spans="1:8" ht="20" customHeight="1" thickBot="1">
      <c r="A14" s="307" t="s">
        <v>441</v>
      </c>
      <c r="B14" s="303">
        <v>823.44780472275272</v>
      </c>
      <c r="C14" s="304">
        <v>1016.6698756529026</v>
      </c>
      <c r="D14" s="303">
        <v>3114.7587429423165</v>
      </c>
      <c r="E14" s="304">
        <v>2499.6467524433988</v>
      </c>
      <c r="F14" s="305">
        <v>7.6985538864955433E-2</v>
      </c>
      <c r="H14" s="306"/>
    </row>
    <row r="15" spans="1:8" ht="20" customHeight="1" thickBot="1">
      <c r="A15" s="307" t="s">
        <v>442</v>
      </c>
      <c r="B15" s="303">
        <v>787.84492262439676</v>
      </c>
      <c r="C15" s="304">
        <v>919.52666608057427</v>
      </c>
      <c r="D15" s="303">
        <v>2848.9458401709499</v>
      </c>
      <c r="E15" s="304">
        <v>2307.9196894147185</v>
      </c>
      <c r="F15" s="305">
        <v>4.9112949657375497E-2</v>
      </c>
      <c r="H15" s="306"/>
    </row>
    <row r="16" spans="1:8" ht="20" customHeight="1" thickBot="1">
      <c r="A16" s="307" t="s">
        <v>443</v>
      </c>
      <c r="B16" s="303">
        <v>831.77057998856355</v>
      </c>
      <c r="C16" s="304">
        <v>958.13024118823705</v>
      </c>
      <c r="D16" s="303">
        <v>3239.0159517347224</v>
      </c>
      <c r="E16" s="304">
        <v>2506.9049862271036</v>
      </c>
      <c r="F16" s="305">
        <v>-7.7573962383387296E-3</v>
      </c>
      <c r="H16" s="306"/>
    </row>
    <row r="17" spans="1:8" ht="20" customHeight="1" thickBot="1">
      <c r="A17" s="307" t="s">
        <v>444</v>
      </c>
      <c r="B17" s="303">
        <v>916.48708197371673</v>
      </c>
      <c r="C17" s="304">
        <v>964.50614008998002</v>
      </c>
      <c r="D17" s="303">
        <v>3370.3068970625272</v>
      </c>
      <c r="E17" s="304">
        <v>2714.7234684026585</v>
      </c>
      <c r="F17" s="305">
        <v>6.1325896121100731E-2</v>
      </c>
      <c r="H17" s="306"/>
    </row>
    <row r="18" spans="1:8" ht="20" customHeight="1" thickBot="1">
      <c r="A18" s="307" t="s">
        <v>445</v>
      </c>
      <c r="B18" s="303">
        <v>1256.6192205168038</v>
      </c>
      <c r="C18" s="304">
        <v>1365.8992043701364</v>
      </c>
      <c r="D18" s="303">
        <v>4572.4416418627707</v>
      </c>
      <c r="E18" s="304">
        <v>3822.2664700377072</v>
      </c>
      <c r="F18" s="305">
        <v>7.3026459236361979E-3</v>
      </c>
      <c r="H18" s="306"/>
    </row>
    <row r="19" spans="1:8" ht="20" customHeight="1" thickBot="1">
      <c r="A19" s="307" t="s">
        <v>446</v>
      </c>
      <c r="B19" s="303">
        <v>1035.6031384838354</v>
      </c>
      <c r="C19" s="304">
        <v>1211.0259211801624</v>
      </c>
      <c r="D19" s="303">
        <v>3717.0920324927652</v>
      </c>
      <c r="E19" s="304">
        <v>3039.4996901615032</v>
      </c>
      <c r="F19" s="305">
        <v>4.2735885176946257E-2</v>
      </c>
      <c r="H19" s="306"/>
    </row>
    <row r="20" spans="1:8" ht="20" customHeight="1" thickBot="1">
      <c r="A20" s="307" t="s">
        <v>447</v>
      </c>
      <c r="B20" s="303">
        <v>745.18225642051459</v>
      </c>
      <c r="C20" s="304">
        <v>972.32390792677961</v>
      </c>
      <c r="D20" s="303">
        <v>3354.0364913772878</v>
      </c>
      <c r="E20" s="304">
        <v>2684.1632575747785</v>
      </c>
      <c r="F20" s="305">
        <v>3.5422542492739774E-2</v>
      </c>
      <c r="H20" s="306"/>
    </row>
    <row r="21" spans="1:8" ht="20" customHeight="1" thickBot="1">
      <c r="A21" s="307" t="s">
        <v>448</v>
      </c>
      <c r="B21" s="303">
        <v>718.73833994700669</v>
      </c>
      <c r="C21" s="304">
        <v>844.38946579574042</v>
      </c>
      <c r="D21" s="303">
        <v>2981.6379073708754</v>
      </c>
      <c r="E21" s="304">
        <v>2352.5594322869501</v>
      </c>
      <c r="F21" s="305">
        <v>9.1343454926615858E-2</v>
      </c>
      <c r="H21" s="306"/>
    </row>
    <row r="22" spans="1:8" ht="20" customHeight="1" thickBot="1">
      <c r="A22" s="308" t="s">
        <v>449</v>
      </c>
      <c r="B22" s="309">
        <v>583.04728412442807</v>
      </c>
      <c r="C22" s="310">
        <v>541.66576421958473</v>
      </c>
      <c r="D22" s="309">
        <v>2636.6847984031574</v>
      </c>
      <c r="E22" s="310">
        <v>1986.1866108182728</v>
      </c>
      <c r="F22" s="311">
        <v>4.8344846130874634E-2</v>
      </c>
      <c r="H22" s="306"/>
    </row>
    <row r="23" spans="1:8" ht="20" customHeight="1" thickBot="1">
      <c r="A23" s="312" t="s">
        <v>450</v>
      </c>
      <c r="B23" s="313">
        <v>825.83518094723922</v>
      </c>
      <c r="C23" s="314">
        <v>877.84565649643434</v>
      </c>
      <c r="D23" s="313">
        <v>3086.6748096410261</v>
      </c>
      <c r="E23" s="314">
        <v>2431.0490453454699</v>
      </c>
      <c r="F23" s="315">
        <v>7.8366966577766997E-2</v>
      </c>
      <c r="H23" s="306"/>
    </row>
    <row r="24" spans="1:8" ht="20" customHeight="1" thickBot="1">
      <c r="A24" s="312" t="s">
        <v>451</v>
      </c>
      <c r="B24" s="313">
        <v>850.61264717220217</v>
      </c>
      <c r="C24" s="314">
        <v>794.24273267047101</v>
      </c>
      <c r="D24" s="313">
        <v>2929.037756787422</v>
      </c>
      <c r="E24" s="314">
        <v>2381.0435840283717</v>
      </c>
      <c r="F24" s="315">
        <v>2.0978115268930002E-2</v>
      </c>
      <c r="H24" s="306"/>
    </row>
    <row r="25" spans="1:8" ht="20" customHeight="1" thickBot="1">
      <c r="A25" s="312" t="s">
        <v>452</v>
      </c>
      <c r="B25" s="313">
        <v>919.23844421523677</v>
      </c>
      <c r="C25" s="314">
        <v>1068.7799288977558</v>
      </c>
      <c r="D25" s="313">
        <v>3238.2578345129673</v>
      </c>
      <c r="E25" s="314">
        <v>2607.448572935828</v>
      </c>
      <c r="F25" s="315">
        <v>6.2643374845383668E-2</v>
      </c>
      <c r="H25" s="306"/>
    </row>
    <row r="26" spans="1:8" ht="20" customHeight="1" thickBot="1">
      <c r="A26" s="312" t="s">
        <v>453</v>
      </c>
      <c r="B26" s="313">
        <v>826.14276780657701</v>
      </c>
      <c r="C26" s="314">
        <v>888.03844471891477</v>
      </c>
      <c r="D26" s="313">
        <v>2945.1602555609184</v>
      </c>
      <c r="E26" s="314">
        <v>2335.0036395432153</v>
      </c>
      <c r="F26" s="315">
        <v>1.372220949707602E-2</v>
      </c>
      <c r="H26" s="306"/>
    </row>
    <row r="27" spans="1:8" ht="20" customHeight="1" thickBot="1">
      <c r="A27" s="312" t="s">
        <v>454</v>
      </c>
      <c r="B27" s="313">
        <v>936.41863056811201</v>
      </c>
      <c r="C27" s="314">
        <v>873.49482158449086</v>
      </c>
      <c r="D27" s="313">
        <v>3756.0589092198743</v>
      </c>
      <c r="E27" s="314">
        <v>3054.2551930481563</v>
      </c>
      <c r="F27" s="315">
        <v>-1.7410468843482504E-2</v>
      </c>
      <c r="H27" s="306"/>
    </row>
    <row r="28" spans="1:8" ht="20" customHeight="1" thickBot="1">
      <c r="A28" s="312" t="s">
        <v>455</v>
      </c>
      <c r="B28" s="313">
        <v>1064.6624124503739</v>
      </c>
      <c r="C28" s="314">
        <v>1090.2516863970677</v>
      </c>
      <c r="D28" s="313">
        <v>3869.2666603426737</v>
      </c>
      <c r="E28" s="314">
        <v>3048.727807999795</v>
      </c>
      <c r="F28" s="315">
        <v>7.520135648617551E-3</v>
      </c>
      <c r="H28" s="306"/>
    </row>
    <row r="29" spans="1:8" ht="20" customHeight="1" thickBot="1">
      <c r="A29" s="312" t="s">
        <v>456</v>
      </c>
      <c r="B29" s="313">
        <v>885.48798877270519</v>
      </c>
      <c r="C29" s="314">
        <v>904.60325781746803</v>
      </c>
      <c r="D29" s="313">
        <v>3274.2694095835095</v>
      </c>
      <c r="E29" s="314">
        <v>2609.5897762630429</v>
      </c>
      <c r="F29" s="315">
        <v>6.0347683675048641E-2</v>
      </c>
      <c r="H29" s="306"/>
    </row>
    <row r="30" spans="1:8" ht="20" customHeight="1" thickBot="1">
      <c r="A30" s="312" t="s">
        <v>457</v>
      </c>
      <c r="B30" s="313">
        <v>911.95167271166679</v>
      </c>
      <c r="C30" s="314">
        <v>893.90520118119025</v>
      </c>
      <c r="D30" s="313">
        <v>3675.3558231865277</v>
      </c>
      <c r="E30" s="314">
        <v>2871.9943908875362</v>
      </c>
      <c r="F30" s="315">
        <v>2.1425072288734887E-2</v>
      </c>
      <c r="H30" s="306"/>
    </row>
    <row r="31" spans="1:8" ht="20" customHeight="1" thickBot="1">
      <c r="A31" s="316" t="s">
        <v>458</v>
      </c>
      <c r="B31" s="317">
        <v>1286.6583824039285</v>
      </c>
      <c r="C31" s="318">
        <v>1489.4692026322364</v>
      </c>
      <c r="D31" s="317">
        <v>4579.4030246825059</v>
      </c>
      <c r="E31" s="318">
        <v>3652.8675246070202</v>
      </c>
      <c r="F31" s="319">
        <v>2.9869177722552681E-2</v>
      </c>
      <c r="H31" s="306"/>
    </row>
    <row r="32" spans="1:8" ht="20" customHeight="1" thickBot="1">
      <c r="A32" s="174" t="s">
        <v>459</v>
      </c>
      <c r="B32" s="303">
        <v>829.93486622799878</v>
      </c>
      <c r="C32" s="304">
        <v>776.39578486723201</v>
      </c>
      <c r="D32" s="303">
        <v>3678.3097269755754</v>
      </c>
      <c r="E32" s="304">
        <v>2827.1977080906604</v>
      </c>
      <c r="F32" s="305">
        <v>-6.9519594313414198E-3</v>
      </c>
      <c r="H32" s="306"/>
    </row>
    <row r="33" spans="1:8" ht="20" customHeight="1" thickBot="1">
      <c r="A33" s="187" t="s">
        <v>460</v>
      </c>
      <c r="B33" s="303">
        <v>574.12109929552946</v>
      </c>
      <c r="C33" s="304">
        <v>437.47270169483949</v>
      </c>
      <c r="D33" s="303">
        <v>904.55247776692534</v>
      </c>
      <c r="E33" s="304">
        <v>814.89974218745374</v>
      </c>
      <c r="F33" s="305">
        <v>-0.12711196354857685</v>
      </c>
      <c r="H33" s="306"/>
    </row>
    <row r="34" spans="1:8" ht="0.5" customHeight="1" thickBot="1">
      <c r="A34" s="174" t="s">
        <v>461</v>
      </c>
      <c r="B34" s="320" t="s">
        <v>29</v>
      </c>
      <c r="C34" s="321" t="s">
        <v>29</v>
      </c>
      <c r="D34" s="320" t="s">
        <v>29</v>
      </c>
      <c r="E34" s="321" t="s">
        <v>29</v>
      </c>
      <c r="F34" s="305" t="s">
        <v>29</v>
      </c>
      <c r="H34" s="306"/>
    </row>
    <row r="35" spans="1:8" ht="30" customHeight="1" thickBot="1">
      <c r="A35" s="322" t="s">
        <v>462</v>
      </c>
      <c r="B35" s="323">
        <v>931.31378309197351</v>
      </c>
      <c r="C35" s="324">
        <v>1025.5098035210483</v>
      </c>
      <c r="D35" s="323">
        <v>3480.935299527302</v>
      </c>
      <c r="E35" s="324">
        <v>2790.7698697073065</v>
      </c>
      <c r="F35" s="325">
        <v>2.747545639134635E-2</v>
      </c>
      <c r="H35" s="306"/>
    </row>
    <row r="36" spans="1:8" ht="20" customHeight="1">
      <c r="A36" s="130" t="s">
        <v>396</v>
      </c>
      <c r="B36" s="130"/>
      <c r="C36" s="130"/>
      <c r="D36" s="130"/>
      <c r="E36" s="130"/>
      <c r="F36" s="130"/>
      <c r="H36" s="301"/>
    </row>
    <row r="37" spans="1:8" ht="11.25" customHeight="1">
      <c r="A37" s="131"/>
      <c r="B37" s="131"/>
      <c r="C37" s="131"/>
      <c r="D37" s="131"/>
      <c r="E37" s="131"/>
      <c r="F37" s="131"/>
      <c r="H37" s="301"/>
    </row>
    <row r="38" spans="1:8" ht="14.25" customHeight="1">
      <c r="A38" s="131" t="s">
        <v>463</v>
      </c>
      <c r="B38" s="131"/>
      <c r="C38" s="131"/>
      <c r="D38" s="131"/>
      <c r="E38" s="131"/>
      <c r="F38" s="131"/>
      <c r="H38" s="301"/>
    </row>
    <row r="39" spans="1:8" ht="13.5" customHeight="1">
      <c r="A39" s="131"/>
      <c r="B39" s="131"/>
      <c r="C39" s="131"/>
      <c r="D39" s="131"/>
      <c r="E39" s="131"/>
      <c r="F39" s="131"/>
      <c r="H39" s="301"/>
    </row>
    <row r="40" spans="1:8" ht="15" customHeight="1">
      <c r="A40" s="131" t="s">
        <v>464</v>
      </c>
      <c r="B40" s="131"/>
      <c r="C40" s="131"/>
      <c r="D40" s="131"/>
      <c r="E40" s="131"/>
    </row>
    <row r="41" spans="1:8" ht="13.5" customHeight="1">
      <c r="A41" s="131" t="s">
        <v>465</v>
      </c>
    </row>
    <row r="42" spans="1:8" ht="13.5" customHeight="1">
      <c r="A42" s="131"/>
    </row>
    <row r="43" spans="1:8" ht="12" customHeight="1"/>
    <row r="44" spans="1:8" ht="12" customHeight="1">
      <c r="A44" s="131" t="s">
        <v>395</v>
      </c>
    </row>
  </sheetData>
  <mergeCells count="1">
    <mergeCell ref="A2:E2"/>
  </mergeCells>
  <pageMargins left="0.65" right="0.5" top="0.87" bottom="0.49" header="0.51" footer="0.4921259845"/>
  <pageSetup paperSize="9" scale="72"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8C729-5EED-B945-9955-2BBB8B5D3393}">
  <sheetPr>
    <pageSetUpPr fitToPage="1"/>
  </sheetPr>
  <dimension ref="A1:H44"/>
  <sheetViews>
    <sheetView zoomScaleNormal="100" workbookViewId="0">
      <selection activeCell="G30" sqref="G30"/>
    </sheetView>
  </sheetViews>
  <sheetFormatPr baseColWidth="10" defaultColWidth="11.3984375" defaultRowHeight="13"/>
  <cols>
    <col min="1" max="1" width="19.59765625" style="3" customWidth="1"/>
    <col min="2" max="5" width="18.59765625" style="3" customWidth="1"/>
    <col min="6" max="6" width="20" style="3" customWidth="1"/>
    <col min="7" max="7" width="16.796875" style="3" customWidth="1"/>
    <col min="8" max="8" width="12.19921875" style="3" customWidth="1"/>
    <col min="9" max="16384" width="11.3984375" style="3"/>
  </cols>
  <sheetData>
    <row r="1" spans="1:8" s="2" customFormat="1" ht="14" customHeight="1"/>
    <row r="2" spans="1:8" s="2" customFormat="1" ht="26.5" customHeight="1">
      <c r="A2" s="2054" t="s">
        <v>1634</v>
      </c>
      <c r="B2" s="2055"/>
      <c r="C2" s="2055"/>
      <c r="D2" s="2055"/>
      <c r="E2" s="2055"/>
      <c r="F2" s="139">
        <v>2012</v>
      </c>
    </row>
    <row r="3" spans="1:8" ht="27" customHeight="1">
      <c r="A3" s="109" t="s">
        <v>426</v>
      </c>
      <c r="B3" s="110" t="s">
        <v>427</v>
      </c>
      <c r="C3" s="111" t="s">
        <v>428</v>
      </c>
      <c r="D3" s="110" t="s">
        <v>429</v>
      </c>
      <c r="E3" s="111" t="s">
        <v>430</v>
      </c>
      <c r="F3" s="165" t="s">
        <v>256</v>
      </c>
    </row>
    <row r="4" spans="1:8" ht="15" customHeight="1">
      <c r="A4" s="156"/>
      <c r="B4" s="113"/>
      <c r="C4" s="114"/>
      <c r="D4" s="300"/>
      <c r="E4" s="114"/>
      <c r="F4" s="300" t="s">
        <v>257</v>
      </c>
    </row>
    <row r="5" spans="1:8" ht="15" customHeight="1">
      <c r="A5" s="156"/>
      <c r="B5" s="113" t="s">
        <v>431</v>
      </c>
      <c r="C5" s="114" t="s">
        <v>432</v>
      </c>
      <c r="D5" s="113" t="s">
        <v>433</v>
      </c>
      <c r="E5" s="114"/>
      <c r="F5" s="300" t="s">
        <v>258</v>
      </c>
    </row>
    <row r="6" spans="1:8" ht="24" customHeight="1">
      <c r="A6" s="157"/>
      <c r="B6" s="169"/>
      <c r="C6" s="157"/>
      <c r="D6" s="169"/>
      <c r="E6" s="118"/>
      <c r="F6" s="117"/>
      <c r="H6" s="301"/>
    </row>
    <row r="7" spans="1:8" ht="30" customHeight="1" thickBot="1">
      <c r="A7" s="302" t="s">
        <v>434</v>
      </c>
      <c r="B7" s="303">
        <v>95.914329409950284</v>
      </c>
      <c r="C7" s="304">
        <v>362.46848981462637</v>
      </c>
      <c r="D7" s="303">
        <v>578.82427882610068</v>
      </c>
      <c r="E7" s="304">
        <v>473.96354610223665</v>
      </c>
      <c r="F7" s="305">
        <v>1.9438123872246433E-2</v>
      </c>
      <c r="H7" s="306"/>
    </row>
    <row r="8" spans="1:8" ht="20" customHeight="1" thickBot="1">
      <c r="A8" s="307" t="s">
        <v>435</v>
      </c>
      <c r="B8" s="303">
        <v>84.938405194251189</v>
      </c>
      <c r="C8" s="304">
        <v>340.66398725097883</v>
      </c>
      <c r="D8" s="303">
        <v>579.86274315498372</v>
      </c>
      <c r="E8" s="304">
        <v>471.38250839648327</v>
      </c>
      <c r="F8" s="305">
        <v>2.6042663897283377E-2</v>
      </c>
      <c r="H8" s="306"/>
    </row>
    <row r="9" spans="1:8" ht="20" customHeight="1" thickBot="1">
      <c r="A9" s="307" t="s">
        <v>436</v>
      </c>
      <c r="B9" s="303">
        <v>82.394438105993984</v>
      </c>
      <c r="C9" s="304">
        <v>321.00644211306457</v>
      </c>
      <c r="D9" s="303">
        <v>516.38422153132342</v>
      </c>
      <c r="E9" s="304">
        <v>413.40149850155291</v>
      </c>
      <c r="F9" s="305">
        <v>3.9343029801469316E-2</v>
      </c>
      <c r="H9" s="306"/>
    </row>
    <row r="10" spans="1:8" ht="20" customHeight="1" thickBot="1">
      <c r="A10" s="307" t="s">
        <v>437</v>
      </c>
      <c r="B10" s="303">
        <v>82.746593211680107</v>
      </c>
      <c r="C10" s="304">
        <v>319.30136142655851</v>
      </c>
      <c r="D10" s="303">
        <v>505.77806545954996</v>
      </c>
      <c r="E10" s="304">
        <v>406.57676396934517</v>
      </c>
      <c r="F10" s="305">
        <v>2.3247008962120959E-2</v>
      </c>
      <c r="H10" s="306"/>
    </row>
    <row r="11" spans="1:8" ht="20" customHeight="1" thickBot="1">
      <c r="A11" s="307" t="s">
        <v>438</v>
      </c>
      <c r="B11" s="303">
        <v>92.825163774298801</v>
      </c>
      <c r="C11" s="304">
        <v>374.96321587220626</v>
      </c>
      <c r="D11" s="303">
        <v>562.97077796302528</v>
      </c>
      <c r="E11" s="304">
        <v>456.19371577111207</v>
      </c>
      <c r="F11" s="305">
        <v>3.6804512928106339E-2</v>
      </c>
      <c r="H11" s="306"/>
    </row>
    <row r="12" spans="1:8" ht="20" customHeight="1" thickBot="1">
      <c r="A12" s="307" t="s">
        <v>439</v>
      </c>
      <c r="B12" s="303">
        <v>84.419754961029199</v>
      </c>
      <c r="C12" s="304">
        <v>316.41911423543939</v>
      </c>
      <c r="D12" s="303">
        <v>508.04982144261425</v>
      </c>
      <c r="E12" s="304">
        <v>406.87201504054002</v>
      </c>
      <c r="F12" s="305">
        <v>2.5994951460787868E-2</v>
      </c>
      <c r="H12" s="306"/>
    </row>
    <row r="13" spans="1:8" ht="20" customHeight="1" thickBot="1">
      <c r="A13" s="307" t="s">
        <v>440</v>
      </c>
      <c r="B13" s="303">
        <v>80.483253816016131</v>
      </c>
      <c r="C13" s="304">
        <v>300.08890369526637</v>
      </c>
      <c r="D13" s="303">
        <v>505.5434306322864</v>
      </c>
      <c r="E13" s="304">
        <v>411.52688279870938</v>
      </c>
      <c r="F13" s="305">
        <v>5.344401395729944E-2</v>
      </c>
      <c r="H13" s="306"/>
    </row>
    <row r="14" spans="1:8" ht="20" customHeight="1" thickBot="1">
      <c r="A14" s="307" t="s">
        <v>441</v>
      </c>
      <c r="B14" s="303">
        <v>85.633744428757311</v>
      </c>
      <c r="C14" s="304">
        <v>355.69337209552265</v>
      </c>
      <c r="D14" s="303">
        <v>540.22921529672067</v>
      </c>
      <c r="E14" s="304">
        <v>439.96629711639679</v>
      </c>
      <c r="F14" s="305">
        <v>3.4309452857015442E-2</v>
      </c>
      <c r="H14" s="306"/>
    </row>
    <row r="15" spans="1:8" ht="20" customHeight="1" thickBot="1">
      <c r="A15" s="307" t="s">
        <v>442</v>
      </c>
      <c r="B15" s="303">
        <v>80.975967359485239</v>
      </c>
      <c r="C15" s="304">
        <v>337.67785765166269</v>
      </c>
      <c r="D15" s="303">
        <v>527.44430091023924</v>
      </c>
      <c r="E15" s="304">
        <v>427.75893772942243</v>
      </c>
      <c r="F15" s="305">
        <v>2.89301824471054E-2</v>
      </c>
      <c r="H15" s="306"/>
    </row>
    <row r="16" spans="1:8" ht="20" customHeight="1" thickBot="1">
      <c r="A16" s="307" t="s">
        <v>443</v>
      </c>
      <c r="B16" s="303">
        <v>88.172574792040706</v>
      </c>
      <c r="C16" s="304">
        <v>344.84249108948677</v>
      </c>
      <c r="D16" s="303">
        <v>561.40781236962698</v>
      </c>
      <c r="E16" s="304">
        <v>438.45369438879868</v>
      </c>
      <c r="F16" s="305">
        <v>7.1350967226017411E-3</v>
      </c>
      <c r="H16" s="306"/>
    </row>
    <row r="17" spans="1:8" ht="20" customHeight="1" thickBot="1">
      <c r="A17" s="307" t="s">
        <v>444</v>
      </c>
      <c r="B17" s="303">
        <v>90.905953397459868</v>
      </c>
      <c r="C17" s="304">
        <v>350.79828309636616</v>
      </c>
      <c r="D17" s="303">
        <v>569.7009064252594</v>
      </c>
      <c r="E17" s="304">
        <v>463.80934733409407</v>
      </c>
      <c r="F17" s="305">
        <v>3.5432290141320912E-2</v>
      </c>
      <c r="H17" s="306"/>
    </row>
    <row r="18" spans="1:8" ht="20" customHeight="1" thickBot="1">
      <c r="A18" s="307" t="s">
        <v>445</v>
      </c>
      <c r="B18" s="303">
        <v>113.10193473907594</v>
      </c>
      <c r="C18" s="304">
        <v>403.53953305053824</v>
      </c>
      <c r="D18" s="303">
        <v>646.32742666674903</v>
      </c>
      <c r="E18" s="304">
        <v>545.4313085524999</v>
      </c>
      <c r="F18" s="305">
        <v>5.6141657176599366E-3</v>
      </c>
      <c r="H18" s="306"/>
    </row>
    <row r="19" spans="1:8" ht="20" customHeight="1" thickBot="1">
      <c r="A19" s="307" t="s">
        <v>446</v>
      </c>
      <c r="B19" s="303">
        <v>108.19797516779489</v>
      </c>
      <c r="C19" s="304">
        <v>404.63330201335447</v>
      </c>
      <c r="D19" s="303">
        <v>645.84008208430259</v>
      </c>
      <c r="E19" s="304">
        <v>530.49403628157143</v>
      </c>
      <c r="F19" s="305">
        <v>2.5874811315313148E-2</v>
      </c>
      <c r="H19" s="306"/>
    </row>
    <row r="20" spans="1:8" ht="20" customHeight="1" thickBot="1">
      <c r="A20" s="307" t="s">
        <v>447</v>
      </c>
      <c r="B20" s="303">
        <v>74.585126145220343</v>
      </c>
      <c r="C20" s="304">
        <v>322.547973736644</v>
      </c>
      <c r="D20" s="303">
        <v>565.50589324830264</v>
      </c>
      <c r="E20" s="304">
        <v>457.66425242281753</v>
      </c>
      <c r="F20" s="305">
        <v>1.9491765623679304E-2</v>
      </c>
      <c r="H20" s="306"/>
    </row>
    <row r="21" spans="1:8" ht="20" customHeight="1" thickBot="1">
      <c r="A21" s="307" t="s">
        <v>448</v>
      </c>
      <c r="B21" s="303">
        <v>72.235693669779124</v>
      </c>
      <c r="C21" s="304">
        <v>304.74587032317828</v>
      </c>
      <c r="D21" s="303">
        <v>509.81991278052118</v>
      </c>
      <c r="E21" s="304">
        <v>407.5006102120002</v>
      </c>
      <c r="F21" s="305">
        <v>2.313516186665451E-2</v>
      </c>
      <c r="H21" s="306"/>
    </row>
    <row r="22" spans="1:8" ht="20" customHeight="1" thickBot="1">
      <c r="A22" s="307" t="s">
        <v>449</v>
      </c>
      <c r="B22" s="303">
        <v>66.513371769419194</v>
      </c>
      <c r="C22" s="304">
        <v>292.20061519495277</v>
      </c>
      <c r="D22" s="303">
        <v>493.90922808575709</v>
      </c>
      <c r="E22" s="304">
        <v>382.85896900100397</v>
      </c>
      <c r="F22" s="305">
        <v>2.543550213916862E-2</v>
      </c>
      <c r="H22" s="306"/>
    </row>
    <row r="23" spans="1:8" ht="20" customHeight="1" thickBot="1">
      <c r="A23" s="307" t="s">
        <v>450</v>
      </c>
      <c r="B23" s="303">
        <v>84.470980044972791</v>
      </c>
      <c r="C23" s="304">
        <v>353.87617684286727</v>
      </c>
      <c r="D23" s="303">
        <v>546.76578008619583</v>
      </c>
      <c r="E23" s="304">
        <v>437.53845733566965</v>
      </c>
      <c r="F23" s="305">
        <v>2.8411448928419937E-2</v>
      </c>
      <c r="H23" s="306"/>
    </row>
    <row r="24" spans="1:8" ht="20" customHeight="1" thickBot="1">
      <c r="A24" s="307" t="s">
        <v>451</v>
      </c>
      <c r="B24" s="303">
        <v>82.977814764259321</v>
      </c>
      <c r="C24" s="304">
        <v>311.73608152730833</v>
      </c>
      <c r="D24" s="303">
        <v>511.52117641201795</v>
      </c>
      <c r="E24" s="304">
        <v>420.43594419429417</v>
      </c>
      <c r="F24" s="305">
        <v>2.0879411920725975E-2</v>
      </c>
      <c r="H24" s="306"/>
    </row>
    <row r="25" spans="1:8" ht="20" customHeight="1" thickBot="1">
      <c r="A25" s="308" t="s">
        <v>452</v>
      </c>
      <c r="B25" s="309">
        <v>88.490494494716188</v>
      </c>
      <c r="C25" s="310">
        <v>348.18034618463491</v>
      </c>
      <c r="D25" s="309">
        <v>554.02874754522895</v>
      </c>
      <c r="E25" s="310">
        <v>447.19692351940358</v>
      </c>
      <c r="F25" s="311">
        <v>3.7340589724794891E-2</v>
      </c>
      <c r="H25" s="306"/>
    </row>
    <row r="26" spans="1:8" ht="20" customHeight="1" thickBot="1">
      <c r="A26" s="312" t="s">
        <v>453</v>
      </c>
      <c r="B26" s="313">
        <v>84.171199228134512</v>
      </c>
      <c r="C26" s="314">
        <v>330.11490221680981</v>
      </c>
      <c r="D26" s="313">
        <v>531.21514193623864</v>
      </c>
      <c r="E26" s="314">
        <v>424.6397084312589</v>
      </c>
      <c r="F26" s="315">
        <v>1.2597176676359578E-2</v>
      </c>
      <c r="H26" s="306"/>
    </row>
    <row r="27" spans="1:8" ht="20" customHeight="1" thickBot="1">
      <c r="A27" s="312" t="s">
        <v>454</v>
      </c>
      <c r="B27" s="313">
        <v>105.20283482726015</v>
      </c>
      <c r="C27" s="314">
        <v>373.23403025036328</v>
      </c>
      <c r="D27" s="313">
        <v>623.30480707732045</v>
      </c>
      <c r="E27" s="314">
        <v>514.37602723134489</v>
      </c>
      <c r="F27" s="315">
        <v>2.670191152942555E-2</v>
      </c>
      <c r="H27" s="306"/>
    </row>
    <row r="28" spans="1:8" ht="20" customHeight="1" thickBot="1">
      <c r="A28" s="312" t="s">
        <v>455</v>
      </c>
      <c r="B28" s="313">
        <v>118.45507776137588</v>
      </c>
      <c r="C28" s="314">
        <v>377.54882969219267</v>
      </c>
      <c r="D28" s="313">
        <v>611.65574287590005</v>
      </c>
      <c r="E28" s="314">
        <v>488.90420857199376</v>
      </c>
      <c r="F28" s="315">
        <v>2.0710735292139702E-2</v>
      </c>
      <c r="H28" s="306"/>
    </row>
    <row r="29" spans="1:8" ht="20" customHeight="1" thickBot="1">
      <c r="A29" s="312" t="s">
        <v>456</v>
      </c>
      <c r="B29" s="313">
        <v>91.653869109164518</v>
      </c>
      <c r="C29" s="314">
        <v>308.22345302361691</v>
      </c>
      <c r="D29" s="313">
        <v>540.35162273772198</v>
      </c>
      <c r="E29" s="314">
        <v>434.63642842631936</v>
      </c>
      <c r="F29" s="315">
        <v>3.9454622727175627E-2</v>
      </c>
      <c r="H29" s="306"/>
    </row>
    <row r="30" spans="1:8" ht="20" customHeight="1" thickBot="1">
      <c r="A30" s="312" t="s">
        <v>457</v>
      </c>
      <c r="B30" s="313">
        <v>96.334418946743185</v>
      </c>
      <c r="C30" s="314">
        <v>301.2648758089544</v>
      </c>
      <c r="D30" s="313">
        <v>540.01338007872334</v>
      </c>
      <c r="E30" s="314">
        <v>429.37377057666112</v>
      </c>
      <c r="F30" s="315">
        <v>1.3928960063787688E-2</v>
      </c>
      <c r="H30" s="306"/>
    </row>
    <row r="31" spans="1:8" ht="20" customHeight="1" thickBot="1">
      <c r="A31" s="316" t="s">
        <v>458</v>
      </c>
      <c r="B31" s="317">
        <v>124.39439689967948</v>
      </c>
      <c r="C31" s="318">
        <v>435.67399345262248</v>
      </c>
      <c r="D31" s="317">
        <v>665.93972540908919</v>
      </c>
      <c r="E31" s="318">
        <v>536.07232625487632</v>
      </c>
      <c r="F31" s="319">
        <v>2.458866679654791E-2</v>
      </c>
      <c r="H31" s="306"/>
    </row>
    <row r="32" spans="1:8" ht="20" customHeight="1" thickBot="1">
      <c r="A32" s="174" t="s">
        <v>459</v>
      </c>
      <c r="B32" s="303">
        <v>89.900277017709598</v>
      </c>
      <c r="C32" s="304">
        <v>312.6230079363969</v>
      </c>
      <c r="D32" s="303">
        <v>564.75995122645656</v>
      </c>
      <c r="E32" s="304">
        <v>443.78871616026942</v>
      </c>
      <c r="F32" s="305">
        <v>-6.0986262677447675E-3</v>
      </c>
      <c r="H32" s="306"/>
    </row>
    <row r="33" spans="1:8" ht="20" customHeight="1" thickBot="1">
      <c r="A33" s="187" t="s">
        <v>460</v>
      </c>
      <c r="B33" s="303">
        <v>68.756542469129201</v>
      </c>
      <c r="C33" s="304">
        <v>144.45450282473257</v>
      </c>
      <c r="D33" s="303">
        <v>178.24314244589524</v>
      </c>
      <c r="E33" s="304">
        <v>159.19120212228299</v>
      </c>
      <c r="F33" s="305">
        <v>0.37978362445617941</v>
      </c>
      <c r="H33" s="306"/>
    </row>
    <row r="34" spans="1:8" ht="0.5" hidden="1" customHeight="1" thickBot="1">
      <c r="A34" s="174" t="s">
        <v>461</v>
      </c>
      <c r="B34" s="320" t="s">
        <v>29</v>
      </c>
      <c r="C34" s="321" t="s">
        <v>29</v>
      </c>
      <c r="D34" s="320" t="s">
        <v>29</v>
      </c>
      <c r="E34" s="321" t="s">
        <v>29</v>
      </c>
      <c r="F34" s="305" t="s">
        <v>29</v>
      </c>
      <c r="H34" s="306"/>
    </row>
    <row r="35" spans="1:8" ht="30" customHeight="1" thickBot="1">
      <c r="A35" s="322" t="s">
        <v>462</v>
      </c>
      <c r="B35" s="323">
        <v>95.293888279279315</v>
      </c>
      <c r="C35" s="324">
        <v>353.60651268115112</v>
      </c>
      <c r="D35" s="323">
        <v>575.68115065131337</v>
      </c>
      <c r="E35" s="324">
        <v>465.87081007843818</v>
      </c>
      <c r="F35" s="325">
        <v>2.459536052693375E-2</v>
      </c>
      <c r="H35" s="306"/>
    </row>
    <row r="36" spans="1:8" ht="20" customHeight="1">
      <c r="A36" s="130" t="s">
        <v>396</v>
      </c>
      <c r="B36" s="130"/>
      <c r="C36" s="130"/>
      <c r="D36" s="130"/>
      <c r="E36" s="130"/>
      <c r="F36" s="130"/>
      <c r="H36" s="301"/>
    </row>
    <row r="37" spans="1:8" ht="11.25" customHeight="1">
      <c r="A37" s="131"/>
      <c r="B37" s="131"/>
      <c r="C37" s="131"/>
      <c r="D37" s="131"/>
      <c r="E37" s="131"/>
      <c r="F37" s="131"/>
      <c r="H37" s="301"/>
    </row>
    <row r="38" spans="1:8" ht="14.25" customHeight="1">
      <c r="A38" s="131" t="s">
        <v>1635</v>
      </c>
      <c r="B38" s="131"/>
      <c r="C38" s="131"/>
      <c r="D38" s="131"/>
      <c r="E38" s="131"/>
      <c r="F38" s="131"/>
      <c r="H38" s="301"/>
    </row>
    <row r="39" spans="1:8" ht="13.5" customHeight="1">
      <c r="A39" s="131"/>
      <c r="B39" s="131"/>
      <c r="C39" s="131"/>
      <c r="D39" s="131"/>
      <c r="E39" s="131"/>
      <c r="F39" s="131"/>
      <c r="H39" s="301"/>
    </row>
    <row r="40" spans="1:8" ht="13.5" customHeight="1">
      <c r="A40" s="1114" t="s">
        <v>1636</v>
      </c>
      <c r="B40" s="131"/>
      <c r="C40" s="131"/>
      <c r="D40" s="131"/>
      <c r="E40" s="131"/>
      <c r="F40" s="131"/>
      <c r="H40" s="301"/>
    </row>
    <row r="41" spans="1:8" ht="13.5" customHeight="1">
      <c r="A41" s="131" t="s">
        <v>465</v>
      </c>
      <c r="B41" s="131"/>
      <c r="C41" s="131"/>
      <c r="D41" s="131"/>
      <c r="E41" s="131"/>
      <c r="F41" s="131"/>
      <c r="H41" s="301"/>
    </row>
    <row r="42" spans="1:8" ht="13.5" customHeight="1">
      <c r="A42" s="131"/>
      <c r="B42" s="131"/>
      <c r="C42" s="131"/>
      <c r="D42" s="131"/>
      <c r="E42" s="131"/>
      <c r="F42" s="131"/>
      <c r="H42" s="301"/>
    </row>
    <row r="43" spans="1:8" ht="12" customHeight="1"/>
    <row r="44" spans="1:8" ht="12" customHeight="1">
      <c r="A44" s="131" t="s">
        <v>395</v>
      </c>
    </row>
  </sheetData>
  <mergeCells count="1">
    <mergeCell ref="A2:E2"/>
  </mergeCells>
  <pageMargins left="0.65" right="0.5" top="0.87" bottom="0.49" header="0.51" footer="0.4921259845"/>
  <pageSetup paperSize="9" scale="7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6D221-3045-2F4D-A140-2AB86DD7B341}">
  <sheetPr>
    <pageSetUpPr fitToPage="1"/>
  </sheetPr>
  <dimension ref="A1:K32"/>
  <sheetViews>
    <sheetView topLeftCell="A3" zoomScaleNormal="100" workbookViewId="0">
      <selection activeCell="G26" sqref="G26"/>
    </sheetView>
  </sheetViews>
  <sheetFormatPr baseColWidth="10" defaultColWidth="11.3984375" defaultRowHeight="13"/>
  <cols>
    <col min="1" max="1" width="16.59765625" style="3" customWidth="1"/>
    <col min="2" max="2" width="17.3984375" style="3" customWidth="1"/>
    <col min="3" max="4" width="16.3984375" style="3" customWidth="1"/>
    <col min="5" max="5" width="16.59765625" style="3" customWidth="1"/>
    <col min="6" max="6" width="17.796875" style="3" customWidth="1"/>
    <col min="7" max="7" width="15.19921875" style="3" customWidth="1"/>
    <col min="8" max="16384" width="11.3984375" style="3"/>
  </cols>
  <sheetData>
    <row r="1" spans="1:11" s="2" customFormat="1" ht="14" customHeight="1"/>
    <row r="2" spans="1:11" s="2" customFormat="1" ht="26.5" customHeight="1">
      <c r="A2" s="139" t="s">
        <v>1646</v>
      </c>
      <c r="G2" s="442"/>
    </row>
    <row r="3" spans="1:11" ht="24" customHeight="1">
      <c r="A3" s="109" t="s">
        <v>821</v>
      </c>
      <c r="B3" s="110" t="s">
        <v>226</v>
      </c>
      <c r="C3" s="111" t="s">
        <v>227</v>
      </c>
      <c r="D3" s="110" t="s">
        <v>228</v>
      </c>
      <c r="E3" s="111" t="s">
        <v>229</v>
      </c>
      <c r="F3" s="110" t="s">
        <v>230</v>
      </c>
      <c r="G3" s="155" t="s">
        <v>256</v>
      </c>
    </row>
    <row r="4" spans="1:11" ht="15" customHeight="1">
      <c r="A4" s="112"/>
      <c r="B4" s="113" t="s">
        <v>231</v>
      </c>
      <c r="C4" s="114" t="s">
        <v>232</v>
      </c>
      <c r="D4" s="113" t="s">
        <v>233</v>
      </c>
      <c r="E4" s="115" t="s">
        <v>234</v>
      </c>
      <c r="F4" s="113"/>
      <c r="G4" s="156" t="s">
        <v>257</v>
      </c>
    </row>
    <row r="5" spans="1:11" ht="15" customHeight="1">
      <c r="A5" s="112"/>
      <c r="B5" s="113" t="s">
        <v>235</v>
      </c>
      <c r="C5" s="114" t="s">
        <v>236</v>
      </c>
      <c r="D5" s="113"/>
      <c r="E5" s="115" t="s">
        <v>237</v>
      </c>
      <c r="F5" s="113"/>
      <c r="G5" s="156" t="s">
        <v>258</v>
      </c>
    </row>
    <row r="6" spans="1:11" ht="24" customHeight="1">
      <c r="A6" s="116"/>
      <c r="B6" s="117"/>
      <c r="C6" s="118"/>
      <c r="D6" s="117"/>
      <c r="E6" s="119" t="s">
        <v>238</v>
      </c>
      <c r="F6" s="117"/>
      <c r="G6" s="157"/>
    </row>
    <row r="7" spans="1:11" ht="1.25" customHeight="1" thickBot="1">
      <c r="A7" s="120">
        <v>1996</v>
      </c>
      <c r="B7" s="121">
        <v>9158.0126325000001</v>
      </c>
      <c r="C7" s="122">
        <v>3158.8991608000001</v>
      </c>
      <c r="D7" s="121">
        <v>29.792276350000002</v>
      </c>
      <c r="E7" s="122">
        <v>112.31317695</v>
      </c>
      <c r="F7" s="121">
        <v>12459.0172466</v>
      </c>
      <c r="G7" s="158" t="s">
        <v>29</v>
      </c>
    </row>
    <row r="8" spans="1:11" ht="0.75" hidden="1" customHeight="1" thickBot="1">
      <c r="A8" s="123">
        <v>1997</v>
      </c>
      <c r="B8" s="124">
        <v>8010.294124</v>
      </c>
      <c r="C8" s="125">
        <v>4715.0935929999996</v>
      </c>
      <c r="D8" s="124">
        <v>15.300134</v>
      </c>
      <c r="E8" s="125">
        <v>397.78968400000002</v>
      </c>
      <c r="F8" s="124">
        <v>13138.477535</v>
      </c>
      <c r="G8" s="159">
        <v>5.453562467661089E-2</v>
      </c>
      <c r="I8" s="9"/>
      <c r="J8" s="9"/>
      <c r="K8" s="9"/>
    </row>
    <row r="9" spans="1:11" ht="19.5" hidden="1" customHeight="1" thickBot="1">
      <c r="A9" s="123">
        <v>1998</v>
      </c>
      <c r="B9" s="124">
        <v>8034.9225379999998</v>
      </c>
      <c r="C9" s="125">
        <v>5294.4749119999997</v>
      </c>
      <c r="D9" s="124">
        <v>7.7133700000000003</v>
      </c>
      <c r="E9" s="125">
        <v>686.98183200000005</v>
      </c>
      <c r="F9" s="124">
        <v>14024.092651999999</v>
      </c>
      <c r="G9" s="159">
        <v>6.7406220746717538E-2</v>
      </c>
    </row>
    <row r="10" spans="1:11" ht="19.75" hidden="1" customHeight="1" thickBot="1">
      <c r="A10" s="123">
        <v>1999</v>
      </c>
      <c r="B10" s="124">
        <v>8789.075476</v>
      </c>
      <c r="C10" s="125">
        <v>4984.7508509999998</v>
      </c>
      <c r="D10" s="124">
        <v>7.2724950000000002</v>
      </c>
      <c r="E10" s="125">
        <v>839.41169600000001</v>
      </c>
      <c r="F10" s="124">
        <v>14620.510517999999</v>
      </c>
      <c r="G10" s="159">
        <v>4.2528089395854327E-2</v>
      </c>
    </row>
    <row r="11" spans="1:11" ht="19.75" hidden="1" customHeight="1" thickBot="1">
      <c r="A11" s="123">
        <v>2000</v>
      </c>
      <c r="B11" s="124">
        <v>9137.1621560000003</v>
      </c>
      <c r="C11" s="125">
        <v>5390.9432980000001</v>
      </c>
      <c r="D11" s="124">
        <v>7.5360680000000002</v>
      </c>
      <c r="E11" s="125">
        <v>942.68592000000001</v>
      </c>
      <c r="F11" s="124">
        <v>15478.327442</v>
      </c>
      <c r="G11" s="159">
        <v>5.8672159425890213E-2</v>
      </c>
    </row>
    <row r="12" spans="1:11" ht="20" hidden="1" customHeight="1" thickBot="1">
      <c r="A12" s="123">
        <v>2001</v>
      </c>
      <c r="B12" s="124">
        <v>9659.7746029999998</v>
      </c>
      <c r="C12" s="125">
        <v>5684.1019910000005</v>
      </c>
      <c r="D12" s="124">
        <v>8.3615560000000002</v>
      </c>
      <c r="E12" s="125">
        <v>1034.2226659999999</v>
      </c>
      <c r="F12" s="124">
        <v>16386.460816999999</v>
      </c>
      <c r="G12" s="159">
        <v>5.867128592562304E-2</v>
      </c>
    </row>
    <row r="13" spans="1:11" ht="20" customHeight="1" thickBot="1">
      <c r="A13" s="123">
        <v>2002</v>
      </c>
      <c r="B13" s="124">
        <v>9980.4930999999997</v>
      </c>
      <c r="C13" s="125">
        <v>6029.9190769999996</v>
      </c>
      <c r="D13" s="124">
        <v>7.9602409999999999</v>
      </c>
      <c r="E13" s="125">
        <v>1077.2149870000001</v>
      </c>
      <c r="F13" s="124">
        <v>17095.58741</v>
      </c>
      <c r="G13" s="159">
        <v>4.3275152634809542E-2</v>
      </c>
    </row>
    <row r="14" spans="1:11" ht="20" customHeight="1" thickBot="1">
      <c r="A14" s="123">
        <v>2003</v>
      </c>
      <c r="B14" s="124">
        <v>10400.406953</v>
      </c>
      <c r="C14" s="125">
        <v>6474.0950759999996</v>
      </c>
      <c r="D14" s="124">
        <v>8.2890060000000005</v>
      </c>
      <c r="E14" s="125">
        <v>1041.3283280000001</v>
      </c>
      <c r="F14" s="124">
        <v>17924.119349000001</v>
      </c>
      <c r="G14" s="159">
        <v>4.8464666298354497E-2</v>
      </c>
    </row>
    <row r="15" spans="1:11" ht="20" customHeight="1" thickBot="1">
      <c r="A15" s="123">
        <v>2004</v>
      </c>
      <c r="B15" s="124">
        <v>11244.13615765</v>
      </c>
      <c r="C15" s="125">
        <v>6631.1356945500002</v>
      </c>
      <c r="D15" s="124">
        <v>8.6720649999999999</v>
      </c>
      <c r="E15" s="125">
        <v>1255.877035</v>
      </c>
      <c r="F15" s="124">
        <v>19139.820942999999</v>
      </c>
      <c r="G15" s="159">
        <v>6.7824899529461302E-2</v>
      </c>
    </row>
    <row r="16" spans="1:11" ht="20" customHeight="1" thickBot="1">
      <c r="A16" s="123">
        <v>2005</v>
      </c>
      <c r="B16" s="124">
        <v>12276.40351</v>
      </c>
      <c r="C16" s="125">
        <v>6478.0200850000001</v>
      </c>
      <c r="D16" s="124">
        <v>9.1072369999999996</v>
      </c>
      <c r="E16" s="125">
        <v>1584.1758170000001</v>
      </c>
      <c r="F16" s="124">
        <v>20347.706649</v>
      </c>
      <c r="G16" s="159">
        <v>6.3108516511057644E-2</v>
      </c>
    </row>
    <row r="17" spans="1:7" ht="20" customHeight="1" thickBot="1">
      <c r="A17" s="123">
        <v>2006</v>
      </c>
      <c r="B17" s="124">
        <v>12157.648692999999</v>
      </c>
      <c r="C17" s="125">
        <v>6151.3591749999996</v>
      </c>
      <c r="D17" s="124">
        <v>8.8529470000000003</v>
      </c>
      <c r="E17" s="125">
        <v>2284.7661029999999</v>
      </c>
      <c r="F17" s="124">
        <v>20602.626918999998</v>
      </c>
      <c r="G17" s="159">
        <v>1.2528206465593383E-2</v>
      </c>
    </row>
    <row r="18" spans="1:7" ht="20" customHeight="1" thickBot="1">
      <c r="A18" s="123">
        <v>2007</v>
      </c>
      <c r="B18" s="124">
        <v>12229.89782127</v>
      </c>
      <c r="C18" s="125">
        <v>6058.52217587</v>
      </c>
      <c r="D18" s="124">
        <v>9.0125824800000007</v>
      </c>
      <c r="E18" s="125">
        <v>3281.2562875499998</v>
      </c>
      <c r="F18" s="124">
        <v>21578.688867239998</v>
      </c>
      <c r="G18" s="159">
        <v>4.737560661936091E-2</v>
      </c>
    </row>
    <row r="19" spans="1:7" ht="20" customHeight="1" thickBot="1">
      <c r="A19" s="123">
        <v>2008</v>
      </c>
      <c r="B19" s="124">
        <v>12358.176374460001</v>
      </c>
      <c r="C19" s="125">
        <v>6003.8314850100005</v>
      </c>
      <c r="D19" s="124">
        <v>10.17656891</v>
      </c>
      <c r="E19" s="125">
        <v>4349.7270544200001</v>
      </c>
      <c r="F19" s="124">
        <v>22721.911482829997</v>
      </c>
      <c r="G19" s="159">
        <v>5.2979243670619791E-2</v>
      </c>
    </row>
    <row r="20" spans="1:7" ht="20" customHeight="1" thickBot="1">
      <c r="A20" s="123">
        <v>2009</v>
      </c>
      <c r="B20" s="124">
        <v>12207.08733409</v>
      </c>
      <c r="C20" s="125">
        <v>5757.8256273900015</v>
      </c>
      <c r="D20" s="124">
        <v>10.04827551</v>
      </c>
      <c r="E20" s="125">
        <v>5681.3612091200011</v>
      </c>
      <c r="F20" s="124">
        <v>23656.322446040002</v>
      </c>
      <c r="G20" s="159">
        <v>4.112378326603805E-2</v>
      </c>
    </row>
    <row r="21" spans="1:7" ht="20" customHeight="1" thickBot="1">
      <c r="A21" s="123">
        <v>2010</v>
      </c>
      <c r="B21" s="124">
        <v>11551.631429409998</v>
      </c>
      <c r="C21" s="125">
        <v>5191.0689485400007</v>
      </c>
      <c r="D21" s="124">
        <v>8.6391040799999992</v>
      </c>
      <c r="E21" s="125">
        <v>7541.1220916599996</v>
      </c>
      <c r="F21" s="124">
        <v>24292.461573649998</v>
      </c>
      <c r="G21" s="159">
        <v>2.6890871523290505E-2</v>
      </c>
    </row>
    <row r="22" spans="1:7" ht="20" customHeight="1" thickBot="1">
      <c r="A22" s="123">
        <v>2011</v>
      </c>
      <c r="B22" s="124">
        <v>10995.729507669997</v>
      </c>
      <c r="C22" s="125">
        <v>4725.9633071300004</v>
      </c>
      <c r="D22" s="124">
        <v>8.29581108</v>
      </c>
      <c r="E22" s="125">
        <v>9201.5214694400001</v>
      </c>
      <c r="F22" s="124">
        <v>24931.51009534</v>
      </c>
      <c r="G22" s="159">
        <v>2.6306453948791164E-2</v>
      </c>
    </row>
    <row r="23" spans="1:7" ht="27.5" customHeight="1" thickBot="1">
      <c r="A23" s="126">
        <v>2012</v>
      </c>
      <c r="B23" s="127">
        <v>10694.215885219999</v>
      </c>
      <c r="C23" s="128">
        <v>4517.0646760999998</v>
      </c>
      <c r="D23" s="127">
        <v>8.3085544799999997</v>
      </c>
      <c r="E23" s="128">
        <v>10681.63917586</v>
      </c>
      <c r="F23" s="127">
        <v>25901.22829173</v>
      </c>
      <c r="G23" s="160">
        <v>3.8895285230686971E-2</v>
      </c>
    </row>
    <row r="24" spans="1:7" ht="19.5" customHeight="1">
      <c r="A24" s="130" t="s">
        <v>396</v>
      </c>
      <c r="B24" s="130"/>
      <c r="C24" s="130"/>
      <c r="D24" s="130"/>
      <c r="E24" s="130"/>
      <c r="F24" s="130"/>
      <c r="G24" s="130"/>
    </row>
    <row r="25" spans="1:7" ht="14.25" customHeight="1">
      <c r="A25" s="131"/>
      <c r="B25" s="131"/>
      <c r="C25" s="131"/>
      <c r="D25" s="131"/>
      <c r="E25" s="131"/>
      <c r="F25" s="131"/>
      <c r="G25" s="131"/>
    </row>
    <row r="26" spans="1:7" ht="14.25" customHeight="1">
      <c r="A26" s="131" t="s">
        <v>473</v>
      </c>
      <c r="B26" s="131"/>
      <c r="C26" s="131"/>
      <c r="D26" s="131"/>
      <c r="E26" s="131"/>
      <c r="F26" s="131"/>
      <c r="G26" s="131"/>
    </row>
    <row r="27" spans="1:7" ht="13.5" customHeight="1">
      <c r="A27" s="205" t="s">
        <v>823</v>
      </c>
      <c r="B27" s="131"/>
      <c r="C27" s="131"/>
      <c r="D27" s="131"/>
      <c r="E27" s="131"/>
      <c r="F27" s="131"/>
      <c r="G27" s="131"/>
    </row>
    <row r="29" spans="1:7">
      <c r="A29" s="3" t="s">
        <v>1647</v>
      </c>
    </row>
    <row r="32" spans="1:7">
      <c r="A32" s="3" t="s">
        <v>395</v>
      </c>
      <c r="G32" s="4"/>
    </row>
  </sheetData>
  <pageMargins left="0.6" right="0.63" top="0.99" bottom="0.49" header="0.59" footer="0.4921259845"/>
  <pageSetup paperSize="9" scale="77" orientation="portrait" horizontalDpi="4294967292" verticalDpi="4294967292"/>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4CEFA-7299-C149-82F1-E1320773AA69}">
  <sheetPr>
    <pageSetUpPr fitToPage="1"/>
  </sheetPr>
  <dimension ref="A1:J61"/>
  <sheetViews>
    <sheetView topLeftCell="A32" zoomScaleNormal="100" workbookViewId="0">
      <selection activeCell="I50" sqref="I50"/>
    </sheetView>
  </sheetViews>
  <sheetFormatPr baseColWidth="10" defaultColWidth="11.3984375" defaultRowHeight="13"/>
  <cols>
    <col min="1" max="1" width="24.19921875" style="3" customWidth="1"/>
    <col min="2" max="5" width="17.796875" style="3" customWidth="1"/>
    <col min="6" max="6" width="18.796875" style="3" customWidth="1"/>
    <col min="7" max="7" width="17.796875" style="3" customWidth="1"/>
    <col min="8" max="8" width="13.19921875" style="3" customWidth="1"/>
    <col min="9" max="10" width="13.3984375" style="3" customWidth="1"/>
    <col min="11" max="16384" width="11.3984375" style="3"/>
  </cols>
  <sheetData>
    <row r="1" spans="1:10" s="2" customFormat="1" ht="14" customHeight="1"/>
    <row r="2" spans="1:10" s="2" customFormat="1" ht="26.5" customHeight="1">
      <c r="A2" s="2054" t="s">
        <v>1648</v>
      </c>
      <c r="B2" s="2055"/>
      <c r="C2" s="2055"/>
      <c r="D2" s="2055"/>
      <c r="E2" s="2055"/>
      <c r="F2" s="2055"/>
      <c r="G2" s="139"/>
    </row>
    <row r="3" spans="1:10" ht="24" customHeight="1">
      <c r="A3" s="109" t="s">
        <v>1621</v>
      </c>
      <c r="B3" s="110" t="s">
        <v>226</v>
      </c>
      <c r="C3" s="111" t="s">
        <v>227</v>
      </c>
      <c r="D3" s="110" t="s">
        <v>228</v>
      </c>
      <c r="E3" s="111" t="s">
        <v>229</v>
      </c>
      <c r="F3" s="110" t="s">
        <v>430</v>
      </c>
      <c r="G3" s="516" t="s">
        <v>256</v>
      </c>
    </row>
    <row r="4" spans="1:10" ht="15" customHeight="1">
      <c r="A4" s="112"/>
      <c r="B4" s="113" t="s">
        <v>231</v>
      </c>
      <c r="C4" s="114" t="s">
        <v>232</v>
      </c>
      <c r="D4" s="113" t="s">
        <v>233</v>
      </c>
      <c r="E4" s="115" t="s">
        <v>234</v>
      </c>
      <c r="F4" s="113"/>
      <c r="G4" s="518" t="s">
        <v>257</v>
      </c>
    </row>
    <row r="5" spans="1:10" ht="15" customHeight="1">
      <c r="A5" s="112"/>
      <c r="B5" s="113" t="s">
        <v>235</v>
      </c>
      <c r="C5" s="114" t="s">
        <v>236</v>
      </c>
      <c r="D5" s="113"/>
      <c r="E5" s="115" t="s">
        <v>244</v>
      </c>
      <c r="F5" s="113"/>
      <c r="G5" s="156" t="s">
        <v>258</v>
      </c>
    </row>
    <row r="6" spans="1:10" ht="24" customHeight="1">
      <c r="A6" s="167" t="s">
        <v>626</v>
      </c>
      <c r="B6" s="117"/>
      <c r="C6" s="118"/>
      <c r="D6" s="117"/>
      <c r="E6" s="119" t="s">
        <v>238</v>
      </c>
      <c r="F6" s="117"/>
      <c r="G6" s="504"/>
    </row>
    <row r="7" spans="1:10" ht="1.25" customHeight="1" thickBot="1">
      <c r="A7" s="120">
        <v>1996</v>
      </c>
      <c r="B7" s="132">
        <v>1922.0914738477522</v>
      </c>
      <c r="C7" s="133">
        <v>1362.8683192106039</v>
      </c>
      <c r="D7" s="132">
        <v>1064.9780620150216</v>
      </c>
      <c r="E7" s="133">
        <v>918.79836090338449</v>
      </c>
      <c r="F7" s="132">
        <v>1722.6026867710073</v>
      </c>
      <c r="G7" s="158" t="s">
        <v>29</v>
      </c>
    </row>
    <row r="8" spans="1:10" ht="0.75" hidden="1" customHeight="1" thickBot="1">
      <c r="A8" s="123">
        <v>1997</v>
      </c>
      <c r="B8" s="134">
        <v>1955.5774171208591</v>
      </c>
      <c r="C8" s="135">
        <v>1717.9609773327356</v>
      </c>
      <c r="D8" s="134">
        <v>1327.1545657683146</v>
      </c>
      <c r="E8" s="135">
        <v>1035.2511493240283</v>
      </c>
      <c r="F8" s="134">
        <v>1815.5878047739013</v>
      </c>
      <c r="G8" s="159">
        <v>5.3979433979168621E-2</v>
      </c>
      <c r="H8" s="9"/>
      <c r="I8" s="9"/>
      <c r="J8" s="9"/>
    </row>
    <row r="9" spans="1:10" ht="19.5" hidden="1" customHeight="1" thickBot="1">
      <c r="A9" s="123">
        <v>1998</v>
      </c>
      <c r="B9" s="134">
        <v>2001.1385556748141</v>
      </c>
      <c r="C9" s="135">
        <v>1942.4124575719206</v>
      </c>
      <c r="D9" s="134">
        <v>652.30881205655157</v>
      </c>
      <c r="E9" s="135">
        <v>1390.9212818258898</v>
      </c>
      <c r="F9" s="134">
        <v>1935.2604970637331</v>
      </c>
      <c r="G9" s="159">
        <v>6.591402077892608E-2</v>
      </c>
    </row>
    <row r="10" spans="1:10" ht="19.75" hidden="1" customHeight="1" thickBot="1">
      <c r="A10" s="123">
        <v>1999</v>
      </c>
      <c r="B10" s="134">
        <v>2196.7543830608033</v>
      </c>
      <c r="C10" s="135">
        <v>1834.5631598914081</v>
      </c>
      <c r="D10" s="134">
        <v>708.57112386703454</v>
      </c>
      <c r="E10" s="135">
        <v>1548.1903262736841</v>
      </c>
      <c r="F10" s="134">
        <v>2010.9263687008995</v>
      </c>
      <c r="G10" s="159">
        <v>3.909854603655178E-2</v>
      </c>
    </row>
    <row r="11" spans="1:10" ht="19.75" hidden="1" customHeight="1" thickBot="1">
      <c r="A11" s="123">
        <v>2000</v>
      </c>
      <c r="B11" s="134">
        <v>2330.7313959837929</v>
      </c>
      <c r="C11" s="135">
        <v>1955.0764432666085</v>
      </c>
      <c r="D11" s="134">
        <v>768.43697012283224</v>
      </c>
      <c r="E11" s="135">
        <v>1632.0632045626817</v>
      </c>
      <c r="F11" s="134">
        <v>2130.4988026779488</v>
      </c>
      <c r="G11" s="159">
        <v>5.9461368570295083E-2</v>
      </c>
    </row>
    <row r="12" spans="1:10" ht="20" hidden="1" customHeight="1" thickBot="1">
      <c r="A12" s="123">
        <v>2001</v>
      </c>
      <c r="B12" s="134">
        <v>2495.1244025796968</v>
      </c>
      <c r="C12" s="135">
        <v>2011.3716436312093</v>
      </c>
      <c r="D12" s="134">
        <v>897.62686042302278</v>
      </c>
      <c r="E12" s="135">
        <v>1740.2608610070422</v>
      </c>
      <c r="F12" s="134">
        <v>2244.3978355168092</v>
      </c>
      <c r="G12" s="159">
        <v>5.3461204810673471E-2</v>
      </c>
    </row>
    <row r="13" spans="1:10" ht="20" customHeight="1" thickBot="1">
      <c r="A13" s="123">
        <v>2002</v>
      </c>
      <c r="B13" s="134">
        <v>2622.961008005575</v>
      </c>
      <c r="C13" s="135">
        <v>2026.9678660755228</v>
      </c>
      <c r="D13" s="134">
        <v>902.79734523799152</v>
      </c>
      <c r="E13" s="135">
        <v>1937.719195679239</v>
      </c>
      <c r="F13" s="134">
        <v>2327.6297728803838</v>
      </c>
      <c r="G13" s="159">
        <v>3.7084306554951346E-2</v>
      </c>
    </row>
    <row r="14" spans="1:10" ht="20" customHeight="1" thickBot="1">
      <c r="A14" s="123">
        <v>2003</v>
      </c>
      <c r="B14" s="134">
        <v>2838.5410322271737</v>
      </c>
      <c r="C14" s="135">
        <v>2089.4955210203316</v>
      </c>
      <c r="D14" s="134">
        <v>999.42596938760983</v>
      </c>
      <c r="E14" s="135">
        <v>1730.3106743718724</v>
      </c>
      <c r="F14" s="134">
        <v>2431.2114971885403</v>
      </c>
      <c r="G14" s="159">
        <v>4.4500944916156783E-2</v>
      </c>
    </row>
    <row r="15" spans="1:10" ht="20" customHeight="1" thickBot="1">
      <c r="A15" s="123">
        <v>2004</v>
      </c>
      <c r="B15" s="134">
        <v>3104.8815477572248</v>
      </c>
      <c r="C15" s="135">
        <v>2203.0474404075858</v>
      </c>
      <c r="D15" s="134">
        <v>1076.1693397885631</v>
      </c>
      <c r="E15" s="135">
        <v>1687.7897523259062</v>
      </c>
      <c r="F15" s="134">
        <v>2592.2165787191948</v>
      </c>
      <c r="G15" s="159">
        <v>6.6224218549822259E-2</v>
      </c>
    </row>
    <row r="16" spans="1:10" ht="20" customHeight="1" thickBot="1">
      <c r="A16" s="123">
        <v>2005</v>
      </c>
      <c r="B16" s="134">
        <v>3415.1929895176959</v>
      </c>
      <c r="C16" s="135">
        <v>2210.8019372998301</v>
      </c>
      <c r="D16" s="134">
        <v>1184.6612422697292</v>
      </c>
      <c r="E16" s="135">
        <v>1753.636061440061</v>
      </c>
      <c r="F16" s="134">
        <v>2736.4253387803569</v>
      </c>
      <c r="G16" s="159">
        <v>5.5631447327759709E-2</v>
      </c>
    </row>
    <row r="17" spans="1:7" ht="20" customHeight="1" thickBot="1">
      <c r="A17" s="123">
        <v>2006</v>
      </c>
      <c r="B17" s="134">
        <v>3636.67</v>
      </c>
      <c r="C17" s="135">
        <v>2215.41</v>
      </c>
      <c r="D17" s="134">
        <v>1230.94</v>
      </c>
      <c r="E17" s="135">
        <v>1690.49</v>
      </c>
      <c r="F17" s="134">
        <v>2754.94</v>
      </c>
      <c r="G17" s="159">
        <v>6.7660026960192354E-3</v>
      </c>
    </row>
    <row r="18" spans="1:7" ht="20" customHeight="1" thickBot="1">
      <c r="A18" s="123">
        <v>2007</v>
      </c>
      <c r="B18" s="134">
        <v>3903.58</v>
      </c>
      <c r="C18" s="135">
        <v>2360.81</v>
      </c>
      <c r="D18" s="134">
        <v>1312.45</v>
      </c>
      <c r="E18" s="135">
        <v>1791.63</v>
      </c>
      <c r="F18" s="134">
        <v>2862.81</v>
      </c>
      <c r="G18" s="159">
        <v>3.915511771581226E-2</v>
      </c>
    </row>
    <row r="19" spans="1:7" ht="20" customHeight="1" thickBot="1">
      <c r="A19" s="123">
        <v>2008</v>
      </c>
      <c r="B19" s="134">
        <v>4193.12</v>
      </c>
      <c r="C19" s="135">
        <v>2525.2199999999998</v>
      </c>
      <c r="D19" s="134">
        <v>1563.03</v>
      </c>
      <c r="E19" s="135">
        <v>1904.22</v>
      </c>
      <c r="F19" s="134">
        <v>2983.62</v>
      </c>
      <c r="G19" s="159">
        <v>4.2199796703239034E-2</v>
      </c>
    </row>
    <row r="20" spans="1:7" ht="20" customHeight="1" thickBot="1">
      <c r="A20" s="123">
        <v>2009</v>
      </c>
      <c r="B20" s="134">
        <v>4441.9708725220817</v>
      </c>
      <c r="C20" s="135">
        <v>2638.2955656157005</v>
      </c>
      <c r="D20" s="134">
        <v>1632.0689143820541</v>
      </c>
      <c r="E20" s="135">
        <v>2049.5670694598875</v>
      </c>
      <c r="F20" s="134">
        <v>3068.7231792819921</v>
      </c>
      <c r="G20" s="159">
        <v>2.8523464543739552E-2</v>
      </c>
    </row>
    <row r="21" spans="1:7" ht="20" customHeight="1" thickBot="1">
      <c r="A21" s="123">
        <v>2010</v>
      </c>
      <c r="B21" s="134">
        <v>4791.6454856573782</v>
      </c>
      <c r="C21" s="135">
        <v>2938.3754716485723</v>
      </c>
      <c r="D21" s="134">
        <v>1519.3026047134924</v>
      </c>
      <c r="E21" s="135">
        <v>2095.2492620205348</v>
      </c>
      <c r="F21" s="134">
        <v>3122.5601379207528</v>
      </c>
      <c r="G21" s="159">
        <v>1.7543765107987719E-2</v>
      </c>
    </row>
    <row r="22" spans="1:7" ht="20" customHeight="1" thickBot="1">
      <c r="A22" s="123">
        <v>2011</v>
      </c>
      <c r="B22" s="134">
        <v>5043.0686628567792</v>
      </c>
      <c r="C22" s="135">
        <v>3063.8574480904667</v>
      </c>
      <c r="D22" s="134">
        <v>1575.1721948420584</v>
      </c>
      <c r="E22" s="135">
        <v>2225.6161503612611</v>
      </c>
      <c r="F22" s="134">
        <v>3170.8301074660226</v>
      </c>
      <c r="G22" s="159">
        <v>1.5458459537439628E-2</v>
      </c>
    </row>
    <row r="23" spans="1:7" ht="30" customHeight="1" thickBot="1">
      <c r="A23" s="126">
        <v>2012</v>
      </c>
      <c r="B23" s="136">
        <v>5291.4295366645038</v>
      </c>
      <c r="C23" s="137">
        <v>3250.0076695717553</v>
      </c>
      <c r="D23" s="136">
        <v>1657.0710969285999</v>
      </c>
      <c r="E23" s="137">
        <v>2354.0131491169204</v>
      </c>
      <c r="F23" s="136">
        <v>3256.6406756055721</v>
      </c>
      <c r="G23" s="512">
        <v>2.7062493174106139E-2</v>
      </c>
    </row>
    <row r="24" spans="1:7" ht="20" customHeight="1">
      <c r="A24" s="130" t="s">
        <v>396</v>
      </c>
      <c r="B24" s="130"/>
      <c r="C24" s="130"/>
      <c r="D24" s="130"/>
      <c r="E24" s="130"/>
      <c r="F24" s="130"/>
      <c r="G24" s="513"/>
    </row>
    <row r="25" spans="1:7">
      <c r="G25" s="514"/>
    </row>
    <row r="26" spans="1:7">
      <c r="A26" s="3" t="s">
        <v>1649</v>
      </c>
      <c r="G26" s="514"/>
    </row>
    <row r="27" spans="1:7">
      <c r="G27" s="514"/>
    </row>
    <row r="28" spans="1:7">
      <c r="G28" s="514"/>
    </row>
    <row r="29" spans="1:7" ht="18">
      <c r="A29" s="515" t="s">
        <v>1623</v>
      </c>
      <c r="G29" s="514"/>
    </row>
    <row r="30" spans="1:7" ht="10.25" customHeight="1">
      <c r="G30" s="514"/>
    </row>
    <row r="31" spans="1:7" ht="18" customHeight="1">
      <c r="A31" s="109" t="s">
        <v>241</v>
      </c>
      <c r="B31" s="110" t="s">
        <v>427</v>
      </c>
      <c r="C31" s="516" t="s">
        <v>256</v>
      </c>
      <c r="D31" s="110" t="s">
        <v>428</v>
      </c>
      <c r="E31" s="516" t="s">
        <v>256</v>
      </c>
      <c r="F31" s="110" t="s">
        <v>629</v>
      </c>
      <c r="G31" s="516" t="s">
        <v>256</v>
      </c>
    </row>
    <row r="32" spans="1:7" ht="18" customHeight="1">
      <c r="A32" s="517"/>
      <c r="B32" s="113" t="s">
        <v>431</v>
      </c>
      <c r="C32" s="518" t="s">
        <v>257</v>
      </c>
      <c r="D32" s="113" t="s">
        <v>432</v>
      </c>
      <c r="E32" s="518" t="s">
        <v>257</v>
      </c>
      <c r="F32" s="113" t="s">
        <v>630</v>
      </c>
      <c r="G32" s="518" t="s">
        <v>257</v>
      </c>
    </row>
    <row r="33" spans="1:7" ht="18" customHeight="1">
      <c r="A33" s="112"/>
      <c r="B33" s="113"/>
      <c r="C33" s="518" t="s">
        <v>258</v>
      </c>
      <c r="D33" s="113"/>
      <c r="E33" s="518" t="s">
        <v>258</v>
      </c>
      <c r="F33" s="113"/>
      <c r="G33" s="518" t="s">
        <v>258</v>
      </c>
    </row>
    <row r="34" spans="1:7" ht="18" customHeight="1">
      <c r="A34" s="116"/>
      <c r="B34" s="117"/>
      <c r="C34" s="118"/>
      <c r="D34" s="117"/>
      <c r="E34" s="119"/>
      <c r="F34" s="117"/>
      <c r="G34" s="403"/>
    </row>
    <row r="35" spans="1:7" ht="2.25" customHeight="1" thickBot="1">
      <c r="A35" s="120">
        <v>1996</v>
      </c>
      <c r="B35" s="132" t="s">
        <v>29</v>
      </c>
      <c r="C35" s="133" t="s">
        <v>29</v>
      </c>
      <c r="D35" s="132" t="s">
        <v>29</v>
      </c>
      <c r="E35" s="133" t="s">
        <v>29</v>
      </c>
      <c r="F35" s="132" t="s">
        <v>29</v>
      </c>
      <c r="G35" s="158" t="s">
        <v>29</v>
      </c>
    </row>
    <row r="36" spans="1:7" ht="0.75" customHeight="1" thickBot="1">
      <c r="A36" s="123">
        <v>1997</v>
      </c>
      <c r="B36" s="134">
        <v>579.83000000000004</v>
      </c>
      <c r="C36" s="1115" t="s">
        <v>29</v>
      </c>
      <c r="D36" s="134">
        <v>892.05</v>
      </c>
      <c r="E36" s="1115" t="s">
        <v>29</v>
      </c>
      <c r="F36" s="134">
        <v>2286.5700000000002</v>
      </c>
      <c r="G36" s="159" t="s">
        <v>29</v>
      </c>
    </row>
    <row r="37" spans="1:7" ht="18" hidden="1" customHeight="1" thickBot="1">
      <c r="A37" s="123">
        <v>1998</v>
      </c>
      <c r="B37" s="134">
        <v>621.26</v>
      </c>
      <c r="C37" s="159">
        <v>7.1451977303692349E-2</v>
      </c>
      <c r="D37" s="134">
        <v>940.22</v>
      </c>
      <c r="E37" s="159">
        <v>5.3999215290622793E-2</v>
      </c>
      <c r="F37" s="134">
        <v>2457.66</v>
      </c>
      <c r="G37" s="159">
        <v>7.4823862816358E-2</v>
      </c>
    </row>
    <row r="38" spans="1:7" ht="18" hidden="1" customHeight="1" thickBot="1">
      <c r="A38" s="123">
        <v>1999</v>
      </c>
      <c r="B38" s="134">
        <v>636.16</v>
      </c>
      <c r="C38" s="159">
        <v>2.3983517367929696E-2</v>
      </c>
      <c r="D38" s="134">
        <v>970.54</v>
      </c>
      <c r="E38" s="159">
        <v>3.2247771798089797E-2</v>
      </c>
      <c r="F38" s="134">
        <v>2565.34</v>
      </c>
      <c r="G38" s="159">
        <v>4.3814034488090403E-2</v>
      </c>
    </row>
    <row r="39" spans="1:7" ht="18" hidden="1" customHeight="1" thickBot="1">
      <c r="A39" s="123">
        <v>2000</v>
      </c>
      <c r="B39" s="134">
        <v>670.88</v>
      </c>
      <c r="C39" s="159">
        <v>5.4577464788732488E-2</v>
      </c>
      <c r="D39" s="134">
        <v>1026.8800000000001</v>
      </c>
      <c r="E39" s="159">
        <v>5.8050157644198297E-2</v>
      </c>
      <c r="F39" s="134">
        <v>2747.78</v>
      </c>
      <c r="G39" s="159">
        <v>7.1117278801250627E-2</v>
      </c>
    </row>
    <row r="40" spans="1:7" ht="18" hidden="1" customHeight="1" thickBot="1">
      <c r="A40" s="123">
        <v>2001</v>
      </c>
      <c r="B40" s="134">
        <v>702.64</v>
      </c>
      <c r="C40" s="159">
        <v>4.7340806105413691E-2</v>
      </c>
      <c r="D40" s="134">
        <v>1071.02</v>
      </c>
      <c r="E40" s="159">
        <v>4.2984574633842199E-2</v>
      </c>
      <c r="F40" s="134">
        <v>2891.92</v>
      </c>
      <c r="G40" s="159">
        <v>5.2456892473196515E-2</v>
      </c>
    </row>
    <row r="41" spans="1:7" ht="19.25" customHeight="1" thickBot="1">
      <c r="A41" s="123">
        <v>2002</v>
      </c>
      <c r="B41" s="1994">
        <v>715.9</v>
      </c>
      <c r="C41" s="2010">
        <v>1.8871683934874151E-2</v>
      </c>
      <c r="D41" s="1994">
        <v>1089.29</v>
      </c>
      <c r="E41" s="2010">
        <v>1.7058504976564359E-2</v>
      </c>
      <c r="F41" s="1994">
        <v>2990.07</v>
      </c>
      <c r="G41" s="2010">
        <v>3.3939389747987603E-2</v>
      </c>
    </row>
    <row r="42" spans="1:7" ht="19.25" customHeight="1" thickBot="1">
      <c r="A42" s="123">
        <v>2003</v>
      </c>
      <c r="B42" s="1994">
        <v>742.01</v>
      </c>
      <c r="C42" s="2010">
        <v>3.647157424221259E-2</v>
      </c>
      <c r="D42" s="1994">
        <v>1120.8399999999999</v>
      </c>
      <c r="E42" s="2010">
        <v>2.8963820470214507E-2</v>
      </c>
      <c r="F42" s="1994">
        <v>3116.13</v>
      </c>
      <c r="G42" s="2010">
        <v>4.2159548104224953E-2</v>
      </c>
    </row>
    <row r="43" spans="1:7" ht="19.25" customHeight="1" thickBot="1">
      <c r="A43" s="123">
        <v>2004</v>
      </c>
      <c r="B43" s="1994">
        <v>782.33</v>
      </c>
      <c r="C43" s="2010">
        <v>5.4338890311451449E-2</v>
      </c>
      <c r="D43" s="1994">
        <v>1164.3699999999999</v>
      </c>
      <c r="E43" s="2010">
        <v>3.8836943720780726E-2</v>
      </c>
      <c r="F43" s="1994">
        <v>3294.18</v>
      </c>
      <c r="G43" s="2010">
        <v>5.7138181012987177E-2</v>
      </c>
    </row>
    <row r="44" spans="1:7" ht="19.25" customHeight="1" thickBot="1">
      <c r="A44" s="123">
        <v>2005</v>
      </c>
      <c r="B44" s="1994">
        <v>842.17</v>
      </c>
      <c r="C44" s="2010">
        <v>7.6489460969156209E-2</v>
      </c>
      <c r="D44" s="1994">
        <v>1199.8800000000001</v>
      </c>
      <c r="E44" s="2010">
        <v>3.0497178731846653E-2</v>
      </c>
      <c r="F44" s="1994">
        <v>3465.4</v>
      </c>
      <c r="G44" s="2010">
        <v>5.1976516158801278E-2</v>
      </c>
    </row>
    <row r="45" spans="1:7" ht="19.25" customHeight="1" thickBot="1">
      <c r="A45" s="123">
        <v>2006</v>
      </c>
      <c r="B45" s="1994">
        <v>852.59</v>
      </c>
      <c r="C45" s="2010">
        <v>1.2372798841089105E-2</v>
      </c>
      <c r="D45" s="1994">
        <v>1171.54</v>
      </c>
      <c r="E45" s="2010">
        <v>-2.3619028569523692E-2</v>
      </c>
      <c r="F45" s="1994">
        <v>3485.76</v>
      </c>
      <c r="G45" s="2010">
        <v>5.8752236394068458E-3</v>
      </c>
    </row>
    <row r="46" spans="1:7" ht="19.25" customHeight="1" thickBot="1">
      <c r="A46" s="123">
        <v>2007</v>
      </c>
      <c r="B46" s="1994">
        <v>902.56</v>
      </c>
      <c r="C46" s="2010">
        <v>5.8609648248278745E-2</v>
      </c>
      <c r="D46" s="1994">
        <v>1191.18</v>
      </c>
      <c r="E46" s="2010">
        <v>1.6764259009508953E-2</v>
      </c>
      <c r="F46" s="1994">
        <v>3603.81</v>
      </c>
      <c r="G46" s="2010">
        <v>3.3866359129716361E-2</v>
      </c>
    </row>
    <row r="47" spans="1:7" ht="19.25" customHeight="1" thickBot="1">
      <c r="A47" s="123">
        <v>2008</v>
      </c>
      <c r="B47" s="1994">
        <v>930.8</v>
      </c>
      <c r="C47" s="2010">
        <v>3.128877858535728E-2</v>
      </c>
      <c r="D47" s="1994">
        <v>1236.5999999999999</v>
      </c>
      <c r="E47" s="2010">
        <v>3.8130257391829847E-2</v>
      </c>
      <c r="F47" s="1994">
        <v>3741.04</v>
      </c>
      <c r="G47" s="2010">
        <v>3.8079144017026501E-2</v>
      </c>
    </row>
    <row r="48" spans="1:7" ht="19.25" customHeight="1" thickBot="1">
      <c r="A48" s="123">
        <v>2009</v>
      </c>
      <c r="B48" s="134">
        <v>961.34067298921809</v>
      </c>
      <c r="C48" s="2010">
        <v>3.2811208626147614E-2</v>
      </c>
      <c r="D48" s="134">
        <v>1283.9269392146032</v>
      </c>
      <c r="E48" s="2010">
        <v>3.8271825339320165E-2</v>
      </c>
      <c r="F48" s="134">
        <v>3850.7211121651544</v>
      </c>
      <c r="G48" s="2010">
        <v>2.9318347883250162E-2</v>
      </c>
    </row>
    <row r="49" spans="1:7" ht="19.25" customHeight="1" thickBot="1">
      <c r="A49" s="123">
        <v>2010</v>
      </c>
      <c r="B49" s="134">
        <v>962.23072687431443</v>
      </c>
      <c r="C49" s="159">
        <v>9.2584648720706042E-4</v>
      </c>
      <c r="D49" s="134">
        <v>1339.1518937955034</v>
      </c>
      <c r="E49" s="159">
        <v>4.3012536690508307E-2</v>
      </c>
      <c r="F49" s="134">
        <v>3909.4171856200396</v>
      </c>
      <c r="G49" s="159">
        <v>1.5242878345423039E-2</v>
      </c>
    </row>
    <row r="50" spans="1:7" ht="19.25" customHeight="1" thickBot="1">
      <c r="A50" s="123">
        <v>2011</v>
      </c>
      <c r="B50" s="134">
        <v>982.33143426752792</v>
      </c>
      <c r="C50" s="159">
        <v>2.0889696028007831E-2</v>
      </c>
      <c r="D50" s="134">
        <v>1308.6865414297763</v>
      </c>
      <c r="E50" s="159">
        <v>-2.2749736237448248E-2</v>
      </c>
      <c r="F50" s="134">
        <v>3966.3792574707609</v>
      </c>
      <c r="G50" s="159">
        <v>1.457047665832234E-2</v>
      </c>
    </row>
    <row r="51" spans="1:7" ht="24" customHeight="1" thickBot="1">
      <c r="A51" s="520">
        <v>2012</v>
      </c>
      <c r="B51" s="353">
        <v>1026.607671371253</v>
      </c>
      <c r="C51" s="512">
        <v>4.5072605394878229E-2</v>
      </c>
      <c r="D51" s="353">
        <v>1379.1163162021994</v>
      </c>
      <c r="E51" s="512">
        <v>5.3817146079516265E-2</v>
      </c>
      <c r="F51" s="353">
        <v>4056.6164501786152</v>
      </c>
      <c r="G51" s="512">
        <v>2.275052052520965E-2</v>
      </c>
    </row>
    <row r="52" spans="1:7" ht="15" customHeight="1">
      <c r="A52" s="359" t="s">
        <v>396</v>
      </c>
    </row>
    <row r="54" spans="1:7">
      <c r="A54" s="131" t="s">
        <v>2583</v>
      </c>
    </row>
    <row r="56" spans="1:7">
      <c r="A56" s="131" t="s">
        <v>473</v>
      </c>
    </row>
    <row r="57" spans="1:7">
      <c r="A57" s="3" t="s">
        <v>1625</v>
      </c>
    </row>
    <row r="58" spans="1:7">
      <c r="A58" s="3" t="s">
        <v>1650</v>
      </c>
    </row>
    <row r="61" spans="1:7">
      <c r="A61" s="3" t="s">
        <v>395</v>
      </c>
    </row>
  </sheetData>
  <mergeCells count="1">
    <mergeCell ref="A2:F2"/>
  </mergeCells>
  <pageMargins left="0.35" right="0.28000000000000003" top="0.47244094488188981" bottom="0.31496062992125984" header="0.27559055118110237" footer="0.19685039370078741"/>
  <pageSetup paperSize="9" scale="68" orientation="portrait" horizontalDpi="1200" verticalDpi="12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E07D1-8EB9-5E41-AF2E-AB0615F84422}">
  <sheetPr>
    <pageSetUpPr fitToPage="1"/>
  </sheetPr>
  <dimension ref="A1:V69"/>
  <sheetViews>
    <sheetView topLeftCell="C1" zoomScaleNormal="100" workbookViewId="0">
      <selection activeCell="O14" sqref="O14"/>
    </sheetView>
  </sheetViews>
  <sheetFormatPr baseColWidth="10" defaultColWidth="11.3984375" defaultRowHeight="13"/>
  <cols>
    <col min="1" max="1" width="11.796875" style="3" customWidth="1"/>
    <col min="2" max="2" width="17" style="3" customWidth="1"/>
    <col min="3" max="3" width="13" style="424" customWidth="1"/>
    <col min="4" max="4" width="13" style="3" customWidth="1"/>
    <col min="5" max="5" width="14" style="424" customWidth="1"/>
    <col min="6" max="6" width="13" style="3" customWidth="1"/>
    <col min="7" max="7" width="13" style="424" customWidth="1"/>
    <col min="8" max="8" width="13" style="3" customWidth="1"/>
    <col min="9" max="9" width="15.3984375" style="3" customWidth="1"/>
    <col min="10" max="12" width="13" style="3" customWidth="1"/>
    <col min="13" max="13" width="14.59765625" style="3" customWidth="1"/>
    <col min="14" max="14" width="13.59765625" style="3" customWidth="1"/>
    <col min="15" max="15" width="14.59765625" style="3" customWidth="1"/>
    <col min="16" max="16" width="13" style="3" customWidth="1"/>
    <col min="17" max="16384" width="11.3984375" style="3"/>
  </cols>
  <sheetData>
    <row r="1" spans="1:22" s="2" customFormat="1" ht="14" customHeight="1">
      <c r="A1" s="272"/>
      <c r="B1" s="272"/>
      <c r="C1" s="394"/>
      <c r="D1" s="272"/>
      <c r="E1" s="394"/>
      <c r="F1" s="272"/>
      <c r="G1" s="395"/>
      <c r="H1" s="395"/>
      <c r="I1" s="395"/>
      <c r="J1" s="395"/>
      <c r="K1" s="395"/>
      <c r="L1" s="395"/>
      <c r="M1" s="395"/>
      <c r="N1" s="395"/>
      <c r="O1" s="395"/>
      <c r="P1" s="395"/>
      <c r="Q1" s="395"/>
      <c r="R1" s="395"/>
      <c r="S1" s="395"/>
      <c r="T1" s="395"/>
      <c r="U1" s="395"/>
    </row>
    <row r="2" spans="1:22" s="2" customFormat="1" ht="25.5" customHeight="1">
      <c r="A2" s="139" t="s">
        <v>550</v>
      </c>
      <c r="B2" s="272"/>
      <c r="C2" s="394"/>
      <c r="D2" s="272"/>
      <c r="E2" s="394"/>
      <c r="F2" s="272"/>
      <c r="G2" s="394"/>
      <c r="N2" s="396"/>
    </row>
    <row r="3" spans="1:22" ht="24" customHeight="1">
      <c r="A3" s="109" t="s">
        <v>241</v>
      </c>
      <c r="B3" s="397" t="s">
        <v>516</v>
      </c>
      <c r="C3" s="155" t="s">
        <v>256</v>
      </c>
      <c r="D3" s="110"/>
      <c r="E3" s="398"/>
      <c r="F3" s="110"/>
      <c r="G3" s="398"/>
      <c r="H3" s="110"/>
      <c r="I3" s="398"/>
      <c r="J3" s="110"/>
      <c r="K3" s="398"/>
      <c r="L3" s="110"/>
      <c r="M3" s="398"/>
      <c r="N3" s="110"/>
      <c r="O3"/>
    </row>
    <row r="4" spans="1:22" ht="17.25" customHeight="1">
      <c r="A4" s="112"/>
      <c r="B4" s="226" t="s">
        <v>551</v>
      </c>
      <c r="C4" s="156" t="s">
        <v>257</v>
      </c>
      <c r="D4" s="399" t="s">
        <v>518</v>
      </c>
      <c r="E4" s="400" t="s">
        <v>518</v>
      </c>
      <c r="F4" s="399" t="s">
        <v>518</v>
      </c>
      <c r="G4" s="400" t="s">
        <v>518</v>
      </c>
      <c r="H4" s="399" t="s">
        <v>518</v>
      </c>
      <c r="I4" s="400" t="s">
        <v>518</v>
      </c>
      <c r="J4" s="399" t="s">
        <v>518</v>
      </c>
      <c r="K4" s="400" t="s">
        <v>518</v>
      </c>
      <c r="L4" s="399" t="s">
        <v>518</v>
      </c>
      <c r="M4" s="400" t="s">
        <v>518</v>
      </c>
      <c r="N4" s="399" t="s">
        <v>518</v>
      </c>
      <c r="O4"/>
    </row>
    <row r="5" spans="1:22" ht="15.5" customHeight="1">
      <c r="A5" s="112"/>
      <c r="B5" s="113"/>
      <c r="C5" s="156" t="s">
        <v>258</v>
      </c>
      <c r="D5" s="399" t="s">
        <v>519</v>
      </c>
      <c r="E5" s="400" t="s">
        <v>520</v>
      </c>
      <c r="F5" s="399" t="s">
        <v>521</v>
      </c>
      <c r="G5" s="400" t="s">
        <v>521</v>
      </c>
      <c r="H5" s="399" t="s">
        <v>494</v>
      </c>
      <c r="I5" s="400" t="s">
        <v>495</v>
      </c>
      <c r="J5" s="399" t="s">
        <v>496</v>
      </c>
      <c r="K5" s="400" t="s">
        <v>497</v>
      </c>
      <c r="L5" s="399" t="s">
        <v>522</v>
      </c>
      <c r="M5" s="400" t="s">
        <v>523</v>
      </c>
      <c r="N5" s="399" t="s">
        <v>524</v>
      </c>
      <c r="O5"/>
    </row>
    <row r="6" spans="1:22" s="131" customFormat="1" ht="19.5" customHeight="1">
      <c r="A6" s="401"/>
      <c r="B6" s="143"/>
      <c r="C6" s="402"/>
      <c r="D6" s="399" t="s">
        <v>525</v>
      </c>
      <c r="E6" s="400" t="s">
        <v>525</v>
      </c>
      <c r="F6" s="399" t="s">
        <v>526</v>
      </c>
      <c r="G6" s="400" t="s">
        <v>527</v>
      </c>
      <c r="H6" s="399"/>
      <c r="I6" s="400"/>
      <c r="J6" s="399"/>
      <c r="K6" s="400"/>
      <c r="L6" s="399" t="s">
        <v>528</v>
      </c>
      <c r="M6" s="400" t="s">
        <v>552</v>
      </c>
      <c r="N6" s="399" t="s">
        <v>530</v>
      </c>
      <c r="O6"/>
    </row>
    <row r="7" spans="1:22" ht="19.5" customHeight="1">
      <c r="A7" s="116"/>
      <c r="B7" s="117"/>
      <c r="C7" s="403"/>
      <c r="D7" s="143"/>
      <c r="E7" s="404"/>
      <c r="F7" s="143"/>
      <c r="G7" s="404"/>
      <c r="H7" s="143"/>
      <c r="I7" s="404"/>
      <c r="J7" s="143"/>
      <c r="K7" s="405"/>
      <c r="L7" s="143"/>
      <c r="M7" s="404"/>
      <c r="N7" s="143"/>
      <c r="O7"/>
    </row>
    <row r="8" spans="1:22" ht="1.25" customHeight="1" thickBot="1">
      <c r="A8" s="120">
        <v>1996</v>
      </c>
      <c r="B8" s="132">
        <v>8214.622179967444</v>
      </c>
      <c r="C8" s="158">
        <v>0.11122052660984157</v>
      </c>
      <c r="D8" s="320" t="s">
        <v>29</v>
      </c>
      <c r="E8" s="321" t="s">
        <v>29</v>
      </c>
      <c r="F8" s="320" t="s">
        <v>29</v>
      </c>
      <c r="G8" s="321" t="s">
        <v>29</v>
      </c>
      <c r="H8" s="320" t="s">
        <v>29</v>
      </c>
      <c r="I8" s="321" t="s">
        <v>29</v>
      </c>
      <c r="J8" s="320" t="s">
        <v>29</v>
      </c>
      <c r="K8" s="133">
        <v>56.88</v>
      </c>
      <c r="L8" s="320" t="s">
        <v>29</v>
      </c>
      <c r="M8" s="321" t="s">
        <v>29</v>
      </c>
      <c r="N8" s="320" t="s">
        <v>29</v>
      </c>
      <c r="O8"/>
    </row>
    <row r="9" spans="1:22" ht="0.75" hidden="1" customHeight="1" thickBot="1">
      <c r="A9" s="123">
        <v>1997</v>
      </c>
      <c r="B9" s="134">
        <v>8735.6547899365542</v>
      </c>
      <c r="C9" s="159">
        <v>6.3427458811158022E-2</v>
      </c>
      <c r="D9" s="320" t="s">
        <v>29</v>
      </c>
      <c r="E9" s="321" t="s">
        <v>29</v>
      </c>
      <c r="F9" s="320" t="s">
        <v>29</v>
      </c>
      <c r="G9" s="321" t="s">
        <v>29</v>
      </c>
      <c r="H9" s="320" t="s">
        <v>29</v>
      </c>
      <c r="I9" s="321" t="s">
        <v>29</v>
      </c>
      <c r="J9" s="320" t="s">
        <v>29</v>
      </c>
      <c r="K9" s="135">
        <v>56.26</v>
      </c>
      <c r="L9" s="320" t="s">
        <v>29</v>
      </c>
      <c r="M9" s="321" t="s">
        <v>29</v>
      </c>
      <c r="N9" s="320" t="s">
        <v>29</v>
      </c>
      <c r="O9"/>
      <c r="T9" s="9"/>
      <c r="U9" s="9"/>
      <c r="V9" s="9"/>
    </row>
    <row r="10" spans="1:22" ht="19.5" hidden="1" customHeight="1" thickBot="1">
      <c r="A10" s="123">
        <v>1998</v>
      </c>
      <c r="B10" s="134">
        <v>9332.6868080000004</v>
      </c>
      <c r="C10" s="159">
        <v>6.8344277838362513E-2</v>
      </c>
      <c r="D10" s="134">
        <v>3748.16</v>
      </c>
      <c r="E10" s="135">
        <v>1302.8</v>
      </c>
      <c r="F10" s="134">
        <v>933.79</v>
      </c>
      <c r="G10" s="135">
        <v>1787.54</v>
      </c>
      <c r="H10" s="134">
        <v>223.97</v>
      </c>
      <c r="I10" s="135">
        <v>417.71</v>
      </c>
      <c r="J10" s="134">
        <v>397.5</v>
      </c>
      <c r="K10" s="135">
        <v>56.3</v>
      </c>
      <c r="L10" s="134">
        <v>104.38</v>
      </c>
      <c r="M10" s="135">
        <v>87.2</v>
      </c>
      <c r="N10" s="134" t="s">
        <v>29</v>
      </c>
      <c r="O10"/>
    </row>
    <row r="11" spans="1:22" ht="19.75" hidden="1" customHeight="1" thickBot="1">
      <c r="A11" s="123">
        <v>1999</v>
      </c>
      <c r="B11" s="134">
        <v>9826.7075550000009</v>
      </c>
      <c r="C11" s="159">
        <v>5.2934461121798788E-2</v>
      </c>
      <c r="D11" s="134">
        <v>3764.53</v>
      </c>
      <c r="E11" s="135">
        <v>1484.57</v>
      </c>
      <c r="F11" s="134">
        <v>1031.77</v>
      </c>
      <c r="G11" s="135">
        <v>1873.03</v>
      </c>
      <c r="H11" s="134">
        <v>235.27</v>
      </c>
      <c r="I11" s="135">
        <v>437.19</v>
      </c>
      <c r="J11" s="134">
        <v>413.87</v>
      </c>
      <c r="K11" s="135">
        <v>60.6</v>
      </c>
      <c r="L11" s="134">
        <v>125.04</v>
      </c>
      <c r="M11" s="135">
        <v>87.9</v>
      </c>
      <c r="N11" s="134" t="s">
        <v>29</v>
      </c>
      <c r="O11"/>
    </row>
    <row r="12" spans="1:22" ht="19.75" hidden="1" customHeight="1" thickBot="1">
      <c r="A12" s="123">
        <v>2000</v>
      </c>
      <c r="B12" s="134">
        <v>10542.816855999999</v>
      </c>
      <c r="C12" s="159">
        <v>7.2873777609839388E-2</v>
      </c>
      <c r="D12" s="134">
        <v>3846.3722419999999</v>
      </c>
      <c r="E12" s="135">
        <v>1665.8885190000001</v>
      </c>
      <c r="F12" s="134">
        <v>1143.2080209999999</v>
      </c>
      <c r="G12" s="135">
        <v>2097.7667449999999</v>
      </c>
      <c r="H12" s="134">
        <v>253.12159500000001</v>
      </c>
      <c r="I12" s="135">
        <v>446.74208700000003</v>
      </c>
      <c r="J12" s="134">
        <v>442.743357</v>
      </c>
      <c r="K12" s="135">
        <v>62.290866000000001</v>
      </c>
      <c r="L12" s="134">
        <v>179.87060299999999</v>
      </c>
      <c r="M12" s="135">
        <v>114.545208</v>
      </c>
      <c r="N12" s="134" t="s">
        <v>29</v>
      </c>
      <c r="O12"/>
    </row>
    <row r="13" spans="1:22" ht="20" hidden="1" customHeight="1" thickBot="1">
      <c r="A13" s="123">
        <v>2001</v>
      </c>
      <c r="B13" s="134">
        <v>11308.048632</v>
      </c>
      <c r="C13" s="159">
        <v>7.2583237141646939E-2</v>
      </c>
      <c r="D13" s="134">
        <v>4011.5563699999998</v>
      </c>
      <c r="E13" s="135">
        <v>1925.523136</v>
      </c>
      <c r="F13" s="134">
        <v>1271.4507229999999</v>
      </c>
      <c r="G13" s="135">
        <v>2242.439856</v>
      </c>
      <c r="H13" s="134">
        <v>270.321618</v>
      </c>
      <c r="I13" s="135">
        <v>480.12928299999999</v>
      </c>
      <c r="J13" s="134">
        <v>462.70975499999997</v>
      </c>
      <c r="K13" s="135">
        <v>65.236801</v>
      </c>
      <c r="L13" s="134">
        <v>173.02369200000001</v>
      </c>
      <c r="M13" s="135">
        <v>106.32983400000001</v>
      </c>
      <c r="N13" s="134">
        <v>20.166156999999998</v>
      </c>
      <c r="O13"/>
    </row>
    <row r="14" spans="1:22" ht="20" customHeight="1" thickBot="1">
      <c r="A14" s="123">
        <v>2002</v>
      </c>
      <c r="B14" s="134">
        <v>11864.756498999999</v>
      </c>
      <c r="C14" s="159">
        <v>4.9231117155315675E-2</v>
      </c>
      <c r="D14" s="134">
        <v>4108.8234659999998</v>
      </c>
      <c r="E14" s="135">
        <v>1972.059045</v>
      </c>
      <c r="F14" s="134">
        <v>1260.789229</v>
      </c>
      <c r="G14" s="135">
        <v>2524.68426</v>
      </c>
      <c r="H14" s="134">
        <v>290.06557500000002</v>
      </c>
      <c r="I14" s="135">
        <v>506.24601999999999</v>
      </c>
      <c r="J14" s="134">
        <v>485.55174599999998</v>
      </c>
      <c r="K14" s="135">
        <v>65.211265999999995</v>
      </c>
      <c r="L14" s="134">
        <v>202.87558799999999</v>
      </c>
      <c r="M14" s="135">
        <v>112.82700800000001</v>
      </c>
      <c r="N14" s="134">
        <v>22.283301000000002</v>
      </c>
      <c r="O14"/>
    </row>
    <row r="15" spans="1:22" ht="20" customHeight="1" thickBot="1">
      <c r="A15" s="123">
        <v>2003</v>
      </c>
      <c r="B15" s="134">
        <v>12287.171129999999</v>
      </c>
      <c r="C15" s="159">
        <v>3.560246946792394E-2</v>
      </c>
      <c r="D15" s="134">
        <v>4172.0328019999997</v>
      </c>
      <c r="E15" s="135">
        <v>2141.3752909999998</v>
      </c>
      <c r="F15" s="134">
        <v>1347.924618</v>
      </c>
      <c r="G15" s="135">
        <v>2602.0570160000002</v>
      </c>
      <c r="H15" s="134">
        <v>320.12044100000003</v>
      </c>
      <c r="I15" s="135">
        <v>491.37185499999998</v>
      </c>
      <c r="J15" s="134">
        <v>480.48790700000001</v>
      </c>
      <c r="K15" s="135">
        <v>65.007204000000002</v>
      </c>
      <c r="L15" s="134">
        <v>214.51952800000001</v>
      </c>
      <c r="M15" s="135">
        <v>112.746364</v>
      </c>
      <c r="N15" s="134">
        <v>30.331126999999999</v>
      </c>
      <c r="O15"/>
    </row>
    <row r="16" spans="1:22" ht="20" customHeight="1" thickBot="1">
      <c r="A16" s="123">
        <v>2004</v>
      </c>
      <c r="B16" s="134">
        <v>12930.941864000002</v>
      </c>
      <c r="C16" s="159">
        <v>5.2393730598265333E-2</v>
      </c>
      <c r="D16" s="134">
        <v>4377.7035830000004</v>
      </c>
      <c r="E16" s="135">
        <v>2192.3005199999998</v>
      </c>
      <c r="F16" s="134">
        <v>1398.7252390000001</v>
      </c>
      <c r="G16" s="135">
        <v>2750.1970510000001</v>
      </c>
      <c r="H16" s="134">
        <v>365.15373399999999</v>
      </c>
      <c r="I16" s="135">
        <v>505.40384999999998</v>
      </c>
      <c r="J16" s="134">
        <v>591.27084500000001</v>
      </c>
      <c r="K16" s="135">
        <v>68.244215999999994</v>
      </c>
      <c r="L16" s="134">
        <v>259.95297099999999</v>
      </c>
      <c r="M16" s="135">
        <v>79.496533999999997</v>
      </c>
      <c r="N16" s="134">
        <v>25.676613</v>
      </c>
      <c r="O16"/>
    </row>
    <row r="17" spans="1:17" ht="20" customHeight="1" thickBot="1">
      <c r="A17" s="123">
        <v>2005</v>
      </c>
      <c r="B17" s="134">
        <v>13896.515273999998</v>
      </c>
      <c r="C17" s="159">
        <v>7.467154520956984E-2</v>
      </c>
      <c r="D17" s="134">
        <v>4526.5123919999996</v>
      </c>
      <c r="E17" s="135">
        <v>2671.1515180000001</v>
      </c>
      <c r="F17" s="134">
        <v>1472.471274</v>
      </c>
      <c r="G17" s="135">
        <v>2820.8304370000001</v>
      </c>
      <c r="H17" s="134">
        <v>388.382814</v>
      </c>
      <c r="I17" s="135">
        <v>531.73997799999995</v>
      </c>
      <c r="J17" s="134">
        <v>664.98868300000004</v>
      </c>
      <c r="K17" s="135">
        <v>69.204526000000001</v>
      </c>
      <c r="L17" s="134">
        <v>297.96774900000003</v>
      </c>
      <c r="M17" s="135">
        <v>52.688243999999997</v>
      </c>
      <c r="N17" s="134">
        <v>24.155256000000001</v>
      </c>
      <c r="O17"/>
    </row>
    <row r="18" spans="1:17" ht="20" customHeight="1" thickBot="1">
      <c r="A18" s="123">
        <v>2006</v>
      </c>
      <c r="B18" s="134">
        <v>14030.772541999999</v>
      </c>
      <c r="C18" s="159">
        <v>9.6612183236464248E-3</v>
      </c>
      <c r="D18" s="134">
        <v>4631.4300709999998</v>
      </c>
      <c r="E18" s="135">
        <v>2644.9903220000001</v>
      </c>
      <c r="F18" s="134">
        <v>1472.366248</v>
      </c>
      <c r="G18" s="135">
        <v>2826.9170079999999</v>
      </c>
      <c r="H18" s="134">
        <v>416.81203599999998</v>
      </c>
      <c r="I18" s="135">
        <v>539.40939700000001</v>
      </c>
      <c r="J18" s="134">
        <v>625.59989599999994</v>
      </c>
      <c r="K18" s="135">
        <v>68.417607000000004</v>
      </c>
      <c r="L18" s="134">
        <v>336.37458700000002</v>
      </c>
      <c r="M18" s="135">
        <v>61.767296000000002</v>
      </c>
      <c r="N18" s="134">
        <v>11.768563</v>
      </c>
      <c r="O18"/>
    </row>
    <row r="19" spans="1:17" ht="20" customHeight="1" thickBot="1">
      <c r="A19" s="123">
        <v>2007</v>
      </c>
      <c r="B19" s="134">
        <v>14675.691045</v>
      </c>
      <c r="C19" s="159">
        <v>4.5964575440838207E-2</v>
      </c>
      <c r="D19" s="134">
        <v>4835.7349899999999</v>
      </c>
      <c r="E19" s="135">
        <v>2824.687347</v>
      </c>
      <c r="F19" s="134">
        <v>1518.895055</v>
      </c>
      <c r="G19" s="135">
        <v>2887.694485</v>
      </c>
      <c r="H19" s="134">
        <v>456.109013</v>
      </c>
      <c r="I19" s="135">
        <v>553.92740000000003</v>
      </c>
      <c r="J19" s="134">
        <v>633.04220399999997</v>
      </c>
      <c r="K19" s="135">
        <v>71.228594000000001</v>
      </c>
      <c r="L19" s="134">
        <v>373.80373800000001</v>
      </c>
      <c r="M19" s="135">
        <v>64.120796999999996</v>
      </c>
      <c r="N19" s="134">
        <v>9.7957180000000008</v>
      </c>
      <c r="O19"/>
    </row>
    <row r="20" spans="1:17" ht="20" customHeight="1" thickBot="1">
      <c r="A20" s="123">
        <v>2008</v>
      </c>
      <c r="B20" s="134">
        <v>15615.666009989998</v>
      </c>
      <c r="C20" s="159">
        <v>6.4049792415754592E-2</v>
      </c>
      <c r="D20" s="134">
        <v>5103.8810920400001</v>
      </c>
      <c r="E20" s="135">
        <v>3255.3153891399998</v>
      </c>
      <c r="F20" s="134">
        <v>1619.4145700199999</v>
      </c>
      <c r="G20" s="135">
        <v>3019.5684620500001</v>
      </c>
      <c r="H20" s="134">
        <v>496.14749419999998</v>
      </c>
      <c r="I20" s="135">
        <v>572.72103085000003</v>
      </c>
      <c r="J20" s="134">
        <v>686.59783748999996</v>
      </c>
      <c r="K20" s="135">
        <v>71.69690340999999</v>
      </c>
      <c r="L20" s="134">
        <v>374.54323960000005</v>
      </c>
      <c r="M20" s="135">
        <v>55.54561923</v>
      </c>
      <c r="N20" s="134">
        <v>10.82962706</v>
      </c>
      <c r="O20"/>
    </row>
    <row r="21" spans="1:17" ht="20" customHeight="1" thickBot="1">
      <c r="A21" s="123">
        <v>2009</v>
      </c>
      <c r="B21" s="134">
        <v>16254.018595869999</v>
      </c>
      <c r="C21" s="159">
        <v>4.0878985595082407E-2</v>
      </c>
      <c r="D21" s="134">
        <v>5227.31893072</v>
      </c>
      <c r="E21" s="135">
        <v>3473.7134508499998</v>
      </c>
      <c r="F21" s="134">
        <v>1697.4901301199998</v>
      </c>
      <c r="G21" s="135">
        <v>3136.26183201</v>
      </c>
      <c r="H21" s="134">
        <v>531.28997864999997</v>
      </c>
      <c r="I21" s="135">
        <v>592.22791487999996</v>
      </c>
      <c r="J21" s="134">
        <v>691.81437719000007</v>
      </c>
      <c r="K21" s="135">
        <v>72.583560519999992</v>
      </c>
      <c r="L21" s="134">
        <v>392.16189391</v>
      </c>
      <c r="M21" s="135">
        <v>62.042064340000003</v>
      </c>
      <c r="N21" s="134">
        <v>9.6207207700000001</v>
      </c>
      <c r="O21"/>
    </row>
    <row r="22" spans="1:17" ht="20" customHeight="1" thickBot="1">
      <c r="A22" s="123">
        <v>2010</v>
      </c>
      <c r="B22" s="134">
        <v>16768.374995100003</v>
      </c>
      <c r="C22" s="159">
        <v>3.1644875770026282E-2</v>
      </c>
      <c r="D22" s="134">
        <v>5325.2508193000003</v>
      </c>
      <c r="E22" s="135">
        <v>3824.7807484699997</v>
      </c>
      <c r="F22" s="134">
        <v>1619.7804195599999</v>
      </c>
      <c r="G22" s="135">
        <v>3163.9565150100002</v>
      </c>
      <c r="H22" s="134">
        <v>562.75759688999995</v>
      </c>
      <c r="I22" s="135">
        <v>622.54745729000001</v>
      </c>
      <c r="J22" s="134">
        <v>696.93634201999998</v>
      </c>
      <c r="K22" s="135">
        <v>73.035286099999993</v>
      </c>
      <c r="L22" s="134">
        <v>417.93008025</v>
      </c>
      <c r="M22" s="135">
        <v>68.394027909999991</v>
      </c>
      <c r="N22" s="134">
        <v>7.8707267500000002</v>
      </c>
      <c r="O22"/>
    </row>
    <row r="23" spans="1:17" ht="20" customHeight="1" thickBot="1">
      <c r="A23" s="123">
        <v>2011</v>
      </c>
      <c r="B23" s="134">
        <v>17331.639448619997</v>
      </c>
      <c r="C23" s="159">
        <v>3.3590878882693742E-2</v>
      </c>
      <c r="D23" s="134">
        <v>5566.1890389700002</v>
      </c>
      <c r="E23" s="135">
        <v>4111.6320723099998</v>
      </c>
      <c r="F23" s="134">
        <v>1620.73979562</v>
      </c>
      <c r="G23" s="135">
        <v>3169.0921884099998</v>
      </c>
      <c r="H23" s="134">
        <v>582.96302235000007</v>
      </c>
      <c r="I23" s="135">
        <v>636.24155867999991</v>
      </c>
      <c r="J23" s="134">
        <v>749.02262587999996</v>
      </c>
      <c r="K23" s="135">
        <v>73.965912650000007</v>
      </c>
      <c r="L23" s="134">
        <v>382.33491762</v>
      </c>
      <c r="M23" s="135">
        <v>86.212460309999997</v>
      </c>
      <c r="N23" s="134">
        <v>7.6325601199999999</v>
      </c>
      <c r="O23"/>
    </row>
    <row r="24" spans="1:17" s="411" customFormat="1" ht="30" customHeight="1" thickBot="1">
      <c r="A24" s="430">
        <v>2012</v>
      </c>
      <c r="B24" s="331">
        <v>18079.81304022</v>
      </c>
      <c r="C24" s="160">
        <v>4.3168079616356048E-2</v>
      </c>
      <c r="D24" s="331">
        <v>5805.8330580299998</v>
      </c>
      <c r="E24" s="192">
        <v>4403.77373223</v>
      </c>
      <c r="F24" s="331">
        <v>1663.3658304200001</v>
      </c>
      <c r="G24" s="192">
        <v>3253.0013221500003</v>
      </c>
      <c r="H24" s="331">
        <v>627.79335935000006</v>
      </c>
      <c r="I24" s="192">
        <v>654.58162120000009</v>
      </c>
      <c r="J24" s="331">
        <v>794.48913291999997</v>
      </c>
      <c r="K24" s="192">
        <v>75.66790804</v>
      </c>
      <c r="L24" s="331">
        <v>376.67323020999999</v>
      </c>
      <c r="M24" s="192">
        <v>1.8009850000000001</v>
      </c>
      <c r="N24" s="331">
        <v>22.57363393</v>
      </c>
      <c r="O24"/>
      <c r="P24" s="409"/>
      <c r="Q24" s="410"/>
    </row>
    <row r="25" spans="1:17" ht="17.25" customHeight="1" thickBot="1">
      <c r="A25" s="336"/>
      <c r="B25" s="412"/>
      <c r="C25" s="414"/>
      <c r="D25" s="412"/>
      <c r="E25" s="414"/>
      <c r="F25" s="412"/>
      <c r="G25" s="414"/>
      <c r="P25" s="4"/>
      <c r="Q25" s="4"/>
    </row>
    <row r="26" spans="1:17" s="266" customFormat="1" ht="51" customHeight="1" thickBot="1">
      <c r="A26" s="415" t="s">
        <v>531</v>
      </c>
      <c r="B26" s="374">
        <v>4.3022100046238743E-2</v>
      </c>
      <c r="C26" s="417" t="s">
        <v>29</v>
      </c>
      <c r="D26" s="374">
        <v>3.5177219430031714E-2</v>
      </c>
      <c r="E26" s="418">
        <v>8.3653675293626328E-2</v>
      </c>
      <c r="F26" s="374">
        <v>2.8098033808884537E-2</v>
      </c>
      <c r="G26" s="418">
        <v>2.5670150641677436E-2</v>
      </c>
      <c r="H26" s="374">
        <v>8.0269346402029429E-2</v>
      </c>
      <c r="I26" s="418">
        <v>2.6030376322950355E-2</v>
      </c>
      <c r="J26" s="374">
        <v>5.0473846028395997E-2</v>
      </c>
      <c r="K26" s="418">
        <v>1.4983330197023914E-2</v>
      </c>
      <c r="L26" s="374">
        <v>6.3833094353533681E-2</v>
      </c>
      <c r="M26" s="418">
        <v>-0.33883523277101057</v>
      </c>
      <c r="N26" s="374">
        <v>1.2953403384310391E-3</v>
      </c>
      <c r="P26" s="409"/>
      <c r="Q26" s="409"/>
    </row>
    <row r="27" spans="1:17" ht="39" customHeight="1">
      <c r="A27" s="336"/>
      <c r="B27" s="419"/>
      <c r="C27" s="414"/>
      <c r="D27" s="412"/>
      <c r="E27" s="414"/>
      <c r="F27" s="412"/>
      <c r="G27" s="414"/>
    </row>
    <row r="28" spans="1:17" ht="18" customHeight="1">
      <c r="A28" s="109" t="s">
        <v>225</v>
      </c>
      <c r="B28" s="226" t="s">
        <v>532</v>
      </c>
      <c r="C28" s="155" t="s">
        <v>256</v>
      </c>
      <c r="D28" s="110"/>
      <c r="E28" s="398"/>
      <c r="F28"/>
      <c r="G28" s="3"/>
      <c r="H28" s="397" t="s">
        <v>230</v>
      </c>
      <c r="I28" s="155" t="s">
        <v>256</v>
      </c>
    </row>
    <row r="29" spans="1:17" ht="16.75" customHeight="1">
      <c r="A29" s="112"/>
      <c r="B29" s="226" t="s">
        <v>551</v>
      </c>
      <c r="C29" s="156" t="s">
        <v>257</v>
      </c>
      <c r="D29" s="399" t="s">
        <v>518</v>
      </c>
      <c r="E29" s="400" t="s">
        <v>518</v>
      </c>
      <c r="F29"/>
      <c r="G29" s="3"/>
      <c r="H29" s="226" t="s">
        <v>533</v>
      </c>
      <c r="I29" s="156" t="s">
        <v>257</v>
      </c>
    </row>
    <row r="30" spans="1:17" ht="16.25" customHeight="1">
      <c r="A30" s="112"/>
      <c r="B30" s="113"/>
      <c r="C30" s="156" t="s">
        <v>258</v>
      </c>
      <c r="D30" s="399" t="s">
        <v>534</v>
      </c>
      <c r="E30" s="400" t="s">
        <v>535</v>
      </c>
      <c r="F30"/>
      <c r="G30" s="3"/>
      <c r="H30" s="113"/>
      <c r="I30" s="156" t="s">
        <v>258</v>
      </c>
    </row>
    <row r="31" spans="1:17" ht="19.5" customHeight="1">
      <c r="A31" s="401"/>
      <c r="B31" s="143"/>
      <c r="C31" s="402"/>
      <c r="D31" s="399" t="s">
        <v>536</v>
      </c>
      <c r="E31" s="400"/>
      <c r="F31"/>
      <c r="G31" s="3"/>
      <c r="H31" s="143"/>
      <c r="I31" s="402"/>
    </row>
    <row r="32" spans="1:17" ht="19.5" customHeight="1">
      <c r="A32" s="116"/>
      <c r="B32" s="117"/>
      <c r="C32" s="403"/>
      <c r="D32" s="420"/>
      <c r="E32" s="421"/>
      <c r="F32"/>
      <c r="G32" s="3"/>
      <c r="H32" s="117"/>
      <c r="I32" s="403"/>
    </row>
    <row r="33" spans="1:9" ht="1.5" customHeight="1" thickBot="1">
      <c r="A33" s="120">
        <v>1996</v>
      </c>
      <c r="B33" s="132">
        <v>4244.395068032557</v>
      </c>
      <c r="C33" s="158">
        <v>8.4154117430895334E-2</v>
      </c>
      <c r="D33" s="320" t="s">
        <v>29</v>
      </c>
      <c r="E33" s="321" t="s">
        <v>29</v>
      </c>
      <c r="F33"/>
      <c r="G33" s="3"/>
      <c r="H33" s="132">
        <v>12459.017248</v>
      </c>
      <c r="I33" s="158">
        <v>0.10184935576083168</v>
      </c>
    </row>
    <row r="34" spans="1:9" ht="19.5" hidden="1" customHeight="1" thickBot="1">
      <c r="A34" s="123">
        <v>1997</v>
      </c>
      <c r="B34" s="134">
        <v>4402.8227450634458</v>
      </c>
      <c r="C34" s="159">
        <v>3.7326326718291628E-2</v>
      </c>
      <c r="D34" s="134" t="s">
        <v>29</v>
      </c>
      <c r="E34" s="135" t="s">
        <v>29</v>
      </c>
      <c r="F34"/>
      <c r="G34" s="3"/>
      <c r="H34" s="134">
        <v>13138.477535</v>
      </c>
      <c r="I34" s="159">
        <v>5.4535624558114414E-2</v>
      </c>
    </row>
    <row r="35" spans="1:9" ht="19.5" hidden="1" customHeight="1" thickBot="1">
      <c r="A35" s="123">
        <v>1998</v>
      </c>
      <c r="B35" s="134">
        <v>4691.4058439999999</v>
      </c>
      <c r="C35" s="159">
        <v>6.5545018649710712E-2</v>
      </c>
      <c r="D35" s="134">
        <v>3570.49</v>
      </c>
      <c r="E35" s="135">
        <v>1091.68</v>
      </c>
      <c r="F35"/>
      <c r="G35" s="3"/>
      <c r="H35" s="134">
        <v>14024.092651999999</v>
      </c>
      <c r="I35" s="159">
        <v>6.7406220746717538E-2</v>
      </c>
    </row>
    <row r="36" spans="1:9" ht="19.25" hidden="1" customHeight="1" thickBot="1">
      <c r="A36" s="123">
        <v>1999</v>
      </c>
      <c r="B36" s="134">
        <v>4793.8029630000001</v>
      </c>
      <c r="C36" s="159">
        <v>2.1826531833940437E-2</v>
      </c>
      <c r="D36" s="134">
        <v>3611.25</v>
      </c>
      <c r="E36" s="135">
        <v>1169.7</v>
      </c>
      <c r="F36"/>
      <c r="G36" s="3"/>
      <c r="H36" s="134">
        <v>14620.510517999999</v>
      </c>
      <c r="I36" s="159">
        <v>4.2528089395854327E-2</v>
      </c>
    </row>
    <row r="37" spans="1:9" ht="19.25" hidden="1" customHeight="1" thickBot="1">
      <c r="A37" s="123">
        <v>2000</v>
      </c>
      <c r="B37" s="134">
        <v>4935.5105860000003</v>
      </c>
      <c r="C37" s="159">
        <v>2.9560585633940716E-2</v>
      </c>
      <c r="D37" s="134">
        <v>3696.49064</v>
      </c>
      <c r="E37" s="135">
        <v>1214.941513</v>
      </c>
      <c r="F37"/>
      <c r="G37" s="3"/>
      <c r="H37" s="134">
        <v>15478.327442</v>
      </c>
      <c r="I37" s="159">
        <v>5.8672159425890213E-2</v>
      </c>
    </row>
    <row r="38" spans="1:9" ht="21.75" hidden="1" customHeight="1" thickBot="1">
      <c r="A38" s="123">
        <v>2001</v>
      </c>
      <c r="B38" s="134">
        <v>5078.4121850000001</v>
      </c>
      <c r="C38" s="159">
        <v>2.8953762029272606E-2</v>
      </c>
      <c r="D38" s="134">
        <v>3798.2139889999999</v>
      </c>
      <c r="E38" s="135">
        <v>1257.8527670000001</v>
      </c>
      <c r="F38"/>
      <c r="G38" s="3"/>
      <c r="H38" s="134">
        <v>16386.460816999999</v>
      </c>
      <c r="I38" s="159">
        <v>5.867128592562304E-2</v>
      </c>
    </row>
    <row r="39" spans="1:9" ht="19.5" customHeight="1" thickBot="1">
      <c r="A39" s="123">
        <v>2002</v>
      </c>
      <c r="B39" s="134">
        <v>5230.8309099999997</v>
      </c>
      <c r="C39" s="159">
        <v>3.0013066968095962E-2</v>
      </c>
      <c r="D39" s="134">
        <v>3783.9358269999998</v>
      </c>
      <c r="E39" s="135">
        <v>1392.356614</v>
      </c>
      <c r="F39"/>
      <c r="G39" s="3"/>
      <c r="H39" s="134">
        <v>17095.587409</v>
      </c>
      <c r="I39" s="159">
        <v>4.3275152573783532E-2</v>
      </c>
    </row>
    <row r="40" spans="1:9" ht="19.5" customHeight="1" thickBot="1">
      <c r="A40" s="123">
        <v>2003</v>
      </c>
      <c r="B40" s="134">
        <v>5636.9482250000001</v>
      </c>
      <c r="C40" s="159">
        <v>7.7639159435188176E-2</v>
      </c>
      <c r="D40" s="134">
        <v>4111.8764270000001</v>
      </c>
      <c r="E40" s="135">
        <v>1477.775099</v>
      </c>
      <c r="F40"/>
      <c r="G40" s="3"/>
      <c r="H40" s="134">
        <v>17924.119354999999</v>
      </c>
      <c r="I40" s="159">
        <v>4.8464666710651728E-2</v>
      </c>
    </row>
    <row r="41" spans="1:9" ht="19.5" customHeight="1" thickBot="1">
      <c r="A41" s="123">
        <v>2004</v>
      </c>
      <c r="B41" s="134">
        <v>6208.8790769999996</v>
      </c>
      <c r="C41" s="159">
        <v>0.10146107950104499</v>
      </c>
      <c r="D41" s="134">
        <v>4569.0303759999997</v>
      </c>
      <c r="E41" s="135">
        <v>1572.8925360000001</v>
      </c>
      <c r="F41"/>
      <c r="G41" s="3"/>
      <c r="H41" s="134">
        <v>19139.820941000002</v>
      </c>
      <c r="I41" s="159">
        <v>6.782489906043157E-2</v>
      </c>
    </row>
    <row r="42" spans="1:9" ht="19.5" customHeight="1" thickBot="1">
      <c r="A42" s="123">
        <v>2005</v>
      </c>
      <c r="B42" s="134">
        <v>6451.1913709999999</v>
      </c>
      <c r="C42" s="159">
        <v>3.902673751492685E-2</v>
      </c>
      <c r="D42" s="134">
        <v>4803.16752</v>
      </c>
      <c r="E42" s="135">
        <v>1587.1501499999999</v>
      </c>
      <c r="F42"/>
      <c r="G42" s="3"/>
      <c r="H42" s="134">
        <v>20347.706644999998</v>
      </c>
      <c r="I42" s="159">
        <v>6.3108516413157623E-2</v>
      </c>
    </row>
    <row r="43" spans="1:9" ht="19.5" customHeight="1" thickBot="1">
      <c r="A43" s="123">
        <v>2006</v>
      </c>
      <c r="B43" s="134">
        <v>6571.8543769999997</v>
      </c>
      <c r="C43" s="159">
        <v>1.8703988001722505E-2</v>
      </c>
      <c r="D43" s="134">
        <v>4893.0853630000001</v>
      </c>
      <c r="E43" s="135">
        <v>1627.1193760000001</v>
      </c>
      <c r="F43"/>
      <c r="G43" s="3"/>
      <c r="H43" s="134">
        <v>20602.626918999998</v>
      </c>
      <c r="I43" s="159">
        <v>1.2528206664638598E-2</v>
      </c>
    </row>
    <row r="44" spans="1:9" ht="19.5" customHeight="1" thickBot="1">
      <c r="A44" s="123">
        <v>2007</v>
      </c>
      <c r="B44" s="134">
        <v>6902.9978209999999</v>
      </c>
      <c r="C44" s="159">
        <v>5.0388128677794075E-2</v>
      </c>
      <c r="D44" s="134">
        <v>5137.1482340000002</v>
      </c>
      <c r="E44" s="135">
        <v>1706.5482260000001</v>
      </c>
      <c r="F44"/>
      <c r="G44" s="3"/>
      <c r="H44" s="134">
        <v>21578.688866</v>
      </c>
      <c r="I44" s="159">
        <v>4.737560655917461E-2</v>
      </c>
    </row>
    <row r="45" spans="1:9" ht="19.5" customHeight="1" thickBot="1">
      <c r="A45" s="123">
        <v>2008</v>
      </c>
      <c r="B45" s="134">
        <v>7106.2454728100001</v>
      </c>
      <c r="C45" s="159">
        <v>2.9443389246290863E-2</v>
      </c>
      <c r="D45" s="134">
        <v>5258.11061599</v>
      </c>
      <c r="E45" s="135">
        <v>1784.3509754700001</v>
      </c>
      <c r="F45"/>
      <c r="G45" s="3"/>
      <c r="H45" s="134">
        <v>22721.911482799998</v>
      </c>
      <c r="I45" s="159">
        <v>5.2979243729738057E-2</v>
      </c>
    </row>
    <row r="46" spans="1:9" ht="19.5" customHeight="1" thickBot="1">
      <c r="A46" s="123">
        <v>2009</v>
      </c>
      <c r="B46" s="134">
        <v>7402.3038488600005</v>
      </c>
      <c r="C46" s="159">
        <v>4.1661715343606076E-2</v>
      </c>
      <c r="D46" s="134">
        <v>5481.4641226399999</v>
      </c>
      <c r="E46" s="135">
        <v>1858.1611509100001</v>
      </c>
      <c r="F46"/>
      <c r="G46" s="3"/>
      <c r="H46" s="134">
        <v>23656.322444729998</v>
      </c>
      <c r="I46" s="159">
        <v>4.1123783209758846E-2</v>
      </c>
    </row>
    <row r="47" spans="1:9" ht="19.5" customHeight="1" thickBot="1">
      <c r="A47" s="123">
        <v>2010</v>
      </c>
      <c r="B47" s="134">
        <v>7524.0865785100004</v>
      </c>
      <c r="C47" s="159">
        <v>1.6452003610842647E-2</v>
      </c>
      <c r="D47" s="134">
        <v>5592.6431163300003</v>
      </c>
      <c r="E47" s="135">
        <v>1893.93209456</v>
      </c>
      <c r="F47"/>
      <c r="G47" s="3"/>
      <c r="H47" s="134">
        <v>24292.461573610002</v>
      </c>
      <c r="I47" s="159">
        <v>2.6890871578465481E-2</v>
      </c>
    </row>
    <row r="48" spans="1:9" ht="19.5" customHeight="1" thickBot="1">
      <c r="A48" s="123">
        <v>2011</v>
      </c>
      <c r="B48" s="134">
        <v>7599.8706462</v>
      </c>
      <c r="C48" s="159">
        <v>1.0072195063046019E-2</v>
      </c>
      <c r="D48" s="134">
        <v>5695.65275612</v>
      </c>
      <c r="E48" s="135">
        <v>1846.9192008699999</v>
      </c>
      <c r="F48"/>
      <c r="G48" s="3"/>
      <c r="H48" s="134">
        <v>24931.510094819998</v>
      </c>
      <c r="I48" s="159">
        <v>2.6306453929074936E-2</v>
      </c>
    </row>
    <row r="49" spans="1:9" ht="30" customHeight="1" thickBot="1">
      <c r="A49" s="430">
        <v>2012</v>
      </c>
      <c r="B49" s="331">
        <v>7821.4152521299993</v>
      </c>
      <c r="C49" s="160">
        <v>2.9151102202084722E-2</v>
      </c>
      <c r="D49" s="331">
        <v>5937.25249463</v>
      </c>
      <c r="E49" s="192">
        <v>1845.8307966</v>
      </c>
      <c r="F49"/>
      <c r="G49" s="3"/>
      <c r="H49" s="331">
        <v>25901.228292349999</v>
      </c>
      <c r="I49" s="160">
        <v>3.8895285277223524E-2</v>
      </c>
    </row>
    <row r="50" spans="1:9" ht="19.5" customHeight="1" thickBot="1">
      <c r="A50" s="131"/>
      <c r="B50" s="412"/>
      <c r="C50" s="414"/>
      <c r="D50" s="412"/>
      <c r="E50" s="414"/>
      <c r="F50" s="412"/>
      <c r="G50" s="414"/>
    </row>
    <row r="51" spans="1:9" ht="51.75" customHeight="1" thickBot="1">
      <c r="A51" s="415" t="s">
        <v>531</v>
      </c>
      <c r="B51" s="374">
        <v>4.1049706971790778E-2</v>
      </c>
      <c r="C51" s="417" t="s">
        <v>29</v>
      </c>
      <c r="D51" s="374">
        <v>4.607825784225561E-2</v>
      </c>
      <c r="E51" s="418">
        <v>2.8594364469598732E-2</v>
      </c>
      <c r="F51" s="422"/>
      <c r="G51" s="3"/>
      <c r="H51" s="374">
        <v>4.2422155379966631E-2</v>
      </c>
      <c r="I51" s="417" t="s">
        <v>29</v>
      </c>
    </row>
    <row r="52" spans="1:9" ht="17.25" customHeight="1">
      <c r="A52" s="130" t="s">
        <v>396</v>
      </c>
      <c r="B52" s="412"/>
      <c r="C52" s="414"/>
      <c r="D52" s="412"/>
      <c r="E52" s="414"/>
      <c r="F52" s="412"/>
      <c r="G52" s="414"/>
    </row>
    <row r="53" spans="1:9" ht="14">
      <c r="A53" s="336"/>
      <c r="B53" s="412"/>
      <c r="C53" s="414"/>
      <c r="D53" s="412"/>
      <c r="E53" s="414"/>
      <c r="F53" s="412"/>
      <c r="G53" s="414"/>
    </row>
    <row r="54" spans="1:9">
      <c r="A54" s="131" t="s">
        <v>473</v>
      </c>
      <c r="B54" s="4"/>
      <c r="C54" s="423"/>
      <c r="D54" s="4"/>
      <c r="E54" s="423"/>
      <c r="F54" s="4"/>
      <c r="G54" s="423"/>
    </row>
    <row r="55" spans="1:9" ht="14">
      <c r="A55" s="131" t="s">
        <v>553</v>
      </c>
      <c r="B55" s="412"/>
      <c r="C55" s="414"/>
      <c r="D55" s="412"/>
      <c r="E55" s="414"/>
      <c r="F55" s="412"/>
      <c r="G55" s="414"/>
    </row>
    <row r="56" spans="1:9" ht="14">
      <c r="A56" s="3" t="s">
        <v>554</v>
      </c>
      <c r="B56" s="412"/>
      <c r="C56" s="414"/>
      <c r="D56" s="412"/>
      <c r="E56" s="414"/>
      <c r="F56" s="412"/>
      <c r="G56" s="414"/>
    </row>
    <row r="57" spans="1:9" ht="14">
      <c r="A57" s="336" t="s">
        <v>555</v>
      </c>
      <c r="B57" s="412"/>
      <c r="C57" s="414"/>
      <c r="D57" s="412"/>
      <c r="E57" s="414"/>
      <c r="F57" s="412"/>
      <c r="G57" s="414"/>
    </row>
    <row r="58" spans="1:9">
      <c r="A58" s="4"/>
      <c r="B58" s="4"/>
      <c r="C58" s="423"/>
      <c r="D58" s="4"/>
      <c r="E58" s="423"/>
      <c r="F58" s="4"/>
      <c r="G58" s="423"/>
    </row>
    <row r="59" spans="1:9">
      <c r="A59" s="4" t="s">
        <v>556</v>
      </c>
      <c r="B59" s="4"/>
      <c r="C59" s="423"/>
      <c r="D59" s="4"/>
      <c r="E59" s="423"/>
      <c r="F59" s="4"/>
      <c r="G59" s="423"/>
    </row>
    <row r="60" spans="1:9">
      <c r="A60" s="4"/>
      <c r="B60" s="4"/>
      <c r="C60" s="423"/>
      <c r="D60" s="4"/>
      <c r="E60" s="423"/>
      <c r="F60" s="4"/>
      <c r="G60" s="423"/>
    </row>
    <row r="62" spans="1:9">
      <c r="A62" s="3" t="s">
        <v>395</v>
      </c>
    </row>
    <row r="65" spans="2:5">
      <c r="B65"/>
      <c r="C65"/>
      <c r="D65"/>
      <c r="E65"/>
    </row>
    <row r="66" spans="2:5">
      <c r="B66"/>
      <c r="C66"/>
      <c r="D66"/>
      <c r="E66"/>
    </row>
    <row r="67" spans="2:5">
      <c r="B67"/>
      <c r="C67"/>
      <c r="D67"/>
      <c r="E67"/>
    </row>
    <row r="68" spans="2:5">
      <c r="B68"/>
      <c r="C68"/>
      <c r="D68"/>
      <c r="E68"/>
    </row>
    <row r="69" spans="2:5">
      <c r="B69"/>
      <c r="C69"/>
      <c r="D69"/>
      <c r="E69"/>
    </row>
  </sheetData>
  <pageMargins left="0.52" right="0.37" top="0.5" bottom="0.49" header="0.3" footer="0.4921259845"/>
  <pageSetup paperSize="9" scale="54" orientation="landscape"/>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0AB8-65DA-7545-8DCB-2FAEED7C545B}">
  <sheetPr>
    <pageSetUpPr fitToPage="1"/>
  </sheetPr>
  <dimension ref="A1:H44"/>
  <sheetViews>
    <sheetView zoomScale="85" zoomScaleNormal="85" workbookViewId="0">
      <selection activeCell="J12" sqref="J12"/>
    </sheetView>
  </sheetViews>
  <sheetFormatPr baseColWidth="10" defaultColWidth="11.3984375" defaultRowHeight="13"/>
  <cols>
    <col min="1" max="1" width="41" style="3" customWidth="1"/>
    <col min="2" max="4" width="16" style="3" customWidth="1"/>
    <col min="5" max="5" width="18.3984375" style="3" customWidth="1"/>
    <col min="6" max="6" width="15.19921875" style="3" customWidth="1"/>
    <col min="7" max="7" width="15.3984375" style="3" customWidth="1"/>
    <col min="8" max="8" width="14.796875" style="43" customWidth="1"/>
    <col min="9" max="16384" width="11.3984375" style="3"/>
  </cols>
  <sheetData>
    <row r="1" spans="1:8" s="2" customFormat="1" ht="14" customHeight="1">
      <c r="H1" s="425"/>
    </row>
    <row r="2" spans="1:8" s="2" customFormat="1" ht="28" customHeight="1">
      <c r="A2" s="139" t="s">
        <v>541</v>
      </c>
      <c r="H2" s="139">
        <v>2012</v>
      </c>
    </row>
    <row r="3" spans="1:8" ht="24" customHeight="1">
      <c r="A3" s="109" t="s">
        <v>481</v>
      </c>
      <c r="B3" s="110" t="s">
        <v>482</v>
      </c>
      <c r="C3" s="111" t="s">
        <v>483</v>
      </c>
      <c r="D3" s="110" t="s">
        <v>427</v>
      </c>
      <c r="E3" s="360" t="s">
        <v>230</v>
      </c>
      <c r="F3" s="110" t="s">
        <v>484</v>
      </c>
      <c r="G3" s="111" t="s">
        <v>256</v>
      </c>
      <c r="H3" s="165" t="s">
        <v>256</v>
      </c>
    </row>
    <row r="4" spans="1:8" ht="17.5" customHeight="1">
      <c r="A4" s="112"/>
      <c r="B4" s="113"/>
      <c r="C4" s="114"/>
      <c r="D4" s="113"/>
      <c r="E4" s="115"/>
      <c r="F4" s="426" t="s">
        <v>485</v>
      </c>
      <c r="G4" s="427" t="s">
        <v>257</v>
      </c>
      <c r="H4" s="428" t="s">
        <v>257</v>
      </c>
    </row>
    <row r="5" spans="1:8" ht="15" customHeight="1">
      <c r="A5" s="112"/>
      <c r="B5" s="113"/>
      <c r="C5" s="114"/>
      <c r="D5" s="113"/>
      <c r="E5" s="115"/>
      <c r="F5" s="426" t="s">
        <v>486</v>
      </c>
      <c r="G5" s="427" t="s">
        <v>258</v>
      </c>
      <c r="H5" s="428" t="s">
        <v>258</v>
      </c>
    </row>
    <row r="6" spans="1:8" ht="20.5" customHeight="1">
      <c r="A6" s="116"/>
      <c r="B6" s="117"/>
      <c r="C6" s="118"/>
      <c r="D6" s="117"/>
      <c r="E6" s="119"/>
      <c r="F6" s="363"/>
      <c r="G6" s="364" t="s">
        <v>542</v>
      </c>
      <c r="H6" s="366" t="s">
        <v>487</v>
      </c>
    </row>
    <row r="7" spans="1:8" ht="30" customHeight="1" thickBot="1">
      <c r="A7" s="367" t="s">
        <v>488</v>
      </c>
      <c r="B7" s="303">
        <v>2003733518.1400001</v>
      </c>
      <c r="C7" s="321">
        <v>3223937532.4200001</v>
      </c>
      <c r="D7" s="320">
        <v>578162007.42999995</v>
      </c>
      <c r="E7" s="368">
        <v>5805833058.0299997</v>
      </c>
      <c r="F7" s="369">
        <v>0.2241528082181635</v>
      </c>
      <c r="G7" s="321">
        <v>239644.01905999947</v>
      </c>
      <c r="H7" s="305">
        <v>4.3053517834590993E-2</v>
      </c>
    </row>
    <row r="8" spans="1:8" ht="20" customHeight="1" thickBot="1">
      <c r="A8" s="123" t="s">
        <v>489</v>
      </c>
      <c r="B8" s="317">
        <v>2563695389.1100001</v>
      </c>
      <c r="C8" s="135">
        <v>3107334144.3299999</v>
      </c>
      <c r="D8" s="134">
        <v>266222961.19999999</v>
      </c>
      <c r="E8" s="370">
        <v>5937252494.6300001</v>
      </c>
      <c r="F8" s="369">
        <v>0.22922667711413455</v>
      </c>
      <c r="G8" s="135">
        <v>241599.73851000023</v>
      </c>
      <c r="H8" s="319">
        <v>4.241827036425283E-2</v>
      </c>
    </row>
    <row r="9" spans="1:8" ht="20" customHeight="1" thickBot="1">
      <c r="A9" s="123" t="s">
        <v>490</v>
      </c>
      <c r="B9" s="134">
        <v>1862318493.25</v>
      </c>
      <c r="C9" s="135">
        <v>2204503003.3800001</v>
      </c>
      <c r="D9" s="134">
        <v>336952235.67000002</v>
      </c>
      <c r="E9" s="370">
        <v>4403773732.2299995</v>
      </c>
      <c r="F9" s="369">
        <v>0.17002181064635713</v>
      </c>
      <c r="G9" s="135">
        <v>292141.6599199996</v>
      </c>
      <c r="H9" s="319">
        <v>7.1052481054285632E-2</v>
      </c>
    </row>
    <row r="10" spans="1:8" ht="20" customHeight="1" thickBot="1">
      <c r="A10" s="123" t="s">
        <v>491</v>
      </c>
      <c r="B10" s="134">
        <v>689232024.60000002</v>
      </c>
      <c r="C10" s="135">
        <v>891264355.58000004</v>
      </c>
      <c r="D10" s="134">
        <v>82869450.219999999</v>
      </c>
      <c r="E10" s="370">
        <v>1663365830.4200001</v>
      </c>
      <c r="F10" s="369">
        <v>6.4219573359433305E-2</v>
      </c>
      <c r="G10" s="135">
        <v>42626.03480000019</v>
      </c>
      <c r="H10" s="319">
        <v>2.6300356735359909E-2</v>
      </c>
    </row>
    <row r="11" spans="1:8" ht="20" customHeight="1" thickBot="1">
      <c r="A11" s="123" t="s">
        <v>492</v>
      </c>
      <c r="B11" s="134">
        <v>1406635876.72</v>
      </c>
      <c r="C11" s="135">
        <v>1740518018.5699999</v>
      </c>
      <c r="D11" s="134">
        <v>105847426.84999999</v>
      </c>
      <c r="E11" s="370">
        <v>3253001322.1500001</v>
      </c>
      <c r="F11" s="369">
        <v>0.12559255049347537</v>
      </c>
      <c r="G11" s="135">
        <v>83909.133740000252</v>
      </c>
      <c r="H11" s="319">
        <v>2.647734074978092E-2</v>
      </c>
    </row>
    <row r="12" spans="1:8" ht="20" customHeight="1" thickBot="1">
      <c r="A12" s="123" t="s">
        <v>493</v>
      </c>
      <c r="B12" s="134">
        <v>529112746.44999999</v>
      </c>
      <c r="C12" s="135">
        <v>1306869931.05</v>
      </c>
      <c r="D12" s="134">
        <v>9848119.1099999994</v>
      </c>
      <c r="E12" s="370">
        <v>1845830796.5999999</v>
      </c>
      <c r="F12" s="369">
        <v>7.126421866043979E-2</v>
      </c>
      <c r="G12" s="135">
        <v>-1088.4042699999809</v>
      </c>
      <c r="H12" s="319">
        <v>-5.893080051836419E-4</v>
      </c>
    </row>
    <row r="13" spans="1:8" ht="20" customHeight="1" thickBot="1">
      <c r="A13" s="123" t="s">
        <v>494</v>
      </c>
      <c r="B13" s="134">
        <v>216695373.58000001</v>
      </c>
      <c r="C13" s="135">
        <v>404205541.55000001</v>
      </c>
      <c r="D13" s="134">
        <v>6892444.2300000004</v>
      </c>
      <c r="E13" s="370">
        <v>627793359.35000002</v>
      </c>
      <c r="F13" s="369">
        <v>2.4237976371777728E-2</v>
      </c>
      <c r="G13" s="135">
        <v>44830.337</v>
      </c>
      <c r="H13" s="319">
        <v>7.6900824376961552E-2</v>
      </c>
    </row>
    <row r="14" spans="1:8" ht="20" customHeight="1" thickBot="1">
      <c r="A14" s="123" t="s">
        <v>495</v>
      </c>
      <c r="B14" s="134">
        <v>221362117.58000001</v>
      </c>
      <c r="C14" s="135">
        <v>403547095.38999999</v>
      </c>
      <c r="D14" s="134">
        <v>29672408.260000002</v>
      </c>
      <c r="E14" s="370">
        <v>654581621.20000005</v>
      </c>
      <c r="F14" s="369">
        <v>2.5272223147553684E-2</v>
      </c>
      <c r="G14" s="135">
        <v>18340.062520000101</v>
      </c>
      <c r="H14" s="319">
        <v>2.8825628049274021E-2</v>
      </c>
    </row>
    <row r="15" spans="1:8" ht="20" customHeight="1" thickBot="1">
      <c r="A15" s="123" t="s">
        <v>496</v>
      </c>
      <c r="B15" s="134">
        <v>265620181.46000001</v>
      </c>
      <c r="C15" s="135">
        <v>479154704.37</v>
      </c>
      <c r="D15" s="134">
        <v>49714247.130000003</v>
      </c>
      <c r="E15" s="370">
        <v>794489132.91999996</v>
      </c>
      <c r="F15" s="369">
        <v>3.0673801410207816E-2</v>
      </c>
      <c r="G15" s="135">
        <v>45466.50703999996</v>
      </c>
      <c r="H15" s="319">
        <v>6.0701112982512351E-2</v>
      </c>
    </row>
    <row r="16" spans="1:8" ht="20" customHeight="1" thickBot="1">
      <c r="A16" s="123" t="s">
        <v>497</v>
      </c>
      <c r="B16" s="134">
        <v>28129645.41</v>
      </c>
      <c r="C16" s="135">
        <v>43882902.189999998</v>
      </c>
      <c r="D16" s="134">
        <v>3655360.44</v>
      </c>
      <c r="E16" s="370">
        <v>75667908.040000007</v>
      </c>
      <c r="F16" s="369">
        <v>2.9214023051697797E-3</v>
      </c>
      <c r="G16" s="135">
        <v>1701.9953900000005</v>
      </c>
      <c r="H16" s="319">
        <v>2.301053727348279E-2</v>
      </c>
    </row>
    <row r="17" spans="1:8" ht="20" customHeight="1" thickBot="1">
      <c r="A17" s="123" t="s">
        <v>498</v>
      </c>
      <c r="B17" s="134">
        <v>183988189.65000001</v>
      </c>
      <c r="C17" s="135">
        <v>172489244.68000001</v>
      </c>
      <c r="D17" s="134">
        <v>20195795.899999999</v>
      </c>
      <c r="E17" s="370">
        <v>376673230.20999998</v>
      </c>
      <c r="F17" s="369">
        <v>1.4542678283765079E-2</v>
      </c>
      <c r="G17" s="135">
        <v>-5661.6874100000259</v>
      </c>
      <c r="H17" s="319">
        <v>-1.4808188185488014E-2</v>
      </c>
    </row>
    <row r="18" spans="1:8" ht="20" customHeight="1" thickBot="1">
      <c r="A18" s="123" t="s">
        <v>499</v>
      </c>
      <c r="B18" s="134">
        <v>438061</v>
      </c>
      <c r="C18" s="135">
        <v>1280568</v>
      </c>
      <c r="D18" s="134">
        <v>82356</v>
      </c>
      <c r="E18" s="370">
        <v>1800985</v>
      </c>
      <c r="F18" s="369">
        <v>6.9532802833598671E-5</v>
      </c>
      <c r="G18" s="135">
        <v>-84411.475310000009</v>
      </c>
      <c r="H18" s="319">
        <v>-0.97910992223717919</v>
      </c>
    </row>
    <row r="19" spans="1:8" ht="20" customHeight="1" thickBot="1">
      <c r="A19" s="307" t="s">
        <v>500</v>
      </c>
      <c r="B19" s="134">
        <v>6418608.7800000003</v>
      </c>
      <c r="C19" s="135">
        <v>14485187.119999999</v>
      </c>
      <c r="D19" s="134">
        <v>1669838.06</v>
      </c>
      <c r="E19" s="370">
        <v>22573633.93</v>
      </c>
      <c r="F19" s="369">
        <v>8.7152754592210546E-4</v>
      </c>
      <c r="G19" s="135">
        <v>14941.073809999998</v>
      </c>
      <c r="H19" s="319">
        <v>1.9575442020887741</v>
      </c>
    </row>
    <row r="20" spans="1:8" ht="20" customHeight="1" thickBot="1">
      <c r="A20" s="123" t="s">
        <v>543</v>
      </c>
      <c r="B20" s="134">
        <v>147096714.41999999</v>
      </c>
      <c r="C20" s="135">
        <v>197551591.86000001</v>
      </c>
      <c r="D20" s="134">
        <v>55610920.469999999</v>
      </c>
      <c r="E20" s="370">
        <v>400259226.73000002</v>
      </c>
      <c r="F20" s="369">
        <v>1.5453291334767229E-2</v>
      </c>
      <c r="G20" s="135">
        <v>54645.930990000008</v>
      </c>
      <c r="H20" s="319">
        <v>0.15811293044440444</v>
      </c>
    </row>
    <row r="21" spans="1:8" ht="20" customHeight="1" thickBot="1">
      <c r="A21" s="123" t="s">
        <v>502</v>
      </c>
      <c r="B21" s="134">
        <v>19807328.27</v>
      </c>
      <c r="C21" s="135">
        <v>16882872.920000002</v>
      </c>
      <c r="D21" s="134">
        <v>1641759.71</v>
      </c>
      <c r="E21" s="370">
        <v>38331960.899999999</v>
      </c>
      <c r="F21" s="369">
        <v>1.479928305613269E-3</v>
      </c>
      <c r="G21" s="135">
        <v>-18966.728310000002</v>
      </c>
      <c r="H21" s="319">
        <v>-0.33101504714159935</v>
      </c>
    </row>
    <row r="22" spans="1:8" ht="30" customHeight="1" thickBot="1">
      <c r="A22" s="371" t="s">
        <v>503</v>
      </c>
      <c r="B22" s="372">
        <v>10144284268.43</v>
      </c>
      <c r="C22" s="373">
        <v>14207906693.370001</v>
      </c>
      <c r="D22" s="372">
        <v>1549037330.6300001</v>
      </c>
      <c r="E22" s="206">
        <v>25901228292.349998</v>
      </c>
      <c r="F22" s="374">
        <v>1</v>
      </c>
      <c r="G22" s="373">
        <v>969718.19752999872</v>
      </c>
      <c r="H22" s="375">
        <v>3.8895285277223302E-2</v>
      </c>
    </row>
    <row r="23" spans="1:8" ht="14.25" customHeight="1">
      <c r="A23" s="376"/>
      <c r="B23" s="377"/>
      <c r="C23" s="377"/>
      <c r="D23" s="377"/>
      <c r="E23" s="190"/>
      <c r="F23" s="378"/>
      <c r="G23" s="377"/>
      <c r="H23" s="379"/>
    </row>
    <row r="24" spans="1:8" ht="30" customHeight="1" thickBot="1">
      <c r="A24" s="380" t="s">
        <v>504</v>
      </c>
      <c r="B24" s="381" t="s">
        <v>29</v>
      </c>
      <c r="C24" s="382">
        <v>631396045.14999998</v>
      </c>
      <c r="D24" s="381">
        <v>2993322.35</v>
      </c>
      <c r="E24" s="383">
        <v>634389367.51999998</v>
      </c>
      <c r="F24" s="384">
        <v>2.4492636424789504E-2</v>
      </c>
      <c r="G24" s="382">
        <v>28189.610350000024</v>
      </c>
      <c r="H24" s="385">
        <v>4.6502180208057409E-2</v>
      </c>
    </row>
    <row r="25" spans="1:8" ht="33" customHeight="1" thickBot="1">
      <c r="A25" s="386" t="s">
        <v>505</v>
      </c>
      <c r="B25" s="387">
        <v>346329932.76999998</v>
      </c>
      <c r="C25" s="388">
        <v>369018157.61000001</v>
      </c>
      <c r="D25" s="387">
        <v>17015256.170000002</v>
      </c>
      <c r="E25" s="389">
        <v>732363346.55999994</v>
      </c>
      <c r="F25" s="390">
        <v>2.8275236150723613E-2</v>
      </c>
      <c r="G25" s="388">
        <v>63702.22927999997</v>
      </c>
      <c r="H25" s="391">
        <v>9.5268331945380424E-2</v>
      </c>
    </row>
    <row r="26" spans="1:8" ht="14.25" customHeight="1">
      <c r="A26" s="376"/>
      <c r="B26" s="377"/>
      <c r="C26" s="377"/>
      <c r="D26" s="377"/>
      <c r="E26" s="190"/>
      <c r="F26" s="378"/>
      <c r="G26" s="377"/>
      <c r="H26" s="379"/>
    </row>
    <row r="27" spans="1:8" ht="30" customHeight="1" thickBot="1">
      <c r="A27" s="380" t="s">
        <v>544</v>
      </c>
      <c r="B27" s="381">
        <v>22203443.870000001</v>
      </c>
      <c r="C27" s="382">
        <v>25618872.739999998</v>
      </c>
      <c r="D27" s="381">
        <v>22092250.190000001</v>
      </c>
      <c r="E27" s="383">
        <v>69914566.780000001</v>
      </c>
      <c r="F27" s="384">
        <v>2.69927611118927E-3</v>
      </c>
      <c r="G27" s="382">
        <v>6239.223130000003</v>
      </c>
      <c r="H27" s="385">
        <v>9.7984914919261756E-2</v>
      </c>
    </row>
    <row r="28" spans="1:8" ht="33" customHeight="1" thickBot="1">
      <c r="A28" s="386" t="s">
        <v>545</v>
      </c>
      <c r="B28" s="387">
        <v>28632901.07</v>
      </c>
      <c r="C28" s="388">
        <v>30889131.899999999</v>
      </c>
      <c r="D28" s="387">
        <v>6431316.25</v>
      </c>
      <c r="E28" s="389">
        <v>65953349.240000002</v>
      </c>
      <c r="F28" s="390">
        <v>2.5463406019041773E-3</v>
      </c>
      <c r="G28" s="388">
        <v>1779.2744400000051</v>
      </c>
      <c r="H28" s="391">
        <v>2.7725751334088722E-2</v>
      </c>
    </row>
    <row r="29" spans="1:8" ht="20" customHeight="1">
      <c r="A29" s="130" t="s">
        <v>396</v>
      </c>
      <c r="B29" s="354"/>
      <c r="C29" s="354"/>
      <c r="D29" s="354"/>
      <c r="E29" s="354"/>
      <c r="F29" s="354"/>
    </row>
    <row r="30" spans="1:8" ht="12" customHeight="1">
      <c r="A30" s="131"/>
      <c r="B30" s="357"/>
      <c r="C30" s="357"/>
      <c r="D30" s="357"/>
      <c r="E30" s="357"/>
      <c r="F30" s="357"/>
    </row>
    <row r="31" spans="1:8">
      <c r="A31" s="131" t="s">
        <v>546</v>
      </c>
    </row>
    <row r="32" spans="1:8">
      <c r="A32" s="336" t="s">
        <v>547</v>
      </c>
    </row>
    <row r="33" spans="1:2">
      <c r="A33" s="131" t="s">
        <v>509</v>
      </c>
    </row>
    <row r="34" spans="1:2">
      <c r="A34" s="359" t="s">
        <v>510</v>
      </c>
    </row>
    <row r="35" spans="1:2">
      <c r="A35" s="359" t="s">
        <v>511</v>
      </c>
    </row>
    <row r="36" spans="1:2">
      <c r="A36" s="359" t="s">
        <v>512</v>
      </c>
    </row>
    <row r="37" spans="1:2">
      <c r="A37" s="359" t="s">
        <v>548</v>
      </c>
    </row>
    <row r="39" spans="1:2">
      <c r="A39" s="131" t="s">
        <v>549</v>
      </c>
      <c r="B39" s="131"/>
    </row>
    <row r="40" spans="1:2" ht="14">
      <c r="A40" s="429"/>
      <c r="B40" s="131"/>
    </row>
    <row r="41" spans="1:2">
      <c r="A41" s="131"/>
      <c r="B41" s="131"/>
    </row>
    <row r="42" spans="1:2">
      <c r="A42" s="131" t="s">
        <v>395</v>
      </c>
      <c r="B42" s="131"/>
    </row>
    <row r="43" spans="1:2">
      <c r="A43" s="131"/>
      <c r="B43" s="131"/>
    </row>
    <row r="44" spans="1:2">
      <c r="A44" s="131"/>
      <c r="B44" s="131"/>
    </row>
  </sheetData>
  <pageMargins left="0.49" right="0.5" top="0.4" bottom="0.36" header="0.35" footer="0.2"/>
  <pageSetup paperSize="9" scale="71" orientation="landscape"/>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9EA4-2495-8A4F-B82C-671D05815315}">
  <sheetPr>
    <pageSetUpPr fitToPage="1"/>
  </sheetPr>
  <dimension ref="A1:V69"/>
  <sheetViews>
    <sheetView topLeftCell="C1" zoomScaleNormal="100" workbookViewId="0">
      <selection activeCell="O17" sqref="O17"/>
    </sheetView>
  </sheetViews>
  <sheetFormatPr baseColWidth="10" defaultColWidth="11.3984375" defaultRowHeight="13"/>
  <cols>
    <col min="1" max="1" width="11.796875" style="3" customWidth="1"/>
    <col min="2" max="2" width="17" style="3" customWidth="1"/>
    <col min="3" max="3" width="13" style="424" customWidth="1"/>
    <col min="4" max="4" width="13" style="3" customWidth="1"/>
    <col min="5" max="5" width="14" style="424" customWidth="1"/>
    <col min="6" max="6" width="13" style="3" customWidth="1"/>
    <col min="7" max="7" width="13" style="424" customWidth="1"/>
    <col min="8" max="8" width="13" style="3" customWidth="1"/>
    <col min="9" max="9" width="15.3984375" style="3" customWidth="1"/>
    <col min="10" max="12" width="13" style="3" customWidth="1"/>
    <col min="13" max="13" width="14.59765625" style="3" customWidth="1"/>
    <col min="14" max="14" width="14.19921875" style="3" customWidth="1"/>
    <col min="15" max="15" width="14.59765625" style="3" customWidth="1"/>
    <col min="16" max="16" width="13" style="3" customWidth="1"/>
    <col min="17" max="16384" width="11.3984375" style="3"/>
  </cols>
  <sheetData>
    <row r="1" spans="1:22" s="2" customFormat="1" ht="14" customHeight="1">
      <c r="A1" s="272"/>
      <c r="B1" s="272"/>
      <c r="C1" s="394"/>
      <c r="D1" s="272"/>
      <c r="E1" s="394"/>
      <c r="F1" s="272"/>
      <c r="G1" s="395"/>
      <c r="H1" s="395"/>
      <c r="I1" s="395"/>
      <c r="J1" s="395"/>
      <c r="K1" s="395"/>
      <c r="L1" s="395"/>
      <c r="M1" s="395"/>
      <c r="N1" s="395"/>
      <c r="O1" s="395"/>
      <c r="P1" s="395"/>
      <c r="Q1" s="395"/>
      <c r="R1" s="395"/>
      <c r="S1" s="395"/>
      <c r="T1" s="395"/>
      <c r="U1" s="395"/>
    </row>
    <row r="2" spans="1:22" s="2" customFormat="1" ht="25.75" customHeight="1">
      <c r="A2" s="139" t="s">
        <v>515</v>
      </c>
      <c r="B2" s="272"/>
      <c r="C2" s="394"/>
      <c r="D2" s="272"/>
      <c r="E2" s="394"/>
      <c r="F2" s="272"/>
      <c r="G2" s="394"/>
      <c r="N2" s="396"/>
    </row>
    <row r="3" spans="1:22" ht="24" customHeight="1">
      <c r="A3" s="109" t="s">
        <v>225</v>
      </c>
      <c r="B3" s="397" t="s">
        <v>516</v>
      </c>
      <c r="C3" s="155" t="s">
        <v>256</v>
      </c>
      <c r="D3" s="110"/>
      <c r="E3" s="398"/>
      <c r="F3" s="110"/>
      <c r="G3" s="398"/>
      <c r="H3" s="110"/>
      <c r="I3" s="398"/>
      <c r="J3" s="110"/>
      <c r="K3" s="398"/>
      <c r="L3" s="110"/>
      <c r="M3" s="398"/>
      <c r="N3" s="110"/>
      <c r="O3"/>
    </row>
    <row r="4" spans="1:22" ht="15" customHeight="1">
      <c r="A4" s="112"/>
      <c r="B4" s="226" t="s">
        <v>517</v>
      </c>
      <c r="C4" s="156" t="s">
        <v>257</v>
      </c>
      <c r="D4" s="399" t="s">
        <v>518</v>
      </c>
      <c r="E4" s="400" t="s">
        <v>518</v>
      </c>
      <c r="F4" s="399" t="s">
        <v>518</v>
      </c>
      <c r="G4" s="400" t="s">
        <v>518</v>
      </c>
      <c r="H4" s="399" t="s">
        <v>518</v>
      </c>
      <c r="I4" s="400" t="s">
        <v>518</v>
      </c>
      <c r="J4" s="399" t="s">
        <v>518</v>
      </c>
      <c r="K4" s="400" t="s">
        <v>518</v>
      </c>
      <c r="L4" s="399" t="s">
        <v>518</v>
      </c>
      <c r="M4" s="400" t="s">
        <v>518</v>
      </c>
      <c r="N4" s="399" t="s">
        <v>518</v>
      </c>
      <c r="O4"/>
    </row>
    <row r="5" spans="1:22" ht="16.25" customHeight="1">
      <c r="A5" s="112"/>
      <c r="B5" s="113"/>
      <c r="C5" s="156" t="s">
        <v>258</v>
      </c>
      <c r="D5" s="399" t="s">
        <v>519</v>
      </c>
      <c r="E5" s="400" t="s">
        <v>520</v>
      </c>
      <c r="F5" s="399" t="s">
        <v>521</v>
      </c>
      <c r="G5" s="400" t="s">
        <v>521</v>
      </c>
      <c r="H5" s="399" t="s">
        <v>494</v>
      </c>
      <c r="I5" s="400" t="s">
        <v>495</v>
      </c>
      <c r="J5" s="399" t="s">
        <v>496</v>
      </c>
      <c r="K5" s="400" t="s">
        <v>497</v>
      </c>
      <c r="L5" s="399" t="s">
        <v>522</v>
      </c>
      <c r="M5" s="400" t="s">
        <v>523</v>
      </c>
      <c r="N5" s="399" t="s">
        <v>524</v>
      </c>
      <c r="O5"/>
    </row>
    <row r="6" spans="1:22" s="131" customFormat="1" ht="19.5" customHeight="1">
      <c r="A6" s="401"/>
      <c r="B6" s="143"/>
      <c r="C6" s="402"/>
      <c r="D6" s="399" t="s">
        <v>525</v>
      </c>
      <c r="E6" s="400" t="s">
        <v>525</v>
      </c>
      <c r="F6" s="399" t="s">
        <v>526</v>
      </c>
      <c r="G6" s="400" t="s">
        <v>527</v>
      </c>
      <c r="H6" s="399"/>
      <c r="I6" s="400"/>
      <c r="J6" s="399"/>
      <c r="K6" s="400"/>
      <c r="L6" s="399" t="s">
        <v>528</v>
      </c>
      <c r="M6" s="400" t="s">
        <v>529</v>
      </c>
      <c r="N6" s="399" t="s">
        <v>530</v>
      </c>
      <c r="O6"/>
    </row>
    <row r="7" spans="1:22" ht="19.5" customHeight="1">
      <c r="A7" s="116"/>
      <c r="B7" s="117"/>
      <c r="C7" s="403"/>
      <c r="D7" s="143"/>
      <c r="E7" s="404"/>
      <c r="F7" s="143"/>
      <c r="G7" s="404"/>
      <c r="H7" s="143"/>
      <c r="I7" s="404"/>
      <c r="J7" s="143"/>
      <c r="K7" s="405"/>
      <c r="L7" s="143"/>
      <c r="M7" s="404"/>
      <c r="N7" s="143"/>
      <c r="O7"/>
    </row>
    <row r="8" spans="1:22" ht="1.75" customHeight="1" thickBot="1">
      <c r="A8" s="120">
        <v>1996</v>
      </c>
      <c r="B8" s="132">
        <v>1135.7666791471866</v>
      </c>
      <c r="C8" s="158">
        <v>0.10634844182252187</v>
      </c>
      <c r="D8" s="320" t="s">
        <v>29</v>
      </c>
      <c r="E8" s="321" t="s">
        <v>29</v>
      </c>
      <c r="F8" s="320" t="s">
        <v>29</v>
      </c>
      <c r="G8" s="321" t="s">
        <v>29</v>
      </c>
      <c r="H8" s="320" t="s">
        <v>29</v>
      </c>
      <c r="I8" s="321" t="s">
        <v>29</v>
      </c>
      <c r="J8" s="320" t="s">
        <v>29</v>
      </c>
      <c r="K8" s="133">
        <v>7.8643189296562399</v>
      </c>
      <c r="L8" s="320" t="s">
        <v>29</v>
      </c>
      <c r="M8" s="321" t="s">
        <v>29</v>
      </c>
      <c r="N8" s="320" t="s">
        <v>29</v>
      </c>
      <c r="O8"/>
    </row>
    <row r="9" spans="1:22" ht="0.75" hidden="1" customHeight="1" thickBot="1">
      <c r="A9" s="123">
        <v>1997</v>
      </c>
      <c r="B9" s="134">
        <v>1207.1705655887454</v>
      </c>
      <c r="C9" s="159">
        <v>6.2868446268536313E-2</v>
      </c>
      <c r="D9" s="320" t="s">
        <v>29</v>
      </c>
      <c r="E9" s="321" t="s">
        <v>29</v>
      </c>
      <c r="F9" s="320" t="s">
        <v>29</v>
      </c>
      <c r="G9" s="321" t="s">
        <v>29</v>
      </c>
      <c r="H9" s="320" t="s">
        <v>29</v>
      </c>
      <c r="I9" s="321" t="s">
        <v>29</v>
      </c>
      <c r="J9" s="320" t="s">
        <v>29</v>
      </c>
      <c r="K9" s="135">
        <v>7.7745077676674157</v>
      </c>
      <c r="L9" s="320" t="s">
        <v>29</v>
      </c>
      <c r="M9" s="321" t="s">
        <v>29</v>
      </c>
      <c r="N9" s="320" t="s">
        <v>29</v>
      </c>
      <c r="O9"/>
      <c r="T9" s="9"/>
      <c r="U9" s="9"/>
      <c r="V9" s="9"/>
    </row>
    <row r="10" spans="1:22" ht="19.5" hidden="1" customHeight="1" thickBot="1">
      <c r="A10" s="123">
        <v>1998</v>
      </c>
      <c r="B10" s="134">
        <v>1287.8682695481587</v>
      </c>
      <c r="C10" s="159">
        <v>6.6848634534140125E-2</v>
      </c>
      <c r="D10" s="134">
        <v>517.22900730492677</v>
      </c>
      <c r="E10" s="135">
        <v>179.78046580638465</v>
      </c>
      <c r="F10" s="134">
        <v>128.85876662983108</v>
      </c>
      <c r="G10" s="135">
        <v>246.67237783815233</v>
      </c>
      <c r="H10" s="134">
        <v>30.906839827030989</v>
      </c>
      <c r="I10" s="135">
        <v>57.642077350310821</v>
      </c>
      <c r="J10" s="134">
        <v>54.853189405924091</v>
      </c>
      <c r="K10" s="135">
        <v>7.7691435561095004</v>
      </c>
      <c r="L10" s="134">
        <v>14.403964553938003</v>
      </c>
      <c r="M10" s="135">
        <v>12.033202808041713</v>
      </c>
      <c r="N10" s="320" t="s">
        <v>29</v>
      </c>
      <c r="O10"/>
    </row>
    <row r="11" spans="1:22" ht="0.5" customHeight="1" thickBot="1">
      <c r="A11" s="123">
        <v>1999</v>
      </c>
      <c r="B11" s="134">
        <v>1351.582122301535</v>
      </c>
      <c r="C11" s="159">
        <v>4.9472336775352059E-2</v>
      </c>
      <c r="D11" s="134">
        <v>517.77987880375031</v>
      </c>
      <c r="E11" s="135">
        <v>204.19029060086746</v>
      </c>
      <c r="F11" s="134">
        <v>141.91140608611047</v>
      </c>
      <c r="G11" s="135">
        <v>257.61974174619098</v>
      </c>
      <c r="H11" s="134">
        <v>32.359437190342035</v>
      </c>
      <c r="I11" s="135">
        <v>60.131858482788445</v>
      </c>
      <c r="J11" s="134">
        <v>56.924385896913591</v>
      </c>
      <c r="K11" s="135">
        <v>8.3350273886799329</v>
      </c>
      <c r="L11" s="134">
        <v>17.198214928721761</v>
      </c>
      <c r="M11" s="135">
        <v>12.089915964768418</v>
      </c>
      <c r="N11" s="320" t="s">
        <v>29</v>
      </c>
      <c r="O11"/>
    </row>
    <row r="12" spans="1:22" ht="19.75" hidden="1" customHeight="1" thickBot="1">
      <c r="A12" s="123">
        <v>2000</v>
      </c>
      <c r="B12" s="134">
        <v>1451.1566242672343</v>
      </c>
      <c r="C12" s="159">
        <v>7.3672550356125827E-2</v>
      </c>
      <c r="D12" s="134">
        <v>529.43047713091312</v>
      </c>
      <c r="E12" s="135">
        <v>229.29973959111166</v>
      </c>
      <c r="F12" s="134">
        <v>157.35584856009811</v>
      </c>
      <c r="G12" s="135">
        <v>288.745232868367</v>
      </c>
      <c r="H12" s="134">
        <v>34.840696214910899</v>
      </c>
      <c r="I12" s="135">
        <v>61.491416169301154</v>
      </c>
      <c r="J12" s="134">
        <v>60.94101454443998</v>
      </c>
      <c r="K12" s="135">
        <v>8.5739707007998369</v>
      </c>
      <c r="L12" s="134">
        <v>24.758128744866045</v>
      </c>
      <c r="M12" s="135">
        <v>15.766473005994538</v>
      </c>
      <c r="N12" s="320" t="s">
        <v>29</v>
      </c>
      <c r="O12"/>
    </row>
    <row r="13" spans="1:22" ht="20" hidden="1" customHeight="1" thickBot="1">
      <c r="A13" s="123">
        <v>2001</v>
      </c>
      <c r="B13" s="134">
        <v>1548.8249816122338</v>
      </c>
      <c r="C13" s="159">
        <v>6.7303801472372055E-2</v>
      </c>
      <c r="D13" s="134">
        <v>549.44923949294969</v>
      </c>
      <c r="E13" s="135">
        <v>263.7323584963807</v>
      </c>
      <c r="F13" s="134">
        <v>174.14628347977344</v>
      </c>
      <c r="G13" s="135">
        <v>307.1393643380062</v>
      </c>
      <c r="H13" s="134">
        <v>37.025033111675718</v>
      </c>
      <c r="I13" s="135">
        <v>65.76167578635949</v>
      </c>
      <c r="J13" s="134">
        <v>63.375782250498219</v>
      </c>
      <c r="K13" s="135">
        <v>8.9352628731483819</v>
      </c>
      <c r="L13" s="134">
        <v>23.698466932838429</v>
      </c>
      <c r="M13" s="135">
        <v>14.563635915382035</v>
      </c>
      <c r="N13" s="134">
        <v>2.7620899733599962</v>
      </c>
      <c r="O13"/>
    </row>
    <row r="14" spans="1:22" ht="20" customHeight="1" thickBot="1">
      <c r="A14" s="123">
        <v>2002</v>
      </c>
      <c r="B14" s="134">
        <v>1615.432400016774</v>
      </c>
      <c r="C14" s="159">
        <v>4.3005129175541695E-2</v>
      </c>
      <c r="D14" s="134">
        <v>559.43217658828928</v>
      </c>
      <c r="E14" s="135">
        <v>268.50345190882268</v>
      </c>
      <c r="F14" s="134">
        <v>171.66132067610738</v>
      </c>
      <c r="G14" s="135">
        <v>343.7455082841455</v>
      </c>
      <c r="H14" s="134">
        <v>39.493547804709614</v>
      </c>
      <c r="I14" s="135">
        <v>68.92734993393816</v>
      </c>
      <c r="J14" s="134">
        <v>66.109744640711739</v>
      </c>
      <c r="K14" s="135">
        <v>8.8787656073170158</v>
      </c>
      <c r="L14" s="134">
        <v>27.622294486640037</v>
      </c>
      <c r="M14" s="135">
        <v>15.361832696314805</v>
      </c>
      <c r="N14" s="134">
        <v>3.033957453552472</v>
      </c>
      <c r="O14"/>
    </row>
    <row r="15" spans="1:22" ht="20" customHeight="1" thickBot="1">
      <c r="A15" s="123">
        <v>2003</v>
      </c>
      <c r="B15" s="134">
        <v>1666.6209287074066</v>
      </c>
      <c r="C15" s="159">
        <v>3.1687199470619223E-2</v>
      </c>
      <c r="D15" s="134">
        <v>565.89080672037517</v>
      </c>
      <c r="E15" s="135">
        <v>290.45423380519912</v>
      </c>
      <c r="F15" s="134">
        <v>182.83129248471178</v>
      </c>
      <c r="G15" s="135">
        <v>352.94069193578031</v>
      </c>
      <c r="H15" s="134">
        <v>43.42085098619804</v>
      </c>
      <c r="I15" s="135">
        <v>66.649239980169568</v>
      </c>
      <c r="J15" s="134">
        <v>65.17295098477382</v>
      </c>
      <c r="K15" s="135">
        <v>8.8175191471555454</v>
      </c>
      <c r="L15" s="134">
        <v>29.097237370473131</v>
      </c>
      <c r="M15" s="135">
        <v>15.292816213756383</v>
      </c>
      <c r="N15" s="134">
        <v>4.1140870029928776</v>
      </c>
      <c r="O15"/>
    </row>
    <row r="16" spans="1:22" ht="20" customHeight="1" thickBot="1">
      <c r="A16" s="123">
        <v>2004</v>
      </c>
      <c r="B16" s="134">
        <v>1751.312015563195</v>
      </c>
      <c r="C16" s="159">
        <v>5.0816046646835811E-2</v>
      </c>
      <c r="D16" s="134">
        <v>592.89763778354495</v>
      </c>
      <c r="E16" s="135">
        <v>296.91590007765888</v>
      </c>
      <c r="F16" s="134">
        <v>189.43742407132373</v>
      </c>
      <c r="G16" s="135">
        <v>372.47504406402646</v>
      </c>
      <c r="H16" s="134">
        <v>49.454875646942796</v>
      </c>
      <c r="I16" s="135">
        <v>68.449757529348247</v>
      </c>
      <c r="J16" s="134">
        <v>80.079219765387336</v>
      </c>
      <c r="K16" s="135">
        <v>9.2427076643370807</v>
      </c>
      <c r="L16" s="134">
        <v>35.206929733486795</v>
      </c>
      <c r="M16" s="135">
        <v>10.766673971168975</v>
      </c>
      <c r="N16" s="134">
        <v>3.4775317481750707</v>
      </c>
      <c r="O16"/>
    </row>
    <row r="17" spans="1:17" ht="20" customHeight="1" thickBot="1">
      <c r="A17" s="123">
        <v>2005</v>
      </c>
      <c r="B17" s="134">
        <v>1868.8453126166223</v>
      </c>
      <c r="C17" s="159">
        <v>6.7111568931724833E-2</v>
      </c>
      <c r="D17" s="134">
        <v>608.74538167382002</v>
      </c>
      <c r="E17" s="135">
        <v>359.22898499367591</v>
      </c>
      <c r="F17" s="134">
        <v>198.02028876263893</v>
      </c>
      <c r="G17" s="135">
        <v>379.34998080250244</v>
      </c>
      <c r="H17" s="134">
        <v>52.228327605463519</v>
      </c>
      <c r="I17" s="135">
        <v>71.506769252803821</v>
      </c>
      <c r="J17" s="134">
        <v>89.431105997755466</v>
      </c>
      <c r="K17" s="135">
        <v>9.3082174030862586</v>
      </c>
      <c r="L17" s="134">
        <v>40.071474704018968</v>
      </c>
      <c r="M17" s="135">
        <v>7.0814671191582956</v>
      </c>
      <c r="N17" s="134">
        <v>3.2498517657327022</v>
      </c>
      <c r="O17"/>
    </row>
    <row r="18" spans="1:17" ht="20" customHeight="1" thickBot="1">
      <c r="A18" s="123">
        <v>2006</v>
      </c>
      <c r="B18" s="134">
        <v>1876.16</v>
      </c>
      <c r="C18" s="159">
        <v>3.9140143563494156E-3</v>
      </c>
      <c r="D18" s="134">
        <v>619.30999999999995</v>
      </c>
      <c r="E18" s="135">
        <v>353.68</v>
      </c>
      <c r="F18" s="134">
        <v>196.88</v>
      </c>
      <c r="G18" s="135">
        <v>378.01</v>
      </c>
      <c r="H18" s="134">
        <v>55.74</v>
      </c>
      <c r="I18" s="135">
        <v>72.13</v>
      </c>
      <c r="J18" s="134">
        <v>83.65</v>
      </c>
      <c r="K18" s="135">
        <v>9.15</v>
      </c>
      <c r="L18" s="134">
        <v>44.98</v>
      </c>
      <c r="M18" s="135">
        <v>8.26</v>
      </c>
      <c r="N18" s="134">
        <v>1.57</v>
      </c>
      <c r="O18"/>
    </row>
    <row r="19" spans="1:17" ht="20" customHeight="1" thickBot="1">
      <c r="A19" s="123">
        <v>2007</v>
      </c>
      <c r="B19" s="134">
        <v>1946.99</v>
      </c>
      <c r="C19" s="159">
        <v>3.7752643697765542E-2</v>
      </c>
      <c r="D19" s="134">
        <v>641.54999999999995</v>
      </c>
      <c r="E19" s="135">
        <v>374.75</v>
      </c>
      <c r="F19" s="134">
        <v>201.51</v>
      </c>
      <c r="G19" s="135">
        <v>383.11</v>
      </c>
      <c r="H19" s="134">
        <v>60.51</v>
      </c>
      <c r="I19" s="135">
        <v>73.489999999999995</v>
      </c>
      <c r="J19" s="134">
        <v>83.98</v>
      </c>
      <c r="K19" s="135">
        <v>9.4499999999999993</v>
      </c>
      <c r="L19" s="134">
        <v>49.59</v>
      </c>
      <c r="M19" s="135">
        <v>8.51</v>
      </c>
      <c r="N19" s="134">
        <v>1.3</v>
      </c>
      <c r="O19"/>
    </row>
    <row r="20" spans="1:17" ht="20" customHeight="1" thickBot="1">
      <c r="A20" s="123">
        <v>2008</v>
      </c>
      <c r="B20" s="134">
        <v>2050.5</v>
      </c>
      <c r="C20" s="159">
        <v>5.3164114864483025E-2</v>
      </c>
      <c r="D20" s="134">
        <v>670.19</v>
      </c>
      <c r="E20" s="135">
        <v>427.46</v>
      </c>
      <c r="F20" s="134">
        <v>212.65</v>
      </c>
      <c r="G20" s="135">
        <v>396.5</v>
      </c>
      <c r="H20" s="134">
        <v>65.150000000000006</v>
      </c>
      <c r="I20" s="135">
        <v>75.2</v>
      </c>
      <c r="J20" s="134">
        <v>90.16</v>
      </c>
      <c r="K20" s="135">
        <v>9.41</v>
      </c>
      <c r="L20" s="134">
        <v>49.18</v>
      </c>
      <c r="M20" s="135">
        <v>7.29</v>
      </c>
      <c r="N20" s="134">
        <v>1.42</v>
      </c>
      <c r="O20"/>
    </row>
    <row r="21" spans="1:17" ht="20" customHeight="1" thickBot="1">
      <c r="A21" s="123">
        <v>2009</v>
      </c>
      <c r="B21" s="134">
        <v>2108.4899999999998</v>
      </c>
      <c r="C21" s="159">
        <v>2.8280907095830088E-2</v>
      </c>
      <c r="D21" s="134">
        <v>678.09</v>
      </c>
      <c r="E21" s="135">
        <v>450.61</v>
      </c>
      <c r="F21" s="134">
        <v>220.2</v>
      </c>
      <c r="G21" s="135">
        <v>406.84</v>
      </c>
      <c r="H21" s="134">
        <v>68.92</v>
      </c>
      <c r="I21" s="135">
        <v>76.819999999999993</v>
      </c>
      <c r="J21" s="134">
        <v>89.74</v>
      </c>
      <c r="K21" s="135">
        <v>9.42</v>
      </c>
      <c r="L21" s="134">
        <v>50.87</v>
      </c>
      <c r="M21" s="135">
        <v>8.0500000000000007</v>
      </c>
      <c r="N21" s="134">
        <v>1.25</v>
      </c>
      <c r="O21"/>
    </row>
    <row r="22" spans="1:17" ht="20" customHeight="1" thickBot="1">
      <c r="A22" s="123">
        <v>2010</v>
      </c>
      <c r="B22" s="134">
        <v>2155.41</v>
      </c>
      <c r="C22" s="159">
        <v>2.2252891879970926E-2</v>
      </c>
      <c r="D22" s="134">
        <v>684.51</v>
      </c>
      <c r="E22" s="135">
        <v>491.64</v>
      </c>
      <c r="F22" s="134">
        <v>208.21</v>
      </c>
      <c r="G22" s="135">
        <v>406.7</v>
      </c>
      <c r="H22" s="134">
        <v>72.34</v>
      </c>
      <c r="I22" s="135">
        <v>80.02</v>
      </c>
      <c r="J22" s="134">
        <v>89.58</v>
      </c>
      <c r="K22" s="135">
        <v>9.39</v>
      </c>
      <c r="L22" s="134">
        <v>53.72</v>
      </c>
      <c r="M22" s="135">
        <v>8.7899999999999991</v>
      </c>
      <c r="N22" s="134">
        <v>1.01</v>
      </c>
      <c r="O22"/>
    </row>
    <row r="23" spans="1:17" ht="20" customHeight="1" thickBot="1">
      <c r="A23" s="123">
        <v>2011</v>
      </c>
      <c r="B23" s="134">
        <v>2204.27</v>
      </c>
      <c r="C23" s="159">
        <v>2.2668541020038013E-2</v>
      </c>
      <c r="D23" s="134">
        <v>707.92</v>
      </c>
      <c r="E23" s="135">
        <v>522.91999999999996</v>
      </c>
      <c r="F23" s="134">
        <v>206.13</v>
      </c>
      <c r="G23" s="135">
        <v>403.05</v>
      </c>
      <c r="H23" s="134">
        <v>74.14</v>
      </c>
      <c r="I23" s="135">
        <v>80.92</v>
      </c>
      <c r="J23" s="134">
        <v>95.26</v>
      </c>
      <c r="K23" s="135">
        <v>9.41</v>
      </c>
      <c r="L23" s="134">
        <v>48.63</v>
      </c>
      <c r="M23" s="135">
        <v>10.96</v>
      </c>
      <c r="N23" s="134">
        <v>0.97</v>
      </c>
      <c r="O23"/>
    </row>
    <row r="24" spans="1:17" s="411" customFormat="1" ht="27" customHeight="1">
      <c r="A24" s="126">
        <v>2012</v>
      </c>
      <c r="B24" s="136">
        <v>2273.2299999999996</v>
      </c>
      <c r="C24" s="406">
        <v>3.1284733721367974E-2</v>
      </c>
      <c r="D24" s="136">
        <v>729.99</v>
      </c>
      <c r="E24" s="407">
        <v>553.70000000000005</v>
      </c>
      <c r="F24" s="136">
        <v>209.14</v>
      </c>
      <c r="G24" s="407">
        <v>409.01</v>
      </c>
      <c r="H24" s="408">
        <v>78.930000000000007</v>
      </c>
      <c r="I24" s="407">
        <v>82.3</v>
      </c>
      <c r="J24" s="408">
        <v>99.89</v>
      </c>
      <c r="K24" s="407">
        <v>9.51</v>
      </c>
      <c r="L24" s="408">
        <v>47.36</v>
      </c>
      <c r="M24" s="407">
        <v>0.23</v>
      </c>
      <c r="N24" s="408">
        <v>2.84</v>
      </c>
      <c r="O24"/>
      <c r="P24" s="409"/>
      <c r="Q24" s="410"/>
    </row>
    <row r="25" spans="1:17" ht="19.5" customHeight="1" thickBot="1">
      <c r="A25" s="336"/>
      <c r="B25" s="412"/>
      <c r="C25" s="413"/>
      <c r="D25" s="412"/>
      <c r="E25" s="414"/>
      <c r="F25" s="412"/>
      <c r="G25" s="414"/>
      <c r="P25" s="4"/>
      <c r="Q25" s="4"/>
    </row>
    <row r="26" spans="1:17" ht="54" customHeight="1" thickBot="1">
      <c r="A26" s="415" t="s">
        <v>531</v>
      </c>
      <c r="B26" s="416">
        <v>3.4750056947936203E-2</v>
      </c>
      <c r="C26" s="417" t="s">
        <v>29</v>
      </c>
      <c r="D26" s="416">
        <v>2.6968084110768231E-2</v>
      </c>
      <c r="E26" s="418">
        <v>7.505941021533169E-2</v>
      </c>
      <c r="F26" s="416">
        <v>1.9944323941408548E-2</v>
      </c>
      <c r="G26" s="418">
        <v>1.7535780018401059E-2</v>
      </c>
      <c r="H26" s="374">
        <v>7.1695964468073692E-2</v>
      </c>
      <c r="I26" s="418">
        <v>1.7889947525790539E-2</v>
      </c>
      <c r="J26" s="374">
        <v>4.2139010877260574E-2</v>
      </c>
      <c r="K26" s="418">
        <v>6.8917734598759051E-3</v>
      </c>
      <c r="L26" s="374">
        <v>5.5395393481914468E-2</v>
      </c>
      <c r="M26" s="418">
        <v>-0.34305580333166519</v>
      </c>
      <c r="N26" s="374">
        <v>-6.5846063874509531E-3</v>
      </c>
    </row>
    <row r="27" spans="1:17" ht="39.75" customHeight="1">
      <c r="A27" s="336"/>
      <c r="B27" s="419"/>
      <c r="C27" s="414"/>
      <c r="D27" s="412"/>
      <c r="E27" s="414"/>
      <c r="F27" s="412"/>
      <c r="G27" s="414"/>
      <c r="P27" s="4"/>
      <c r="Q27" s="4"/>
    </row>
    <row r="28" spans="1:17" ht="19.5" customHeight="1">
      <c r="A28" s="109" t="s">
        <v>241</v>
      </c>
      <c r="B28" s="226" t="s">
        <v>532</v>
      </c>
      <c r="C28" s="155" t="s">
        <v>256</v>
      </c>
      <c r="D28" s="110"/>
      <c r="E28" s="398"/>
      <c r="F28"/>
      <c r="G28" s="3"/>
      <c r="H28" s="397" t="s">
        <v>230</v>
      </c>
      <c r="I28" s="155" t="s">
        <v>256</v>
      </c>
    </row>
    <row r="29" spans="1:17" ht="16.5" customHeight="1">
      <c r="A29" s="112"/>
      <c r="B29" s="226" t="s">
        <v>517</v>
      </c>
      <c r="C29" s="156" t="s">
        <v>257</v>
      </c>
      <c r="D29" s="399" t="s">
        <v>518</v>
      </c>
      <c r="E29" s="400" t="s">
        <v>518</v>
      </c>
      <c r="F29"/>
      <c r="G29" s="3"/>
      <c r="H29" s="226" t="s">
        <v>533</v>
      </c>
      <c r="I29" s="156" t="s">
        <v>257</v>
      </c>
    </row>
    <row r="30" spans="1:17" ht="16.5" customHeight="1">
      <c r="A30" s="112"/>
      <c r="B30" s="113"/>
      <c r="C30" s="156" t="s">
        <v>258</v>
      </c>
      <c r="D30" s="399" t="s">
        <v>534</v>
      </c>
      <c r="E30" s="400" t="s">
        <v>535</v>
      </c>
      <c r="F30"/>
      <c r="G30" s="3"/>
      <c r="H30" s="113"/>
      <c r="I30" s="156" t="s">
        <v>258</v>
      </c>
    </row>
    <row r="31" spans="1:17" ht="15.75" customHeight="1">
      <c r="A31" s="401"/>
      <c r="B31" s="143"/>
      <c r="C31" s="402"/>
      <c r="D31" s="399" t="s">
        <v>536</v>
      </c>
      <c r="E31" s="400"/>
      <c r="F31"/>
      <c r="G31" s="3"/>
      <c r="H31" s="143"/>
      <c r="I31" s="402"/>
    </row>
    <row r="32" spans="1:17" ht="12" customHeight="1">
      <c r="A32" s="116"/>
      <c r="B32" s="117"/>
      <c r="C32" s="403"/>
      <c r="D32" s="420"/>
      <c r="E32" s="421"/>
      <c r="F32"/>
      <c r="G32" s="3"/>
      <c r="H32" s="117"/>
      <c r="I32" s="403"/>
    </row>
    <row r="33" spans="1:9" ht="1.25" customHeight="1" thickBot="1">
      <c r="A33" s="120">
        <v>1996</v>
      </c>
      <c r="B33" s="132">
        <v>586.83678759613247</v>
      </c>
      <c r="C33" s="158">
        <v>7.9400703813924001E-2</v>
      </c>
      <c r="D33" s="320" t="s">
        <v>29</v>
      </c>
      <c r="E33" s="321" t="s">
        <v>29</v>
      </c>
      <c r="F33"/>
      <c r="G33" s="3"/>
      <c r="H33" s="132">
        <v>1722.6034667433191</v>
      </c>
      <c r="I33" s="158">
        <v>9.7018358352515099E-2</v>
      </c>
    </row>
    <row r="34" spans="1:9" ht="0.75" hidden="1" customHeight="1" thickBot="1">
      <c r="A34" s="123">
        <v>1997</v>
      </c>
      <c r="B34" s="134">
        <v>608.42125188692751</v>
      </c>
      <c r="C34" s="159">
        <v>3.678103477324892E-2</v>
      </c>
      <c r="D34" s="134" t="s">
        <v>29</v>
      </c>
      <c r="E34" s="135" t="s">
        <v>29</v>
      </c>
      <c r="F34"/>
      <c r="G34" s="3"/>
      <c r="H34" s="134">
        <v>1815.5918174756728</v>
      </c>
      <c r="I34" s="159">
        <v>5.3981286191275034E-2</v>
      </c>
    </row>
    <row r="35" spans="1:9" ht="19.5" hidden="1" customHeight="1" thickBot="1">
      <c r="A35" s="123">
        <v>1998</v>
      </c>
      <c r="B35" s="134">
        <v>647.39263733582663</v>
      </c>
      <c r="C35" s="159">
        <v>6.4053294206990977E-2</v>
      </c>
      <c r="D35" s="134">
        <v>492.71135658354189</v>
      </c>
      <c r="E35" s="135">
        <v>150.64686744819926</v>
      </c>
      <c r="F35"/>
      <c r="G35" s="3"/>
      <c r="H35" s="134">
        <v>1935.2609068839854</v>
      </c>
      <c r="I35" s="159">
        <v>6.5911890688456515E-2</v>
      </c>
    </row>
    <row r="36" spans="1:9" ht="19.25" hidden="1" customHeight="1" thickBot="1">
      <c r="A36" s="123">
        <v>1999</v>
      </c>
      <c r="B36" s="134">
        <v>659.34783816072627</v>
      </c>
      <c r="C36" s="159">
        <v>1.8466692599560762E-2</v>
      </c>
      <c r="D36" s="134">
        <v>496.69748609522117</v>
      </c>
      <c r="E36" s="135">
        <v>160.88253360625276</v>
      </c>
      <c r="F36"/>
      <c r="G36" s="3"/>
      <c r="H36" s="134">
        <v>2010.9299604622606</v>
      </c>
      <c r="I36" s="159">
        <v>3.9100181949167756E-2</v>
      </c>
    </row>
    <row r="37" spans="1:9" ht="0.5" customHeight="1" thickBot="1">
      <c r="A37" s="123">
        <v>2000</v>
      </c>
      <c r="B37" s="134">
        <v>679.34395321862166</v>
      </c>
      <c r="C37" s="159">
        <v>3.0327110973284228E-2</v>
      </c>
      <c r="D37" s="134">
        <v>508.80015768509037</v>
      </c>
      <c r="E37" s="135">
        <v>167.22954109591964</v>
      </c>
      <c r="F37"/>
      <c r="G37" s="3"/>
      <c r="H37" s="134">
        <v>2130.500577485856</v>
      </c>
      <c r="I37" s="159">
        <v>5.946035882627615E-2</v>
      </c>
    </row>
    <row r="38" spans="1:9" ht="19.5" hidden="1" customHeight="1" thickBot="1">
      <c r="A38" s="123">
        <v>2001</v>
      </c>
      <c r="B38" s="134">
        <v>695.57285390457537</v>
      </c>
      <c r="C38" s="159">
        <v>2.388907799806534E-2</v>
      </c>
      <c r="D38" s="134">
        <v>520.22845878332566</v>
      </c>
      <c r="E38" s="135">
        <v>172.28381767006115</v>
      </c>
      <c r="F38"/>
      <c r="G38" s="3"/>
      <c r="H38" s="134">
        <v>2244.3978355168092</v>
      </c>
      <c r="I38" s="159">
        <v>5.3460327227585272E-2</v>
      </c>
    </row>
    <row r="39" spans="1:9" ht="19.5" customHeight="1" thickBot="1">
      <c r="A39" s="123">
        <v>2002</v>
      </c>
      <c r="B39" s="134">
        <v>712.19782148377215</v>
      </c>
      <c r="C39" s="159">
        <v>2.3901116160403715E-2</v>
      </c>
      <c r="D39" s="134">
        <v>515.19747034296608</v>
      </c>
      <c r="E39" s="135">
        <v>189.57472804627923</v>
      </c>
      <c r="F39"/>
      <c r="G39" s="3"/>
      <c r="H39" s="134">
        <v>2327.6302215005462</v>
      </c>
      <c r="I39" s="159">
        <v>3.7084506439372583E-2</v>
      </c>
    </row>
    <row r="40" spans="1:9" ht="19.5" customHeight="1" thickBot="1">
      <c r="A40" s="123">
        <v>2003</v>
      </c>
      <c r="B40" s="134">
        <v>764.59062760893357</v>
      </c>
      <c r="C40" s="159">
        <v>7.3564962633566877E-2</v>
      </c>
      <c r="D40" s="134">
        <v>557.73124969057335</v>
      </c>
      <c r="E40" s="135">
        <v>200.44409586700854</v>
      </c>
      <c r="F40"/>
      <c r="G40" s="3"/>
      <c r="H40" s="134">
        <v>2431.2115563163402</v>
      </c>
      <c r="I40" s="159">
        <v>4.4500769004888807E-2</v>
      </c>
    </row>
    <row r="41" spans="1:9" ht="19.5" customHeight="1" thickBot="1">
      <c r="A41" s="123">
        <v>2004</v>
      </c>
      <c r="B41" s="134">
        <v>840.90429336795432</v>
      </c>
      <c r="C41" s="159">
        <v>9.9809836798121235E-2</v>
      </c>
      <c r="D41" s="134">
        <v>618.810128536668</v>
      </c>
      <c r="E41" s="135">
        <v>213.02590534069273</v>
      </c>
      <c r="F41"/>
      <c r="G41" s="3"/>
      <c r="H41" s="134">
        <v>2592.2163089311489</v>
      </c>
      <c r="I41" s="159">
        <v>6.622408165036682E-2</v>
      </c>
    </row>
    <row r="42" spans="1:9" ht="19.5" customHeight="1" thickBot="1">
      <c r="A42" s="123">
        <v>2005</v>
      </c>
      <c r="B42" s="134">
        <v>867.58002616373483</v>
      </c>
      <c r="C42" s="159">
        <v>3.1722674038135765E-2</v>
      </c>
      <c r="D42" s="134">
        <v>645.948160066112</v>
      </c>
      <c r="E42" s="135">
        <v>213.44705424318488</v>
      </c>
      <c r="F42"/>
      <c r="G42" s="3"/>
      <c r="H42" s="134">
        <v>2736.4253387803569</v>
      </c>
      <c r="I42" s="159">
        <v>5.5631557193878578E-2</v>
      </c>
    </row>
    <row r="43" spans="1:9" ht="19.5" customHeight="1" thickBot="1">
      <c r="A43" s="123">
        <v>2006</v>
      </c>
      <c r="B43" s="134">
        <v>878.78</v>
      </c>
      <c r="C43" s="159">
        <v>1.2909441778862885E-2</v>
      </c>
      <c r="D43" s="134">
        <v>654.29</v>
      </c>
      <c r="E43" s="135">
        <v>217.58</v>
      </c>
      <c r="F43"/>
      <c r="G43" s="3"/>
      <c r="H43" s="134">
        <v>2754.94</v>
      </c>
      <c r="I43" s="159">
        <v>6.7660026960192354E-3</v>
      </c>
    </row>
    <row r="44" spans="1:9" ht="19.5" customHeight="1" thickBot="1">
      <c r="A44" s="123">
        <v>2007</v>
      </c>
      <c r="B44" s="134">
        <v>915.82</v>
      </c>
      <c r="C44" s="159">
        <v>4.2149343407906548E-2</v>
      </c>
      <c r="D44" s="134">
        <v>681.54</v>
      </c>
      <c r="E44" s="135">
        <v>226.41</v>
      </c>
      <c r="F44"/>
      <c r="G44" s="3"/>
      <c r="H44" s="134">
        <v>2862.81</v>
      </c>
      <c r="I44" s="159">
        <v>3.915511771581226E-2</v>
      </c>
    </row>
    <row r="45" spans="1:9" ht="19.5" customHeight="1" thickBot="1">
      <c r="A45" s="123">
        <v>2008</v>
      </c>
      <c r="B45" s="134">
        <v>933.12</v>
      </c>
      <c r="C45" s="159">
        <v>1.8890174925203507E-2</v>
      </c>
      <c r="D45" s="134">
        <v>690.44</v>
      </c>
      <c r="E45" s="135">
        <v>234.3</v>
      </c>
      <c r="F45"/>
      <c r="G45" s="3"/>
      <c r="H45" s="134">
        <v>2983.62</v>
      </c>
      <c r="I45" s="159">
        <v>4.2199796703239034E-2</v>
      </c>
    </row>
    <row r="46" spans="1:9" ht="19.5" customHeight="1" thickBot="1">
      <c r="A46" s="123">
        <v>2009</v>
      </c>
      <c r="B46" s="134">
        <v>960.23</v>
      </c>
      <c r="C46" s="159">
        <v>2.9053069272976684E-2</v>
      </c>
      <c r="D46" s="134">
        <v>711.06</v>
      </c>
      <c r="E46" s="135">
        <v>241.04</v>
      </c>
      <c r="F46"/>
      <c r="G46" s="3"/>
      <c r="H46" s="134">
        <v>3068.72</v>
      </c>
      <c r="I46" s="159">
        <v>2.8522398965015627E-2</v>
      </c>
    </row>
    <row r="47" spans="1:9" ht="19.5" customHeight="1" thickBot="1">
      <c r="A47" s="123">
        <v>2010</v>
      </c>
      <c r="B47" s="134">
        <v>967.15000000000009</v>
      </c>
      <c r="C47" s="159">
        <v>7.206606750466138E-3</v>
      </c>
      <c r="D47" s="134">
        <v>718.88</v>
      </c>
      <c r="E47" s="135">
        <v>243.45</v>
      </c>
      <c r="F47"/>
      <c r="G47" s="3"/>
      <c r="H47" s="134">
        <v>3122.56</v>
      </c>
      <c r="I47" s="159">
        <v>1.7544774368466465E-2</v>
      </c>
    </row>
    <row r="48" spans="1:9" ht="19.5" customHeight="1" thickBot="1">
      <c r="A48" s="123">
        <v>2011</v>
      </c>
      <c r="B48" s="134">
        <v>966.56</v>
      </c>
      <c r="C48" s="159">
        <v>-6.1003980768248312E-4</v>
      </c>
      <c r="D48" s="134">
        <v>724.38</v>
      </c>
      <c r="E48" s="135">
        <v>234.89</v>
      </c>
      <c r="F48"/>
      <c r="G48" s="3"/>
      <c r="H48" s="134">
        <v>3170.83</v>
      </c>
      <c r="I48" s="159">
        <v>1.5458469973355093E-2</v>
      </c>
    </row>
    <row r="49" spans="1:9" ht="27" customHeight="1">
      <c r="A49" s="126">
        <v>2012</v>
      </c>
      <c r="B49" s="408">
        <v>983.41000000000008</v>
      </c>
      <c r="C49" s="406">
        <v>1.7432958119516728E-2</v>
      </c>
      <c r="D49" s="408">
        <v>746.51</v>
      </c>
      <c r="E49" s="407">
        <v>232.08</v>
      </c>
      <c r="F49" s="332"/>
      <c r="G49" s="131"/>
      <c r="H49" s="408">
        <v>3256.64</v>
      </c>
      <c r="I49" s="406">
        <v>2.7062314914391594E-2</v>
      </c>
    </row>
    <row r="50" spans="1:9" ht="19.5" customHeight="1" thickBot="1">
      <c r="A50" s="131"/>
      <c r="B50" s="412"/>
      <c r="C50" s="413"/>
      <c r="D50" s="412"/>
      <c r="E50" s="414"/>
      <c r="F50" s="412"/>
      <c r="G50" s="414"/>
      <c r="I50" s="181"/>
    </row>
    <row r="51" spans="1:9" ht="51" customHeight="1" thickBot="1">
      <c r="A51" s="415" t="s">
        <v>531</v>
      </c>
      <c r="B51" s="374">
        <v>3.2793266810505317E-2</v>
      </c>
      <c r="C51" s="417" t="s">
        <v>29</v>
      </c>
      <c r="D51" s="374">
        <v>3.7782136345875017E-2</v>
      </c>
      <c r="E51" s="418">
        <v>2.04358959478943E-2</v>
      </c>
      <c r="F51" s="422"/>
      <c r="G51" s="3"/>
      <c r="H51" s="374">
        <v>3.4154858313490744E-2</v>
      </c>
      <c r="I51" s="417" t="s">
        <v>29</v>
      </c>
    </row>
    <row r="52" spans="1:9" ht="17.25" customHeight="1">
      <c r="A52" s="130" t="s">
        <v>396</v>
      </c>
      <c r="B52" s="412"/>
      <c r="C52" s="414"/>
      <c r="D52" s="412"/>
      <c r="E52" s="414"/>
      <c r="F52" s="412"/>
      <c r="G52" s="414"/>
    </row>
    <row r="53" spans="1:9" ht="14">
      <c r="A53" s="336"/>
      <c r="B53" s="412"/>
      <c r="C53" s="414"/>
      <c r="D53" s="412"/>
      <c r="E53" s="414"/>
      <c r="F53" s="412"/>
      <c r="G53" s="414"/>
    </row>
    <row r="54" spans="1:9" ht="14">
      <c r="A54" s="131" t="s">
        <v>473</v>
      </c>
      <c r="B54" s="412"/>
      <c r="C54" s="414"/>
      <c r="D54" s="412"/>
      <c r="E54" s="414"/>
      <c r="F54" s="412"/>
      <c r="G54" s="414"/>
    </row>
    <row r="55" spans="1:9" ht="14">
      <c r="A55" s="131" t="s">
        <v>537</v>
      </c>
      <c r="B55" s="412"/>
      <c r="C55" s="414"/>
      <c r="D55" s="412"/>
      <c r="E55" s="414"/>
      <c r="F55" s="412"/>
      <c r="G55" s="414"/>
    </row>
    <row r="56" spans="1:9" ht="14">
      <c r="A56" s="131" t="s">
        <v>538</v>
      </c>
      <c r="B56" s="412"/>
      <c r="C56" s="414"/>
      <c r="D56" s="412"/>
      <c r="E56" s="414"/>
      <c r="F56" s="412"/>
      <c r="G56" s="414"/>
    </row>
    <row r="57" spans="1:9" ht="14">
      <c r="A57" s="131" t="s">
        <v>539</v>
      </c>
      <c r="B57" s="412"/>
      <c r="C57" s="414"/>
      <c r="D57" s="412"/>
      <c r="E57" s="414"/>
      <c r="F57" s="412"/>
      <c r="G57" s="414"/>
    </row>
    <row r="58" spans="1:9" ht="14">
      <c r="B58" s="412"/>
      <c r="C58" s="414"/>
      <c r="D58" s="412"/>
      <c r="E58" s="414"/>
      <c r="F58" s="412"/>
      <c r="G58" s="414"/>
    </row>
    <row r="59" spans="1:9">
      <c r="A59" s="3" t="s">
        <v>540</v>
      </c>
      <c r="B59" s="4"/>
      <c r="C59" s="423"/>
      <c r="D59" s="4"/>
      <c r="E59" s="423"/>
      <c r="F59" s="4"/>
      <c r="G59" s="423"/>
    </row>
    <row r="60" spans="1:9">
      <c r="A60" s="4"/>
      <c r="B60" s="4"/>
      <c r="C60" s="423"/>
      <c r="D60" s="4"/>
      <c r="E60" s="423"/>
      <c r="F60" s="4"/>
      <c r="G60" s="423"/>
    </row>
    <row r="62" spans="1:9">
      <c r="A62" s="3" t="s">
        <v>395</v>
      </c>
    </row>
    <row r="65" spans="2:5">
      <c r="B65"/>
      <c r="C65"/>
      <c r="D65"/>
      <c r="E65"/>
    </row>
    <row r="66" spans="2:5">
      <c r="B66"/>
      <c r="C66"/>
      <c r="D66"/>
      <c r="E66"/>
    </row>
    <row r="67" spans="2:5">
      <c r="B67"/>
      <c r="C67"/>
      <c r="D67"/>
      <c r="E67"/>
    </row>
    <row r="68" spans="2:5">
      <c r="B68"/>
      <c r="C68"/>
      <c r="D68"/>
      <c r="E68"/>
    </row>
    <row r="69" spans="2:5">
      <c r="B69"/>
      <c r="C69"/>
      <c r="D69"/>
      <c r="E69"/>
    </row>
  </sheetData>
  <pageMargins left="0.52" right="0.37" top="0.55000000000000004" bottom="0.49" header="0.42" footer="0.4921259845"/>
  <pageSetup paperSize="9" scale="54" orientation="landscape" horizontalDpi="4294967292" verticalDpi="429496729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1063D-13B9-CA45-9E9E-BE66DF5926C0}">
  <sheetPr>
    <pageSetUpPr fitToPage="1"/>
  </sheetPr>
  <dimension ref="A1:H41"/>
  <sheetViews>
    <sheetView zoomScaleNormal="100" workbookViewId="0">
      <selection activeCell="K10" sqref="K10"/>
    </sheetView>
  </sheetViews>
  <sheetFormatPr baseColWidth="10" defaultColWidth="11.3984375" defaultRowHeight="13"/>
  <cols>
    <col min="1" max="1" width="41.3984375" style="3" customWidth="1"/>
    <col min="2" max="4" width="15.19921875" style="3" customWidth="1"/>
    <col min="5" max="5" width="15.19921875" style="138" customWidth="1"/>
    <col min="6" max="6" width="15.19921875" style="3" customWidth="1"/>
    <col min="7" max="7" width="15.3984375" style="3" customWidth="1"/>
    <col min="8" max="8" width="16.3984375" style="3" customWidth="1"/>
    <col min="9" max="16384" width="11.3984375" style="3"/>
  </cols>
  <sheetData>
    <row r="1" spans="1:8" s="2" customFormat="1" ht="14" customHeight="1">
      <c r="E1" s="17"/>
    </row>
    <row r="2" spans="1:8" s="2" customFormat="1" ht="26.5" customHeight="1">
      <c r="A2" s="222" t="s">
        <v>480</v>
      </c>
      <c r="B2" s="328"/>
      <c r="C2" s="328"/>
      <c r="D2" s="328"/>
      <c r="E2" s="328"/>
      <c r="H2" s="139">
        <v>2012</v>
      </c>
    </row>
    <row r="3" spans="1:8" ht="21" customHeight="1">
      <c r="A3" s="109" t="s">
        <v>481</v>
      </c>
      <c r="B3" s="110" t="s">
        <v>482</v>
      </c>
      <c r="C3" s="111" t="s">
        <v>483</v>
      </c>
      <c r="D3" s="110" t="s">
        <v>427</v>
      </c>
      <c r="E3" s="360" t="s">
        <v>230</v>
      </c>
      <c r="F3" s="110" t="s">
        <v>484</v>
      </c>
      <c r="G3" s="111" t="s">
        <v>256</v>
      </c>
      <c r="H3" s="165" t="s">
        <v>256</v>
      </c>
    </row>
    <row r="4" spans="1:8" ht="18" customHeight="1">
      <c r="A4" s="112"/>
      <c r="B4" s="113"/>
      <c r="C4" s="114"/>
      <c r="D4" s="113"/>
      <c r="E4" s="361"/>
      <c r="F4" s="113" t="s">
        <v>485</v>
      </c>
      <c r="G4" s="114" t="s">
        <v>257</v>
      </c>
      <c r="H4" s="300" t="s">
        <v>257</v>
      </c>
    </row>
    <row r="5" spans="1:8" ht="18.5" customHeight="1">
      <c r="A5" s="112"/>
      <c r="B5" s="113"/>
      <c r="C5" s="114"/>
      <c r="D5" s="113"/>
      <c r="E5" s="361"/>
      <c r="F5" s="113" t="s">
        <v>486</v>
      </c>
      <c r="G5" s="114" t="s">
        <v>258</v>
      </c>
      <c r="H5" s="300" t="s">
        <v>258</v>
      </c>
    </row>
    <row r="6" spans="1:8" s="266" customFormat="1" ht="20.5" customHeight="1">
      <c r="A6" s="362"/>
      <c r="B6" s="363"/>
      <c r="C6" s="364"/>
      <c r="D6" s="363"/>
      <c r="E6" s="365"/>
      <c r="F6" s="363"/>
      <c r="G6" s="364" t="s">
        <v>262</v>
      </c>
      <c r="H6" s="366" t="s">
        <v>487</v>
      </c>
    </row>
    <row r="7" spans="1:8" ht="30" customHeight="1" thickBot="1">
      <c r="A7" s="367" t="s">
        <v>488</v>
      </c>
      <c r="B7" s="303">
        <v>635.79</v>
      </c>
      <c r="C7" s="321">
        <v>979.05</v>
      </c>
      <c r="D7" s="320">
        <v>383.17</v>
      </c>
      <c r="E7" s="368">
        <v>729.99</v>
      </c>
      <c r="F7" s="369">
        <v>0.22415434312665816</v>
      </c>
      <c r="G7" s="321">
        <v>22.07000000000005</v>
      </c>
      <c r="H7" s="305">
        <v>3.1175839077862033E-2</v>
      </c>
    </row>
    <row r="8" spans="1:8" ht="20" customHeight="1" thickBot="1">
      <c r="A8" s="123" t="s">
        <v>489</v>
      </c>
      <c r="B8" s="317">
        <v>813.47</v>
      </c>
      <c r="C8" s="135">
        <v>943.64</v>
      </c>
      <c r="D8" s="134">
        <v>176.44</v>
      </c>
      <c r="E8" s="370">
        <v>746.51</v>
      </c>
      <c r="F8" s="369">
        <v>0.22922705610690775</v>
      </c>
      <c r="G8" s="135">
        <v>22.129999999999995</v>
      </c>
      <c r="H8" s="305">
        <v>3.0550263673762457E-2</v>
      </c>
    </row>
    <row r="9" spans="1:8" ht="20" customHeight="1" thickBot="1">
      <c r="A9" s="123" t="s">
        <v>490</v>
      </c>
      <c r="B9" s="134">
        <v>590.91999999999996</v>
      </c>
      <c r="C9" s="135">
        <v>669.47</v>
      </c>
      <c r="D9" s="134">
        <v>223.31</v>
      </c>
      <c r="E9" s="370">
        <v>553.70000000000005</v>
      </c>
      <c r="F9" s="369">
        <v>0.17002186302446695</v>
      </c>
      <c r="G9" s="135">
        <v>30.780000000000086</v>
      </c>
      <c r="H9" s="305">
        <v>5.8861776179913061E-2</v>
      </c>
    </row>
    <row r="10" spans="1:8" ht="20" customHeight="1" thickBot="1">
      <c r="A10" s="123" t="s">
        <v>491</v>
      </c>
      <c r="B10" s="134">
        <v>218.7</v>
      </c>
      <c r="C10" s="135">
        <v>270.66000000000003</v>
      </c>
      <c r="D10" s="134">
        <v>54.92</v>
      </c>
      <c r="E10" s="370">
        <v>209.14</v>
      </c>
      <c r="F10" s="369">
        <v>6.4219563722118497E-2</v>
      </c>
      <c r="G10" s="135">
        <v>3.0099999999999909</v>
      </c>
      <c r="H10" s="305">
        <v>1.4602435356328547E-2</v>
      </c>
    </row>
    <row r="11" spans="1:8" ht="20" customHeight="1" thickBot="1">
      <c r="A11" s="123" t="s">
        <v>492</v>
      </c>
      <c r="B11" s="134">
        <v>446.33</v>
      </c>
      <c r="C11" s="135">
        <v>528.55999999999995</v>
      </c>
      <c r="D11" s="134">
        <v>70.150000000000006</v>
      </c>
      <c r="E11" s="370">
        <v>409.01</v>
      </c>
      <c r="F11" s="369">
        <v>0.12559263535423013</v>
      </c>
      <c r="G11" s="135">
        <v>5.9599999999999795</v>
      </c>
      <c r="H11" s="305">
        <v>1.4787247239796519E-2</v>
      </c>
    </row>
    <row r="12" spans="1:8" ht="20" customHeight="1" thickBot="1">
      <c r="A12" s="123" t="s">
        <v>493</v>
      </c>
      <c r="B12" s="134">
        <v>167.89</v>
      </c>
      <c r="C12" s="135">
        <v>396.87</v>
      </c>
      <c r="D12" s="134">
        <v>6.53</v>
      </c>
      <c r="E12" s="370">
        <v>232.08</v>
      </c>
      <c r="F12" s="369">
        <v>7.1263633683796804E-2</v>
      </c>
      <c r="G12" s="135">
        <v>-2.8099999999999739</v>
      </c>
      <c r="H12" s="305">
        <v>-1.1963046532419308E-2</v>
      </c>
    </row>
    <row r="13" spans="1:8" ht="20" customHeight="1" thickBot="1">
      <c r="A13" s="123" t="s">
        <v>494</v>
      </c>
      <c r="B13" s="134">
        <v>68.760000000000005</v>
      </c>
      <c r="C13" s="135">
        <v>122.75</v>
      </c>
      <c r="D13" s="134">
        <v>4.57</v>
      </c>
      <c r="E13" s="370">
        <v>78.930000000000007</v>
      </c>
      <c r="F13" s="369">
        <v>2.4236636533359539E-2</v>
      </c>
      <c r="G13" s="135">
        <v>4.7900000000000063</v>
      </c>
      <c r="H13" s="305">
        <v>6.4607499325600282E-2</v>
      </c>
    </row>
    <row r="14" spans="1:8" ht="20" customHeight="1" thickBot="1">
      <c r="A14" s="123" t="s">
        <v>495</v>
      </c>
      <c r="B14" s="134">
        <v>70.239999999999995</v>
      </c>
      <c r="C14" s="135">
        <v>122.55</v>
      </c>
      <c r="D14" s="134">
        <v>19.670000000000002</v>
      </c>
      <c r="E14" s="370">
        <v>82.3</v>
      </c>
      <c r="F14" s="369">
        <v>2.5271445416134422E-2</v>
      </c>
      <c r="G14" s="135">
        <v>1.3799999999999955</v>
      </c>
      <c r="H14" s="305">
        <v>1.7053880375679675E-2</v>
      </c>
    </row>
    <row r="15" spans="1:8" ht="20" customHeight="1" thickBot="1">
      <c r="A15" s="123" t="s">
        <v>496</v>
      </c>
      <c r="B15" s="134">
        <v>84.28</v>
      </c>
      <c r="C15" s="135">
        <v>145.51</v>
      </c>
      <c r="D15" s="134">
        <v>32.950000000000003</v>
      </c>
      <c r="E15" s="370">
        <v>99.89</v>
      </c>
      <c r="F15" s="369">
        <v>3.0672717893288789E-2</v>
      </c>
      <c r="G15" s="135">
        <v>4.6299999999999955</v>
      </c>
      <c r="H15" s="305">
        <v>4.8603821121142143E-2</v>
      </c>
    </row>
    <row r="16" spans="1:8" ht="20" customHeight="1" thickBot="1">
      <c r="A16" s="123" t="s">
        <v>497</v>
      </c>
      <c r="B16" s="134">
        <v>8.93</v>
      </c>
      <c r="C16" s="135">
        <v>13.33</v>
      </c>
      <c r="D16" s="134">
        <v>2.42</v>
      </c>
      <c r="E16" s="370">
        <v>9.51</v>
      </c>
      <c r="F16" s="369">
        <v>2.9201876780976712E-3</v>
      </c>
      <c r="G16" s="135">
        <v>9.9999999999999645E-2</v>
      </c>
      <c r="H16" s="305">
        <v>1.0626992561105109E-2</v>
      </c>
    </row>
    <row r="17" spans="1:8" ht="20" customHeight="1" thickBot="1">
      <c r="A17" s="123" t="s">
        <v>498</v>
      </c>
      <c r="B17" s="134">
        <v>58.38</v>
      </c>
      <c r="C17" s="135">
        <v>52.38</v>
      </c>
      <c r="D17" s="134">
        <v>13.38</v>
      </c>
      <c r="E17" s="370">
        <v>47.36</v>
      </c>
      <c r="F17" s="369">
        <v>1.4542596049916479E-2</v>
      </c>
      <c r="G17" s="135">
        <v>-1.2700000000000031</v>
      </c>
      <c r="H17" s="305">
        <v>-2.6115566522722622E-2</v>
      </c>
    </row>
    <row r="18" spans="1:8" ht="20" customHeight="1" thickBot="1">
      <c r="A18" s="123" t="s">
        <v>499</v>
      </c>
      <c r="B18" s="134">
        <v>0.14000000000000001</v>
      </c>
      <c r="C18" s="135">
        <v>0.39</v>
      </c>
      <c r="D18" s="134">
        <v>0.05</v>
      </c>
      <c r="E18" s="370">
        <v>0.23</v>
      </c>
      <c r="F18" s="369">
        <v>7.0624938587009932E-5</v>
      </c>
      <c r="G18" s="135">
        <v>-10.73</v>
      </c>
      <c r="H18" s="305">
        <v>-0.97901459854014594</v>
      </c>
    </row>
    <row r="19" spans="1:8" ht="20" customHeight="1" thickBot="1">
      <c r="A19" s="307" t="s">
        <v>500</v>
      </c>
      <c r="B19" s="134">
        <v>2.04</v>
      </c>
      <c r="C19" s="135">
        <v>4.4000000000000004</v>
      </c>
      <c r="D19" s="134">
        <v>1.1100000000000001</v>
      </c>
      <c r="E19" s="370">
        <v>2.84</v>
      </c>
      <c r="F19" s="369">
        <v>8.7206445907438341E-4</v>
      </c>
      <c r="G19" s="135">
        <v>1.8699999999999999</v>
      </c>
      <c r="H19" s="305">
        <v>1.9278350515463916</v>
      </c>
    </row>
    <row r="20" spans="1:8" ht="20" customHeight="1" thickBot="1">
      <c r="A20" s="123" t="s">
        <v>501</v>
      </c>
      <c r="B20" s="134">
        <v>46.67</v>
      </c>
      <c r="C20" s="135">
        <v>59.99</v>
      </c>
      <c r="D20" s="134">
        <v>36.86</v>
      </c>
      <c r="E20" s="370">
        <v>50.33</v>
      </c>
      <c r="F20" s="369">
        <v>1.5454578952540042E-2</v>
      </c>
      <c r="G20" s="135">
        <v>6.3699999999999974</v>
      </c>
      <c r="H20" s="305">
        <v>0.14490445859872603</v>
      </c>
    </row>
    <row r="21" spans="1:8" ht="20" customHeight="1" thickBot="1">
      <c r="A21" s="123" t="s">
        <v>502</v>
      </c>
      <c r="B21" s="134">
        <v>6.28</v>
      </c>
      <c r="C21" s="135">
        <v>5.13</v>
      </c>
      <c r="D21" s="134">
        <v>1.0900000000000001</v>
      </c>
      <c r="E21" s="370">
        <v>4.82</v>
      </c>
      <c r="F21" s="369">
        <v>1.4800530608234256E-3</v>
      </c>
      <c r="G21" s="135">
        <v>-2.4699999999999998</v>
      </c>
      <c r="H21" s="305">
        <v>-0.33882030178326472</v>
      </c>
    </row>
    <row r="22" spans="1:8" ht="30" customHeight="1" thickBot="1">
      <c r="A22" s="371" t="s">
        <v>503</v>
      </c>
      <c r="B22" s="372">
        <v>3218.82</v>
      </c>
      <c r="C22" s="373">
        <v>4314.6899999999996</v>
      </c>
      <c r="D22" s="372">
        <v>1026.6099999999999</v>
      </c>
      <c r="E22" s="206">
        <v>3256.64</v>
      </c>
      <c r="F22" s="374">
        <v>1</v>
      </c>
      <c r="G22" s="373">
        <v>85.809999999999945</v>
      </c>
      <c r="H22" s="375">
        <v>2.7062314914391594E-2</v>
      </c>
    </row>
    <row r="23" spans="1:8" ht="15" customHeight="1">
      <c r="A23" s="376"/>
      <c r="B23" s="377"/>
      <c r="C23" s="377"/>
      <c r="D23" s="377"/>
      <c r="E23" s="190"/>
      <c r="F23" s="378"/>
      <c r="G23" s="377"/>
      <c r="H23" s="379"/>
    </row>
    <row r="24" spans="1:8" ht="30" customHeight="1" thickBot="1">
      <c r="A24" s="380" t="s">
        <v>504</v>
      </c>
      <c r="B24" s="381" t="s">
        <v>29</v>
      </c>
      <c r="C24" s="382">
        <v>191.74</v>
      </c>
      <c r="D24" s="381">
        <v>1.98</v>
      </c>
      <c r="E24" s="383" t="s">
        <v>29</v>
      </c>
      <c r="F24" s="384" t="s">
        <v>29</v>
      </c>
      <c r="G24" s="382" t="s">
        <v>29</v>
      </c>
      <c r="H24" s="385" t="s">
        <v>29</v>
      </c>
    </row>
    <row r="25" spans="1:8" ht="30.75" customHeight="1" thickBot="1">
      <c r="A25" s="386" t="s">
        <v>505</v>
      </c>
      <c r="B25" s="387">
        <v>109.89</v>
      </c>
      <c r="C25" s="388">
        <v>112.06</v>
      </c>
      <c r="D25" s="387">
        <v>11.28</v>
      </c>
      <c r="E25" s="389">
        <v>92.08</v>
      </c>
      <c r="F25" s="390">
        <v>2.8274540630834236E-2</v>
      </c>
      <c r="G25" s="388">
        <v>7.039999999999992</v>
      </c>
      <c r="H25" s="391">
        <v>8.2784571966133536E-2</v>
      </c>
    </row>
    <row r="26" spans="1:8" ht="15" customHeight="1">
      <c r="A26" s="376"/>
      <c r="B26" s="377"/>
      <c r="C26" s="377"/>
      <c r="D26" s="377"/>
      <c r="E26" s="190"/>
      <c r="F26" s="378"/>
      <c r="G26" s="377"/>
      <c r="H26" s="378"/>
    </row>
    <row r="27" spans="1:8" ht="30" customHeight="1" thickBot="1">
      <c r="A27" s="380" t="s">
        <v>506</v>
      </c>
      <c r="B27" s="381">
        <v>7.05</v>
      </c>
      <c r="C27" s="382">
        <v>7.78</v>
      </c>
      <c r="D27" s="381">
        <v>14.64</v>
      </c>
      <c r="E27" s="383">
        <v>8.7899999999999991</v>
      </c>
      <c r="F27" s="384">
        <v>2.6991009138252922E-3</v>
      </c>
      <c r="G27" s="382">
        <v>0.6899999999999995</v>
      </c>
      <c r="H27" s="385">
        <v>8.5185185185185031E-2</v>
      </c>
    </row>
    <row r="28" spans="1:8" ht="30.75" customHeight="1" thickBot="1">
      <c r="A28" s="386" t="s">
        <v>507</v>
      </c>
      <c r="B28" s="387">
        <v>9.09</v>
      </c>
      <c r="C28" s="388">
        <v>9.3800000000000008</v>
      </c>
      <c r="D28" s="387">
        <v>4.26</v>
      </c>
      <c r="E28" s="389">
        <v>8.2899999999999991</v>
      </c>
      <c r="F28" s="390">
        <v>2.5455684386361402E-3</v>
      </c>
      <c r="G28" s="388">
        <v>0.12999999999999901</v>
      </c>
      <c r="H28" s="391">
        <v>1.5931372549019551E-2</v>
      </c>
    </row>
    <row r="29" spans="1:8" ht="20" customHeight="1">
      <c r="A29" s="130" t="s">
        <v>396</v>
      </c>
      <c r="B29" s="354"/>
      <c r="C29" s="354"/>
      <c r="D29" s="354"/>
      <c r="E29" s="392"/>
      <c r="F29" s="354"/>
    </row>
    <row r="30" spans="1:8" ht="12.75" customHeight="1">
      <c r="A30" s="131"/>
      <c r="B30" s="357"/>
      <c r="C30" s="357"/>
      <c r="D30" s="357"/>
      <c r="E30" s="393"/>
      <c r="F30" s="357"/>
    </row>
    <row r="31" spans="1:8">
      <c r="A31" s="131" t="s">
        <v>508</v>
      </c>
    </row>
    <row r="32" spans="1:8">
      <c r="A32" s="131" t="s">
        <v>509</v>
      </c>
    </row>
    <row r="33" spans="1:1">
      <c r="A33" s="359" t="s">
        <v>510</v>
      </c>
    </row>
    <row r="34" spans="1:1">
      <c r="A34" s="359" t="s">
        <v>511</v>
      </c>
    </row>
    <row r="35" spans="1:1">
      <c r="A35" s="359" t="s">
        <v>512</v>
      </c>
    </row>
    <row r="36" spans="1:1">
      <c r="A36" s="359" t="s">
        <v>513</v>
      </c>
    </row>
    <row r="38" spans="1:1">
      <c r="A38" s="3" t="s">
        <v>514</v>
      </c>
    </row>
    <row r="41" spans="1:1">
      <c r="A41" s="3" t="s">
        <v>395</v>
      </c>
    </row>
  </sheetData>
  <pageMargins left="0.59055118110236227" right="0.51181102362204722" top="0.47244094488188981" bottom="0.37" header="0.31496062992125984" footer="0.25"/>
  <pageSetup paperSize="9" scale="71" orientation="landscape" horizontalDpi="1200" verticalDpi="12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D6FC-7BC0-1C4D-9004-7F8D4D46A7E1}">
  <sheetPr>
    <pageSetUpPr fitToPage="1"/>
  </sheetPr>
  <dimension ref="A1:J36"/>
  <sheetViews>
    <sheetView topLeftCell="A13" zoomScaleNormal="100" workbookViewId="0">
      <selection activeCell="I31" sqref="I31"/>
    </sheetView>
  </sheetViews>
  <sheetFormatPr baseColWidth="10" defaultColWidth="11.3984375" defaultRowHeight="13"/>
  <cols>
    <col min="1" max="1" width="19.3984375" style="3" customWidth="1"/>
    <col min="2" max="2" width="16.59765625" style="3" customWidth="1"/>
    <col min="3" max="3" width="17.3984375" style="3" customWidth="1"/>
    <col min="4" max="5" width="15.3984375" style="3" customWidth="1"/>
    <col min="6" max="6" width="16.796875" style="3" customWidth="1"/>
    <col min="7" max="7" width="15.59765625" style="3" customWidth="1"/>
    <col min="8" max="16384" width="11.3984375" style="3"/>
  </cols>
  <sheetData>
    <row r="1" spans="1:10" s="2" customFormat="1" ht="14" customHeight="1"/>
    <row r="2" spans="1:10" s="2" customFormat="1" ht="24" customHeight="1">
      <c r="A2" s="139" t="s">
        <v>1651</v>
      </c>
      <c r="G2" s="442"/>
    </row>
    <row r="3" spans="1:10" ht="24" customHeight="1">
      <c r="A3" s="109" t="s">
        <v>241</v>
      </c>
      <c r="B3" s="110" t="s">
        <v>226</v>
      </c>
      <c r="C3" s="111" t="s">
        <v>227</v>
      </c>
      <c r="D3" s="110" t="s">
        <v>228</v>
      </c>
      <c r="E3" s="111" t="s">
        <v>229</v>
      </c>
      <c r="F3" s="110" t="s">
        <v>230</v>
      </c>
      <c r="G3" s="155" t="s">
        <v>256</v>
      </c>
    </row>
    <row r="4" spans="1:10" ht="15" customHeight="1">
      <c r="A4" s="112"/>
      <c r="B4" s="113" t="s">
        <v>231</v>
      </c>
      <c r="C4" s="114" t="s">
        <v>232</v>
      </c>
      <c r="D4" s="113" t="s">
        <v>233</v>
      </c>
      <c r="E4" s="115" t="s">
        <v>234</v>
      </c>
      <c r="F4" s="113"/>
      <c r="G4" s="156" t="s">
        <v>257</v>
      </c>
    </row>
    <row r="5" spans="1:10" ht="15" customHeight="1">
      <c r="A5" s="112"/>
      <c r="B5" s="113" t="s">
        <v>235</v>
      </c>
      <c r="C5" s="114" t="s">
        <v>236</v>
      </c>
      <c r="D5" s="113"/>
      <c r="E5" s="115" t="s">
        <v>237</v>
      </c>
      <c r="F5" s="113"/>
      <c r="G5" s="156" t="s">
        <v>258</v>
      </c>
    </row>
    <row r="6" spans="1:10" ht="24" customHeight="1">
      <c r="A6" s="116"/>
      <c r="B6" s="117"/>
      <c r="C6" s="118"/>
      <c r="D6" s="117"/>
      <c r="E6" s="119" t="s">
        <v>238</v>
      </c>
      <c r="F6" s="117"/>
      <c r="G6" s="157"/>
    </row>
    <row r="7" spans="1:10" ht="1.25" customHeight="1" thickBot="1">
      <c r="A7" s="120">
        <v>1996</v>
      </c>
      <c r="B7" s="121">
        <v>8068.747832</v>
      </c>
      <c r="C7" s="122">
        <v>2578.7974989999998</v>
      </c>
      <c r="D7" s="121">
        <v>25.416930000000001</v>
      </c>
      <c r="E7" s="122">
        <v>107.523248</v>
      </c>
      <c r="F7" s="121">
        <v>10780.485509</v>
      </c>
      <c r="G7" s="158" t="s">
        <v>29</v>
      </c>
    </row>
    <row r="8" spans="1:10" ht="0.75" hidden="1" customHeight="1" thickBot="1">
      <c r="A8" s="123">
        <v>1997</v>
      </c>
      <c r="B8" s="124">
        <v>7130.3436650000003</v>
      </c>
      <c r="C8" s="125">
        <v>3864.390214</v>
      </c>
      <c r="D8" s="124">
        <v>13.596114</v>
      </c>
      <c r="E8" s="125">
        <v>352.16520000000003</v>
      </c>
      <c r="F8" s="124">
        <v>11360.495192</v>
      </c>
      <c r="G8" s="159">
        <v>5.3801814632168828E-2</v>
      </c>
      <c r="H8" s="9"/>
      <c r="I8" s="9"/>
      <c r="J8" s="9"/>
    </row>
    <row r="9" spans="1:10" ht="19.5" hidden="1" customHeight="1" thickBot="1">
      <c r="A9" s="123">
        <v>1998</v>
      </c>
      <c r="B9" s="124">
        <v>7021.0225700000001</v>
      </c>
      <c r="C9" s="125">
        <v>4312.7338319999999</v>
      </c>
      <c r="D9" s="124">
        <v>6.4190870000000002</v>
      </c>
      <c r="E9" s="125">
        <v>586.68436299999996</v>
      </c>
      <c r="F9" s="124">
        <v>11926.859852</v>
      </c>
      <c r="G9" s="159">
        <v>4.9853870841724421E-2</v>
      </c>
    </row>
    <row r="10" spans="1:10" ht="19.75" hidden="1" customHeight="1" thickBot="1">
      <c r="A10" s="123">
        <v>1999</v>
      </c>
      <c r="B10" s="124">
        <v>7777.7143260000003</v>
      </c>
      <c r="C10" s="125">
        <v>3929.1822109999998</v>
      </c>
      <c r="D10" s="124">
        <v>6.4800399999999998</v>
      </c>
      <c r="E10" s="125">
        <v>717.23275599999999</v>
      </c>
      <c r="F10" s="124">
        <v>12430.609334000001</v>
      </c>
      <c r="G10" s="159">
        <v>4.2236555828693498E-2</v>
      </c>
    </row>
    <row r="11" spans="1:10" ht="0.5" hidden="1" customHeight="1" thickBot="1">
      <c r="A11" s="123">
        <v>2000</v>
      </c>
      <c r="B11" s="124">
        <v>8082.7115553000003</v>
      </c>
      <c r="C11" s="125">
        <v>4300.2223146999995</v>
      </c>
      <c r="D11" s="124">
        <v>6.28484658</v>
      </c>
      <c r="E11" s="125">
        <v>801.09118021000006</v>
      </c>
      <c r="F11" s="124">
        <v>13190.30989679</v>
      </c>
      <c r="G11" s="159">
        <v>6.111531159716195E-2</v>
      </c>
    </row>
    <row r="12" spans="1:10" ht="20" hidden="1" customHeight="1" thickBot="1">
      <c r="A12" s="123">
        <v>2001</v>
      </c>
      <c r="B12" s="124">
        <v>8576.2604756000001</v>
      </c>
      <c r="C12" s="125">
        <v>4525.6886304</v>
      </c>
      <c r="D12" s="124">
        <v>7.0934559400000001</v>
      </c>
      <c r="E12" s="125">
        <v>877.22872129999996</v>
      </c>
      <c r="F12" s="124">
        <v>13986.271283239999</v>
      </c>
      <c r="G12" s="159">
        <v>6.0344403784152512E-2</v>
      </c>
    </row>
    <row r="13" spans="1:10" ht="20" customHeight="1" thickBot="1">
      <c r="A13" s="123">
        <v>2002</v>
      </c>
      <c r="B13" s="124">
        <v>8890.6642347999987</v>
      </c>
      <c r="C13" s="125">
        <v>4785.7639721999994</v>
      </c>
      <c r="D13" s="124">
        <v>6.6999405400000001</v>
      </c>
      <c r="E13" s="125">
        <v>909.62889640999992</v>
      </c>
      <c r="F13" s="124">
        <v>14592.757043950001</v>
      </c>
      <c r="G13" s="159">
        <v>4.3362934153634278E-2</v>
      </c>
    </row>
    <row r="14" spans="1:10" ht="20" customHeight="1" thickBot="1">
      <c r="A14" s="123">
        <v>2003</v>
      </c>
      <c r="B14" s="124">
        <v>9320.4810839999991</v>
      </c>
      <c r="C14" s="125">
        <v>5132.6037123000006</v>
      </c>
      <c r="D14" s="124">
        <v>7.0683550799999999</v>
      </c>
      <c r="E14" s="125">
        <v>875.46655299999998</v>
      </c>
      <c r="F14" s="124">
        <v>15335.619704379998</v>
      </c>
      <c r="G14" s="159">
        <v>5.0906258371373338E-2</v>
      </c>
    </row>
    <row r="15" spans="1:10" ht="20" customHeight="1" thickBot="1">
      <c r="A15" s="123">
        <v>2004</v>
      </c>
      <c r="B15" s="124">
        <v>9988.6658920000009</v>
      </c>
      <c r="C15" s="125">
        <v>5289.8342951999994</v>
      </c>
      <c r="D15" s="124">
        <v>7.2944575399999998</v>
      </c>
      <c r="E15" s="125">
        <v>1021.7139006</v>
      </c>
      <c r="F15" s="124">
        <v>16307.508545340002</v>
      </c>
      <c r="G15" s="159">
        <v>6.3374604984656954E-2</v>
      </c>
    </row>
    <row r="16" spans="1:10" ht="20" customHeight="1" thickBot="1">
      <c r="A16" s="123">
        <v>2005</v>
      </c>
      <c r="B16" s="124">
        <v>10948.37887789</v>
      </c>
      <c r="C16" s="125">
        <v>5106.1971250400002</v>
      </c>
      <c r="D16" s="124">
        <v>7.7069186199999997</v>
      </c>
      <c r="E16" s="125">
        <v>1290.43711553</v>
      </c>
      <c r="F16" s="124">
        <v>17352.720037080002</v>
      </c>
      <c r="G16" s="159">
        <v>6.4093879750789812E-2</v>
      </c>
    </row>
    <row r="17" spans="1:7" ht="20" customHeight="1" thickBot="1">
      <c r="A17" s="123">
        <v>2006</v>
      </c>
      <c r="B17" s="124">
        <v>10882.30509285</v>
      </c>
      <c r="C17" s="125">
        <v>4819.3397623999999</v>
      </c>
      <c r="D17" s="124">
        <v>7.6050231300000002</v>
      </c>
      <c r="E17" s="125">
        <v>1854.6657244100002</v>
      </c>
      <c r="F17" s="124">
        <v>17563.915602789999</v>
      </c>
      <c r="G17" s="159">
        <v>1.2170747021717962E-2</v>
      </c>
    </row>
    <row r="18" spans="1:7" ht="20" customHeight="1" thickBot="1">
      <c r="A18" s="123">
        <v>2007</v>
      </c>
      <c r="B18" s="124">
        <v>10974.96309465</v>
      </c>
      <c r="C18" s="125">
        <v>4774.9719946599998</v>
      </c>
      <c r="D18" s="124">
        <v>7.66488031</v>
      </c>
      <c r="E18" s="125">
        <v>2666.0220249899999</v>
      </c>
      <c r="F18" s="124">
        <v>18423.621994609999</v>
      </c>
      <c r="G18" s="159">
        <v>4.8947308291747725E-2</v>
      </c>
    </row>
    <row r="19" spans="1:7" ht="20" customHeight="1" thickBot="1">
      <c r="A19" s="123">
        <v>2008</v>
      </c>
      <c r="B19" s="124">
        <v>11138.471106950001</v>
      </c>
      <c r="C19" s="125">
        <v>4743.4199530100004</v>
      </c>
      <c r="D19" s="124">
        <v>8.7684434000000007</v>
      </c>
      <c r="E19" s="125">
        <v>3540.7977514200002</v>
      </c>
      <c r="F19" s="124">
        <v>19431.457254780002</v>
      </c>
      <c r="G19" s="159">
        <v>5.470342696267072E-2</v>
      </c>
    </row>
    <row r="20" spans="1:7" ht="20" customHeight="1" thickBot="1">
      <c r="A20" s="123">
        <v>2009</v>
      </c>
      <c r="B20" s="124">
        <v>11053.462400930001</v>
      </c>
      <c r="C20" s="125">
        <v>4569.8885413900007</v>
      </c>
      <c r="D20" s="124">
        <v>8.6721991899999988</v>
      </c>
      <c r="E20" s="125">
        <v>4641.8274524099998</v>
      </c>
      <c r="F20" s="124">
        <v>20273.85059392</v>
      </c>
      <c r="G20" s="159">
        <v>4.3352041388083462E-2</v>
      </c>
    </row>
    <row r="21" spans="1:7" ht="20" customHeight="1" thickBot="1">
      <c r="A21" s="123">
        <v>2010</v>
      </c>
      <c r="B21" s="124">
        <v>10500.479477049999</v>
      </c>
      <c r="C21" s="125">
        <v>4179.16763292</v>
      </c>
      <c r="D21" s="124">
        <v>7.3919347100000001</v>
      </c>
      <c r="E21" s="125">
        <v>6196.7078858500008</v>
      </c>
      <c r="F21" s="124">
        <v>20883.74693053</v>
      </c>
      <c r="G21" s="159">
        <v>3.0082905750173694E-2</v>
      </c>
    </row>
    <row r="22" spans="1:7" ht="20" customHeight="1" thickBot="1">
      <c r="A22" s="123">
        <v>2011</v>
      </c>
      <c r="B22" s="124">
        <v>9989.2136328300003</v>
      </c>
      <c r="C22" s="125">
        <v>3809.5485399200002</v>
      </c>
      <c r="D22" s="124">
        <v>7.0775843399999996</v>
      </c>
      <c r="E22" s="125">
        <v>7550.5660808599996</v>
      </c>
      <c r="F22" s="124">
        <v>21356.405837950002</v>
      </c>
      <c r="G22" s="159">
        <v>2.2632859371084502E-2</v>
      </c>
    </row>
    <row r="23" spans="1:7" ht="30" customHeight="1" thickBot="1">
      <c r="A23" s="126">
        <v>2012</v>
      </c>
      <c r="B23" s="127" vm="223">
        <v>9732.7677297289374</v>
      </c>
      <c r="C23" s="128" vm="223">
        <v>3654.07364425689</v>
      </c>
      <c r="D23" s="127" vm="222">
        <v>7.105422459999998</v>
      </c>
      <c r="E23" s="128" vm="222">
        <v>8802.0442917541623</v>
      </c>
      <c r="F23" s="127">
        <v>22195.991088199989</v>
      </c>
      <c r="G23" s="160">
        <v>3.9313040622128259E-2</v>
      </c>
    </row>
    <row r="24" spans="1:7" ht="20" customHeight="1">
      <c r="A24" s="130" t="s">
        <v>396</v>
      </c>
      <c r="B24" s="130"/>
      <c r="C24" s="130"/>
      <c r="D24" s="130"/>
      <c r="E24" s="130"/>
      <c r="F24" s="130"/>
      <c r="G24" s="130"/>
    </row>
    <row r="25" spans="1:7" ht="16.5" customHeight="1">
      <c r="A25" s="131"/>
      <c r="B25" s="131"/>
      <c r="C25" s="131"/>
      <c r="D25" s="131"/>
      <c r="E25" s="131"/>
      <c r="F25" s="131"/>
      <c r="G25" s="131"/>
    </row>
    <row r="26" spans="1:7">
      <c r="A26" s="131" t="s">
        <v>1652</v>
      </c>
    </row>
    <row r="28" spans="1:7">
      <c r="A28" s="947" t="s">
        <v>1653</v>
      </c>
    </row>
    <row r="29" spans="1:7">
      <c r="A29" s="947" t="s">
        <v>1654</v>
      </c>
    </row>
    <row r="30" spans="1:7">
      <c r="A30" s="1116" t="s">
        <v>1629</v>
      </c>
    </row>
    <row r="33" spans="1:6">
      <c r="A33" s="3" t="s">
        <v>395</v>
      </c>
    </row>
    <row r="35" spans="1:6" ht="14">
      <c r="F35" s="1117"/>
    </row>
    <row r="36" spans="1:6" ht="14">
      <c r="F36" s="1118"/>
    </row>
  </sheetData>
  <pageMargins left="0.57999999999999996" right="0.61" top="1.01" bottom="0.49" header="0.57999999999999996" footer="0.4921259845"/>
  <pageSetup paperSize="9" scale="77" orientation="portrait" horizontalDpi="4294967292" verticalDpi="4294967292"/>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F741C-6530-4C40-8009-11479BEFD6A0}">
  <sheetPr>
    <pageSetUpPr fitToPage="1"/>
  </sheetPr>
  <dimension ref="A1:J61"/>
  <sheetViews>
    <sheetView topLeftCell="A26" zoomScaleNormal="100" workbookViewId="0">
      <selection activeCell="J50" sqref="J50"/>
    </sheetView>
  </sheetViews>
  <sheetFormatPr baseColWidth="10" defaultColWidth="11.3984375" defaultRowHeight="13"/>
  <cols>
    <col min="1" max="1" width="24.19921875" style="3" customWidth="1"/>
    <col min="2" max="2" width="17" style="3" customWidth="1"/>
    <col min="3" max="3" width="16.59765625" style="3" customWidth="1"/>
    <col min="4" max="4" width="19.19921875" style="3" customWidth="1"/>
    <col min="5" max="5" width="16.3984375" style="3" customWidth="1"/>
    <col min="6" max="6" width="20" style="3" customWidth="1"/>
    <col min="7" max="7" width="16.3984375" style="3" customWidth="1"/>
    <col min="8" max="8" width="14.19921875" style="3" customWidth="1"/>
    <col min="9" max="10" width="13.3984375" style="3" customWidth="1"/>
    <col min="11" max="16384" width="11.3984375" style="3"/>
  </cols>
  <sheetData>
    <row r="1" spans="1:10" s="2" customFormat="1" ht="14" customHeight="1"/>
    <row r="2" spans="1:10" s="2" customFormat="1" ht="24.5" customHeight="1">
      <c r="A2" s="2054" t="s">
        <v>1655</v>
      </c>
      <c r="B2" s="2055"/>
      <c r="C2" s="2055"/>
      <c r="D2" s="2055"/>
      <c r="E2" s="2055"/>
      <c r="F2" s="2055"/>
      <c r="G2" s="139"/>
    </row>
    <row r="3" spans="1:10" ht="24" customHeight="1">
      <c r="A3" s="109" t="s">
        <v>1621</v>
      </c>
      <c r="B3" s="110" t="s">
        <v>226</v>
      </c>
      <c r="C3" s="111" t="s">
        <v>227</v>
      </c>
      <c r="D3" s="110" t="s">
        <v>228</v>
      </c>
      <c r="E3" s="111" t="s">
        <v>229</v>
      </c>
      <c r="F3" s="110" t="s">
        <v>430</v>
      </c>
      <c r="G3" s="155" t="s">
        <v>256</v>
      </c>
    </row>
    <row r="4" spans="1:10" ht="15" customHeight="1">
      <c r="A4" s="112"/>
      <c r="B4" s="113" t="s">
        <v>231</v>
      </c>
      <c r="C4" s="114" t="s">
        <v>232</v>
      </c>
      <c r="D4" s="113" t="s">
        <v>233</v>
      </c>
      <c r="E4" s="115" t="s">
        <v>234</v>
      </c>
      <c r="F4" s="113"/>
      <c r="G4" s="156" t="s">
        <v>257</v>
      </c>
    </row>
    <row r="5" spans="1:10" ht="15" customHeight="1">
      <c r="A5" s="112"/>
      <c r="B5" s="113" t="s">
        <v>235</v>
      </c>
      <c r="C5" s="114" t="s">
        <v>236</v>
      </c>
      <c r="D5" s="113"/>
      <c r="E5" s="115" t="s">
        <v>237</v>
      </c>
      <c r="F5" s="113"/>
      <c r="G5" s="156" t="s">
        <v>258</v>
      </c>
    </row>
    <row r="6" spans="1:10" ht="24" customHeight="1">
      <c r="A6" s="167" t="s">
        <v>626</v>
      </c>
      <c r="B6" s="117"/>
      <c r="C6" s="118"/>
      <c r="D6" s="117"/>
      <c r="E6" s="119" t="s">
        <v>238</v>
      </c>
      <c r="F6" s="117"/>
      <c r="G6" s="504"/>
    </row>
    <row r="7" spans="1:10" ht="1.25" customHeight="1" thickBot="1">
      <c r="A7" s="120">
        <v>1996</v>
      </c>
      <c r="B7" s="132">
        <v>1693.472957927004</v>
      </c>
      <c r="C7" s="133">
        <v>1112.5875100399426</v>
      </c>
      <c r="D7" s="132">
        <v>908.57038606702895</v>
      </c>
      <c r="E7" s="133">
        <v>879.61661091952851</v>
      </c>
      <c r="F7" s="132">
        <v>1490.5270087783663</v>
      </c>
      <c r="G7" s="158" t="s">
        <v>29</v>
      </c>
    </row>
    <row r="8" spans="1:10" ht="0.75" hidden="1" customHeight="1" thickBot="1">
      <c r="A8" s="123">
        <v>1997</v>
      </c>
      <c r="B8" s="134">
        <v>1740.7565036180117</v>
      </c>
      <c r="C8" s="135">
        <v>1408.0072046657929</v>
      </c>
      <c r="D8" s="134">
        <v>1179.3463740854293</v>
      </c>
      <c r="E8" s="135">
        <v>916.51587762677957</v>
      </c>
      <c r="F8" s="134">
        <v>1569.8943852604398</v>
      </c>
      <c r="G8" s="159">
        <v>5.3247862007628349E-2</v>
      </c>
      <c r="H8" s="9"/>
      <c r="I8" s="9"/>
      <c r="J8" s="9"/>
    </row>
    <row r="9" spans="1:10" ht="19.5" hidden="1" customHeight="1" thickBot="1">
      <c r="A9" s="123">
        <v>1998</v>
      </c>
      <c r="B9" s="134">
        <v>1748.6257046580097</v>
      </c>
      <c r="C9" s="135">
        <v>1582.236200997007</v>
      </c>
      <c r="D9" s="134">
        <v>542.85146212992356</v>
      </c>
      <c r="E9" s="135">
        <v>1187.8496276871122</v>
      </c>
      <c r="F9" s="134">
        <v>1645.8523332821831</v>
      </c>
      <c r="G9" s="159">
        <v>4.8384113437759779E-2</v>
      </c>
    </row>
    <row r="10" spans="1:10" ht="22.25" hidden="1" customHeight="1" thickBot="1">
      <c r="A10" s="123">
        <v>1999</v>
      </c>
      <c r="B10" s="134">
        <v>1943.9724380280036</v>
      </c>
      <c r="C10" s="135">
        <v>1446.076835760324</v>
      </c>
      <c r="D10" s="134">
        <v>631.35948452726836</v>
      </c>
      <c r="E10" s="135">
        <v>1322.850287189882</v>
      </c>
      <c r="F10" s="134">
        <v>1709.7272154599079</v>
      </c>
      <c r="G10" s="159">
        <v>3.880960696537377E-2</v>
      </c>
    </row>
    <row r="11" spans="1:10" ht="22.25" hidden="1" customHeight="1" thickBot="1">
      <c r="A11" s="123">
        <v>2000</v>
      </c>
      <c r="B11" s="134">
        <v>2061.7572370412531</v>
      </c>
      <c r="C11" s="135">
        <v>1559.5200327769257</v>
      </c>
      <c r="D11" s="134">
        <v>640.85618858059308</v>
      </c>
      <c r="E11" s="135">
        <v>1386.9243548352326</v>
      </c>
      <c r="F11" s="134">
        <v>1815.5684428845086</v>
      </c>
      <c r="G11" s="159">
        <v>6.1905329965827281E-2</v>
      </c>
    </row>
    <row r="12" spans="1:10" ht="22.5" hidden="1" customHeight="1" thickBot="1">
      <c r="A12" s="123">
        <v>2001</v>
      </c>
      <c r="B12" s="134">
        <v>2215.2521849633595</v>
      </c>
      <c r="C12" s="135">
        <v>1601.456447034876</v>
      </c>
      <c r="D12" s="134">
        <v>761.4942224833801</v>
      </c>
      <c r="E12" s="135">
        <v>1476.0910392091953</v>
      </c>
      <c r="F12" s="134">
        <v>1915.6520340553755</v>
      </c>
      <c r="G12" s="159">
        <v>5.5125209717711163E-2</v>
      </c>
    </row>
    <row r="13" spans="1:10" ht="22.5" customHeight="1" thickBot="1">
      <c r="A13" s="123">
        <v>2002</v>
      </c>
      <c r="B13" s="134">
        <v>2336.5480943488155</v>
      </c>
      <c r="C13" s="135">
        <v>1608.7398764542932</v>
      </c>
      <c r="D13" s="134">
        <v>759.86194884606937</v>
      </c>
      <c r="E13" s="135">
        <v>1636.2590696884934</v>
      </c>
      <c r="F13" s="134">
        <v>1986.8602053785678</v>
      </c>
      <c r="G13" s="159">
        <v>3.7171767135833575E-2</v>
      </c>
    </row>
    <row r="14" spans="1:10" ht="22.5" customHeight="1" thickBot="1">
      <c r="A14" s="123">
        <v>2003</v>
      </c>
      <c r="B14" s="134">
        <v>2543.8057035018146</v>
      </c>
      <c r="C14" s="135">
        <v>1656.5311093343439</v>
      </c>
      <c r="D14" s="134">
        <v>852.25259235500948</v>
      </c>
      <c r="E14" s="135">
        <v>1454.7088463142236</v>
      </c>
      <c r="F14" s="134">
        <v>2080.1097733239922</v>
      </c>
      <c r="G14" s="159">
        <v>4.6933129816074295E-2</v>
      </c>
    </row>
    <row r="15" spans="1:10" ht="22.5" customHeight="1" thickBot="1">
      <c r="A15" s="123">
        <v>2004</v>
      </c>
      <c r="B15" s="134">
        <v>2758.2074827327442</v>
      </c>
      <c r="C15" s="135">
        <v>1757.4292603708973</v>
      </c>
      <c r="D15" s="134">
        <v>905.21341172647249</v>
      </c>
      <c r="E15" s="135">
        <v>1373.0910592494565</v>
      </c>
      <c r="F15" s="134">
        <v>2208.6199102683881</v>
      </c>
      <c r="G15" s="159">
        <v>6.1780459181747037E-2</v>
      </c>
    </row>
    <row r="16" spans="1:10" ht="22.5" customHeight="1" thickBot="1">
      <c r="A16" s="123">
        <v>2005</v>
      </c>
      <c r="B16" s="134">
        <v>3045.7444736931438</v>
      </c>
      <c r="C16" s="135">
        <v>1742.6322440668202</v>
      </c>
      <c r="D16" s="134">
        <v>1002.5097658133579</v>
      </c>
      <c r="E16" s="135">
        <v>1428.4762573055013</v>
      </c>
      <c r="F16" s="134">
        <v>2333.6518397093009</v>
      </c>
      <c r="G16" s="159">
        <v>5.6610885766088748E-2</v>
      </c>
    </row>
    <row r="17" spans="1:7" ht="22.5" customHeight="1" thickBot="1">
      <c r="A17" s="123">
        <v>2006</v>
      </c>
      <c r="B17" s="134">
        <v>3255.1789461574645</v>
      </c>
      <c r="C17" s="135">
        <v>1735.686558346925</v>
      </c>
      <c r="D17" s="134">
        <v>1057.4282552437587</v>
      </c>
      <c r="E17" s="135">
        <v>1372.2570154496282</v>
      </c>
      <c r="F17" s="134">
        <v>2348.6103301629255</v>
      </c>
      <c r="G17" s="159">
        <v>6.409906653208397E-3</v>
      </c>
    </row>
    <row r="18" spans="1:7" ht="22.5" customHeight="1" thickBot="1">
      <c r="A18" s="123">
        <v>2007</v>
      </c>
      <c r="B18" s="134">
        <v>3503.0279381745177</v>
      </c>
      <c r="C18" s="135">
        <v>1860.6542092302925</v>
      </c>
      <c r="D18" s="134">
        <v>1116.1951590251049</v>
      </c>
      <c r="E18" s="135">
        <v>1455.6986782891856</v>
      </c>
      <c r="F18" s="134">
        <v>2444.2340609903572</v>
      </c>
      <c r="G18" s="159">
        <v>4.071502607280042E-2</v>
      </c>
    </row>
    <row r="19" spans="1:7" ht="22.5" customHeight="1" thickBot="1">
      <c r="A19" s="123">
        <v>2008</v>
      </c>
      <c r="B19" s="134">
        <v>3779.2804890017851</v>
      </c>
      <c r="C19" s="135">
        <v>1995.0917014086594</v>
      </c>
      <c r="D19" s="134">
        <v>1346.7554924819322</v>
      </c>
      <c r="E19" s="135">
        <v>1550.0860006459327</v>
      </c>
      <c r="F19" s="134">
        <v>2551.5464001640853</v>
      </c>
      <c r="G19" s="159">
        <v>4.3904281053283034E-2</v>
      </c>
    </row>
    <row r="20" spans="1:7" ht="22.5" customHeight="1" thickBot="1">
      <c r="A20" s="123">
        <v>2009</v>
      </c>
      <c r="B20" s="134">
        <v>4022.2406746329993</v>
      </c>
      <c r="C20" s="135">
        <v>2093.8863767697767</v>
      </c>
      <c r="D20" s="134">
        <v>1408.5627057694212</v>
      </c>
      <c r="E20" s="135">
        <v>1674.5944131607669</v>
      </c>
      <c r="F20" s="134">
        <v>2629.9453520972111</v>
      </c>
      <c r="G20" s="159">
        <v>3.0726053787649699E-2</v>
      </c>
    </row>
    <row r="21" spans="1:7" ht="22.5" customHeight="1" thickBot="1">
      <c r="A21" s="123">
        <v>2010</v>
      </c>
      <c r="B21" s="134">
        <v>4355.9418749750675</v>
      </c>
      <c r="C21" s="135">
        <v>2365.6789656687006</v>
      </c>
      <c r="D21" s="134">
        <v>1299.9711091531651</v>
      </c>
      <c r="E21" s="135">
        <v>1721.2284164085715</v>
      </c>
      <c r="F21" s="134">
        <v>2684.4029573344997</v>
      </c>
      <c r="G21" s="159">
        <v>2.0706744037043201E-2</v>
      </c>
    </row>
    <row r="22" spans="1:7" ht="22.5" customHeight="1" thickBot="1">
      <c r="A22" s="123">
        <v>2011</v>
      </c>
      <c r="B22" s="134">
        <v>4581.455604693796</v>
      </c>
      <c r="C22" s="135">
        <v>2469.5726932898706</v>
      </c>
      <c r="D22" s="134">
        <v>1343.7160852234513</v>
      </c>
      <c r="E22" s="135">
        <v>1826.3512923944886</v>
      </c>
      <c r="F22" s="134">
        <v>2716.1425185588296</v>
      </c>
      <c r="G22" s="159">
        <v>1.1823694776378124E-2</v>
      </c>
    </row>
    <row r="23" spans="1:7" ht="22.5" customHeight="1" thickBot="1">
      <c r="A23" s="126">
        <v>2012</v>
      </c>
      <c r="B23" s="136">
        <v>4815.298597139511</v>
      </c>
      <c r="C23" s="137">
        <v>2629.0668436364158</v>
      </c>
      <c r="D23" s="136">
        <v>1416.5078899082569</v>
      </c>
      <c r="E23" s="137">
        <v>1939.9618307915507</v>
      </c>
      <c r="F23" s="136">
        <v>2790.7698661682102</v>
      </c>
      <c r="G23" s="512">
        <v>2.7475490368958022E-2</v>
      </c>
    </row>
    <row r="24" spans="1:7" ht="20" customHeight="1">
      <c r="A24" s="130" t="s">
        <v>396</v>
      </c>
      <c r="B24" s="130"/>
      <c r="C24" s="130"/>
      <c r="D24" s="130"/>
      <c r="E24" s="130"/>
      <c r="F24" s="130"/>
      <c r="G24" s="513"/>
    </row>
    <row r="25" spans="1:7">
      <c r="G25" s="514"/>
    </row>
    <row r="26" spans="1:7">
      <c r="A26" s="3" t="s">
        <v>1656</v>
      </c>
      <c r="G26" s="514"/>
    </row>
    <row r="27" spans="1:7">
      <c r="G27" s="514"/>
    </row>
    <row r="28" spans="1:7">
      <c r="G28" s="514"/>
    </row>
    <row r="29" spans="1:7" ht="18">
      <c r="A29" s="515" t="s">
        <v>1623</v>
      </c>
      <c r="G29" s="514"/>
    </row>
    <row r="30" spans="1:7" ht="9.5" customHeight="1">
      <c r="G30" s="514"/>
    </row>
    <row r="31" spans="1:7" ht="18" customHeight="1">
      <c r="A31" s="109" t="s">
        <v>241</v>
      </c>
      <c r="B31" s="110" t="s">
        <v>427</v>
      </c>
      <c r="C31" s="155" t="s">
        <v>256</v>
      </c>
      <c r="D31" s="110" t="s">
        <v>428</v>
      </c>
      <c r="E31" s="155" t="s">
        <v>256</v>
      </c>
      <c r="F31" s="110" t="s">
        <v>629</v>
      </c>
      <c r="G31" s="155" t="s">
        <v>256</v>
      </c>
    </row>
    <row r="32" spans="1:7" ht="18" customHeight="1">
      <c r="A32" s="517"/>
      <c r="B32" s="113" t="s">
        <v>431</v>
      </c>
      <c r="C32" s="156" t="s">
        <v>257</v>
      </c>
      <c r="D32" s="113" t="s">
        <v>432</v>
      </c>
      <c r="E32" s="156" t="s">
        <v>257</v>
      </c>
      <c r="F32" s="113" t="s">
        <v>630</v>
      </c>
      <c r="G32" s="156" t="s">
        <v>257</v>
      </c>
    </row>
    <row r="33" spans="1:7" ht="18" customHeight="1">
      <c r="A33" s="112"/>
      <c r="B33" s="113"/>
      <c r="C33" s="518" t="s">
        <v>258</v>
      </c>
      <c r="D33" s="113"/>
      <c r="E33" s="518" t="s">
        <v>258</v>
      </c>
      <c r="F33" s="113"/>
      <c r="G33" s="518" t="s">
        <v>258</v>
      </c>
    </row>
    <row r="34" spans="1:7" ht="18" customHeight="1">
      <c r="A34" s="116"/>
      <c r="B34" s="117"/>
      <c r="C34" s="118"/>
      <c r="D34" s="117"/>
      <c r="E34" s="119"/>
      <c r="F34" s="117"/>
      <c r="G34" s="403"/>
    </row>
    <row r="35" spans="1:7" ht="1.5" customHeight="1" thickBot="1">
      <c r="A35" s="120">
        <v>1996</v>
      </c>
      <c r="B35" s="132" t="s">
        <v>29</v>
      </c>
      <c r="C35" s="519" t="s">
        <v>29</v>
      </c>
      <c r="D35" s="132" t="s">
        <v>29</v>
      </c>
      <c r="E35" s="519" t="s">
        <v>29</v>
      </c>
      <c r="F35" s="132" t="s">
        <v>29</v>
      </c>
      <c r="G35" s="158" t="s">
        <v>29</v>
      </c>
    </row>
    <row r="36" spans="1:7" ht="0.75" hidden="1" customHeight="1" thickBot="1">
      <c r="A36" s="123">
        <v>1997</v>
      </c>
      <c r="B36" s="134">
        <v>516.05999999999995</v>
      </c>
      <c r="C36" s="159" t="s">
        <v>29</v>
      </c>
      <c r="D36" s="134">
        <v>711.18</v>
      </c>
      <c r="E36" s="159" t="s">
        <v>29</v>
      </c>
      <c r="F36" s="134">
        <v>1971.55</v>
      </c>
      <c r="G36" s="159" t="s">
        <v>29</v>
      </c>
    </row>
    <row r="37" spans="1:7" ht="18" hidden="1" customHeight="1" thickBot="1">
      <c r="A37" s="123">
        <v>1998</v>
      </c>
      <c r="B37" s="134">
        <v>553.5</v>
      </c>
      <c r="C37" s="159">
        <v>7.2549703522846398E-2</v>
      </c>
      <c r="D37" s="134">
        <v>719.91</v>
      </c>
      <c r="E37" s="159">
        <v>1.2275373323209271E-2</v>
      </c>
      <c r="F37" s="134">
        <v>2088.35</v>
      </c>
      <c r="G37" s="159">
        <v>5.9242727802997663E-2</v>
      </c>
    </row>
    <row r="38" spans="1:7" ht="21.5" hidden="1" customHeight="1" thickBot="1">
      <c r="A38" s="123">
        <v>1999</v>
      </c>
      <c r="B38" s="134">
        <v>567.59</v>
      </c>
      <c r="C38" s="159">
        <v>2.5456187895212423E-2</v>
      </c>
      <c r="D38" s="134">
        <v>736.92</v>
      </c>
      <c r="E38" s="159">
        <v>2.3627953494186782E-2</v>
      </c>
      <c r="F38" s="134">
        <v>2180.6999999999998</v>
      </c>
      <c r="G38" s="159">
        <v>4.4221514592860389E-2</v>
      </c>
    </row>
    <row r="39" spans="1:7" ht="0.5" customHeight="1" thickBot="1">
      <c r="A39" s="123">
        <v>2000</v>
      </c>
      <c r="B39" s="134">
        <v>598.9</v>
      </c>
      <c r="C39" s="159">
        <v>5.5163057841047136E-2</v>
      </c>
      <c r="D39" s="134">
        <v>785.84</v>
      </c>
      <c r="E39" s="159">
        <v>6.6384410790859327E-2</v>
      </c>
      <c r="F39" s="134">
        <v>2342.63</v>
      </c>
      <c r="G39" s="159">
        <v>7.4255972852753871E-2</v>
      </c>
    </row>
    <row r="40" spans="1:7" ht="21.75" hidden="1" customHeight="1" thickBot="1">
      <c r="A40" s="123">
        <v>2001</v>
      </c>
      <c r="B40" s="134">
        <v>627.54</v>
      </c>
      <c r="C40" s="159">
        <v>4.7821005176156284E-2</v>
      </c>
      <c r="D40" s="134">
        <v>819.13</v>
      </c>
      <c r="E40" s="159">
        <v>4.2362312939020708E-2</v>
      </c>
      <c r="F40" s="134">
        <v>2469.7199999999998</v>
      </c>
      <c r="G40" s="159">
        <v>5.4250991407093663E-2</v>
      </c>
    </row>
    <row r="41" spans="1:7" ht="21.75" customHeight="1" thickBot="1">
      <c r="A41" s="123">
        <v>2002</v>
      </c>
      <c r="B41" s="1994">
        <v>640.73</v>
      </c>
      <c r="C41" s="2010">
        <v>2.1018580488893157E-2</v>
      </c>
      <c r="D41" s="1994">
        <v>830.8</v>
      </c>
      <c r="E41" s="2010">
        <v>1.4246822848632101E-2</v>
      </c>
      <c r="F41" s="1994">
        <v>2555.94</v>
      </c>
      <c r="G41" s="2010">
        <v>3.4910840095233597E-2</v>
      </c>
    </row>
    <row r="42" spans="1:7" ht="21.75" customHeight="1" thickBot="1">
      <c r="A42" s="123">
        <v>2003</v>
      </c>
      <c r="B42" s="1994">
        <v>664.49</v>
      </c>
      <c r="C42" s="2010">
        <v>3.7082702542412527E-2</v>
      </c>
      <c r="D42" s="1994">
        <v>853.63</v>
      </c>
      <c r="E42" s="2010">
        <v>2.7479537794896647E-2</v>
      </c>
      <c r="F42" s="1994">
        <v>2671.32</v>
      </c>
      <c r="G42" s="2010">
        <v>4.5141904739547822E-2</v>
      </c>
    </row>
    <row r="43" spans="1:7" ht="21.75" customHeight="1" thickBot="1">
      <c r="A43" s="123">
        <v>2004</v>
      </c>
      <c r="B43" s="1994">
        <v>701.49</v>
      </c>
      <c r="C43" s="2010">
        <v>5.5681801080528004E-2</v>
      </c>
      <c r="D43" s="1994">
        <v>875.13</v>
      </c>
      <c r="E43" s="2010">
        <v>2.5186556236308499E-2</v>
      </c>
      <c r="F43" s="1994">
        <v>2808.86</v>
      </c>
      <c r="G43" s="2010">
        <v>5.1487654043693709E-2</v>
      </c>
    </row>
    <row r="44" spans="1:7" ht="21.75" customHeight="1" thickBot="1">
      <c r="A44" s="123">
        <v>2005</v>
      </c>
      <c r="B44" s="1994">
        <v>753.97</v>
      </c>
      <c r="C44" s="2010">
        <v>7.4812185490883643E-2</v>
      </c>
      <c r="D44" s="1994">
        <v>895.43</v>
      </c>
      <c r="E44" s="2010">
        <v>2.3196553654885488E-2</v>
      </c>
      <c r="F44" s="1994">
        <v>2958.62</v>
      </c>
      <c r="G44" s="2010">
        <v>5.3317004051465666E-2</v>
      </c>
    </row>
    <row r="45" spans="1:7" ht="21.75" customHeight="1" thickBot="1">
      <c r="A45" s="123">
        <v>2006</v>
      </c>
      <c r="B45" s="1994">
        <v>762.7</v>
      </c>
      <c r="C45" s="2010">
        <v>1.1578710028250505E-2</v>
      </c>
      <c r="D45" s="1994">
        <v>867.56</v>
      </c>
      <c r="E45" s="2010">
        <v>-3.1124711032688213E-2</v>
      </c>
      <c r="F45" s="1994">
        <v>2975.82</v>
      </c>
      <c r="G45" s="2010">
        <v>5.8135211686529686E-3</v>
      </c>
    </row>
    <row r="46" spans="1:7" ht="21.75" customHeight="1" thickBot="1">
      <c r="A46" s="123">
        <v>2007</v>
      </c>
      <c r="B46" s="1994">
        <v>809.38</v>
      </c>
      <c r="C46" s="2010">
        <v>6.1203618722957875E-2</v>
      </c>
      <c r="D46" s="1994">
        <v>881.58</v>
      </c>
      <c r="E46" s="2010">
        <v>1.6160265572410015E-2</v>
      </c>
      <c r="F46" s="1994">
        <v>3081.72</v>
      </c>
      <c r="G46" s="2010">
        <v>3.5586829848579526E-2</v>
      </c>
    </row>
    <row r="47" spans="1:7" ht="21.75" customHeight="1" thickBot="1">
      <c r="A47" s="123">
        <v>2008</v>
      </c>
      <c r="B47" s="1994">
        <v>835.51</v>
      </c>
      <c r="C47" s="2010">
        <v>3.2283970446514543E-2</v>
      </c>
      <c r="D47" s="1994">
        <v>915.3</v>
      </c>
      <c r="E47" s="2010">
        <v>3.8249506567753278E-2</v>
      </c>
      <c r="F47" s="1994">
        <v>3203.6</v>
      </c>
      <c r="G47" s="2010">
        <v>3.9549342574925817E-2</v>
      </c>
    </row>
    <row r="48" spans="1:7" ht="21.75" customHeight="1" thickBot="1">
      <c r="A48" s="123">
        <v>2009</v>
      </c>
      <c r="B48" s="134">
        <v>865.61555000898773</v>
      </c>
      <c r="C48" s="2010">
        <v>3.603254300844716E-2</v>
      </c>
      <c r="D48" s="134">
        <v>949.75755898656007</v>
      </c>
      <c r="E48" s="2010">
        <v>3.7646191397967987E-2</v>
      </c>
      <c r="F48" s="134">
        <v>3306.4958915508864</v>
      </c>
      <c r="G48" s="2010">
        <v>3.2118832423176036E-2</v>
      </c>
    </row>
    <row r="49" spans="1:7" ht="21.75" customHeight="1" thickBot="1">
      <c r="A49" s="123">
        <v>2010</v>
      </c>
      <c r="B49" s="134">
        <v>868.29367891662014</v>
      </c>
      <c r="C49" s="159">
        <v>3.0939011061026367E-3</v>
      </c>
      <c r="D49" s="134">
        <v>1007.5237667050255</v>
      </c>
      <c r="E49" s="159">
        <v>6.0822056294139948E-2</v>
      </c>
      <c r="F49" s="134">
        <v>3366.6352662663126</v>
      </c>
      <c r="G49" s="159">
        <v>1.8188250246764515E-2</v>
      </c>
    </row>
    <row r="50" spans="1:7" ht="21.75" customHeight="1" thickBot="1">
      <c r="A50" s="123">
        <v>2011</v>
      </c>
      <c r="B50" s="134">
        <v>888.07828191465956</v>
      </c>
      <c r="C50" s="159">
        <v>2.2785612147637524E-2</v>
      </c>
      <c r="D50" s="134">
        <v>968.30193982533649</v>
      </c>
      <c r="E50" s="159">
        <v>-3.8928934657252667E-2</v>
      </c>
      <c r="F50" s="134">
        <v>3403.1378773997608</v>
      </c>
      <c r="G50" s="159">
        <v>1.084246086863172E-2</v>
      </c>
    </row>
    <row r="51" spans="1:7" ht="24.5" customHeight="1" thickBot="1">
      <c r="A51" s="520">
        <v>2012</v>
      </c>
      <c r="B51" s="353">
        <v>931.31378309197351</v>
      </c>
      <c r="C51" s="512">
        <v>4.8684335669261003E-2</v>
      </c>
      <c r="D51" s="353">
        <v>1025.5098035210483</v>
      </c>
      <c r="E51" s="512">
        <v>5.908060424420003E-2</v>
      </c>
      <c r="F51" s="353">
        <v>3480.935299527302</v>
      </c>
      <c r="G51" s="512">
        <v>2.2860496674023789E-2</v>
      </c>
    </row>
    <row r="52" spans="1:7" ht="15" customHeight="1">
      <c r="A52" s="130" t="s">
        <v>396</v>
      </c>
    </row>
    <row r="54" spans="1:7">
      <c r="A54" s="131" t="s">
        <v>2582</v>
      </c>
    </row>
    <row r="56" spans="1:7">
      <c r="A56" s="131" t="s">
        <v>1652</v>
      </c>
    </row>
    <row r="57" spans="1:7">
      <c r="A57" s="3" t="s">
        <v>1657</v>
      </c>
    </row>
    <row r="58" spans="1:7">
      <c r="A58" s="3" t="s">
        <v>1658</v>
      </c>
    </row>
    <row r="61" spans="1:7">
      <c r="A61" s="3" t="s">
        <v>395</v>
      </c>
    </row>
  </sheetData>
  <mergeCells count="1">
    <mergeCell ref="A2:F2"/>
  </mergeCells>
  <pageMargins left="0.37" right="0.31" top="0.47244094488188981" bottom="0.47244094488188981" header="0.35433070866141736" footer="0.51181102362204722"/>
  <pageSetup paperSize="9" scale="68" orientation="portrait" horizontalDpi="1200" verticalDpi="12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B32DA-38FD-1B47-8EA2-9BBACF587B54}">
  <sheetPr>
    <pageSetUpPr fitToPage="1"/>
  </sheetPr>
  <dimension ref="A1:I19"/>
  <sheetViews>
    <sheetView zoomScaleNormal="100" workbookViewId="0">
      <selection activeCell="B14" sqref="B14"/>
    </sheetView>
  </sheetViews>
  <sheetFormatPr baseColWidth="10" defaultColWidth="11.3984375" defaultRowHeight="13"/>
  <cols>
    <col min="1" max="1" width="32.3984375" style="3" customWidth="1"/>
    <col min="2" max="2" width="16.3984375" style="3" customWidth="1"/>
    <col min="3" max="3" width="17.3984375" style="3" customWidth="1"/>
    <col min="4" max="4" width="17.19921875" style="3" customWidth="1"/>
    <col min="5" max="5" width="18.19921875" style="3" customWidth="1"/>
    <col min="6" max="6" width="13.3984375" style="3" customWidth="1"/>
    <col min="7" max="7" width="15.3984375" style="3" customWidth="1"/>
    <col min="8" max="8" width="11.3984375" style="3"/>
    <col min="9" max="9" width="15.796875" style="3" hidden="1" customWidth="1"/>
    <col min="10" max="16384" width="11.3984375" style="3"/>
  </cols>
  <sheetData>
    <row r="1" spans="1:9" ht="14" customHeight="1">
      <c r="A1" s="277"/>
      <c r="B1" s="131"/>
      <c r="C1" s="131"/>
      <c r="D1" s="131"/>
      <c r="E1" s="131"/>
      <c r="F1" s="131"/>
      <c r="G1" s="131"/>
      <c r="I1" s="131"/>
    </row>
    <row r="2" spans="1:9" ht="24" customHeight="1">
      <c r="A2" s="222" t="s">
        <v>1659</v>
      </c>
      <c r="B2" s="328"/>
      <c r="C2" s="328"/>
      <c r="D2" s="328"/>
      <c r="E2" s="328"/>
      <c r="F2" s="328"/>
      <c r="G2" s="442">
        <v>2012</v>
      </c>
      <c r="I2" s="131"/>
    </row>
    <row r="3" spans="1:9" ht="24" customHeight="1">
      <c r="A3" s="109" t="s">
        <v>577</v>
      </c>
      <c r="B3" s="110" t="s">
        <v>482</v>
      </c>
      <c r="C3" s="111" t="s">
        <v>483</v>
      </c>
      <c r="D3" s="110" t="s">
        <v>427</v>
      </c>
      <c r="E3" s="111" t="s">
        <v>230</v>
      </c>
      <c r="F3" s="110" t="s">
        <v>484</v>
      </c>
      <c r="G3" s="155" t="s">
        <v>256</v>
      </c>
      <c r="I3" s="111" t="s">
        <v>230</v>
      </c>
    </row>
    <row r="4" spans="1:9" ht="15" customHeight="1">
      <c r="A4" s="112"/>
      <c r="B4" s="113"/>
      <c r="C4" s="114"/>
      <c r="D4" s="113"/>
      <c r="E4" s="115"/>
      <c r="F4" s="113" t="s">
        <v>485</v>
      </c>
      <c r="G4" s="156" t="s">
        <v>257</v>
      </c>
      <c r="I4" s="115">
        <v>1999</v>
      </c>
    </row>
    <row r="5" spans="1:9" ht="15" customHeight="1">
      <c r="A5" s="156"/>
      <c r="B5" s="113"/>
      <c r="C5" s="114"/>
      <c r="D5" s="113"/>
      <c r="E5" s="114"/>
      <c r="F5" s="113" t="s">
        <v>486</v>
      </c>
      <c r="G5" s="156" t="s">
        <v>258</v>
      </c>
      <c r="I5" s="114"/>
    </row>
    <row r="6" spans="1:9" ht="24" customHeight="1">
      <c r="A6" s="168"/>
      <c r="B6" s="443"/>
      <c r="C6" s="444"/>
      <c r="D6" s="443"/>
      <c r="E6" s="444"/>
      <c r="F6" s="117"/>
      <c r="G6" s="157"/>
      <c r="I6" s="444"/>
    </row>
    <row r="7" spans="1:9" ht="36" customHeight="1" thickBot="1">
      <c r="A7" s="445" t="s">
        <v>580</v>
      </c>
      <c r="B7" s="339">
        <v>4113985329.02</v>
      </c>
      <c r="C7" s="340">
        <v>5930598712.5500002</v>
      </c>
      <c r="D7" s="339">
        <v>649631843.64999998</v>
      </c>
      <c r="E7" s="340">
        <v>10694215885.219999</v>
      </c>
      <c r="F7" s="560">
        <v>0.41288450743606453</v>
      </c>
      <c r="G7" s="158">
        <v>-2.7420974864803653E-2</v>
      </c>
      <c r="I7" s="450">
        <v>6794064715</v>
      </c>
    </row>
    <row r="8" spans="1:9" ht="31.5" customHeight="1" thickBot="1">
      <c r="A8" s="445" t="s">
        <v>581</v>
      </c>
      <c r="B8" s="339">
        <v>1983971772.1900001</v>
      </c>
      <c r="C8" s="340">
        <v>2483481913.4699998</v>
      </c>
      <c r="D8" s="339">
        <v>49610990.439999998</v>
      </c>
      <c r="E8" s="340">
        <v>4517064676.0999994</v>
      </c>
      <c r="F8" s="560">
        <v>0.1743957709350121</v>
      </c>
      <c r="G8" s="158">
        <v>-4.4202338751728777E-2</v>
      </c>
      <c r="I8" s="450">
        <v>5396193285</v>
      </c>
    </row>
    <row r="9" spans="1:9" ht="33" customHeight="1" thickBot="1">
      <c r="A9" s="445" t="s">
        <v>582</v>
      </c>
      <c r="B9" s="339">
        <v>4945708.12</v>
      </c>
      <c r="C9" s="340">
        <v>3338693.96</v>
      </c>
      <c r="D9" s="339">
        <v>24152.400000000001</v>
      </c>
      <c r="E9" s="340">
        <v>8308554.4800000004</v>
      </c>
      <c r="F9" s="560">
        <v>3.2077839654626872E-4</v>
      </c>
      <c r="G9" s="158">
        <v>1.5361246630511871E-3</v>
      </c>
      <c r="I9" s="450">
        <v>15330070</v>
      </c>
    </row>
    <row r="10" spans="1:9" ht="34.5" customHeight="1" thickBot="1">
      <c r="A10" s="445" t="s">
        <v>583</v>
      </c>
      <c r="B10" s="339">
        <v>4041381458.9000001</v>
      </c>
      <c r="C10" s="340">
        <v>5790487372.8400002</v>
      </c>
      <c r="D10" s="339">
        <v>849770344.12</v>
      </c>
      <c r="E10" s="340">
        <v>10681639175.860001</v>
      </c>
      <c r="F10" s="560">
        <v>0.41239894322967457</v>
      </c>
      <c r="G10" s="158">
        <v>0.16085575753268108</v>
      </c>
      <c r="I10" s="450">
        <v>828254703</v>
      </c>
    </row>
    <row r="11" spans="1:9" s="266" customFormat="1" ht="38.25" customHeight="1" thickBot="1">
      <c r="A11" s="451" t="s">
        <v>230</v>
      </c>
      <c r="B11" s="452">
        <v>10144284268.24</v>
      </c>
      <c r="C11" s="453">
        <v>14207906692.860001</v>
      </c>
      <c r="D11" s="452">
        <v>1549037330.6300001</v>
      </c>
      <c r="E11" s="453">
        <v>25901228291.73</v>
      </c>
      <c r="F11" s="1119">
        <v>1</v>
      </c>
      <c r="G11" s="455">
        <v>3.8895285230686909E-2</v>
      </c>
      <c r="I11" s="456">
        <v>13033842773</v>
      </c>
    </row>
    <row r="12" spans="1:9" ht="19.5" customHeight="1">
      <c r="A12" s="130" t="s">
        <v>396</v>
      </c>
      <c r="B12" s="130"/>
      <c r="C12" s="130"/>
      <c r="D12" s="130"/>
      <c r="E12" s="130"/>
      <c r="F12" s="130"/>
      <c r="G12" s="130"/>
      <c r="I12" s="130"/>
    </row>
    <row r="14" spans="1:9">
      <c r="A14" s="3" t="s">
        <v>1660</v>
      </c>
    </row>
    <row r="16" spans="1:9">
      <c r="A16" s="131" t="s">
        <v>473</v>
      </c>
    </row>
    <row r="19" spans="1:1">
      <c r="A19" s="3" t="s">
        <v>395</v>
      </c>
    </row>
  </sheetData>
  <pageMargins left="0.59055118110236227" right="0.62992125984251968" top="1.0236220472440944" bottom="0.47244094488188981" header="0.59055118110236227" footer="0.51181102362204722"/>
  <pageSetup paperSize="9" scale="70" orientation="portrait" horizontalDpi="4294967292" verticalDpi="4294967292"/>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D3F9-752E-A648-92AA-04312BE8BBEE}">
  <sheetPr>
    <pageSetUpPr fitToPage="1"/>
  </sheetPr>
  <dimension ref="A1:G52"/>
  <sheetViews>
    <sheetView topLeftCell="A16" zoomScaleNormal="100" workbookViewId="0">
      <selection activeCell="A19" sqref="A19"/>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72"/>
      <c r="B1" s="272"/>
      <c r="C1" s="272"/>
      <c r="D1" s="272"/>
      <c r="E1" s="272"/>
      <c r="F1" s="272"/>
    </row>
    <row r="2" spans="1:7" s="2" customFormat="1" ht="20.25" customHeight="1">
      <c r="A2" s="396" t="s">
        <v>1661</v>
      </c>
      <c r="B2" s="396"/>
      <c r="C2" s="272"/>
      <c r="D2" s="272"/>
      <c r="E2" s="272"/>
      <c r="F2" s="460">
        <v>2012</v>
      </c>
      <c r="G2" s="460"/>
    </row>
    <row r="3" spans="1:7" s="2" customFormat="1" ht="6" customHeight="1">
      <c r="A3" s="461"/>
      <c r="B3" s="461"/>
      <c r="C3" s="462"/>
      <c r="D3" s="462"/>
      <c r="E3" s="462"/>
      <c r="F3" s="462"/>
      <c r="G3" s="277"/>
    </row>
    <row r="4" spans="1:7" s="2" customFormat="1" ht="81.75" customHeight="1">
      <c r="A4" s="463" t="s">
        <v>589</v>
      </c>
      <c r="B4" s="464"/>
      <c r="C4" s="1120" t="s">
        <v>590</v>
      </c>
      <c r="D4" s="467" t="s">
        <v>591</v>
      </c>
      <c r="E4" s="1120" t="s">
        <v>592</v>
      </c>
      <c r="F4" s="467" t="s">
        <v>430</v>
      </c>
    </row>
    <row r="5" spans="1:7" ht="8.25" customHeight="1">
      <c r="A5" s="468"/>
      <c r="B5" s="469"/>
      <c r="C5" s="444"/>
      <c r="D5" s="443"/>
      <c r="E5" s="444"/>
      <c r="F5" s="443"/>
    </row>
    <row r="6" spans="1:7" ht="47.25" customHeight="1" thickBot="1">
      <c r="A6" s="470" t="s">
        <v>593</v>
      </c>
      <c r="B6" s="471" t="s">
        <v>594</v>
      </c>
      <c r="C6" s="472">
        <v>90.49962716534499</v>
      </c>
      <c r="D6" s="473">
        <v>349.29802110443387</v>
      </c>
      <c r="E6" s="472">
        <v>649.22065430496809</v>
      </c>
      <c r="F6" s="473">
        <v>476.13093952499298</v>
      </c>
    </row>
    <row r="7" spans="1:7" ht="19.5" customHeight="1" thickBot="1">
      <c r="A7" s="174"/>
      <c r="B7" s="474"/>
      <c r="C7" s="475"/>
      <c r="D7" s="476"/>
      <c r="E7" s="475"/>
      <c r="F7" s="476"/>
    </row>
    <row r="8" spans="1:7" ht="21" customHeight="1" thickBot="1">
      <c r="A8" s="477" t="s">
        <v>595</v>
      </c>
      <c r="B8" s="478" t="s">
        <v>596</v>
      </c>
      <c r="C8" s="475">
        <v>166.69154800528719</v>
      </c>
      <c r="D8" s="476">
        <v>413.41509705597031</v>
      </c>
      <c r="E8" s="475">
        <v>712.33701354350819</v>
      </c>
      <c r="F8" s="476">
        <v>703.56779691294298</v>
      </c>
    </row>
    <row r="9" spans="1:7" ht="20" customHeight="1" thickBot="1">
      <c r="A9" s="479" t="s">
        <v>597</v>
      </c>
      <c r="B9" s="478" t="s">
        <v>598</v>
      </c>
      <c r="C9" s="475">
        <v>220.42674082453084</v>
      </c>
      <c r="D9" s="476">
        <v>432.06566523660592</v>
      </c>
      <c r="E9" s="475">
        <v>681.60973043671731</v>
      </c>
      <c r="F9" s="476">
        <v>598.48230076680829</v>
      </c>
    </row>
    <row r="10" spans="1:7" ht="20" customHeight="1" thickBot="1">
      <c r="A10" s="479" t="s">
        <v>599</v>
      </c>
      <c r="B10" s="478" t="s">
        <v>600</v>
      </c>
      <c r="C10" s="475">
        <v>240.89244241115401</v>
      </c>
      <c r="D10" s="476">
        <v>406.26977103768508</v>
      </c>
      <c r="E10" s="475">
        <v>634.95347913094747</v>
      </c>
      <c r="F10" s="476">
        <v>610.14853457842787</v>
      </c>
    </row>
    <row r="11" spans="1:7" ht="20" customHeight="1" thickBot="1">
      <c r="A11" s="479"/>
      <c r="B11" s="478" t="s">
        <v>601</v>
      </c>
      <c r="C11" s="475">
        <v>248.17776426080403</v>
      </c>
      <c r="D11" s="476">
        <v>384.30448917787476</v>
      </c>
      <c r="E11" s="475">
        <v>562.29008748940896</v>
      </c>
      <c r="F11" s="476">
        <v>479.70585250101175</v>
      </c>
    </row>
    <row r="12" spans="1:7" ht="20" customHeight="1" thickBot="1">
      <c r="A12" s="479"/>
      <c r="B12" s="478" t="s">
        <v>602</v>
      </c>
      <c r="C12" s="475">
        <v>256.41663618882649</v>
      </c>
      <c r="D12" s="476">
        <v>448.9947539085008</v>
      </c>
      <c r="E12" s="475">
        <v>551.10708997871996</v>
      </c>
      <c r="F12" s="476">
        <v>534.41145543675032</v>
      </c>
    </row>
    <row r="13" spans="1:7" ht="20" customHeight="1" thickBot="1">
      <c r="A13" s="479"/>
      <c r="B13" s="478" t="s">
        <v>603</v>
      </c>
      <c r="C13" s="475">
        <v>247.52938900099858</v>
      </c>
      <c r="D13" s="480" t="s">
        <v>29</v>
      </c>
      <c r="E13" s="481" t="s">
        <v>29</v>
      </c>
      <c r="F13" s="476">
        <v>247.52938900099858</v>
      </c>
    </row>
    <row r="14" spans="1:7" ht="20" customHeight="1" thickBot="1">
      <c r="A14" s="482"/>
      <c r="B14" s="478" t="s">
        <v>230</v>
      </c>
      <c r="C14" s="475">
        <v>237.02133802507302</v>
      </c>
      <c r="D14" s="476">
        <v>426.55022890299745</v>
      </c>
      <c r="E14" s="475">
        <v>649.68885618777347</v>
      </c>
      <c r="F14" s="476">
        <v>620.94082593533938</v>
      </c>
    </row>
    <row r="15" spans="1:7" ht="18.75" customHeight="1" thickBot="1">
      <c r="A15" s="483"/>
      <c r="B15" s="484"/>
      <c r="C15" s="475"/>
      <c r="D15" s="476"/>
      <c r="E15" s="475"/>
      <c r="F15" s="476"/>
    </row>
    <row r="16" spans="1:7" ht="20" customHeight="1" thickBot="1">
      <c r="A16" s="483" t="s">
        <v>582</v>
      </c>
      <c r="B16" s="484"/>
      <c r="C16" s="475">
        <v>233.33260869565217</v>
      </c>
      <c r="D16" s="476">
        <v>218.92594931712321</v>
      </c>
      <c r="E16" s="475">
        <v>241.16084435060944</v>
      </c>
      <c r="F16" s="476">
        <v>240.56320702034301</v>
      </c>
    </row>
    <row r="17" spans="1:6" ht="20.25" customHeight="1" thickBot="1">
      <c r="A17" s="483"/>
      <c r="B17" s="484"/>
      <c r="C17" s="475"/>
      <c r="D17" s="476"/>
      <c r="E17" s="475"/>
      <c r="F17" s="476"/>
    </row>
    <row r="18" spans="1:6" ht="58.5" customHeight="1" thickBot="1">
      <c r="A18" s="477" t="s">
        <v>693</v>
      </c>
      <c r="B18" s="478" t="s">
        <v>594</v>
      </c>
      <c r="C18" s="475">
        <v>78.904637092801465</v>
      </c>
      <c r="D18" s="476">
        <v>330.52111708295109</v>
      </c>
      <c r="E18" s="475">
        <v>559.40010468421985</v>
      </c>
      <c r="F18" s="476">
        <v>357.98101980952691</v>
      </c>
    </row>
    <row r="19" spans="1:6" ht="20" customHeight="1" thickBot="1">
      <c r="A19" s="322"/>
      <c r="B19" s="478" t="s">
        <v>596</v>
      </c>
      <c r="C19" s="475">
        <v>157.9111535089981</v>
      </c>
      <c r="D19" s="476">
        <v>386.70444618223155</v>
      </c>
      <c r="E19" s="475">
        <v>588.71563348076995</v>
      </c>
      <c r="F19" s="476">
        <v>571.03231337195575</v>
      </c>
    </row>
    <row r="20" spans="1:6" ht="20" customHeight="1" thickBot="1">
      <c r="A20" s="322"/>
      <c r="B20" s="478" t="s">
        <v>598</v>
      </c>
      <c r="C20" s="475">
        <v>189.34240762594689</v>
      </c>
      <c r="D20" s="476">
        <v>377.78412704152134</v>
      </c>
      <c r="E20" s="475">
        <v>548.86862438821413</v>
      </c>
      <c r="F20" s="476">
        <v>502.45987440554217</v>
      </c>
    </row>
    <row r="21" spans="1:6" ht="20" customHeight="1" thickBot="1">
      <c r="A21" s="322"/>
      <c r="B21" s="478" t="s">
        <v>600</v>
      </c>
      <c r="C21" s="475">
        <v>194.13384478049903</v>
      </c>
      <c r="D21" s="476">
        <v>360.19164990952834</v>
      </c>
      <c r="E21" s="475">
        <v>508.85378125883091</v>
      </c>
      <c r="F21" s="476">
        <v>482.35029865165097</v>
      </c>
    </row>
    <row r="22" spans="1:6" ht="20" customHeight="1" thickBot="1">
      <c r="A22" s="322"/>
      <c r="B22" s="478" t="s">
        <v>601</v>
      </c>
      <c r="C22" s="475">
        <v>202.7383567672081</v>
      </c>
      <c r="D22" s="476">
        <v>337.20726552765029</v>
      </c>
      <c r="E22" s="475">
        <v>446.58862737123184</v>
      </c>
      <c r="F22" s="476">
        <v>409.06372449210465</v>
      </c>
    </row>
    <row r="23" spans="1:6" ht="20" customHeight="1" thickBot="1">
      <c r="A23" s="322"/>
      <c r="B23" s="478" t="s">
        <v>602</v>
      </c>
      <c r="C23" s="475">
        <v>203.04842735329754</v>
      </c>
      <c r="D23" s="476">
        <v>313.26100043484837</v>
      </c>
      <c r="E23" s="475">
        <v>397.0910241468946</v>
      </c>
      <c r="F23" s="476">
        <v>384.26698574344601</v>
      </c>
    </row>
    <row r="24" spans="1:6" ht="20" customHeight="1" thickBot="1">
      <c r="A24" s="322"/>
      <c r="B24" s="478" t="s">
        <v>603</v>
      </c>
      <c r="C24" s="475">
        <v>219.92986977323855</v>
      </c>
      <c r="D24" s="480" t="s">
        <v>29</v>
      </c>
      <c r="E24" s="481" t="s">
        <v>29</v>
      </c>
      <c r="F24" s="476">
        <v>219.92986977323855</v>
      </c>
    </row>
    <row r="25" spans="1:6" ht="20" customHeight="1" thickBot="1">
      <c r="A25" s="322"/>
      <c r="B25" s="478" t="s">
        <v>605</v>
      </c>
      <c r="C25" s="475">
        <v>89.461778139019856</v>
      </c>
      <c r="D25" s="476">
        <v>342.76870855153555</v>
      </c>
      <c r="E25" s="475">
        <v>516.1495179408239</v>
      </c>
      <c r="F25" s="476">
        <v>414.05131832536978</v>
      </c>
    </row>
    <row r="26" spans="1:6" ht="39.75" customHeight="1" thickBot="1">
      <c r="A26" s="485"/>
      <c r="B26" s="486" t="s">
        <v>606</v>
      </c>
      <c r="C26" s="487">
        <v>90.333013708154766</v>
      </c>
      <c r="D26" s="488">
        <v>353.67395901190918</v>
      </c>
      <c r="E26" s="487">
        <v>484.43203950250063</v>
      </c>
      <c r="F26" s="488">
        <v>392.78084017335101</v>
      </c>
    </row>
    <row r="27" spans="1:6" ht="45" customHeight="1" thickBot="1">
      <c r="A27" s="485"/>
      <c r="B27" s="489" t="s">
        <v>607</v>
      </c>
      <c r="C27" s="487">
        <v>89.364112926892005</v>
      </c>
      <c r="D27" s="488">
        <v>338.75785810886686</v>
      </c>
      <c r="E27" s="487">
        <v>518.21915231218225</v>
      </c>
      <c r="F27" s="488">
        <v>416.3499765195773</v>
      </c>
    </row>
    <row r="28" spans="1:6" ht="45" customHeight="1" thickBot="1">
      <c r="A28" s="490"/>
      <c r="B28" s="489" t="s">
        <v>608</v>
      </c>
      <c r="C28" s="487">
        <v>200.71366142758598</v>
      </c>
      <c r="D28" s="488">
        <v>350.65747587580819</v>
      </c>
      <c r="E28" s="487">
        <v>491.19003153794034</v>
      </c>
      <c r="F28" s="488">
        <v>465.22703949353553</v>
      </c>
    </row>
    <row r="29" spans="1:6" ht="15.75" customHeight="1" thickBot="1">
      <c r="A29" s="491"/>
      <c r="B29" s="492"/>
      <c r="C29" s="475"/>
      <c r="D29" s="476"/>
      <c r="E29" s="475"/>
      <c r="F29" s="476"/>
    </row>
    <row r="30" spans="1:6" ht="27.75" customHeight="1" thickBot="1">
      <c r="A30" s="493" t="s">
        <v>609</v>
      </c>
      <c r="B30" s="494"/>
      <c r="C30" s="495">
        <v>95.293890812106369</v>
      </c>
      <c r="D30" s="496">
        <v>353.60652855911712</v>
      </c>
      <c r="E30" s="495">
        <v>575.68114159941899</v>
      </c>
      <c r="F30" s="496">
        <v>465.87080943736197</v>
      </c>
    </row>
    <row r="31" spans="1:6" ht="15.75" customHeight="1">
      <c r="A31" s="359" t="s">
        <v>396</v>
      </c>
      <c r="B31" s="359"/>
      <c r="C31" s="359"/>
      <c r="D31" s="359"/>
      <c r="E31" s="359"/>
      <c r="F31" s="359"/>
    </row>
    <row r="32" spans="1:6" ht="13.5" customHeight="1">
      <c r="A32" s="336"/>
      <c r="B32" s="336"/>
      <c r="C32" s="359"/>
      <c r="D32" s="359"/>
      <c r="E32" s="359"/>
      <c r="F32" s="359"/>
    </row>
    <row r="33" spans="1:6" ht="13.5" customHeight="1">
      <c r="A33" s="359" t="s">
        <v>1662</v>
      </c>
      <c r="B33" s="359"/>
      <c r="C33" s="359"/>
      <c r="D33" s="359"/>
      <c r="E33" s="359"/>
      <c r="F33" s="359"/>
    </row>
    <row r="34" spans="1:6" ht="16.5" customHeight="1">
      <c r="A34" s="359"/>
      <c r="B34" s="359"/>
      <c r="C34" s="359"/>
      <c r="D34" s="359"/>
      <c r="E34" s="359"/>
      <c r="F34" s="359"/>
    </row>
    <row r="35" spans="1:6" ht="12" customHeight="1">
      <c r="A35" s="359" t="s">
        <v>611</v>
      </c>
      <c r="B35" s="359"/>
      <c r="C35" s="60"/>
      <c r="D35" s="60"/>
      <c r="E35" s="60"/>
      <c r="F35" s="60"/>
    </row>
    <row r="36" spans="1:6" ht="12" customHeight="1">
      <c r="A36" s="131" t="s">
        <v>612</v>
      </c>
      <c r="B36" s="131"/>
    </row>
    <row r="37" spans="1:6" ht="12" customHeight="1">
      <c r="A37" s="131" t="s">
        <v>1663</v>
      </c>
      <c r="B37" s="131"/>
    </row>
    <row r="38" spans="1:6" ht="12" customHeight="1">
      <c r="A38" s="131" t="s">
        <v>614</v>
      </c>
      <c r="B38" s="131"/>
    </row>
    <row r="39" spans="1:6" ht="12" customHeight="1">
      <c r="A39" s="131" t="s">
        <v>615</v>
      </c>
      <c r="B39" s="131"/>
    </row>
    <row r="40" spans="1:6" ht="12" customHeight="1">
      <c r="A40" s="131" t="s">
        <v>616</v>
      </c>
      <c r="B40" s="131"/>
    </row>
    <row r="41" spans="1:6" ht="12" customHeight="1">
      <c r="A41" s="3" t="s">
        <v>1664</v>
      </c>
    </row>
    <row r="42" spans="1:6" ht="12" customHeight="1">
      <c r="A42" s="1114" t="s">
        <v>1665</v>
      </c>
    </row>
    <row r="43" spans="1:6" ht="12" customHeight="1"/>
    <row r="44" spans="1:6" ht="12" customHeight="1"/>
    <row r="45" spans="1:6" ht="12" customHeight="1">
      <c r="A45" s="359" t="s">
        <v>395</v>
      </c>
      <c r="B45" s="359"/>
      <c r="C45" s="131"/>
      <c r="D45" s="131"/>
      <c r="E45" s="131"/>
      <c r="F45" s="131"/>
    </row>
    <row r="50" spans="1:7">
      <c r="A50" s="48"/>
      <c r="B50" s="48"/>
      <c r="C50" s="497"/>
      <c r="D50" s="498"/>
      <c r="E50" s="497"/>
      <c r="F50" s="498"/>
      <c r="G50" s="498"/>
    </row>
    <row r="51" spans="1:7">
      <c r="A51" s="499"/>
      <c r="B51" s="499"/>
      <c r="C51" s="499"/>
      <c r="D51" s="500"/>
      <c r="E51" s="499"/>
      <c r="F51" s="501"/>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A13B0-0156-F346-8B6B-DB883891DCA2}">
  <sheetPr>
    <pageSetUpPr fitToPage="1"/>
  </sheetPr>
  <dimension ref="A1:G52"/>
  <sheetViews>
    <sheetView topLeftCell="A27" zoomScaleNormal="100" workbookViewId="0">
      <selection activeCell="A42" sqref="A42"/>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72"/>
      <c r="B1" s="272"/>
      <c r="C1" s="272"/>
      <c r="D1" s="272"/>
      <c r="E1" s="272"/>
      <c r="F1" s="272"/>
    </row>
    <row r="2" spans="1:7" s="2" customFormat="1" ht="20.25" customHeight="1">
      <c r="A2" s="396" t="s">
        <v>1666</v>
      </c>
      <c r="B2" s="396"/>
      <c r="C2" s="272"/>
      <c r="D2" s="272"/>
      <c r="E2" s="272"/>
      <c r="F2" s="460">
        <v>2012</v>
      </c>
      <c r="G2" s="460"/>
    </row>
    <row r="3" spans="1:7" s="2" customFormat="1" ht="6" customHeight="1">
      <c r="A3" s="461"/>
      <c r="B3" s="461"/>
      <c r="C3" s="462"/>
      <c r="D3" s="462"/>
      <c r="E3" s="462"/>
      <c r="F3" s="462"/>
      <c r="G3" s="277"/>
    </row>
    <row r="4" spans="1:7" s="2" customFormat="1" ht="81.75" customHeight="1">
      <c r="A4" s="463" t="s">
        <v>589</v>
      </c>
      <c r="B4" s="464"/>
      <c r="C4" s="1120" t="s">
        <v>590</v>
      </c>
      <c r="D4" s="467" t="s">
        <v>591</v>
      </c>
      <c r="E4" s="1120" t="s">
        <v>592</v>
      </c>
      <c r="F4" s="467" t="s">
        <v>430</v>
      </c>
    </row>
    <row r="5" spans="1:7" ht="8.25" customHeight="1">
      <c r="A5" s="468"/>
      <c r="B5" s="469"/>
      <c r="C5" s="444"/>
      <c r="D5" s="443"/>
      <c r="E5" s="444"/>
      <c r="F5" s="443"/>
    </row>
    <row r="6" spans="1:7" ht="47.25" customHeight="1" thickBot="1">
      <c r="A6" s="470" t="s">
        <v>593</v>
      </c>
      <c r="B6" s="471" t="s">
        <v>594</v>
      </c>
      <c r="C6" s="472">
        <v>1175.8028104273219</v>
      </c>
      <c r="D6" s="473">
        <v>2225.9389661812188</v>
      </c>
      <c r="E6" s="472">
        <v>7315.3343210918365</v>
      </c>
      <c r="F6" s="473">
        <v>5291.4295366645038</v>
      </c>
    </row>
    <row r="7" spans="1:7" ht="19.5" customHeight="1" thickBot="1">
      <c r="A7" s="174"/>
      <c r="B7" s="474"/>
      <c r="C7" s="475"/>
      <c r="D7" s="476"/>
      <c r="E7" s="475"/>
      <c r="F7" s="476"/>
    </row>
    <row r="8" spans="1:7" ht="23.25" customHeight="1" thickBot="1">
      <c r="A8" s="477" t="s">
        <v>595</v>
      </c>
      <c r="B8" s="478" t="s">
        <v>596</v>
      </c>
      <c r="C8" s="475">
        <v>1110.9042748137467</v>
      </c>
      <c r="D8" s="476">
        <v>1922.9987394567613</v>
      </c>
      <c r="E8" s="475">
        <v>5732.0305449193884</v>
      </c>
      <c r="F8" s="476">
        <v>5631.1260340643476</v>
      </c>
    </row>
    <row r="9" spans="1:7" ht="20" customHeight="1" thickBot="1">
      <c r="A9" s="479" t="s">
        <v>597</v>
      </c>
      <c r="B9" s="478" t="s">
        <v>598</v>
      </c>
      <c r="C9" s="475">
        <v>1095.2930621580149</v>
      </c>
      <c r="D9" s="476">
        <v>1047.9343502654074</v>
      </c>
      <c r="E9" s="475">
        <v>2933.5753960617781</v>
      </c>
      <c r="F9" s="476">
        <v>2538.5070586186362</v>
      </c>
    </row>
    <row r="10" spans="1:7" ht="20" customHeight="1" thickBot="1">
      <c r="A10" s="479" t="s">
        <v>599</v>
      </c>
      <c r="B10" s="478" t="s">
        <v>600</v>
      </c>
      <c r="C10" s="475">
        <v>990.91156449698155</v>
      </c>
      <c r="D10" s="476">
        <v>832.13173700887523</v>
      </c>
      <c r="E10" s="475">
        <v>1939.1494828040934</v>
      </c>
      <c r="F10" s="476">
        <v>1839.6473827829143</v>
      </c>
    </row>
    <row r="11" spans="1:7" ht="20" customHeight="1" thickBot="1">
      <c r="A11" s="479"/>
      <c r="B11" s="478" t="s">
        <v>601</v>
      </c>
      <c r="C11" s="475">
        <v>853.15938024301988</v>
      </c>
      <c r="D11" s="476">
        <v>701.76287206786174</v>
      </c>
      <c r="E11" s="475">
        <v>1382.2035806257531</v>
      </c>
      <c r="F11" s="476">
        <v>1215.9501823853934</v>
      </c>
    </row>
    <row r="12" spans="1:7" ht="20" customHeight="1" thickBot="1">
      <c r="A12" s="479"/>
      <c r="B12" s="478" t="s">
        <v>602</v>
      </c>
      <c r="C12" s="475">
        <v>744.50674364284612</v>
      </c>
      <c r="D12" s="476">
        <v>774.95279984464526</v>
      </c>
      <c r="E12" s="475">
        <v>1196.5294311565672</v>
      </c>
      <c r="F12" s="476">
        <v>1147.1217427936367</v>
      </c>
    </row>
    <row r="13" spans="1:7" ht="20" customHeight="1" thickBot="1">
      <c r="A13" s="479"/>
      <c r="B13" s="478" t="s">
        <v>603</v>
      </c>
      <c r="C13" s="475">
        <v>638.81918642954361</v>
      </c>
      <c r="D13" s="480" t="s">
        <v>29</v>
      </c>
      <c r="E13" s="481" t="s">
        <v>29</v>
      </c>
      <c r="F13" s="476">
        <v>638.81918642954361</v>
      </c>
    </row>
    <row r="14" spans="1:7" ht="20" customHeight="1" thickBot="1">
      <c r="A14" s="482"/>
      <c r="B14" s="478" t="s">
        <v>230</v>
      </c>
      <c r="C14" s="475">
        <v>889.57162723637441</v>
      </c>
      <c r="D14" s="476">
        <v>995.47945058016649</v>
      </c>
      <c r="E14" s="475">
        <v>3490.7446214944239</v>
      </c>
      <c r="F14" s="476">
        <v>3250.0076695717553</v>
      </c>
    </row>
    <row r="15" spans="1:7" ht="18.75" customHeight="1" thickBot="1">
      <c r="A15" s="483"/>
      <c r="B15" s="484"/>
      <c r="C15" s="475"/>
      <c r="D15" s="476"/>
      <c r="E15" s="475"/>
      <c r="F15" s="476"/>
    </row>
    <row r="16" spans="1:7" ht="20" customHeight="1" thickBot="1">
      <c r="A16" s="483" t="s">
        <v>582</v>
      </c>
      <c r="B16" s="484"/>
      <c r="C16" s="475">
        <v>1050.104347826087</v>
      </c>
      <c r="D16" s="476">
        <v>1156.9855530117627</v>
      </c>
      <c r="E16" s="475">
        <v>1672.9635386579448</v>
      </c>
      <c r="F16" s="476">
        <v>1657.0710969285999</v>
      </c>
    </row>
    <row r="17" spans="1:6" ht="20.25" customHeight="1" thickBot="1">
      <c r="A17" s="483"/>
      <c r="B17" s="484"/>
      <c r="C17" s="475"/>
      <c r="D17" s="476"/>
      <c r="E17" s="475"/>
      <c r="F17" s="476"/>
    </row>
    <row r="18" spans="1:6" ht="58.5" customHeight="1" thickBot="1">
      <c r="A18" s="477" t="s">
        <v>693</v>
      </c>
      <c r="B18" s="478" t="s">
        <v>594</v>
      </c>
      <c r="C18" s="475">
        <v>970.85346438698582</v>
      </c>
      <c r="D18" s="476">
        <v>1861.8850332145444</v>
      </c>
      <c r="E18" s="475">
        <v>5073.8264352196993</v>
      </c>
      <c r="F18" s="476">
        <v>3250.3084545982333</v>
      </c>
    </row>
    <row r="19" spans="1:6" ht="20" customHeight="1" thickBot="1">
      <c r="A19" s="322"/>
      <c r="B19" s="478" t="s">
        <v>596</v>
      </c>
      <c r="C19" s="475">
        <v>1156.2278416610804</v>
      </c>
      <c r="D19" s="476">
        <v>1559.9457420142448</v>
      </c>
      <c r="E19" s="475">
        <v>3532.4888987282079</v>
      </c>
      <c r="F19" s="476">
        <v>3370.2208857203582</v>
      </c>
    </row>
    <row r="20" spans="1:6" ht="20" customHeight="1" thickBot="1">
      <c r="A20" s="322"/>
      <c r="B20" s="478" t="s">
        <v>598</v>
      </c>
      <c r="C20" s="475">
        <v>838.47140082360352</v>
      </c>
      <c r="D20" s="476">
        <v>863.67419000564519</v>
      </c>
      <c r="E20" s="475">
        <v>1777.4600610671666</v>
      </c>
      <c r="F20" s="476">
        <v>1582.3186259365268</v>
      </c>
    </row>
    <row r="21" spans="1:6" ht="20" customHeight="1" thickBot="1">
      <c r="A21" s="322"/>
      <c r="B21" s="478" t="s">
        <v>600</v>
      </c>
      <c r="C21" s="475">
        <v>704.83206119689248</v>
      </c>
      <c r="D21" s="476">
        <v>661.77416748805592</v>
      </c>
      <c r="E21" s="475">
        <v>1272.5997511409776</v>
      </c>
      <c r="F21" s="476">
        <v>1176.33687431117</v>
      </c>
    </row>
    <row r="22" spans="1:6" ht="20" customHeight="1" thickBot="1">
      <c r="A22" s="322"/>
      <c r="B22" s="478" t="s">
        <v>601</v>
      </c>
      <c r="C22" s="475">
        <v>639.62955665494042</v>
      </c>
      <c r="D22" s="476">
        <v>541.67825357914535</v>
      </c>
      <c r="E22" s="475">
        <v>966.26835292505348</v>
      </c>
      <c r="F22" s="476">
        <v>882.23043071983057</v>
      </c>
    </row>
    <row r="23" spans="1:6" ht="20" customHeight="1" thickBot="1">
      <c r="A23" s="322"/>
      <c r="B23" s="478" t="s">
        <v>602</v>
      </c>
      <c r="C23" s="475">
        <v>529.15337030297258</v>
      </c>
      <c r="D23" s="476">
        <v>486.64603116674851</v>
      </c>
      <c r="E23" s="475">
        <v>808.52536321480966</v>
      </c>
      <c r="F23" s="476">
        <v>767.8813492467973</v>
      </c>
    </row>
    <row r="24" spans="1:6" ht="20" customHeight="1" thickBot="1">
      <c r="A24" s="322"/>
      <c r="B24" s="478" t="s">
        <v>603</v>
      </c>
      <c r="C24" s="475">
        <v>489.03719084786462</v>
      </c>
      <c r="D24" s="480" t="s">
        <v>29</v>
      </c>
      <c r="E24" s="481" t="s">
        <v>29</v>
      </c>
      <c r="F24" s="476">
        <v>489.03719084786462</v>
      </c>
    </row>
    <row r="25" spans="1:6" ht="20" customHeight="1" thickBot="1">
      <c r="A25" s="322"/>
      <c r="B25" s="478" t="s">
        <v>605</v>
      </c>
      <c r="C25" s="475">
        <v>943.58024780506082</v>
      </c>
      <c r="D25" s="476">
        <v>1187.7012514570856</v>
      </c>
      <c r="E25" s="475">
        <v>2920.2346772771739</v>
      </c>
      <c r="F25" s="476">
        <v>2354.0131491169204</v>
      </c>
    </row>
    <row r="26" spans="1:6" ht="39.75" customHeight="1" thickBot="1">
      <c r="A26" s="485"/>
      <c r="B26" s="486" t="s">
        <v>606</v>
      </c>
      <c r="C26" s="487">
        <v>987.62102276590269</v>
      </c>
      <c r="D26" s="488">
        <v>1200.1346274495722</v>
      </c>
      <c r="E26" s="487">
        <v>2479.7968495677787</v>
      </c>
      <c r="F26" s="488">
        <v>2048.6362987430985</v>
      </c>
    </row>
    <row r="27" spans="1:6" ht="45" customHeight="1" thickBot="1">
      <c r="A27" s="485"/>
      <c r="B27" s="489" t="s">
        <v>607</v>
      </c>
      <c r="C27" s="487">
        <v>923.10415333024434</v>
      </c>
      <c r="D27" s="488">
        <v>1158.192379431443</v>
      </c>
      <c r="E27" s="487">
        <v>3000.5138081024365</v>
      </c>
      <c r="F27" s="488">
        <v>2414.7843103326027</v>
      </c>
    </row>
    <row r="28" spans="1:6" ht="45" customHeight="1" thickBot="1">
      <c r="A28" s="490"/>
      <c r="B28" s="489" t="s">
        <v>608</v>
      </c>
      <c r="C28" s="487">
        <v>656.17335197616831</v>
      </c>
      <c r="D28" s="488">
        <v>753.45288150841816</v>
      </c>
      <c r="E28" s="487">
        <v>1677.4179196888483</v>
      </c>
      <c r="F28" s="488">
        <v>1535.9585982833682</v>
      </c>
    </row>
    <row r="29" spans="1:6" ht="15.75" customHeight="1" thickBot="1">
      <c r="A29" s="491"/>
      <c r="B29" s="492"/>
      <c r="C29" s="475"/>
      <c r="D29" s="476"/>
      <c r="E29" s="475"/>
      <c r="F29" s="476"/>
    </row>
    <row r="30" spans="1:6" ht="27.75" customHeight="1" thickBot="1">
      <c r="A30" s="493" t="s">
        <v>609</v>
      </c>
      <c r="B30" s="494"/>
      <c r="C30" s="495">
        <v>1026.6076983873554</v>
      </c>
      <c r="D30" s="496">
        <v>1379.116378070232</v>
      </c>
      <c r="E30" s="495">
        <v>4056.6163868973604</v>
      </c>
      <c r="F30" s="496">
        <v>3256.6406756055721</v>
      </c>
    </row>
    <row r="31" spans="1:6" ht="15.75" customHeight="1">
      <c r="A31" s="359" t="s">
        <v>396</v>
      </c>
      <c r="B31" s="359"/>
      <c r="C31" s="359"/>
      <c r="D31" s="359"/>
      <c r="E31" s="359"/>
      <c r="F31" s="359"/>
    </row>
    <row r="32" spans="1:6" ht="13.5" customHeight="1">
      <c r="A32" s="336"/>
      <c r="B32" s="336"/>
      <c r="C32" s="359"/>
      <c r="D32" s="359"/>
      <c r="E32" s="359"/>
      <c r="F32" s="359"/>
    </row>
    <row r="33" spans="1:6" ht="13.5" customHeight="1">
      <c r="A33" s="359" t="s">
        <v>1667</v>
      </c>
      <c r="B33" s="359"/>
      <c r="C33" s="359"/>
      <c r="D33" s="359"/>
      <c r="E33" s="359"/>
      <c r="F33" s="359"/>
    </row>
    <row r="34" spans="1:6" ht="16.5" customHeight="1">
      <c r="A34" s="359"/>
      <c r="B34" s="359"/>
      <c r="C34" s="359"/>
      <c r="D34" s="359"/>
      <c r="E34" s="359"/>
      <c r="F34" s="359"/>
    </row>
    <row r="35" spans="1:6" ht="12" customHeight="1">
      <c r="A35" s="359" t="s">
        <v>611</v>
      </c>
      <c r="B35" s="359"/>
      <c r="C35" s="60"/>
      <c r="D35" s="60"/>
      <c r="E35" s="60"/>
      <c r="F35" s="60"/>
    </row>
    <row r="36" spans="1:6" ht="12" customHeight="1">
      <c r="A36" s="131" t="s">
        <v>612</v>
      </c>
      <c r="B36" s="131"/>
    </row>
    <row r="37" spans="1:6" ht="12" customHeight="1">
      <c r="A37" s="131" t="s">
        <v>613</v>
      </c>
      <c r="B37" s="131"/>
    </row>
    <row r="38" spans="1:6" ht="12" customHeight="1">
      <c r="A38" s="131" t="s">
        <v>614</v>
      </c>
      <c r="B38" s="131"/>
    </row>
    <row r="39" spans="1:6" ht="12" customHeight="1">
      <c r="A39" s="131" t="s">
        <v>615</v>
      </c>
      <c r="B39" s="131"/>
    </row>
    <row r="40" spans="1:6" ht="12" customHeight="1">
      <c r="A40" s="131" t="s">
        <v>616</v>
      </c>
      <c r="B40" s="131"/>
    </row>
    <row r="41" spans="1:6" ht="12" customHeight="1">
      <c r="A41" s="3" t="s">
        <v>1664</v>
      </c>
    </row>
    <row r="42" spans="1:6" ht="12" customHeight="1">
      <c r="A42" s="131" t="s">
        <v>1668</v>
      </c>
    </row>
    <row r="43" spans="1:6" ht="12" customHeight="1"/>
    <row r="44" spans="1:6" ht="12" customHeight="1"/>
    <row r="45" spans="1:6" ht="12" customHeight="1">
      <c r="A45" s="359" t="s">
        <v>395</v>
      </c>
      <c r="B45" s="359"/>
      <c r="C45" s="131"/>
      <c r="D45" s="131"/>
      <c r="E45" s="131"/>
      <c r="F45" s="131"/>
    </row>
    <row r="50" spans="1:7">
      <c r="A50" s="48"/>
      <c r="B50" s="48"/>
      <c r="C50" s="497"/>
      <c r="D50" s="498"/>
      <c r="E50" s="497"/>
      <c r="F50" s="498"/>
      <c r="G50" s="498"/>
    </row>
    <row r="51" spans="1:7">
      <c r="A51" s="499"/>
      <c r="B51" s="499"/>
      <c r="C51" s="499"/>
      <c r="D51" s="500"/>
      <c r="E51" s="499"/>
      <c r="F51" s="501"/>
      <c r="G51" s="4"/>
    </row>
    <row r="52" spans="1:7">
      <c r="A52" s="4"/>
      <c r="B52" s="4"/>
      <c r="C52" s="4"/>
      <c r="D52" s="4"/>
      <c r="E52" s="4"/>
      <c r="F52" s="4"/>
      <c r="G52"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B9EAB-F013-E643-92B5-275BCFE7752C}">
  <sheetPr>
    <pageSetUpPr fitToPage="1"/>
  </sheetPr>
  <dimension ref="A1:R42"/>
  <sheetViews>
    <sheetView topLeftCell="G1" zoomScaleNormal="100" workbookViewId="0">
      <selection activeCell="T5" sqref="T5"/>
    </sheetView>
  </sheetViews>
  <sheetFormatPr baseColWidth="10" defaultColWidth="11.3984375" defaultRowHeight="13"/>
  <cols>
    <col min="1" max="1" width="15.796875" style="3" customWidth="1"/>
    <col min="2" max="17" width="12" style="3" customWidth="1"/>
    <col min="18" max="16384" width="11.3984375" style="3"/>
  </cols>
  <sheetData>
    <row r="1" spans="1:18" s="2" customFormat="1" ht="14" customHeight="1"/>
    <row r="2" spans="1:18" s="2" customFormat="1" ht="27" customHeight="1">
      <c r="A2" s="222" t="s">
        <v>1669</v>
      </c>
      <c r="B2" s="328"/>
      <c r="C2" s="328"/>
      <c r="D2" s="328"/>
      <c r="E2" s="328"/>
      <c r="F2" s="328"/>
      <c r="G2" s="328"/>
      <c r="H2" s="328"/>
      <c r="I2" s="222"/>
      <c r="J2" s="222"/>
      <c r="K2" s="222"/>
      <c r="L2" s="222"/>
      <c r="M2" s="222"/>
      <c r="N2" s="222"/>
      <c r="O2" s="222"/>
      <c r="P2" s="222"/>
      <c r="Q2" s="222"/>
      <c r="R2" s="222"/>
    </row>
    <row r="3" spans="1:18" ht="24" customHeight="1">
      <c r="A3" s="344" t="s">
        <v>426</v>
      </c>
      <c r="B3" s="114">
        <v>1996</v>
      </c>
      <c r="C3" s="113">
        <v>1997</v>
      </c>
      <c r="D3" s="114">
        <v>1998</v>
      </c>
      <c r="E3" s="345">
        <v>1999</v>
      </c>
      <c r="F3" s="346">
        <v>2000</v>
      </c>
      <c r="G3" s="113">
        <v>2001</v>
      </c>
      <c r="H3" s="114">
        <v>2002</v>
      </c>
      <c r="I3" s="113">
        <v>2003</v>
      </c>
      <c r="J3" s="114">
        <v>2004</v>
      </c>
      <c r="K3" s="113">
        <v>2005</v>
      </c>
      <c r="L3" s="114">
        <v>2006</v>
      </c>
      <c r="M3" s="113">
        <v>2007</v>
      </c>
      <c r="N3" s="114">
        <v>2008</v>
      </c>
      <c r="O3" s="113">
        <v>2009</v>
      </c>
      <c r="P3" s="114">
        <v>2010</v>
      </c>
      <c r="Q3" s="113">
        <v>2011</v>
      </c>
      <c r="R3" s="114">
        <v>2012</v>
      </c>
    </row>
    <row r="4" spans="1:18" ht="15" customHeight="1">
      <c r="A4" s="347"/>
      <c r="B4" s="114"/>
      <c r="C4" s="113"/>
      <c r="D4" s="114"/>
      <c r="E4" s="348"/>
      <c r="F4" s="115"/>
      <c r="G4" s="113"/>
      <c r="H4" s="114"/>
      <c r="I4" s="113"/>
      <c r="J4" s="114"/>
      <c r="K4" s="113"/>
      <c r="L4" s="114"/>
      <c r="M4" s="113"/>
      <c r="N4" s="114"/>
      <c r="O4" s="113"/>
      <c r="P4" s="114"/>
      <c r="Q4" s="113"/>
      <c r="R4" s="114"/>
    </row>
    <row r="5" spans="1:18" ht="16" customHeight="1">
      <c r="A5" s="349"/>
      <c r="B5" s="118"/>
      <c r="C5" s="117"/>
      <c r="D5" s="118"/>
      <c r="E5" s="330"/>
      <c r="F5" s="119"/>
      <c r="G5" s="117"/>
      <c r="H5" s="118"/>
      <c r="I5" s="117"/>
      <c r="J5" s="118"/>
      <c r="K5" s="117"/>
      <c r="L5" s="118"/>
      <c r="M5" s="117"/>
      <c r="N5" s="118"/>
      <c r="O5" s="117"/>
      <c r="P5" s="118"/>
      <c r="Q5" s="117"/>
      <c r="R5" s="118"/>
    </row>
    <row r="6" spans="1:18" ht="30" customHeight="1" thickBot="1">
      <c r="A6" s="350" t="s">
        <v>434</v>
      </c>
      <c r="B6" s="321">
        <v>1764.7891593009206</v>
      </c>
      <c r="C6" s="320">
        <v>1833.2666140835515</v>
      </c>
      <c r="D6" s="321">
        <v>2004.0536087867604</v>
      </c>
      <c r="E6" s="320">
        <v>2071.8255537815062</v>
      </c>
      <c r="F6" s="321">
        <v>2147.6958422845059</v>
      </c>
      <c r="G6" s="320">
        <v>2257.0911041054319</v>
      </c>
      <c r="H6" s="133">
        <v>2336.8675136098163</v>
      </c>
      <c r="I6" s="132">
        <v>2384.1286100622524</v>
      </c>
      <c r="J6" s="133">
        <v>2585.8685115983717</v>
      </c>
      <c r="K6" s="132">
        <v>2682.8669516214177</v>
      </c>
      <c r="L6" s="133">
        <v>2685.9971326628015</v>
      </c>
      <c r="M6" s="132">
        <v>2804.6840157324332</v>
      </c>
      <c r="N6" s="133">
        <v>2933.3671790687717</v>
      </c>
      <c r="O6" s="132">
        <v>3046.8018739153263</v>
      </c>
      <c r="P6" s="133">
        <v>3105.1162817873551</v>
      </c>
      <c r="Q6" s="132">
        <v>3125.6378415801637</v>
      </c>
      <c r="R6" s="133">
        <v>3228.8354748267552</v>
      </c>
    </row>
    <row r="7" spans="1:18" ht="20" customHeight="1" thickBot="1">
      <c r="A7" s="351" t="s">
        <v>435</v>
      </c>
      <c r="B7" s="135">
        <v>1667.1256409042089</v>
      </c>
      <c r="C7" s="134">
        <v>1815.2747869586308</v>
      </c>
      <c r="D7" s="135">
        <v>1839.7260174575008</v>
      </c>
      <c r="E7" s="134">
        <v>1935.3573535232781</v>
      </c>
      <c r="F7" s="135">
        <v>2103.3250055370208</v>
      </c>
      <c r="G7" s="134">
        <v>2175.5125309022833</v>
      </c>
      <c r="H7" s="133">
        <v>2260.0641819083248</v>
      </c>
      <c r="I7" s="132">
        <v>2409.9035236479958</v>
      </c>
      <c r="J7" s="133">
        <v>2729.9312091019838</v>
      </c>
      <c r="K7" s="132">
        <v>2891.5575879145185</v>
      </c>
      <c r="L7" s="133">
        <v>2959.0491349857143</v>
      </c>
      <c r="M7" s="132">
        <v>3106.5378674967187</v>
      </c>
      <c r="N7" s="133">
        <v>3241.0945015719262</v>
      </c>
      <c r="O7" s="132">
        <v>3300.4971014282719</v>
      </c>
      <c r="P7" s="133">
        <v>3341.560866737178</v>
      </c>
      <c r="Q7" s="132">
        <v>3447.4233523177322</v>
      </c>
      <c r="R7" s="133">
        <v>3420.6265636187181</v>
      </c>
    </row>
    <row r="8" spans="1:18" ht="20" customHeight="1" thickBot="1">
      <c r="A8" s="351" t="s">
        <v>436</v>
      </c>
      <c r="B8" s="135">
        <v>1313.0777938742947</v>
      </c>
      <c r="C8" s="134">
        <v>1349.6077744679262</v>
      </c>
      <c r="D8" s="135">
        <v>1478.8539933073373</v>
      </c>
      <c r="E8" s="134">
        <v>1550.0308937947714</v>
      </c>
      <c r="F8" s="135">
        <v>1662.1694480450008</v>
      </c>
      <c r="G8" s="134">
        <v>1783.2815978377855</v>
      </c>
      <c r="H8" s="133">
        <v>1837.2939614239938</v>
      </c>
      <c r="I8" s="132">
        <v>1946.4094699967836</v>
      </c>
      <c r="J8" s="133">
        <v>2120.2163432752677</v>
      </c>
      <c r="K8" s="132">
        <v>2280.5558878801321</v>
      </c>
      <c r="L8" s="133">
        <v>2267.5402295653716</v>
      </c>
      <c r="M8" s="132">
        <v>2373.7104855953066</v>
      </c>
      <c r="N8" s="133">
        <v>2479.7994255544868</v>
      </c>
      <c r="O8" s="132">
        <v>2612.4136778482543</v>
      </c>
      <c r="P8" s="133">
        <v>2672.2238768692082</v>
      </c>
      <c r="Q8" s="132">
        <v>2704.1415946049869</v>
      </c>
      <c r="R8" s="133">
        <v>2849.8509017103243</v>
      </c>
    </row>
    <row r="9" spans="1:18" ht="20" customHeight="1" thickBot="1">
      <c r="A9" s="351" t="s">
        <v>437</v>
      </c>
      <c r="B9" s="135">
        <v>1360.164764767984</v>
      </c>
      <c r="C9" s="134">
        <v>1388.4535112380079</v>
      </c>
      <c r="D9" s="135">
        <v>1415.8049440959276</v>
      </c>
      <c r="E9" s="134">
        <v>1523.7132765014937</v>
      </c>
      <c r="F9" s="135">
        <v>1629.5395510727981</v>
      </c>
      <c r="G9" s="134">
        <v>1797.5126486685865</v>
      </c>
      <c r="H9" s="133">
        <v>1720.5769299215417</v>
      </c>
      <c r="I9" s="132">
        <v>1856.3827644953262</v>
      </c>
      <c r="J9" s="133">
        <v>1985.8355082717899</v>
      </c>
      <c r="K9" s="132">
        <v>2200.9559775431248</v>
      </c>
      <c r="L9" s="133">
        <v>2215.1758351301783</v>
      </c>
      <c r="M9" s="132">
        <v>2384.9353436420333</v>
      </c>
      <c r="N9" s="133">
        <v>2446.5913350274182</v>
      </c>
      <c r="O9" s="132">
        <v>2553.06042756323</v>
      </c>
      <c r="P9" s="133">
        <v>2582.5624653117247</v>
      </c>
      <c r="Q9" s="132">
        <v>2556.8452366022493</v>
      </c>
      <c r="R9" s="133">
        <v>2667.098427413096</v>
      </c>
    </row>
    <row r="10" spans="1:18" ht="20" customHeight="1" thickBot="1">
      <c r="A10" s="351" t="s">
        <v>438</v>
      </c>
      <c r="B10" s="135">
        <v>1371.9253611913928</v>
      </c>
      <c r="C10" s="134">
        <v>1372.5298987047629</v>
      </c>
      <c r="D10" s="135">
        <v>1441.35635512423</v>
      </c>
      <c r="E10" s="134">
        <v>1578.1459662769164</v>
      </c>
      <c r="F10" s="135">
        <v>1658.2974792333002</v>
      </c>
      <c r="G10" s="134">
        <v>1842.9405140981062</v>
      </c>
      <c r="H10" s="133">
        <v>1833.0429076328351</v>
      </c>
      <c r="I10" s="132">
        <v>1968.0201058778482</v>
      </c>
      <c r="J10" s="133">
        <v>2116.3513353801436</v>
      </c>
      <c r="K10" s="132">
        <v>2245.1730891404022</v>
      </c>
      <c r="L10" s="133">
        <v>2294.7011656127092</v>
      </c>
      <c r="M10" s="132">
        <v>2397.6143591771793</v>
      </c>
      <c r="N10" s="133">
        <v>2482.2071821133236</v>
      </c>
      <c r="O10" s="132">
        <v>2643.0734277269235</v>
      </c>
      <c r="P10" s="133">
        <v>2637.4815442137851</v>
      </c>
      <c r="Q10" s="132">
        <v>2708.4309327014175</v>
      </c>
      <c r="R10" s="133">
        <v>2872.4567257566941</v>
      </c>
    </row>
    <row r="11" spans="1:18" ht="20" customHeight="1" thickBot="1">
      <c r="A11" s="351" t="s">
        <v>439</v>
      </c>
      <c r="B11" s="135">
        <v>1312.3038680409452</v>
      </c>
      <c r="C11" s="134">
        <v>1326.6794346179558</v>
      </c>
      <c r="D11" s="135">
        <v>1433.0014611234565</v>
      </c>
      <c r="E11" s="134">
        <v>1521.8418623800551</v>
      </c>
      <c r="F11" s="135">
        <v>1622.8558718243928</v>
      </c>
      <c r="G11" s="134">
        <v>1669.4763841666706</v>
      </c>
      <c r="H11" s="133">
        <v>1688.9872385529304</v>
      </c>
      <c r="I11" s="132">
        <v>1806.181925764178</v>
      </c>
      <c r="J11" s="133">
        <v>1928.9374265271724</v>
      </c>
      <c r="K11" s="132">
        <v>2103.2486917912147</v>
      </c>
      <c r="L11" s="133">
        <v>2160.6136255664719</v>
      </c>
      <c r="M11" s="132">
        <v>2331.9220258634741</v>
      </c>
      <c r="N11" s="133">
        <v>2399.6177246476059</v>
      </c>
      <c r="O11" s="132">
        <v>2462.4760602617575</v>
      </c>
      <c r="P11" s="133">
        <v>2426.232797147286</v>
      </c>
      <c r="Q11" s="132">
        <v>2497.6229119350396</v>
      </c>
      <c r="R11" s="133">
        <v>2687.0220641833321</v>
      </c>
    </row>
    <row r="12" spans="1:18" ht="20" customHeight="1" thickBot="1">
      <c r="A12" s="351" t="s">
        <v>440</v>
      </c>
      <c r="B12" s="135">
        <v>1261.9811209846498</v>
      </c>
      <c r="C12" s="134">
        <v>1231.4186602765733</v>
      </c>
      <c r="D12" s="135">
        <v>1303.547456755462</v>
      </c>
      <c r="E12" s="134">
        <v>1389.5288833492557</v>
      </c>
      <c r="F12" s="135">
        <v>1528.9877266481972</v>
      </c>
      <c r="G12" s="134">
        <v>1583.7096707217024</v>
      </c>
      <c r="H12" s="133">
        <v>1652.9221015298683</v>
      </c>
      <c r="I12" s="132">
        <v>1743.8144735938365</v>
      </c>
      <c r="J12" s="133">
        <v>1790.6657322854433</v>
      </c>
      <c r="K12" s="132">
        <v>1904.4938524951672</v>
      </c>
      <c r="L12" s="133">
        <v>2030.8040560395414</v>
      </c>
      <c r="M12" s="132">
        <v>2197.0468754026911</v>
      </c>
      <c r="N12" s="133">
        <v>2280.5079428344202</v>
      </c>
      <c r="O12" s="132">
        <v>2360.9095334465687</v>
      </c>
      <c r="P12" s="133">
        <v>2404.2257322113096</v>
      </c>
      <c r="Q12" s="132">
        <v>2417.800003031954</v>
      </c>
      <c r="R12" s="133">
        <v>2698.798039320428</v>
      </c>
    </row>
    <row r="13" spans="1:18" ht="20" customHeight="1" thickBot="1">
      <c r="A13" s="351" t="s">
        <v>441</v>
      </c>
      <c r="B13" s="135">
        <v>1405.9161429425933</v>
      </c>
      <c r="C13" s="134">
        <v>1469.7801018893024</v>
      </c>
      <c r="D13" s="135">
        <v>1539.5855804433099</v>
      </c>
      <c r="E13" s="134">
        <v>1681.6095306418788</v>
      </c>
      <c r="F13" s="135">
        <v>1791.2462754467747</v>
      </c>
      <c r="G13" s="134">
        <v>1935.0699658593126</v>
      </c>
      <c r="H13" s="133">
        <v>1978.5395888807245</v>
      </c>
      <c r="I13" s="132">
        <v>2028.2984890121379</v>
      </c>
      <c r="J13" s="133">
        <v>2196.5620293145362</v>
      </c>
      <c r="K13" s="132">
        <v>2352.9092514919353</v>
      </c>
      <c r="L13" s="133">
        <v>2347.3104587598168</v>
      </c>
      <c r="M13" s="132">
        <v>2411.1177277226166</v>
      </c>
      <c r="N13" s="133">
        <v>2580.595347071333</v>
      </c>
      <c r="O13" s="132">
        <v>2673.5548664214757</v>
      </c>
      <c r="P13" s="133">
        <v>2752.5398481168463</v>
      </c>
      <c r="Q13" s="132">
        <v>2746.3379549335937</v>
      </c>
      <c r="R13" s="133">
        <v>2939.6130495597954</v>
      </c>
    </row>
    <row r="14" spans="1:18" ht="20" customHeight="1" thickBot="1">
      <c r="A14" s="351" t="s">
        <v>442</v>
      </c>
      <c r="B14" s="135">
        <v>1280.8423321391788</v>
      </c>
      <c r="C14" s="134">
        <v>1369.8501053345833</v>
      </c>
      <c r="D14" s="135">
        <v>1488.9130137116751</v>
      </c>
      <c r="E14" s="134">
        <v>1580.5480949563857</v>
      </c>
      <c r="F14" s="135">
        <v>1681.441178411276</v>
      </c>
      <c r="G14" s="134">
        <v>1847.2978584832631</v>
      </c>
      <c r="H14" s="133">
        <v>1949.4358904576882</v>
      </c>
      <c r="I14" s="132">
        <v>1999.7701238511841</v>
      </c>
      <c r="J14" s="133">
        <v>2102.8485982237198</v>
      </c>
      <c r="K14" s="132">
        <v>2218.4072786491465</v>
      </c>
      <c r="L14" s="133">
        <v>2237.8223918859167</v>
      </c>
      <c r="M14" s="132">
        <v>2359.354258274011</v>
      </c>
      <c r="N14" s="133">
        <v>2451.1938794280691</v>
      </c>
      <c r="O14" s="132">
        <v>2585.4154392154037</v>
      </c>
      <c r="P14" s="133">
        <v>2620.7546302986038</v>
      </c>
      <c r="Q14" s="132">
        <v>2615.6089723441887</v>
      </c>
      <c r="R14" s="133">
        <v>2735.678627144141</v>
      </c>
    </row>
    <row r="15" spans="1:18" ht="20" customHeight="1" thickBot="1">
      <c r="A15" s="351" t="s">
        <v>443</v>
      </c>
      <c r="B15" s="135">
        <v>1664.3130318147939</v>
      </c>
      <c r="C15" s="134">
        <v>1693.899908744108</v>
      </c>
      <c r="D15" s="135">
        <v>1877.0189711724497</v>
      </c>
      <c r="E15" s="134">
        <v>1952.8897952725201</v>
      </c>
      <c r="F15" s="135">
        <v>1992.2699090467606</v>
      </c>
      <c r="G15" s="134">
        <v>2131.0799457829739</v>
      </c>
      <c r="H15" s="133">
        <v>2212.4037106510764</v>
      </c>
      <c r="I15" s="132">
        <v>2267.2994025292651</v>
      </c>
      <c r="J15" s="133">
        <v>2374.2489163222604</v>
      </c>
      <c r="K15" s="132">
        <v>2524.8419768627564</v>
      </c>
      <c r="L15" s="133">
        <v>2591.1503244074711</v>
      </c>
      <c r="M15" s="132">
        <v>2693.257124369673</v>
      </c>
      <c r="N15" s="133">
        <v>2774.2239381555355</v>
      </c>
      <c r="O15" s="132">
        <v>2865.1135681024634</v>
      </c>
      <c r="P15" s="133">
        <v>2902.9331697944999</v>
      </c>
      <c r="Q15" s="132">
        <v>2961.8515277070114</v>
      </c>
      <c r="R15" s="133">
        <v>2945.3586806159024</v>
      </c>
    </row>
    <row r="16" spans="1:18" ht="20" customHeight="1" thickBot="1">
      <c r="A16" s="351" t="s">
        <v>444</v>
      </c>
      <c r="B16" s="135">
        <v>1653.9292986944772</v>
      </c>
      <c r="C16" s="134">
        <v>1692.3675087298018</v>
      </c>
      <c r="D16" s="135">
        <v>1788.5928147900208</v>
      </c>
      <c r="E16" s="134">
        <v>1876.5639473157041</v>
      </c>
      <c r="F16" s="135">
        <v>1979.8511175193896</v>
      </c>
      <c r="G16" s="134">
        <v>2032.3474440058872</v>
      </c>
      <c r="H16" s="133">
        <v>2132.690423641202</v>
      </c>
      <c r="I16" s="132">
        <v>2293.9363324416036</v>
      </c>
      <c r="J16" s="133">
        <v>2430.3377921315732</v>
      </c>
      <c r="K16" s="132">
        <v>2566.5748700876543</v>
      </c>
      <c r="L16" s="133">
        <v>2643.8060660034976</v>
      </c>
      <c r="M16" s="132">
        <v>2774.1482872850943</v>
      </c>
      <c r="N16" s="133">
        <v>2910.9267774027958</v>
      </c>
      <c r="O16" s="132">
        <v>2957.4007826331435</v>
      </c>
      <c r="P16" s="133">
        <v>2966.7614158627234</v>
      </c>
      <c r="Q16" s="132">
        <v>3005.7982702807999</v>
      </c>
      <c r="R16" s="133">
        <v>3178.5328157367521</v>
      </c>
    </row>
    <row r="17" spans="1:18" ht="20" customHeight="1" thickBot="1">
      <c r="A17" s="351" t="s">
        <v>445</v>
      </c>
      <c r="B17" s="135">
        <v>2453.4506123995247</v>
      </c>
      <c r="C17" s="134">
        <v>2574.7041070457108</v>
      </c>
      <c r="D17" s="135">
        <v>2778.6511176028916</v>
      </c>
      <c r="E17" s="134">
        <v>2900.5480006344451</v>
      </c>
      <c r="F17" s="135">
        <v>3035.7989165036206</v>
      </c>
      <c r="G17" s="134">
        <v>3205.7849330937206</v>
      </c>
      <c r="H17" s="133">
        <v>3293.0214389051375</v>
      </c>
      <c r="I17" s="132">
        <v>3423.1951887932514</v>
      </c>
      <c r="J17" s="133">
        <v>3534.9303970671813</v>
      </c>
      <c r="K17" s="132">
        <v>3836.6418283741455</v>
      </c>
      <c r="L17" s="133">
        <v>3888.2941731247565</v>
      </c>
      <c r="M17" s="132">
        <v>4037.5299003821051</v>
      </c>
      <c r="N17" s="133">
        <v>4224.4735389574053</v>
      </c>
      <c r="O17" s="132">
        <v>4264.2457587352592</v>
      </c>
      <c r="P17" s="133">
        <v>4260.7340994343349</v>
      </c>
      <c r="Q17" s="132">
        <v>4336.9424320852031</v>
      </c>
      <c r="R17" s="133">
        <v>4367.6977785902072</v>
      </c>
    </row>
    <row r="18" spans="1:18" ht="20" customHeight="1" thickBot="1">
      <c r="A18" s="351" t="s">
        <v>446</v>
      </c>
      <c r="B18" s="135">
        <v>1820.6049206738633</v>
      </c>
      <c r="C18" s="134">
        <v>1894.9830698054327</v>
      </c>
      <c r="D18" s="135">
        <v>1977.9553975094373</v>
      </c>
      <c r="E18" s="134">
        <v>2121.6154554590025</v>
      </c>
      <c r="F18" s="135">
        <v>2251.2901118120703</v>
      </c>
      <c r="G18" s="134">
        <v>2373.2617036964507</v>
      </c>
      <c r="H18" s="133">
        <v>2451.0871621504775</v>
      </c>
      <c r="I18" s="132">
        <v>2536.6270497192859</v>
      </c>
      <c r="J18" s="133">
        <v>2646.6476572497613</v>
      </c>
      <c r="K18" s="132">
        <v>2852.930138987821</v>
      </c>
      <c r="L18" s="133">
        <v>2866.2823454195332</v>
      </c>
      <c r="M18" s="132">
        <v>3026.4431526829344</v>
      </c>
      <c r="N18" s="133">
        <v>3232.6222472961954</v>
      </c>
      <c r="O18" s="132">
        <v>3342.2257627081567</v>
      </c>
      <c r="P18" s="133">
        <v>3394.0744830284352</v>
      </c>
      <c r="Q18" s="132">
        <v>3432.0414896310281</v>
      </c>
      <c r="R18" s="133">
        <v>3569.993726443075</v>
      </c>
    </row>
    <row r="19" spans="1:18" ht="20" customHeight="1" thickBot="1">
      <c r="A19" s="351" t="s">
        <v>447</v>
      </c>
      <c r="B19" s="135">
        <v>1603.1985072621362</v>
      </c>
      <c r="C19" s="134">
        <v>1702.6493257056502</v>
      </c>
      <c r="D19" s="135">
        <v>1744.8438983588499</v>
      </c>
      <c r="E19" s="134">
        <v>1985.2077609053488</v>
      </c>
      <c r="F19" s="135">
        <v>2094.5287804389732</v>
      </c>
      <c r="G19" s="134">
        <v>2212.8602151266746</v>
      </c>
      <c r="H19" s="133">
        <v>2225.2582168236499</v>
      </c>
      <c r="I19" s="132">
        <v>2269.723821545294</v>
      </c>
      <c r="J19" s="133">
        <v>2502.998869501324</v>
      </c>
      <c r="K19" s="132">
        <v>2596.3526252028255</v>
      </c>
      <c r="L19" s="133">
        <v>2630.3877064360317</v>
      </c>
      <c r="M19" s="132">
        <v>2739.9827637896874</v>
      </c>
      <c r="N19" s="133">
        <v>2845.0252565039837</v>
      </c>
      <c r="O19" s="132">
        <v>2930.8300135912746</v>
      </c>
      <c r="P19" s="133">
        <v>3038.1625052148493</v>
      </c>
      <c r="Q19" s="132">
        <v>3041.2502447088523</v>
      </c>
      <c r="R19" s="133">
        <v>3141.8275099975963</v>
      </c>
    </row>
    <row r="20" spans="1:18" ht="20" customHeight="1" thickBot="1">
      <c r="A20" s="351" t="s">
        <v>448</v>
      </c>
      <c r="B20" s="135">
        <v>1266.229321216058</v>
      </c>
      <c r="C20" s="134">
        <v>1369.2490486542663</v>
      </c>
      <c r="D20" s="135">
        <v>1366.920355151437</v>
      </c>
      <c r="E20" s="134">
        <v>1502.9802164667458</v>
      </c>
      <c r="F20" s="135">
        <v>1583.6306546590849</v>
      </c>
      <c r="G20" s="134">
        <v>1647.3283385086513</v>
      </c>
      <c r="H20" s="133">
        <v>1699.3836587528899</v>
      </c>
      <c r="I20" s="132">
        <v>1862.6412259161218</v>
      </c>
      <c r="J20" s="133">
        <v>1990.6417878831089</v>
      </c>
      <c r="K20" s="132">
        <v>2102.1692180072532</v>
      </c>
      <c r="L20" s="133">
        <v>2094.9507881415475</v>
      </c>
      <c r="M20" s="132">
        <v>2204.1055945303278</v>
      </c>
      <c r="N20" s="133">
        <v>2315.161685335368</v>
      </c>
      <c r="O20" s="132">
        <v>2442.4814549790062</v>
      </c>
      <c r="P20" s="133">
        <v>2522.3260390107089</v>
      </c>
      <c r="Q20" s="132">
        <v>2553.9406970387963</v>
      </c>
      <c r="R20" s="133">
        <v>2760.0600424989507</v>
      </c>
    </row>
    <row r="21" spans="1:18" ht="20" customHeight="1" thickBot="1">
      <c r="A21" s="351" t="s">
        <v>449</v>
      </c>
      <c r="B21" s="135">
        <v>1111.970246486788</v>
      </c>
      <c r="C21" s="134">
        <v>1128.6982842819168</v>
      </c>
      <c r="D21" s="135">
        <v>1162.7389791379435</v>
      </c>
      <c r="E21" s="134">
        <v>1314.686475045437</v>
      </c>
      <c r="F21" s="135">
        <v>1394.0297272461971</v>
      </c>
      <c r="G21" s="134">
        <v>1456.6556209568064</v>
      </c>
      <c r="H21" s="133">
        <v>1595.9069827050362</v>
      </c>
      <c r="I21" s="132">
        <v>1655.1191680478576</v>
      </c>
      <c r="J21" s="133">
        <v>1736.2287203020521</v>
      </c>
      <c r="K21" s="132">
        <v>1857.9295026229306</v>
      </c>
      <c r="L21" s="133">
        <v>1836.737234845046</v>
      </c>
      <c r="M21" s="132">
        <v>1868.7722481712538</v>
      </c>
      <c r="N21" s="133">
        <v>2121.9410134076425</v>
      </c>
      <c r="O21" s="132">
        <v>2098.4610120647276</v>
      </c>
      <c r="P21" s="133">
        <v>2150.3556517168563</v>
      </c>
      <c r="Q21" s="132">
        <v>2267.9551239400512</v>
      </c>
      <c r="R21" s="133">
        <v>2369.045579819277</v>
      </c>
    </row>
    <row r="22" spans="1:18" ht="20" customHeight="1" thickBot="1">
      <c r="A22" s="351" t="s">
        <v>450</v>
      </c>
      <c r="B22" s="135">
        <v>1328.3629652911261</v>
      </c>
      <c r="C22" s="134">
        <v>1426.6549273536687</v>
      </c>
      <c r="D22" s="135">
        <v>1491.8733384007237</v>
      </c>
      <c r="E22" s="134">
        <v>1604.5114328167786</v>
      </c>
      <c r="F22" s="135">
        <v>1668.380920804668</v>
      </c>
      <c r="G22" s="134">
        <v>1747.9960351192121</v>
      </c>
      <c r="H22" s="133">
        <v>1852.6583525780329</v>
      </c>
      <c r="I22" s="132">
        <v>2017.040453297921</v>
      </c>
      <c r="J22" s="133">
        <v>2156.34277241769</v>
      </c>
      <c r="K22" s="132">
        <v>2250.3442807519109</v>
      </c>
      <c r="L22" s="133">
        <v>2259.4908722455143</v>
      </c>
      <c r="M22" s="132">
        <v>2347.4638183876004</v>
      </c>
      <c r="N22" s="133">
        <v>2460.9344112946401</v>
      </c>
      <c r="O22" s="132">
        <v>2588.8900456408364</v>
      </c>
      <c r="P22" s="133">
        <v>2648.8100475702108</v>
      </c>
      <c r="Q22" s="132">
        <v>2679.8308983877241</v>
      </c>
      <c r="R22" s="133">
        <v>2868.5875026811395</v>
      </c>
    </row>
    <row r="23" spans="1:18" ht="20" customHeight="1" thickBot="1">
      <c r="A23" s="351" t="s">
        <v>451</v>
      </c>
      <c r="B23" s="135">
        <v>1287.3048973703474</v>
      </c>
      <c r="C23" s="134">
        <v>1235.1705388748824</v>
      </c>
      <c r="D23" s="135">
        <v>1374.9634451894976</v>
      </c>
      <c r="E23" s="134">
        <v>1592.7811073384662</v>
      </c>
      <c r="F23" s="135">
        <v>1744.802621453694</v>
      </c>
      <c r="G23" s="134">
        <v>1820.1531532136034</v>
      </c>
      <c r="H23" s="133">
        <v>1892.8087524284656</v>
      </c>
      <c r="I23" s="132">
        <v>2012.6622941161957</v>
      </c>
      <c r="J23" s="133">
        <v>2188.6912303034992</v>
      </c>
      <c r="K23" s="132">
        <v>2280.6123080226821</v>
      </c>
      <c r="L23" s="133">
        <v>2322.2671522768032</v>
      </c>
      <c r="M23" s="132">
        <v>2493.7151956347811</v>
      </c>
      <c r="N23" s="133">
        <v>2579.2236164170772</v>
      </c>
      <c r="O23" s="132">
        <v>2687.4299907425798</v>
      </c>
      <c r="P23" s="133">
        <v>2711.8467238692633</v>
      </c>
      <c r="Q23" s="132">
        <v>2743.9571289717915</v>
      </c>
      <c r="R23" s="133">
        <v>2801.479528222666</v>
      </c>
    </row>
    <row r="24" spans="1:18" ht="20" customHeight="1" thickBot="1">
      <c r="A24" s="351" t="s">
        <v>452</v>
      </c>
      <c r="B24" s="135">
        <v>1429.4682702806792</v>
      </c>
      <c r="C24" s="134">
        <v>1485.8653554058658</v>
      </c>
      <c r="D24" s="135">
        <v>1639.933354457901</v>
      </c>
      <c r="E24" s="134">
        <v>1738.1777471817395</v>
      </c>
      <c r="F24" s="135">
        <v>1852.0108004551998</v>
      </c>
      <c r="G24" s="134">
        <v>1922.2732444785506</v>
      </c>
      <c r="H24" s="133">
        <v>2012.6510667334403</v>
      </c>
      <c r="I24" s="132">
        <v>2114.4542305938699</v>
      </c>
      <c r="J24" s="133">
        <v>2237.9775523220655</v>
      </c>
      <c r="K24" s="132">
        <v>2393.148719176334</v>
      </c>
      <c r="L24" s="133">
        <v>2460.3605422599139</v>
      </c>
      <c r="M24" s="132">
        <v>2545.4850890291586</v>
      </c>
      <c r="N24" s="133">
        <v>2686.1960767776472</v>
      </c>
      <c r="O24" s="132">
        <v>2770.6436120190019</v>
      </c>
      <c r="P24" s="133">
        <v>2840.7292951121085</v>
      </c>
      <c r="Q24" s="132">
        <v>2884.8375522189335</v>
      </c>
      <c r="R24" s="133">
        <v>3054.6454964552313</v>
      </c>
    </row>
    <row r="25" spans="1:18" ht="20" customHeight="1" thickBot="1">
      <c r="A25" s="351" t="s">
        <v>453</v>
      </c>
      <c r="B25" s="135">
        <v>1342.7065202674826</v>
      </c>
      <c r="C25" s="134">
        <v>1570.3374919877879</v>
      </c>
      <c r="D25" s="135">
        <v>1652.8766113199713</v>
      </c>
      <c r="E25" s="134">
        <v>1750.8887056472636</v>
      </c>
      <c r="F25" s="135">
        <v>1855.7014022051633</v>
      </c>
      <c r="G25" s="134">
        <v>1940.1143816253782</v>
      </c>
      <c r="H25" s="133">
        <v>2057.2066579469329</v>
      </c>
      <c r="I25" s="132">
        <v>2180.743431865571</v>
      </c>
      <c r="J25" s="133">
        <v>2223.0911545620074</v>
      </c>
      <c r="K25" s="132">
        <v>2312.0825959535628</v>
      </c>
      <c r="L25" s="133">
        <v>2311.7021270214186</v>
      </c>
      <c r="M25" s="132">
        <v>2427.3283603554028</v>
      </c>
      <c r="N25" s="133">
        <v>2562.013551141245</v>
      </c>
      <c r="O25" s="132">
        <v>2632.2536979719862</v>
      </c>
      <c r="P25" s="133">
        <v>2672.8888973418875</v>
      </c>
      <c r="Q25" s="132">
        <v>2722.7529519413197</v>
      </c>
      <c r="R25" s="133">
        <v>2759.6433479744742</v>
      </c>
    </row>
    <row r="26" spans="1:18" ht="20" customHeight="1" thickBot="1">
      <c r="A26" s="351" t="s">
        <v>454</v>
      </c>
      <c r="B26" s="135">
        <v>2171.4885093364283</v>
      </c>
      <c r="C26" s="134">
        <v>2199.3910586957236</v>
      </c>
      <c r="D26" s="135">
        <v>2327.1740152251377</v>
      </c>
      <c r="E26" s="134">
        <v>2390.0451126756438</v>
      </c>
      <c r="F26" s="135">
        <v>2550.9286155601239</v>
      </c>
      <c r="G26" s="134">
        <v>2710.2819571003133</v>
      </c>
      <c r="H26" s="133">
        <v>2882.1202091901027</v>
      </c>
      <c r="I26" s="132">
        <v>3020.8162217619511</v>
      </c>
      <c r="J26" s="133">
        <v>3050.2880576765479</v>
      </c>
      <c r="K26" s="132">
        <v>3276.4763876393613</v>
      </c>
      <c r="L26" s="133">
        <v>3245.9822850833443</v>
      </c>
      <c r="M26" s="132">
        <v>3336.369455109575</v>
      </c>
      <c r="N26" s="133">
        <v>3340.0329329967103</v>
      </c>
      <c r="O26" s="132">
        <v>3477.2111258161954</v>
      </c>
      <c r="P26" s="133">
        <v>3545.460109774614</v>
      </c>
      <c r="Q26" s="132">
        <v>3609.3718437959019</v>
      </c>
      <c r="R26" s="133">
        <v>3568.6312202795011</v>
      </c>
    </row>
    <row r="27" spans="1:18" ht="20" customHeight="1" thickBot="1">
      <c r="A27" s="351" t="s">
        <v>455</v>
      </c>
      <c r="B27" s="135">
        <v>2196.0001181427256</v>
      </c>
      <c r="C27" s="134">
        <v>2312.9153985116523</v>
      </c>
      <c r="D27" s="135">
        <v>2379.5547012687334</v>
      </c>
      <c r="E27" s="134">
        <v>2437.7819765844547</v>
      </c>
      <c r="F27" s="135">
        <v>2594.6791528273025</v>
      </c>
      <c r="G27" s="134">
        <v>2747.8435999827625</v>
      </c>
      <c r="H27" s="133">
        <v>2831.9989479288188</v>
      </c>
      <c r="I27" s="132">
        <v>2935.9248909263811</v>
      </c>
      <c r="J27" s="133">
        <v>3069.0220677756661</v>
      </c>
      <c r="K27" s="132">
        <v>3208.854431950394</v>
      </c>
      <c r="L27" s="133">
        <v>3190.9622853292644</v>
      </c>
      <c r="M27" s="132">
        <v>3249.9276698724689</v>
      </c>
      <c r="N27" s="133">
        <v>3349.0148696133601</v>
      </c>
      <c r="O27" s="132">
        <v>3399.4617964424519</v>
      </c>
      <c r="P27" s="133">
        <v>3473.400812699404</v>
      </c>
      <c r="Q27" s="132">
        <v>3504.9561831890187</v>
      </c>
      <c r="R27" s="133">
        <v>3537.6320165717889</v>
      </c>
    </row>
    <row r="28" spans="1:18" ht="20" customHeight="1" thickBot="1">
      <c r="A28" s="351" t="s">
        <v>456</v>
      </c>
      <c r="B28" s="135">
        <v>1529.2997069405549</v>
      </c>
      <c r="C28" s="134">
        <v>1598.9573470309633</v>
      </c>
      <c r="D28" s="135">
        <v>1649.5762930398494</v>
      </c>
      <c r="E28" s="134">
        <v>1710.1863281875196</v>
      </c>
      <c r="F28" s="135">
        <v>1852.5767623993836</v>
      </c>
      <c r="G28" s="134">
        <v>1962.6067804986258</v>
      </c>
      <c r="H28" s="133">
        <v>2056.3896568427044</v>
      </c>
      <c r="I28" s="132">
        <v>2174.3919070359843</v>
      </c>
      <c r="J28" s="133">
        <v>2221.4019009546096</v>
      </c>
      <c r="K28" s="132">
        <v>2384.5717452383997</v>
      </c>
      <c r="L28" s="133">
        <v>2506.3494831859234</v>
      </c>
      <c r="M28" s="132">
        <v>2601.183630094059</v>
      </c>
      <c r="N28" s="133">
        <v>2685.0130994253459</v>
      </c>
      <c r="O28" s="132">
        <v>2772.6803746341357</v>
      </c>
      <c r="P28" s="133">
        <v>2857.2402468470991</v>
      </c>
      <c r="Q28" s="132">
        <v>2879.208823232093</v>
      </c>
      <c r="R28" s="133">
        <v>3044.2262046893625</v>
      </c>
    </row>
    <row r="29" spans="1:18" ht="20" customHeight="1" thickBot="1">
      <c r="A29" s="351" t="s">
        <v>457</v>
      </c>
      <c r="B29" s="135">
        <v>2076.9407549335065</v>
      </c>
      <c r="C29" s="134">
        <v>2239.5702695784876</v>
      </c>
      <c r="D29" s="135">
        <v>2352.8812450395053</v>
      </c>
      <c r="E29" s="134">
        <v>2208.6202351022771</v>
      </c>
      <c r="F29" s="135">
        <v>2582.3656434851941</v>
      </c>
      <c r="G29" s="134">
        <v>2681.6386618188403</v>
      </c>
      <c r="H29" s="133">
        <v>2768.6498386638364</v>
      </c>
      <c r="I29" s="132">
        <v>2947.4871467642047</v>
      </c>
      <c r="J29" s="133">
        <v>3089.0427829699011</v>
      </c>
      <c r="K29" s="132">
        <v>3090.594905291804</v>
      </c>
      <c r="L29" s="133">
        <v>2969.3815428561275</v>
      </c>
      <c r="M29" s="132">
        <v>3005.1200689069051</v>
      </c>
      <c r="N29" s="133">
        <v>3133.1891093413942</v>
      </c>
      <c r="O29" s="132">
        <v>3124.3192345399266</v>
      </c>
      <c r="P29" s="133">
        <v>3183.8834861973864</v>
      </c>
      <c r="Q29" s="132">
        <v>3235.2275940259201</v>
      </c>
      <c r="R29" s="133">
        <v>3301.3681614641973</v>
      </c>
    </row>
    <row r="30" spans="1:18" ht="20" customHeight="1" thickBot="1">
      <c r="A30" s="351" t="s">
        <v>458</v>
      </c>
      <c r="B30" s="135">
        <v>2367.8867616486314</v>
      </c>
      <c r="C30" s="134">
        <v>2588.4460852643429</v>
      </c>
      <c r="D30" s="135">
        <v>2916.0616485222708</v>
      </c>
      <c r="E30" s="134">
        <v>2922.7889453391044</v>
      </c>
      <c r="F30" s="135">
        <v>3007.6568963366376</v>
      </c>
      <c r="G30" s="134">
        <v>3241.8734679181912</v>
      </c>
      <c r="H30" s="133">
        <v>3312.0719892329316</v>
      </c>
      <c r="I30" s="132">
        <v>3345.0817824763403</v>
      </c>
      <c r="J30" s="133">
        <v>3489.8691106706706</v>
      </c>
      <c r="K30" s="132">
        <v>3736.5440264802141</v>
      </c>
      <c r="L30" s="133">
        <v>3656.1251890050253</v>
      </c>
      <c r="M30" s="132">
        <v>3713.3158063285728</v>
      </c>
      <c r="N30" s="133">
        <v>3908.4760970527641</v>
      </c>
      <c r="O30" s="132">
        <v>3903.8897362927628</v>
      </c>
      <c r="P30" s="133">
        <v>3969.8319747555565</v>
      </c>
      <c r="Q30" s="132">
        <v>4070.1311814047353</v>
      </c>
      <c r="R30" s="133">
        <v>4188.939850861897</v>
      </c>
    </row>
    <row r="31" spans="1:18" ht="20" customHeight="1" thickBot="1">
      <c r="A31" s="351" t="s">
        <v>459</v>
      </c>
      <c r="B31" s="135">
        <v>1956.0836898079381</v>
      </c>
      <c r="C31" s="134">
        <v>2103.4193264962059</v>
      </c>
      <c r="D31" s="135">
        <v>2148.2711078745106</v>
      </c>
      <c r="E31" s="134">
        <v>2397.5427637320863</v>
      </c>
      <c r="F31" s="135">
        <v>2415.5255599055658</v>
      </c>
      <c r="G31" s="134">
        <v>2508.1569315714173</v>
      </c>
      <c r="H31" s="133">
        <v>2589.3093434875859</v>
      </c>
      <c r="I31" s="132">
        <v>2494.2878799690366</v>
      </c>
      <c r="J31" s="133">
        <v>2694.2839102553153</v>
      </c>
      <c r="K31" s="132">
        <v>2916.9959025146595</v>
      </c>
      <c r="L31" s="133">
        <v>2819.9830079575136</v>
      </c>
      <c r="M31" s="132">
        <v>2971.4432956011915</v>
      </c>
      <c r="N31" s="133">
        <v>3094.6149252458663</v>
      </c>
      <c r="O31" s="132">
        <v>3159.7885826584602</v>
      </c>
      <c r="P31" s="133">
        <v>3281.9554548860724</v>
      </c>
      <c r="Q31" s="132">
        <v>3293.5016910460072</v>
      </c>
      <c r="R31" s="133">
        <v>3270.9864242509298</v>
      </c>
    </row>
    <row r="32" spans="1:18" ht="30" customHeight="1" thickBot="1">
      <c r="A32" s="352" t="s">
        <v>462</v>
      </c>
      <c r="B32" s="137">
        <v>1722.6034666050571</v>
      </c>
      <c r="C32" s="136">
        <v>1815.591817475673</v>
      </c>
      <c r="D32" s="137">
        <v>1935.2609068839854</v>
      </c>
      <c r="E32" s="136">
        <v>2010.9299604622613</v>
      </c>
      <c r="F32" s="137">
        <v>2130.500577485856</v>
      </c>
      <c r="G32" s="136">
        <v>2244.3977236150963</v>
      </c>
      <c r="H32" s="189">
        <v>2327.6302215005462</v>
      </c>
      <c r="I32" s="353">
        <v>2431.2115563163397</v>
      </c>
      <c r="J32" s="206">
        <v>2592.2163089311493</v>
      </c>
      <c r="K32" s="353">
        <v>2736.4276577385417</v>
      </c>
      <c r="L32" s="206">
        <v>2754.9413018779796</v>
      </c>
      <c r="M32" s="353">
        <v>2862.8111062906178</v>
      </c>
      <c r="N32" s="206">
        <v>2983.6153319253076</v>
      </c>
      <c r="O32" s="353">
        <v>3068.7220287020409</v>
      </c>
      <c r="P32" s="206">
        <v>3122.5601098540819</v>
      </c>
      <c r="Q32" s="353">
        <v>3170.8302082139126</v>
      </c>
      <c r="R32" s="206">
        <v>3256.6406797857449</v>
      </c>
    </row>
    <row r="33" spans="1:8" ht="20" customHeight="1">
      <c r="A33" s="130" t="s">
        <v>396</v>
      </c>
      <c r="B33" s="354"/>
      <c r="C33" s="354"/>
      <c r="D33" s="354"/>
      <c r="E33" s="354"/>
      <c r="F33" s="355"/>
      <c r="G33" s="354"/>
      <c r="H33" s="356"/>
    </row>
    <row r="34" spans="1:8" ht="15.75" customHeight="1">
      <c r="A34" s="131"/>
      <c r="B34" s="357"/>
      <c r="C34" s="357"/>
      <c r="D34" s="357"/>
      <c r="E34" s="357"/>
      <c r="F34" s="357"/>
      <c r="G34" s="357"/>
      <c r="H34" s="358"/>
    </row>
    <row r="35" spans="1:8" ht="14.25" customHeight="1">
      <c r="A35" s="359" t="s">
        <v>1670</v>
      </c>
      <c r="B35" s="357"/>
      <c r="C35" s="357"/>
      <c r="D35" s="357"/>
      <c r="E35" s="357"/>
      <c r="F35" s="357"/>
      <c r="G35" s="357"/>
      <c r="H35" s="358"/>
    </row>
    <row r="36" spans="1:8" ht="14.25" customHeight="1">
      <c r="A36" s="359" t="s">
        <v>1671</v>
      </c>
      <c r="B36" s="357"/>
      <c r="C36" s="357"/>
      <c r="D36" s="357"/>
      <c r="E36" s="357"/>
      <c r="F36" s="357"/>
      <c r="G36" s="357"/>
      <c r="H36" s="358"/>
    </row>
    <row r="37" spans="1:8" ht="13.5" customHeight="1">
      <c r="A37" s="131"/>
      <c r="B37" s="357"/>
      <c r="C37" s="357"/>
      <c r="D37" s="357"/>
      <c r="E37" s="357"/>
      <c r="F37" s="357"/>
      <c r="G37" s="357"/>
      <c r="H37" s="358"/>
    </row>
    <row r="38" spans="1:8" ht="12.75" customHeight="1">
      <c r="A38" s="131" t="s">
        <v>1672</v>
      </c>
      <c r="B38" s="357"/>
      <c r="C38" s="357"/>
      <c r="D38" s="357"/>
      <c r="E38" s="357"/>
      <c r="F38" s="357"/>
      <c r="G38" s="357"/>
      <c r="H38" s="358"/>
    </row>
    <row r="39" spans="1:8" ht="12.75" customHeight="1">
      <c r="A39" s="3" t="s">
        <v>479</v>
      </c>
      <c r="B39" s="357"/>
      <c r="C39" s="357"/>
      <c r="D39" s="357"/>
      <c r="E39" s="357"/>
      <c r="F39" s="357"/>
      <c r="G39" s="357"/>
      <c r="H39" s="358"/>
    </row>
    <row r="41" spans="1:8">
      <c r="A41" s="131"/>
    </row>
    <row r="42" spans="1:8">
      <c r="A42" s="131" t="s">
        <v>395</v>
      </c>
    </row>
  </sheetData>
  <pageMargins left="0.43307086614173229" right="0.47244094488188981" top="0.47244094488188981" bottom="0.47244094488188981" header="0.31496062992125984" footer="0.51181102362204722"/>
  <pageSetup paperSize="9" scale="64" orientation="landscape"/>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3FD8-527D-2D43-8498-F89322E064FF}">
  <sheetPr>
    <pageSetUpPr fitToPage="1"/>
  </sheetPr>
  <dimension ref="A1:R41"/>
  <sheetViews>
    <sheetView topLeftCell="D1" zoomScaleNormal="100" workbookViewId="0">
      <selection activeCell="Q2" sqref="Q2"/>
    </sheetView>
  </sheetViews>
  <sheetFormatPr baseColWidth="10" defaultColWidth="11.3984375" defaultRowHeight="13"/>
  <cols>
    <col min="1" max="1" width="15.796875" style="3" customWidth="1"/>
    <col min="2" max="15" width="11.796875" style="3" customWidth="1"/>
    <col min="16" max="18" width="11.59765625" style="3" customWidth="1"/>
    <col min="19" max="16384" width="11.3984375" style="3"/>
  </cols>
  <sheetData>
    <row r="1" spans="1:18" s="2" customFormat="1" ht="14" customHeight="1"/>
    <row r="2" spans="1:18" s="2" customFormat="1" ht="25.75" customHeight="1">
      <c r="A2" s="222" t="s">
        <v>1673</v>
      </c>
      <c r="B2" s="328"/>
      <c r="C2" s="328"/>
      <c r="D2" s="328"/>
      <c r="E2" s="328"/>
      <c r="F2" s="328"/>
      <c r="G2" s="328"/>
      <c r="H2" s="328"/>
      <c r="I2" s="222"/>
      <c r="J2" s="222"/>
      <c r="K2" s="222"/>
      <c r="L2" s="222"/>
      <c r="M2" s="222"/>
      <c r="N2" s="222"/>
      <c r="O2" s="222"/>
      <c r="P2" s="222"/>
      <c r="Q2" s="222"/>
      <c r="R2" s="222"/>
    </row>
    <row r="3" spans="1:18" ht="24" customHeight="1">
      <c r="A3" s="344" t="s">
        <v>426</v>
      </c>
      <c r="B3" s="114">
        <v>1996</v>
      </c>
      <c r="C3" s="113">
        <v>1997</v>
      </c>
      <c r="D3" s="114">
        <v>1998</v>
      </c>
      <c r="E3" s="345">
        <v>1999</v>
      </c>
      <c r="F3" s="346">
        <v>2000</v>
      </c>
      <c r="G3" s="113">
        <v>2001</v>
      </c>
      <c r="H3" s="114">
        <v>2002</v>
      </c>
      <c r="I3" s="113">
        <v>2003</v>
      </c>
      <c r="J3" s="114">
        <v>2004</v>
      </c>
      <c r="K3" s="113">
        <v>2005</v>
      </c>
      <c r="L3" s="114">
        <v>2006</v>
      </c>
      <c r="M3" s="113">
        <v>2007</v>
      </c>
      <c r="N3" s="114">
        <v>2008</v>
      </c>
      <c r="O3" s="113">
        <v>2009</v>
      </c>
      <c r="P3" s="114">
        <v>2010</v>
      </c>
      <c r="Q3" s="113">
        <v>2011</v>
      </c>
      <c r="R3" s="114">
        <v>2012</v>
      </c>
    </row>
    <row r="4" spans="1:18" ht="15" customHeight="1">
      <c r="A4" s="347"/>
      <c r="B4" s="114"/>
      <c r="C4" s="113"/>
      <c r="D4" s="114"/>
      <c r="E4" s="348"/>
      <c r="F4" s="115"/>
      <c r="G4" s="113"/>
      <c r="H4" s="114"/>
      <c r="I4" s="113"/>
      <c r="J4" s="114"/>
      <c r="K4" s="113"/>
      <c r="L4" s="114"/>
      <c r="M4" s="113"/>
      <c r="N4" s="114"/>
      <c r="O4" s="113"/>
      <c r="P4" s="114"/>
      <c r="Q4" s="113"/>
      <c r="R4" s="114"/>
    </row>
    <row r="5" spans="1:18" ht="16" customHeight="1">
      <c r="A5" s="349"/>
      <c r="B5" s="118"/>
      <c r="C5" s="117"/>
      <c r="D5" s="118"/>
      <c r="E5" s="330"/>
      <c r="F5" s="119"/>
      <c r="G5" s="117"/>
      <c r="H5" s="118"/>
      <c r="I5" s="117"/>
      <c r="J5" s="118"/>
      <c r="K5" s="117"/>
      <c r="L5" s="118"/>
      <c r="M5" s="117"/>
      <c r="N5" s="118"/>
      <c r="O5" s="117"/>
      <c r="P5" s="118"/>
      <c r="Q5" s="117"/>
      <c r="R5" s="118"/>
    </row>
    <row r="6" spans="1:18" ht="30" customHeight="1" thickBot="1">
      <c r="A6" s="350" t="s">
        <v>434</v>
      </c>
      <c r="B6" s="321">
        <v>233.35235496236601</v>
      </c>
      <c r="C6" s="320">
        <v>241.12615278522208</v>
      </c>
      <c r="D6" s="321">
        <v>288.02905364226785</v>
      </c>
      <c r="E6" s="320">
        <v>298.65160195944532</v>
      </c>
      <c r="F6" s="321">
        <v>312.9842329100602</v>
      </c>
      <c r="G6" s="320">
        <v>324.62998357200581</v>
      </c>
      <c r="H6" s="133">
        <v>336.36283542835167</v>
      </c>
      <c r="I6" s="132">
        <v>349.20490600771882</v>
      </c>
      <c r="J6" s="133">
        <v>389.260493927075</v>
      </c>
      <c r="K6" s="132">
        <v>406.53365759860662</v>
      </c>
      <c r="L6" s="133">
        <v>410.94161685251174</v>
      </c>
      <c r="M6" s="132">
        <v>426.9588857994363</v>
      </c>
      <c r="N6" s="133">
        <v>442.66141955891999</v>
      </c>
      <c r="O6" s="132">
        <v>450.51595207203582</v>
      </c>
      <c r="P6" s="133">
        <v>450.08688048681188</v>
      </c>
      <c r="Q6" s="132">
        <v>464.92625202393612</v>
      </c>
      <c r="R6" s="133">
        <v>473.96354610223665</v>
      </c>
    </row>
    <row r="7" spans="1:18" ht="20" customHeight="1" thickBot="1">
      <c r="A7" s="351" t="s">
        <v>435</v>
      </c>
      <c r="B7" s="135">
        <v>237.6077132116302</v>
      </c>
      <c r="C7" s="134">
        <v>254.29196483611372</v>
      </c>
      <c r="D7" s="135">
        <v>290.23031121517556</v>
      </c>
      <c r="E7" s="134">
        <v>305.20165981480295</v>
      </c>
      <c r="F7" s="135">
        <v>321.67071389780745</v>
      </c>
      <c r="G7" s="134">
        <v>327.5433148690322</v>
      </c>
      <c r="H7" s="133">
        <v>337.12449180637987</v>
      </c>
      <c r="I7" s="132">
        <v>353.20712208069472</v>
      </c>
      <c r="J7" s="133">
        <v>388.04958315794829</v>
      </c>
      <c r="K7" s="132">
        <v>406.41314713126121</v>
      </c>
      <c r="L7" s="133">
        <v>411.94314916193935</v>
      </c>
      <c r="M7" s="132">
        <v>428.12210531071014</v>
      </c>
      <c r="N7" s="133">
        <v>442.20792301242318</v>
      </c>
      <c r="O7" s="132">
        <v>448.87438233297325</v>
      </c>
      <c r="P7" s="133">
        <v>441.792342530935</v>
      </c>
      <c r="Q7" s="132">
        <v>459.4180388230651</v>
      </c>
      <c r="R7" s="133">
        <v>471.38250839648327</v>
      </c>
    </row>
    <row r="8" spans="1:18" ht="20" customHeight="1" thickBot="1">
      <c r="A8" s="351" t="s">
        <v>436</v>
      </c>
      <c r="B8" s="135">
        <v>179.58188015983001</v>
      </c>
      <c r="C8" s="134">
        <v>185.37108979831305</v>
      </c>
      <c r="D8" s="135">
        <v>223.46252715353921</v>
      </c>
      <c r="E8" s="134">
        <v>231.83313402359317</v>
      </c>
      <c r="F8" s="135">
        <v>242.07565128594979</v>
      </c>
      <c r="G8" s="134">
        <v>253.79626568388267</v>
      </c>
      <c r="H8" s="133">
        <v>261.14130835872152</v>
      </c>
      <c r="I8" s="132">
        <v>272.02762715132553</v>
      </c>
      <c r="J8" s="133">
        <v>314.8156455265314</v>
      </c>
      <c r="K8" s="132">
        <v>332.80849069109854</v>
      </c>
      <c r="L8" s="133">
        <v>333.45356513572938</v>
      </c>
      <c r="M8" s="132">
        <v>349.49195040990344</v>
      </c>
      <c r="N8" s="133">
        <v>362.63087179782042</v>
      </c>
      <c r="O8" s="132">
        <v>373.99902367675031</v>
      </c>
      <c r="P8" s="133">
        <v>379.87019714343432</v>
      </c>
      <c r="Q8" s="132">
        <v>397.75270208962581</v>
      </c>
      <c r="R8" s="133">
        <v>413.40149850155291</v>
      </c>
    </row>
    <row r="9" spans="1:18" ht="20" customHeight="1" thickBot="1">
      <c r="A9" s="351" t="s">
        <v>437</v>
      </c>
      <c r="B9" s="135">
        <v>189.59337489112431</v>
      </c>
      <c r="C9" s="134">
        <v>199.6587939094577</v>
      </c>
      <c r="D9" s="135">
        <v>231.04149489699967</v>
      </c>
      <c r="E9" s="134">
        <v>247.66979927619195</v>
      </c>
      <c r="F9" s="135">
        <v>257.20746139396988</v>
      </c>
      <c r="G9" s="134">
        <v>273.27696231366895</v>
      </c>
      <c r="H9" s="133">
        <v>273.39404246303752</v>
      </c>
      <c r="I9" s="132">
        <v>285.63528903150814</v>
      </c>
      <c r="J9" s="133">
        <v>319.18624012833834</v>
      </c>
      <c r="K9" s="132">
        <v>340.94681606129916</v>
      </c>
      <c r="L9" s="133">
        <v>345.66780687385381</v>
      </c>
      <c r="M9" s="132">
        <v>375.44264100406508</v>
      </c>
      <c r="N9" s="133">
        <v>377.7500809772564</v>
      </c>
      <c r="O9" s="132">
        <v>383.73173683185132</v>
      </c>
      <c r="P9" s="133">
        <v>386.42642646622971</v>
      </c>
      <c r="Q9" s="132">
        <v>397.33980203053397</v>
      </c>
      <c r="R9" s="133">
        <v>406.57676396934517</v>
      </c>
    </row>
    <row r="10" spans="1:18" ht="20" customHeight="1" thickBot="1">
      <c r="A10" s="351" t="s">
        <v>438</v>
      </c>
      <c r="B10" s="135">
        <v>188.02085864401874</v>
      </c>
      <c r="C10" s="134">
        <v>195.19080343355449</v>
      </c>
      <c r="D10" s="135">
        <v>231.07689134369252</v>
      </c>
      <c r="E10" s="134">
        <v>249.54171604600674</v>
      </c>
      <c r="F10" s="135">
        <v>256.80376828818021</v>
      </c>
      <c r="G10" s="134">
        <v>280.35701774313293</v>
      </c>
      <c r="H10" s="133">
        <v>286.45054334520023</v>
      </c>
      <c r="I10" s="132">
        <v>306.68619909340146</v>
      </c>
      <c r="J10" s="133">
        <v>337.15627769081289</v>
      </c>
      <c r="K10" s="132">
        <v>361.59632200614965</v>
      </c>
      <c r="L10" s="133">
        <v>370.41582299334982</v>
      </c>
      <c r="M10" s="132">
        <v>385.24276817589748</v>
      </c>
      <c r="N10" s="133">
        <v>401.06924226144611</v>
      </c>
      <c r="O10" s="132">
        <v>419.43124787342049</v>
      </c>
      <c r="P10" s="133">
        <v>417.76350066581199</v>
      </c>
      <c r="Q10" s="132">
        <v>439.99973966427484</v>
      </c>
      <c r="R10" s="133">
        <v>456.19371577111207</v>
      </c>
    </row>
    <row r="11" spans="1:18" ht="20" customHeight="1" thickBot="1">
      <c r="A11" s="351" t="s">
        <v>439</v>
      </c>
      <c r="B11" s="135">
        <v>178.51445208136647</v>
      </c>
      <c r="C11" s="134">
        <v>189.64128645372716</v>
      </c>
      <c r="D11" s="135">
        <v>228.0300155206462</v>
      </c>
      <c r="E11" s="134">
        <v>243.86399097037565</v>
      </c>
      <c r="F11" s="135">
        <v>253.47438550439165</v>
      </c>
      <c r="G11" s="134">
        <v>258.85314232185783</v>
      </c>
      <c r="H11" s="133">
        <v>267.3999382203092</v>
      </c>
      <c r="I11" s="132">
        <v>275.17617507846808</v>
      </c>
      <c r="J11" s="133">
        <v>310.87344221905232</v>
      </c>
      <c r="K11" s="132">
        <v>333.9060218883842</v>
      </c>
      <c r="L11" s="133">
        <v>335.96305749964631</v>
      </c>
      <c r="M11" s="132">
        <v>355.98020170099699</v>
      </c>
      <c r="N11" s="133">
        <v>371.31082792927918</v>
      </c>
      <c r="O11" s="132">
        <v>376.32553235799469</v>
      </c>
      <c r="P11" s="133">
        <v>374.8804186781565</v>
      </c>
      <c r="Q11" s="132">
        <v>396.56336949927976</v>
      </c>
      <c r="R11" s="133">
        <v>406.87201504054002</v>
      </c>
    </row>
    <row r="12" spans="1:18" ht="20" customHeight="1" thickBot="1">
      <c r="A12" s="351" t="s">
        <v>440</v>
      </c>
      <c r="B12" s="135">
        <v>177.92915606091447</v>
      </c>
      <c r="C12" s="134">
        <v>182.790763053099</v>
      </c>
      <c r="D12" s="135">
        <v>213.52836442886678</v>
      </c>
      <c r="E12" s="134">
        <v>227.25407330511803</v>
      </c>
      <c r="F12" s="135">
        <v>243.36842434049117</v>
      </c>
      <c r="G12" s="134">
        <v>249.754000725369</v>
      </c>
      <c r="H12" s="133">
        <v>264.52697997760174</v>
      </c>
      <c r="I12" s="132">
        <v>273.60031904227685</v>
      </c>
      <c r="J12" s="133">
        <v>301.3052953791971</v>
      </c>
      <c r="K12" s="132">
        <v>317.90270985290749</v>
      </c>
      <c r="L12" s="133">
        <v>334.55339690649794</v>
      </c>
      <c r="M12" s="132">
        <v>349.2970571527012</v>
      </c>
      <c r="N12" s="133">
        <v>367.87176441720248</v>
      </c>
      <c r="O12" s="132">
        <v>378.36458346712379</v>
      </c>
      <c r="P12" s="133">
        <v>383.50721454307291</v>
      </c>
      <c r="Q12" s="132">
        <v>390.64903055720464</v>
      </c>
      <c r="R12" s="133">
        <v>411.52688279870938</v>
      </c>
    </row>
    <row r="13" spans="1:18" ht="20" customHeight="1" thickBot="1">
      <c r="A13" s="351" t="s">
        <v>441</v>
      </c>
      <c r="B13" s="135">
        <v>202.44912420656647</v>
      </c>
      <c r="C13" s="134">
        <v>207.59861680664721</v>
      </c>
      <c r="D13" s="135">
        <v>243.63195342533959</v>
      </c>
      <c r="E13" s="134">
        <v>263.86720716437958</v>
      </c>
      <c r="F13" s="135">
        <v>271.99305546167852</v>
      </c>
      <c r="G13" s="134">
        <v>288.56309152093741</v>
      </c>
      <c r="H13" s="133">
        <v>295.12606460770166</v>
      </c>
      <c r="I13" s="132">
        <v>309.65214527230773</v>
      </c>
      <c r="J13" s="133">
        <v>351.93899902510861</v>
      </c>
      <c r="K13" s="132">
        <v>378.28984618651111</v>
      </c>
      <c r="L13" s="133">
        <v>384.38664599749586</v>
      </c>
      <c r="M13" s="132">
        <v>380.51833358133649</v>
      </c>
      <c r="N13" s="133">
        <v>399.89770699623432</v>
      </c>
      <c r="O13" s="132">
        <v>409.22404812160858</v>
      </c>
      <c r="P13" s="133">
        <v>415.89317790064797</v>
      </c>
      <c r="Q13" s="132">
        <v>425.37201598719065</v>
      </c>
      <c r="R13" s="133">
        <v>439.96629711639679</v>
      </c>
    </row>
    <row r="14" spans="1:18" ht="20" customHeight="1" thickBot="1">
      <c r="A14" s="351" t="s">
        <v>442</v>
      </c>
      <c r="B14" s="135">
        <v>186.77842057375869</v>
      </c>
      <c r="C14" s="134">
        <v>208.67020291070639</v>
      </c>
      <c r="D14" s="135">
        <v>246.11438702257215</v>
      </c>
      <c r="E14" s="134">
        <v>259.17815791736621</v>
      </c>
      <c r="F14" s="135">
        <v>271.15526670975078</v>
      </c>
      <c r="G14" s="134">
        <v>282.57219148644072</v>
      </c>
      <c r="H14" s="133">
        <v>293.31429498906846</v>
      </c>
      <c r="I14" s="132">
        <v>302.96829654711496</v>
      </c>
      <c r="J14" s="133">
        <v>331.49187870019614</v>
      </c>
      <c r="K14" s="132">
        <v>349.57643835558292</v>
      </c>
      <c r="L14" s="133">
        <v>355.47894546396446</v>
      </c>
      <c r="M14" s="132">
        <v>369.7225911365681</v>
      </c>
      <c r="N14" s="133">
        <v>384.07581337563897</v>
      </c>
      <c r="O14" s="132">
        <v>399.66443353648992</v>
      </c>
      <c r="P14" s="133">
        <v>398.36630919634536</v>
      </c>
      <c r="Q14" s="132">
        <v>415.73174256788059</v>
      </c>
      <c r="R14" s="133">
        <v>427.75893772942243</v>
      </c>
    </row>
    <row r="15" spans="1:18" ht="20" customHeight="1" thickBot="1">
      <c r="A15" s="351" t="s">
        <v>443</v>
      </c>
      <c r="B15" s="135">
        <v>236.41111931924934</v>
      </c>
      <c r="C15" s="134">
        <v>250.32683485975099</v>
      </c>
      <c r="D15" s="135">
        <v>295.5563547540869</v>
      </c>
      <c r="E15" s="134">
        <v>308.53341422500898</v>
      </c>
      <c r="F15" s="135">
        <v>311.86589912896557</v>
      </c>
      <c r="G15" s="134">
        <v>328.42898245840456</v>
      </c>
      <c r="H15" s="133">
        <v>340.34822486756639</v>
      </c>
      <c r="I15" s="132">
        <v>346.50692394962357</v>
      </c>
      <c r="J15" s="133">
        <v>370.59988068369989</v>
      </c>
      <c r="K15" s="132">
        <v>388.16630227150836</v>
      </c>
      <c r="L15" s="133">
        <v>391.96475376295848</v>
      </c>
      <c r="M15" s="132">
        <v>406.10705466921991</v>
      </c>
      <c r="N15" s="133">
        <v>413.02910980457409</v>
      </c>
      <c r="O15" s="132">
        <v>423.07649463467123</v>
      </c>
      <c r="P15" s="133">
        <v>420.37141213536597</v>
      </c>
      <c r="Q15" s="132">
        <v>435.34744823768494</v>
      </c>
      <c r="R15" s="133">
        <v>438.45369438879868</v>
      </c>
    </row>
    <row r="16" spans="1:18" ht="20" customHeight="1" thickBot="1">
      <c r="A16" s="351" t="s">
        <v>444</v>
      </c>
      <c r="B16" s="135">
        <v>222.03730834172188</v>
      </c>
      <c r="C16" s="134">
        <v>234.51924006812987</v>
      </c>
      <c r="D16" s="135">
        <v>273.19762237178929</v>
      </c>
      <c r="E16" s="134">
        <v>286.54799681487748</v>
      </c>
      <c r="F16" s="135">
        <v>302.13721717341218</v>
      </c>
      <c r="G16" s="134">
        <v>311.51283491587697</v>
      </c>
      <c r="H16" s="133">
        <v>324.00898462665532</v>
      </c>
      <c r="I16" s="132">
        <v>337.23386810636634</v>
      </c>
      <c r="J16" s="133">
        <v>365.90723821575921</v>
      </c>
      <c r="K16" s="132">
        <v>389.21286319664887</v>
      </c>
      <c r="L16" s="133">
        <v>396.50644375843922</v>
      </c>
      <c r="M16" s="132">
        <v>411.41761610787898</v>
      </c>
      <c r="N16" s="133">
        <v>431.20492121828511</v>
      </c>
      <c r="O16" s="132">
        <v>433.56137010910197</v>
      </c>
      <c r="P16" s="133">
        <v>432.83516394968956</v>
      </c>
      <c r="Q16" s="132">
        <v>447.93788232235937</v>
      </c>
      <c r="R16" s="133">
        <v>463.80934733409407</v>
      </c>
    </row>
    <row r="17" spans="1:18" ht="20" customHeight="1" thickBot="1">
      <c r="A17" s="351" t="s">
        <v>445</v>
      </c>
      <c r="B17" s="135">
        <v>272.8488325513008</v>
      </c>
      <c r="C17" s="134">
        <v>294.22515233484864</v>
      </c>
      <c r="D17" s="135">
        <v>351.21798398738792</v>
      </c>
      <c r="E17" s="134">
        <v>364.42760172274484</v>
      </c>
      <c r="F17" s="135">
        <v>370.39134274356957</v>
      </c>
      <c r="G17" s="134">
        <v>392.37582957068526</v>
      </c>
      <c r="H17" s="133">
        <v>396.18449151435743</v>
      </c>
      <c r="I17" s="132">
        <v>418.3832474602541</v>
      </c>
      <c r="J17" s="133">
        <v>446.98786250878084</v>
      </c>
      <c r="K17" s="132">
        <v>469.00007995425813</v>
      </c>
      <c r="L17" s="133">
        <v>468.00178609834074</v>
      </c>
      <c r="M17" s="132">
        <v>474.37828727358328</v>
      </c>
      <c r="N17" s="133">
        <v>488.22264214640381</v>
      </c>
      <c r="O17" s="132">
        <v>486.58326690914828</v>
      </c>
      <c r="P17" s="133">
        <v>486.53748843341646</v>
      </c>
      <c r="Q17" s="132">
        <v>542.38626219356308</v>
      </c>
      <c r="R17" s="133">
        <v>545.4313085524999</v>
      </c>
    </row>
    <row r="18" spans="1:18" ht="20" customHeight="1" thickBot="1">
      <c r="A18" s="351" t="s">
        <v>446</v>
      </c>
      <c r="B18" s="135">
        <v>244.00898768079105</v>
      </c>
      <c r="C18" s="134">
        <v>263.59866478576328</v>
      </c>
      <c r="D18" s="135">
        <v>305.67107758536281</v>
      </c>
      <c r="E18" s="134">
        <v>322.66615301145885</v>
      </c>
      <c r="F18" s="135">
        <v>334.74259361880286</v>
      </c>
      <c r="G18" s="134">
        <v>351.03465657829429</v>
      </c>
      <c r="H18" s="133">
        <v>365.52851672511406</v>
      </c>
      <c r="I18" s="132">
        <v>383.48774622409474</v>
      </c>
      <c r="J18" s="133">
        <v>415.44185689878486</v>
      </c>
      <c r="K18" s="132">
        <v>443.01200779340797</v>
      </c>
      <c r="L18" s="133">
        <v>451.53305346928482</v>
      </c>
      <c r="M18" s="132">
        <v>473.29031085911447</v>
      </c>
      <c r="N18" s="133">
        <v>491.00712171621171</v>
      </c>
      <c r="O18" s="132">
        <v>496.92906664060547</v>
      </c>
      <c r="P18" s="133">
        <v>491.99580639889427</v>
      </c>
      <c r="Q18" s="132">
        <v>517.11381391790371</v>
      </c>
      <c r="R18" s="133">
        <v>530.49403628157143</v>
      </c>
    </row>
    <row r="19" spans="1:18" ht="20" customHeight="1" thickBot="1">
      <c r="A19" s="351" t="s">
        <v>447</v>
      </c>
      <c r="B19" s="135">
        <v>222.64829733491706</v>
      </c>
      <c r="C19" s="134">
        <v>234.17222487940489</v>
      </c>
      <c r="D19" s="135">
        <v>267.83543445046939</v>
      </c>
      <c r="E19" s="134">
        <v>291.65075431647347</v>
      </c>
      <c r="F19" s="135">
        <v>304.42752625478488</v>
      </c>
      <c r="G19" s="134">
        <v>320.58970750917047</v>
      </c>
      <c r="H19" s="133">
        <v>324.78125799661234</v>
      </c>
      <c r="I19" s="132">
        <v>332.4739578155959</v>
      </c>
      <c r="J19" s="133">
        <v>374.20785181571046</v>
      </c>
      <c r="K19" s="132">
        <v>394.49213534015098</v>
      </c>
      <c r="L19" s="133">
        <v>407.21727133935156</v>
      </c>
      <c r="M19" s="132">
        <v>421.00835772791334</v>
      </c>
      <c r="N19" s="133">
        <v>430.15016565176074</v>
      </c>
      <c r="O19" s="132">
        <v>436.48673225009907</v>
      </c>
      <c r="P19" s="133">
        <v>437.94792943029097</v>
      </c>
      <c r="Q19" s="132">
        <v>448.91412354158552</v>
      </c>
      <c r="R19" s="133">
        <v>457.66425242281753</v>
      </c>
    </row>
    <row r="20" spans="1:18" ht="20" customHeight="1" thickBot="1">
      <c r="A20" s="351" t="s">
        <v>448</v>
      </c>
      <c r="B20" s="135">
        <v>182.14749716421738</v>
      </c>
      <c r="C20" s="134">
        <v>188.79514196149626</v>
      </c>
      <c r="D20" s="135">
        <v>216.44350034098602</v>
      </c>
      <c r="E20" s="134">
        <v>229.62698042307284</v>
      </c>
      <c r="F20" s="135">
        <v>241.98349547653311</v>
      </c>
      <c r="G20" s="134">
        <v>254.95271426425484</v>
      </c>
      <c r="H20" s="133">
        <v>264.76605423019578</v>
      </c>
      <c r="I20" s="132">
        <v>283.29617470802941</v>
      </c>
      <c r="J20" s="133">
        <v>319.51328079608584</v>
      </c>
      <c r="K20" s="132">
        <v>338.04503402853993</v>
      </c>
      <c r="L20" s="133">
        <v>342.03791626091311</v>
      </c>
      <c r="M20" s="132">
        <v>353.15659648063411</v>
      </c>
      <c r="N20" s="133">
        <v>367.09197170155244</v>
      </c>
      <c r="O20" s="132">
        <v>377.34542488670513</v>
      </c>
      <c r="P20" s="133">
        <v>380.90846329446413</v>
      </c>
      <c r="Q20" s="132">
        <v>398.28619462998171</v>
      </c>
      <c r="R20" s="133">
        <v>407.5006102120002</v>
      </c>
    </row>
    <row r="21" spans="1:18" ht="20" customHeight="1" thickBot="1">
      <c r="A21" s="351" t="s">
        <v>449</v>
      </c>
      <c r="B21" s="135">
        <v>157.39716198436213</v>
      </c>
      <c r="C21" s="134">
        <v>153.21501816150158</v>
      </c>
      <c r="D21" s="135">
        <v>176.19673363609945</v>
      </c>
      <c r="E21" s="134">
        <v>193.02690675696454</v>
      </c>
      <c r="F21" s="135">
        <v>209.41757247183909</v>
      </c>
      <c r="G21" s="134">
        <v>224.87005774466866</v>
      </c>
      <c r="H21" s="133">
        <v>239.03084633068306</v>
      </c>
      <c r="I21" s="132">
        <v>245.9792033171293</v>
      </c>
      <c r="J21" s="133">
        <v>274.7106335211231</v>
      </c>
      <c r="K21" s="132">
        <v>293.11371686665984</v>
      </c>
      <c r="L21" s="133">
        <v>295.92433225573495</v>
      </c>
      <c r="M21" s="132">
        <v>308.42929598410979</v>
      </c>
      <c r="N21" s="133">
        <v>340.31431596128891</v>
      </c>
      <c r="O21" s="132">
        <v>342.42358695596681</v>
      </c>
      <c r="P21" s="133">
        <v>348.09662618392349</v>
      </c>
      <c r="Q21" s="132">
        <v>373.3623111373841</v>
      </c>
      <c r="R21" s="133">
        <v>382.85896900100397</v>
      </c>
    </row>
    <row r="22" spans="1:18" ht="20" customHeight="1" thickBot="1">
      <c r="A22" s="351" t="s">
        <v>450</v>
      </c>
      <c r="B22" s="135">
        <v>189.85490562184896</v>
      </c>
      <c r="C22" s="134">
        <v>201.74454467196119</v>
      </c>
      <c r="D22" s="135">
        <v>235.52252887290842</v>
      </c>
      <c r="E22" s="134">
        <v>252.2707487750472</v>
      </c>
      <c r="F22" s="135">
        <v>261.3854633196936</v>
      </c>
      <c r="G22" s="134">
        <v>274.86573038734196</v>
      </c>
      <c r="H22" s="133">
        <v>287.88528097620951</v>
      </c>
      <c r="I22" s="132">
        <v>304.60188537958857</v>
      </c>
      <c r="J22" s="133">
        <v>343.30152619425371</v>
      </c>
      <c r="K22" s="132">
        <v>362.09876670688323</v>
      </c>
      <c r="L22" s="133">
        <v>371.26240171984045</v>
      </c>
      <c r="M22" s="132">
        <v>371.28536395652509</v>
      </c>
      <c r="N22" s="133">
        <v>387.93251706008141</v>
      </c>
      <c r="O22" s="132">
        <v>400.85100322578364</v>
      </c>
      <c r="P22" s="133">
        <v>405.43029900858028</v>
      </c>
      <c r="Q22" s="132">
        <v>425.45078411133426</v>
      </c>
      <c r="R22" s="133">
        <v>437.53845733566965</v>
      </c>
    </row>
    <row r="23" spans="1:18" ht="20" customHeight="1" thickBot="1">
      <c r="A23" s="351" t="s">
        <v>451</v>
      </c>
      <c r="B23" s="135">
        <v>182.81328847222653</v>
      </c>
      <c r="C23" s="134">
        <v>173.66858262166511</v>
      </c>
      <c r="D23" s="135">
        <v>216.2915030518875</v>
      </c>
      <c r="E23" s="134">
        <v>238.90713217656003</v>
      </c>
      <c r="F23" s="135">
        <v>255.53328134115009</v>
      </c>
      <c r="G23" s="134">
        <v>268.91773678022491</v>
      </c>
      <c r="H23" s="133">
        <v>284.02544197576526</v>
      </c>
      <c r="I23" s="132">
        <v>294.28046670179197</v>
      </c>
      <c r="J23" s="133">
        <v>344.92066653901338</v>
      </c>
      <c r="K23" s="132">
        <v>359.41517796564017</v>
      </c>
      <c r="L23" s="133">
        <v>364.74597406984253</v>
      </c>
      <c r="M23" s="132">
        <v>367.69609212743808</v>
      </c>
      <c r="N23" s="133">
        <v>380.33362416821592</v>
      </c>
      <c r="O23" s="132">
        <v>392.31713740851865</v>
      </c>
      <c r="P23" s="133">
        <v>393.07080980562023</v>
      </c>
      <c r="Q23" s="132">
        <v>411.83702921706305</v>
      </c>
      <c r="R23" s="133">
        <v>420.43594419429417</v>
      </c>
    </row>
    <row r="24" spans="1:18" ht="20" customHeight="1" thickBot="1">
      <c r="A24" s="351" t="s">
        <v>452</v>
      </c>
      <c r="B24" s="135">
        <v>200.87186324123422</v>
      </c>
      <c r="C24" s="134">
        <v>206.93301112714244</v>
      </c>
      <c r="D24" s="135">
        <v>246.20994355120661</v>
      </c>
      <c r="E24" s="134">
        <v>260.43510706738448</v>
      </c>
      <c r="F24" s="135">
        <v>274.33485885573441</v>
      </c>
      <c r="G24" s="134">
        <v>286.10750661734505</v>
      </c>
      <c r="H24" s="133">
        <v>299.92768220867697</v>
      </c>
      <c r="I24" s="132">
        <v>309.93435854180279</v>
      </c>
      <c r="J24" s="133">
        <v>345.18784655107629</v>
      </c>
      <c r="K24" s="132">
        <v>367.24479202465523</v>
      </c>
      <c r="L24" s="133">
        <v>374.55378500482584</v>
      </c>
      <c r="M24" s="132">
        <v>386.30527919272117</v>
      </c>
      <c r="N24" s="133">
        <v>402.61815271893693</v>
      </c>
      <c r="O24" s="132">
        <v>411.36913635652763</v>
      </c>
      <c r="P24" s="133">
        <v>414.80628449684991</v>
      </c>
      <c r="Q24" s="132">
        <v>431.09941705649862</v>
      </c>
      <c r="R24" s="133">
        <v>447.19692351940358</v>
      </c>
    </row>
    <row r="25" spans="1:18" ht="20" customHeight="1" thickBot="1">
      <c r="A25" s="351" t="s">
        <v>453</v>
      </c>
      <c r="B25" s="135">
        <v>177.92178571585623</v>
      </c>
      <c r="C25" s="134">
        <v>202.07640346015182</v>
      </c>
      <c r="D25" s="135">
        <v>234.78927831962437</v>
      </c>
      <c r="E25" s="134">
        <v>249.15240587320409</v>
      </c>
      <c r="F25" s="135">
        <v>261.86199082286089</v>
      </c>
      <c r="G25" s="134">
        <v>275.48017608434634</v>
      </c>
      <c r="H25" s="133">
        <v>288.09521673651739</v>
      </c>
      <c r="I25" s="132">
        <v>307.91738634208173</v>
      </c>
      <c r="J25" s="133">
        <v>335.804604806719</v>
      </c>
      <c r="K25" s="132">
        <v>352.70547782392464</v>
      </c>
      <c r="L25" s="133">
        <v>362.16557234624338</v>
      </c>
      <c r="M25" s="132">
        <v>377.10589457551396</v>
      </c>
      <c r="N25" s="133">
        <v>391.7979561776915</v>
      </c>
      <c r="O25" s="132">
        <v>400.59955829122237</v>
      </c>
      <c r="P25" s="133">
        <v>401.88218001412952</v>
      </c>
      <c r="Q25" s="132">
        <v>419.35699428379877</v>
      </c>
      <c r="R25" s="133">
        <v>424.6397084312589</v>
      </c>
    </row>
    <row r="26" spans="1:18" ht="20" customHeight="1" thickBot="1">
      <c r="A26" s="351" t="s">
        <v>454</v>
      </c>
      <c r="B26" s="135">
        <v>274.685846405451</v>
      </c>
      <c r="C26" s="134">
        <v>288.86326680580942</v>
      </c>
      <c r="D26" s="135">
        <v>350.59222592715628</v>
      </c>
      <c r="E26" s="134">
        <v>371.1793743774972</v>
      </c>
      <c r="F26" s="135">
        <v>384.82426358125031</v>
      </c>
      <c r="G26" s="134">
        <v>401.86707367914369</v>
      </c>
      <c r="H26" s="133">
        <v>418.66660167433292</v>
      </c>
      <c r="I26" s="132">
        <v>423.27563970057872</v>
      </c>
      <c r="J26" s="133">
        <v>445.75338787702094</v>
      </c>
      <c r="K26" s="132">
        <v>477.87272906901626</v>
      </c>
      <c r="L26" s="133">
        <v>469.75283360733874</v>
      </c>
      <c r="M26" s="132">
        <v>474.52145046912983</v>
      </c>
      <c r="N26" s="133">
        <v>474.56797687566586</v>
      </c>
      <c r="O26" s="132">
        <v>485.04982740636706</v>
      </c>
      <c r="P26" s="133">
        <v>486.43955680505178</v>
      </c>
      <c r="Q26" s="132">
        <v>500.99841195883732</v>
      </c>
      <c r="R26" s="133">
        <v>514.37602723134489</v>
      </c>
    </row>
    <row r="27" spans="1:18" ht="20" customHeight="1" thickBot="1">
      <c r="A27" s="351" t="s">
        <v>455</v>
      </c>
      <c r="B27" s="135">
        <v>297.92578868154919</v>
      </c>
      <c r="C27" s="134">
        <v>315.21305480329238</v>
      </c>
      <c r="D27" s="135">
        <v>360.49080935832012</v>
      </c>
      <c r="E27" s="134">
        <v>370.87566666329349</v>
      </c>
      <c r="F27" s="135">
        <v>392.85442097156647</v>
      </c>
      <c r="G27" s="134">
        <v>413.64298778568673</v>
      </c>
      <c r="H27" s="133">
        <v>421.60291558296649</v>
      </c>
      <c r="I27" s="132">
        <v>421.58948730521797</v>
      </c>
      <c r="J27" s="133">
        <v>440.37474568421067</v>
      </c>
      <c r="K27" s="132">
        <v>452.94939064697701</v>
      </c>
      <c r="L27" s="133">
        <v>457.97141570633721</v>
      </c>
      <c r="M27" s="132">
        <v>468.97399530498024</v>
      </c>
      <c r="N27" s="133">
        <v>478.35789930379451</v>
      </c>
      <c r="O27" s="132">
        <v>474.52889136233489</v>
      </c>
      <c r="P27" s="133">
        <v>471.26917591697656</v>
      </c>
      <c r="Q27" s="132">
        <v>478.98409575565353</v>
      </c>
      <c r="R27" s="133">
        <v>488.90420857199376</v>
      </c>
    </row>
    <row r="28" spans="1:18" ht="20" customHeight="1" thickBot="1">
      <c r="A28" s="351" t="s">
        <v>456</v>
      </c>
      <c r="B28" s="135">
        <v>222.65932497994868</v>
      </c>
      <c r="C28" s="134">
        <v>237.11203720033882</v>
      </c>
      <c r="D28" s="135">
        <v>273.06383742196681</v>
      </c>
      <c r="E28" s="134">
        <v>276.59700419576598</v>
      </c>
      <c r="F28" s="135">
        <v>296.22330278323102</v>
      </c>
      <c r="G28" s="134">
        <v>307.08772204781963</v>
      </c>
      <c r="H28" s="133">
        <v>317.23299596450192</v>
      </c>
      <c r="I28" s="132">
        <v>322.78017100526881</v>
      </c>
      <c r="J28" s="133">
        <v>347.965868451804</v>
      </c>
      <c r="K28" s="132">
        <v>365.71522982610782</v>
      </c>
      <c r="L28" s="133">
        <v>373.61976618289145</v>
      </c>
      <c r="M28" s="132">
        <v>383.34347766057817</v>
      </c>
      <c r="N28" s="133">
        <v>392.30936706911098</v>
      </c>
      <c r="O28" s="132">
        <v>397.79263488074866</v>
      </c>
      <c r="P28" s="133">
        <v>402.82987469265618</v>
      </c>
      <c r="Q28" s="132">
        <v>418.13891527653328</v>
      </c>
      <c r="R28" s="133">
        <v>434.63642842631936</v>
      </c>
    </row>
    <row r="29" spans="1:18" ht="20" customHeight="1" thickBot="1">
      <c r="A29" s="351" t="s">
        <v>457</v>
      </c>
      <c r="B29" s="135">
        <v>258.01694682038283</v>
      </c>
      <c r="C29" s="134">
        <v>278.24133695950013</v>
      </c>
      <c r="D29" s="135">
        <v>331.12048728808713</v>
      </c>
      <c r="E29" s="134">
        <v>326.87490511353712</v>
      </c>
      <c r="F29" s="135">
        <v>355.25336161642372</v>
      </c>
      <c r="G29" s="134">
        <v>365.77496638861567</v>
      </c>
      <c r="H29" s="133">
        <v>381.28454593334482</v>
      </c>
      <c r="I29" s="132">
        <v>387.44095610783324</v>
      </c>
      <c r="J29" s="133">
        <v>408.183570011337</v>
      </c>
      <c r="K29" s="132">
        <v>415.17506897250178</v>
      </c>
      <c r="L29" s="133">
        <v>404.55241842062469</v>
      </c>
      <c r="M29" s="132">
        <v>405.89087932730945</v>
      </c>
      <c r="N29" s="133">
        <v>426.3751871590166</v>
      </c>
      <c r="O29" s="132">
        <v>423.66678533300365</v>
      </c>
      <c r="P29" s="133">
        <v>418.25054453111716</v>
      </c>
      <c r="Q29" s="132">
        <v>423.47520140824128</v>
      </c>
      <c r="R29" s="133">
        <v>429.37377057666112</v>
      </c>
    </row>
    <row r="30" spans="1:18" ht="20" customHeight="1" thickBot="1">
      <c r="A30" s="351" t="s">
        <v>458</v>
      </c>
      <c r="B30" s="135">
        <v>297.18116917660109</v>
      </c>
      <c r="C30" s="134">
        <v>329.12460372797113</v>
      </c>
      <c r="D30" s="135">
        <v>393.38859336059659</v>
      </c>
      <c r="E30" s="134">
        <v>405.57356456628122</v>
      </c>
      <c r="F30" s="135">
        <v>409.31447251490636</v>
      </c>
      <c r="G30" s="134">
        <v>436.78852685410175</v>
      </c>
      <c r="H30" s="133">
        <v>464.72184639424086</v>
      </c>
      <c r="I30" s="132">
        <v>452.32329732259041</v>
      </c>
      <c r="J30" s="133">
        <v>479.4898603693855</v>
      </c>
      <c r="K30" s="132">
        <v>503.20564072566685</v>
      </c>
      <c r="L30" s="133">
        <v>488.6066162416746</v>
      </c>
      <c r="M30" s="132">
        <v>497.44387507258716</v>
      </c>
      <c r="N30" s="133">
        <v>510.401474562781</v>
      </c>
      <c r="O30" s="132">
        <v>508.4046224559338</v>
      </c>
      <c r="P30" s="133">
        <v>507.53758391856809</v>
      </c>
      <c r="Q30" s="132">
        <v>523.2073549387834</v>
      </c>
      <c r="R30" s="133">
        <v>536.07232625487632</v>
      </c>
    </row>
    <row r="31" spans="1:18" ht="20" customHeight="1" thickBot="1">
      <c r="A31" s="351" t="s">
        <v>459</v>
      </c>
      <c r="B31" s="135">
        <v>239.03400533198146</v>
      </c>
      <c r="C31" s="134">
        <v>258.36344588864176</v>
      </c>
      <c r="D31" s="135">
        <v>299.93685925166142</v>
      </c>
      <c r="E31" s="134">
        <v>323.48129708966235</v>
      </c>
      <c r="F31" s="135">
        <v>327.82938166562008</v>
      </c>
      <c r="G31" s="134">
        <v>340.57416926268752</v>
      </c>
      <c r="H31" s="133">
        <v>360.22427370980677</v>
      </c>
      <c r="I31" s="132">
        <v>361.84466792373314</v>
      </c>
      <c r="J31" s="133">
        <v>384.82629965994056</v>
      </c>
      <c r="K31" s="132">
        <v>419.74898313957601</v>
      </c>
      <c r="L31" s="133">
        <v>410.8356598087089</v>
      </c>
      <c r="M31" s="132">
        <v>424.04746018637525</v>
      </c>
      <c r="N31" s="133">
        <v>432.06132431516517</v>
      </c>
      <c r="O31" s="132">
        <v>434.79945679784441</v>
      </c>
      <c r="P31" s="133">
        <v>429.5224291542504</v>
      </c>
      <c r="Q31" s="132">
        <v>446.5118249044906</v>
      </c>
      <c r="R31" s="133">
        <v>443.78871616026942</v>
      </c>
    </row>
    <row r="32" spans="1:18" ht="30" customHeight="1" thickBot="1">
      <c r="A32" s="352" t="s">
        <v>462</v>
      </c>
      <c r="B32" s="137">
        <v>232.07645782669101</v>
      </c>
      <c r="C32" s="136">
        <v>245.69743221523299</v>
      </c>
      <c r="D32" s="137">
        <v>289.40857360180235</v>
      </c>
      <c r="E32" s="136">
        <v>301.20274500235337</v>
      </c>
      <c r="F32" s="137">
        <v>314.93213457244246</v>
      </c>
      <c r="G32" s="136">
        <v>328.74586532074136</v>
      </c>
      <c r="H32" s="189">
        <v>340.77001638747834</v>
      </c>
      <c r="I32" s="353">
        <v>351.10178317952932</v>
      </c>
      <c r="J32" s="206">
        <v>383.59639857337424</v>
      </c>
      <c r="K32" s="353">
        <v>402.775818236345</v>
      </c>
      <c r="L32" s="206">
        <v>406.3302873531361</v>
      </c>
      <c r="M32" s="353">
        <v>418.57781696455777</v>
      </c>
      <c r="N32" s="206">
        <v>432.06970918600427</v>
      </c>
      <c r="O32" s="353">
        <v>438.77662885550035</v>
      </c>
      <c r="P32" s="206">
        <v>438.157107571305</v>
      </c>
      <c r="Q32" s="353">
        <v>454.68760451818554</v>
      </c>
      <c r="R32" s="206">
        <v>465.87081007843818</v>
      </c>
    </row>
    <row r="33" spans="1:8" ht="20" customHeight="1">
      <c r="A33" s="130" t="s">
        <v>396</v>
      </c>
      <c r="B33" s="354"/>
      <c r="C33" s="354"/>
      <c r="D33" s="354"/>
      <c r="E33" s="354"/>
      <c r="F33" s="355"/>
      <c r="G33" s="354"/>
      <c r="H33" s="356"/>
    </row>
    <row r="34" spans="1:8" ht="15.75" customHeight="1">
      <c r="A34" s="131"/>
      <c r="B34" s="357"/>
      <c r="C34" s="357"/>
      <c r="D34" s="357"/>
      <c r="E34" s="357"/>
      <c r="F34" s="357"/>
      <c r="G34" s="357"/>
      <c r="H34" s="358"/>
    </row>
    <row r="35" spans="1:8" ht="14.25" customHeight="1">
      <c r="A35" s="359" t="s">
        <v>1674</v>
      </c>
      <c r="B35" s="357"/>
      <c r="C35" s="357"/>
      <c r="D35" s="357"/>
      <c r="E35" s="357"/>
      <c r="F35" s="357"/>
      <c r="G35" s="357"/>
      <c r="H35" s="358"/>
    </row>
    <row r="36" spans="1:8" ht="13.5" customHeight="1">
      <c r="A36" s="131"/>
      <c r="B36" s="357"/>
      <c r="C36" s="357"/>
      <c r="D36" s="357"/>
      <c r="E36" s="357"/>
      <c r="F36" s="357"/>
      <c r="G36" s="357"/>
      <c r="H36" s="358"/>
    </row>
    <row r="37" spans="1:8" ht="12.75" customHeight="1">
      <c r="A37" s="131" t="s">
        <v>477</v>
      </c>
      <c r="B37" s="357"/>
      <c r="C37" s="357"/>
      <c r="D37" s="357"/>
      <c r="E37" s="357"/>
      <c r="F37" s="357"/>
      <c r="G37" s="357"/>
      <c r="H37" s="358"/>
    </row>
    <row r="38" spans="1:8" ht="12.75" customHeight="1">
      <c r="A38" s="3" t="s">
        <v>479</v>
      </c>
      <c r="B38" s="357"/>
      <c r="C38" s="357"/>
      <c r="D38" s="357"/>
      <c r="E38" s="357"/>
      <c r="F38" s="357"/>
      <c r="G38" s="357"/>
      <c r="H38" s="358"/>
    </row>
    <row r="40" spans="1:8">
      <c r="A40" s="131"/>
    </row>
    <row r="41" spans="1:8">
      <c r="A41" s="131" t="s">
        <v>395</v>
      </c>
    </row>
  </sheetData>
  <pageMargins left="0.43307086614173229" right="0.47244094488188981" top="0.55118110236220474" bottom="0.47244094488188981" header="0.43307086614173229" footer="0.51181102362204722"/>
  <pageSetup paperSize="9" scale="64" orientation="landscape"/>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27491-9A23-E94C-96AE-295F7F8652F5}">
  <sheetPr>
    <pageSetUpPr fitToPage="1"/>
  </sheetPr>
  <dimension ref="A1:G13"/>
  <sheetViews>
    <sheetView zoomScale="115" zoomScaleNormal="115" workbookViewId="0">
      <selection activeCell="G3" sqref="G3:G10"/>
    </sheetView>
  </sheetViews>
  <sheetFormatPr baseColWidth="10" defaultColWidth="11.59765625" defaultRowHeight="13"/>
  <cols>
    <col min="1" max="1" width="5.59765625" style="65" customWidth="1"/>
    <col min="2" max="16384" width="11.59765625" style="65"/>
  </cols>
  <sheetData>
    <row r="1" spans="1:7" ht="16">
      <c r="A1" s="66" t="s">
        <v>566</v>
      </c>
    </row>
    <row r="2" spans="1:7" ht="16">
      <c r="A2" s="66"/>
    </row>
    <row r="3" spans="1:7">
      <c r="A3" s="440" t="s">
        <v>567</v>
      </c>
      <c r="B3" s="63" t="s">
        <v>568</v>
      </c>
      <c r="G3" s="441"/>
    </row>
    <row r="4" spans="1:7">
      <c r="A4" s="63">
        <v>3.02</v>
      </c>
      <c r="B4" s="63" t="s">
        <v>569</v>
      </c>
      <c r="G4" s="441"/>
    </row>
    <row r="5" spans="1:7">
      <c r="A5" s="63">
        <v>3.03</v>
      </c>
      <c r="B5" s="63" t="s">
        <v>570</v>
      </c>
      <c r="G5" s="441"/>
    </row>
    <row r="6" spans="1:7">
      <c r="A6" s="63">
        <v>3.04</v>
      </c>
      <c r="B6" s="63" t="s">
        <v>571</v>
      </c>
      <c r="G6" s="441"/>
    </row>
    <row r="7" spans="1:7">
      <c r="A7" s="63">
        <v>3.05</v>
      </c>
      <c r="B7" s="63" t="s">
        <v>572</v>
      </c>
      <c r="G7" s="441"/>
    </row>
    <row r="8" spans="1:7">
      <c r="A8" s="63">
        <v>3.06</v>
      </c>
      <c r="B8" s="63" t="s">
        <v>573</v>
      </c>
      <c r="G8" s="441"/>
    </row>
    <row r="9" spans="1:7">
      <c r="A9" s="63">
        <v>3.07</v>
      </c>
      <c r="B9" s="63" t="s">
        <v>574</v>
      </c>
      <c r="G9" s="441"/>
    </row>
    <row r="10" spans="1:7">
      <c r="A10" s="63">
        <v>3.08</v>
      </c>
      <c r="B10" s="63" t="s">
        <v>575</v>
      </c>
      <c r="G10" s="441"/>
    </row>
    <row r="11" spans="1:7">
      <c r="A11" s="63"/>
      <c r="B11" s="63"/>
    </row>
    <row r="12" spans="1:7">
      <c r="A12" s="63"/>
      <c r="B12" s="63"/>
    </row>
    <row r="13" spans="1:7">
      <c r="A13" s="70" t="s">
        <v>395</v>
      </c>
    </row>
  </sheetData>
  <pageMargins left="0.57999999999999996" right="0.6" top="0.65" bottom="0.984251969" header="0.34" footer="0.4921259845"/>
  <pageSetup paperSize="9"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1078-0202-224B-B086-80E4E90E2C52}">
  <sheetPr>
    <pageSetUpPr fitToPage="1"/>
  </sheetPr>
  <dimension ref="A1:I17"/>
  <sheetViews>
    <sheetView zoomScaleNormal="100" workbookViewId="0">
      <selection activeCell="G15" sqref="G15"/>
    </sheetView>
  </sheetViews>
  <sheetFormatPr baseColWidth="10" defaultColWidth="11.3984375" defaultRowHeight="13"/>
  <cols>
    <col min="1" max="1" width="20.796875" style="3" customWidth="1"/>
    <col min="2" max="2" width="17.3984375" style="3" customWidth="1"/>
    <col min="3" max="3" width="17.19921875" style="3" customWidth="1"/>
    <col min="4" max="4" width="16.59765625" style="3" customWidth="1"/>
    <col min="5" max="5" width="18.3984375" style="3" customWidth="1"/>
    <col min="6" max="7" width="15.19921875" style="3" customWidth="1"/>
    <col min="8" max="8" width="11.3984375" style="3"/>
    <col min="9" max="9" width="15.796875" style="3" hidden="1" customWidth="1"/>
    <col min="10" max="16384" width="11.3984375" style="3"/>
  </cols>
  <sheetData>
    <row r="1" spans="1:9" ht="14" customHeight="1">
      <c r="A1" s="277"/>
      <c r="B1" s="131"/>
      <c r="C1" s="131"/>
      <c r="D1" s="131"/>
      <c r="E1" s="131"/>
      <c r="F1" s="131"/>
      <c r="G1" s="131"/>
      <c r="I1" s="131"/>
    </row>
    <row r="2" spans="1:9" ht="24.5" customHeight="1">
      <c r="A2" s="164" t="s">
        <v>576</v>
      </c>
      <c r="B2" s="131"/>
      <c r="C2" s="131"/>
      <c r="D2" s="131"/>
      <c r="E2" s="131"/>
      <c r="F2" s="131"/>
      <c r="G2" s="442">
        <v>2012</v>
      </c>
      <c r="I2" s="131"/>
    </row>
    <row r="3" spans="1:9" ht="24" customHeight="1">
      <c r="A3" s="109" t="s">
        <v>577</v>
      </c>
      <c r="B3" s="110" t="s">
        <v>482</v>
      </c>
      <c r="C3" s="111" t="s">
        <v>483</v>
      </c>
      <c r="D3" s="110" t="s">
        <v>427</v>
      </c>
      <c r="E3" s="111" t="s">
        <v>230</v>
      </c>
      <c r="F3" s="110"/>
      <c r="G3" s="155" t="s">
        <v>256</v>
      </c>
      <c r="I3" s="111" t="s">
        <v>230</v>
      </c>
    </row>
    <row r="4" spans="1:9" ht="15" customHeight="1">
      <c r="A4" s="112"/>
      <c r="B4" s="113"/>
      <c r="C4" s="114"/>
      <c r="D4" s="113"/>
      <c r="E4" s="115" t="s">
        <v>578</v>
      </c>
      <c r="F4" s="113" t="s">
        <v>579</v>
      </c>
      <c r="G4" s="156" t="s">
        <v>257</v>
      </c>
      <c r="I4" s="115">
        <v>1999</v>
      </c>
    </row>
    <row r="5" spans="1:9" ht="15" customHeight="1">
      <c r="A5" s="156"/>
      <c r="B5" s="113"/>
      <c r="C5" s="114"/>
      <c r="D5" s="113"/>
      <c r="E5" s="114"/>
      <c r="F5" s="113"/>
      <c r="G5" s="156" t="s">
        <v>258</v>
      </c>
      <c r="I5" s="114"/>
    </row>
    <row r="6" spans="1:9" ht="24" customHeight="1">
      <c r="A6" s="168"/>
      <c r="B6" s="443"/>
      <c r="C6" s="444"/>
      <c r="D6" s="443"/>
      <c r="E6" s="444"/>
      <c r="F6" s="117"/>
      <c r="G6" s="157"/>
      <c r="I6" s="444"/>
    </row>
    <row r="7" spans="1:9" ht="40.5" customHeight="1" thickBot="1">
      <c r="A7" s="445" t="s">
        <v>580</v>
      </c>
      <c r="B7" s="446">
        <v>2824919836.04</v>
      </c>
      <c r="C7" s="447">
        <v>3710908801.1599998</v>
      </c>
      <c r="D7" s="446">
        <v>588133346.32000005</v>
      </c>
      <c r="E7" s="447">
        <v>7123961983.5199995</v>
      </c>
      <c r="F7" s="448">
        <v>0.29126851279046378</v>
      </c>
      <c r="G7" s="449">
        <v>-3.7449663502496892E-2</v>
      </c>
      <c r="I7" s="450">
        <v>6794064715</v>
      </c>
    </row>
    <row r="8" spans="1:9" ht="36.75" customHeight="1" thickBot="1">
      <c r="A8" s="445" t="s">
        <v>581</v>
      </c>
      <c r="B8" s="446">
        <v>2520239045.8699999</v>
      </c>
      <c r="C8" s="447">
        <v>2426039207.9899998</v>
      </c>
      <c r="D8" s="446">
        <v>43776014.960000001</v>
      </c>
      <c r="E8" s="447">
        <v>4990054268.8199997</v>
      </c>
      <c r="F8" s="448">
        <v>0.20402210020002784</v>
      </c>
      <c r="G8" s="449">
        <v>-6.3258092617942921E-2</v>
      </c>
      <c r="I8" s="450">
        <v>5396193285</v>
      </c>
    </row>
    <row r="9" spans="1:9" ht="36.75" customHeight="1" thickBot="1">
      <c r="A9" s="445" t="s">
        <v>582</v>
      </c>
      <c r="B9" s="446">
        <v>10039412.68</v>
      </c>
      <c r="C9" s="447">
        <v>5490851.1100000003</v>
      </c>
      <c r="D9" s="446">
        <v>20701.43</v>
      </c>
      <c r="E9" s="447">
        <v>15550965.219999999</v>
      </c>
      <c r="F9" s="448">
        <v>6.3581284158503693E-4</v>
      </c>
      <c r="G9" s="449">
        <v>-2.1444472220622082E-2</v>
      </c>
      <c r="I9" s="450">
        <v>15330070</v>
      </c>
    </row>
    <row r="10" spans="1:9" ht="36.75" customHeight="1" thickBot="1">
      <c r="A10" s="445" t="s">
        <v>583</v>
      </c>
      <c r="B10" s="446">
        <v>5512184790.5100002</v>
      </c>
      <c r="C10" s="447">
        <v>6034263786.2799997</v>
      </c>
      <c r="D10" s="446">
        <v>782384858.95000005</v>
      </c>
      <c r="E10" s="447">
        <v>12328833435.740002</v>
      </c>
      <c r="F10" s="448">
        <v>0.5040735741679232</v>
      </c>
      <c r="G10" s="449">
        <v>0.13242236657938608</v>
      </c>
      <c r="I10" s="450">
        <v>828254703</v>
      </c>
    </row>
    <row r="11" spans="1:9" s="266" customFormat="1" ht="38.25" customHeight="1" thickBot="1">
      <c r="A11" s="451" t="s">
        <v>230</v>
      </c>
      <c r="B11" s="452">
        <v>10867383085.1</v>
      </c>
      <c r="C11" s="453">
        <v>12176702646.49</v>
      </c>
      <c r="D11" s="452">
        <v>1414314921.6600001</v>
      </c>
      <c r="E11" s="453">
        <v>24458400653.300003</v>
      </c>
      <c r="F11" s="454">
        <v>1</v>
      </c>
      <c r="G11" s="455">
        <v>3.5005068342881224E-2</v>
      </c>
      <c r="I11" s="456">
        <v>13033842773</v>
      </c>
    </row>
    <row r="12" spans="1:9" ht="19.5" customHeight="1">
      <c r="A12" s="130" t="s">
        <v>396</v>
      </c>
      <c r="B12" s="130"/>
      <c r="C12" s="130"/>
      <c r="D12" s="130"/>
      <c r="E12" s="130"/>
      <c r="F12" s="130"/>
      <c r="G12" s="130"/>
      <c r="I12" s="130"/>
    </row>
    <row r="14" spans="1:9">
      <c r="A14" s="3" t="s">
        <v>584</v>
      </c>
    </row>
    <row r="17" spans="1:1">
      <c r="A17" s="3" t="s">
        <v>395</v>
      </c>
    </row>
  </sheetData>
  <pageMargins left="0.55118110236220474" right="0.59055118110236227" top="0.94488188976377963" bottom="0.47244094488188981" header="0.59055118110236227" footer="0.51181102362204722"/>
  <pageSetup paperSize="9" scale="75" orientation="portrait" horizontalDpi="4294967292" verticalDpi="4294967292"/>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F05F-5372-B94B-B472-C59A4D9C1833}">
  <sheetPr>
    <pageSetUpPr fitToPage="1"/>
  </sheetPr>
  <dimension ref="A1:K31"/>
  <sheetViews>
    <sheetView zoomScaleNormal="100" workbookViewId="0">
      <selection activeCell="E6" sqref="E6"/>
    </sheetView>
  </sheetViews>
  <sheetFormatPr baseColWidth="10" defaultColWidth="11.3984375" defaultRowHeight="13"/>
  <cols>
    <col min="1" max="1" width="14.3984375" style="3" customWidth="1"/>
    <col min="2" max="2" width="17" style="3" customWidth="1"/>
    <col min="3" max="3" width="16.3984375" style="3" customWidth="1"/>
    <col min="4" max="4" width="15.59765625" style="3" customWidth="1"/>
    <col min="5" max="5" width="17" style="3" customWidth="1"/>
    <col min="6" max="6" width="18" style="3" customWidth="1"/>
    <col min="7" max="7" width="14.59765625" style="3" customWidth="1"/>
    <col min="8" max="16384" width="11.3984375" style="3"/>
  </cols>
  <sheetData>
    <row r="1" spans="1:11" s="2" customFormat="1" ht="14" customHeight="1"/>
    <row r="2" spans="1:11" s="2" customFormat="1" ht="22.75" customHeight="1">
      <c r="A2" s="139" t="s">
        <v>585</v>
      </c>
      <c r="G2" s="442"/>
    </row>
    <row r="3" spans="1:11" ht="24" customHeight="1">
      <c r="A3" s="109" t="s">
        <v>586</v>
      </c>
      <c r="B3" s="110" t="s">
        <v>226</v>
      </c>
      <c r="C3" s="111" t="s">
        <v>227</v>
      </c>
      <c r="D3" s="110" t="s">
        <v>228</v>
      </c>
      <c r="E3" s="111" t="s">
        <v>229</v>
      </c>
      <c r="F3" s="110" t="s">
        <v>230</v>
      </c>
      <c r="G3" s="155" t="s">
        <v>256</v>
      </c>
    </row>
    <row r="4" spans="1:11" ht="15" customHeight="1">
      <c r="A4" s="112"/>
      <c r="B4" s="113" t="s">
        <v>231</v>
      </c>
      <c r="C4" s="114" t="s">
        <v>232</v>
      </c>
      <c r="D4" s="113" t="s">
        <v>233</v>
      </c>
      <c r="E4" s="115" t="s">
        <v>234</v>
      </c>
      <c r="F4" s="113"/>
      <c r="G4" s="156" t="s">
        <v>257</v>
      </c>
    </row>
    <row r="5" spans="1:11" ht="15" customHeight="1">
      <c r="A5" s="112"/>
      <c r="B5" s="113" t="s">
        <v>235</v>
      </c>
      <c r="C5" s="114" t="s">
        <v>236</v>
      </c>
      <c r="D5" s="113"/>
      <c r="E5" s="115" t="s">
        <v>244</v>
      </c>
      <c r="F5" s="113"/>
      <c r="G5" s="156" t="s">
        <v>258</v>
      </c>
    </row>
    <row r="6" spans="1:11" ht="24" customHeight="1">
      <c r="A6" s="116"/>
      <c r="B6" s="117"/>
      <c r="C6" s="118"/>
      <c r="D6" s="117"/>
      <c r="E6" s="119" t="s">
        <v>238</v>
      </c>
      <c r="F6" s="117"/>
      <c r="G6" s="157"/>
    </row>
    <row r="7" spans="1:11" ht="1.25" customHeight="1" thickBot="1">
      <c r="A7" s="120">
        <v>1996</v>
      </c>
      <c r="B7" s="121">
        <v>7263.8791936000007</v>
      </c>
      <c r="C7" s="122">
        <v>3689.7169425000002</v>
      </c>
      <c r="D7" s="121">
        <v>38.020066050000004</v>
      </c>
      <c r="E7" s="122">
        <v>139.01961795</v>
      </c>
      <c r="F7" s="121">
        <v>11130.635820099998</v>
      </c>
      <c r="G7" s="158" t="s">
        <v>29</v>
      </c>
    </row>
    <row r="8" spans="1:11" ht="0.75" hidden="1" customHeight="1" thickBot="1">
      <c r="A8" s="123">
        <v>1997</v>
      </c>
      <c r="B8" s="124">
        <v>6540.5888779999996</v>
      </c>
      <c r="C8" s="125">
        <v>4995.2965729999996</v>
      </c>
      <c r="D8" s="124">
        <v>16.474356</v>
      </c>
      <c r="E8" s="125">
        <v>488.324321</v>
      </c>
      <c r="F8" s="124">
        <v>12040.684128000001</v>
      </c>
      <c r="G8" s="159">
        <v>8.1760675904660518E-2</v>
      </c>
      <c r="I8" s="9"/>
      <c r="J8" s="9"/>
      <c r="K8" s="9"/>
    </row>
    <row r="9" spans="1:11" ht="19.5" hidden="1" customHeight="1" thickBot="1">
      <c r="A9" s="123">
        <v>1998</v>
      </c>
      <c r="B9" s="124">
        <v>6687.4913850000003</v>
      </c>
      <c r="C9" s="125">
        <v>5281.0341630000003</v>
      </c>
      <c r="D9" s="124">
        <v>17.124804000000001</v>
      </c>
      <c r="E9" s="125">
        <v>722.61979599999995</v>
      </c>
      <c r="F9" s="124">
        <v>12708.270148</v>
      </c>
      <c r="G9" s="159">
        <v>5.5444193444752932E-2</v>
      </c>
    </row>
    <row r="10" spans="1:11" ht="19.75" hidden="1" customHeight="1" thickBot="1">
      <c r="A10" s="123">
        <v>1999</v>
      </c>
      <c r="B10" s="124">
        <v>6794.0647150000004</v>
      </c>
      <c r="C10" s="125">
        <v>5396.1932850000003</v>
      </c>
      <c r="D10" s="124">
        <v>15.330069999999999</v>
      </c>
      <c r="E10" s="125">
        <v>828.25470299999995</v>
      </c>
      <c r="F10" s="124">
        <v>13033.842773</v>
      </c>
      <c r="G10" s="159">
        <v>2.5618956884642552E-2</v>
      </c>
    </row>
    <row r="11" spans="1:11" ht="19.75" hidden="1" customHeight="1" thickBot="1">
      <c r="A11" s="123">
        <v>2000</v>
      </c>
      <c r="B11" s="124">
        <v>6892.0663969999996</v>
      </c>
      <c r="C11" s="125">
        <v>5620.0400929999996</v>
      </c>
      <c r="D11" s="124">
        <v>15.057027</v>
      </c>
      <c r="E11" s="125">
        <v>914.49116700000002</v>
      </c>
      <c r="F11" s="124">
        <v>13441.654683999999</v>
      </c>
      <c r="G11" s="159">
        <v>3.1288693450008065E-2</v>
      </c>
    </row>
    <row r="12" spans="1:11" ht="20" hidden="1" customHeight="1" thickBot="1">
      <c r="A12" s="123">
        <v>2001</v>
      </c>
      <c r="B12" s="124">
        <v>7135.0009239999999</v>
      </c>
      <c r="C12" s="125">
        <v>5862.0969020000002</v>
      </c>
      <c r="D12" s="124">
        <v>14.859370999999999</v>
      </c>
      <c r="E12" s="125">
        <v>985.35521000000006</v>
      </c>
      <c r="F12" s="124">
        <v>13997.312406999999</v>
      </c>
      <c r="G12" s="159">
        <v>4.1338491135426647E-2</v>
      </c>
    </row>
    <row r="13" spans="1:11" ht="20" customHeight="1" thickBot="1">
      <c r="A13" s="123">
        <v>2002</v>
      </c>
      <c r="B13" s="124">
        <v>7607.4934620000004</v>
      </c>
      <c r="C13" s="125">
        <v>6653.7724580000004</v>
      </c>
      <c r="D13" s="124">
        <v>15.940357000000001</v>
      </c>
      <c r="E13" s="125">
        <v>1077.8389540000001</v>
      </c>
      <c r="F13" s="124">
        <v>15355.045231</v>
      </c>
      <c r="G13" s="159">
        <v>9.6999537091206456E-2</v>
      </c>
    </row>
    <row r="14" spans="1:11" ht="20" customHeight="1" thickBot="1">
      <c r="A14" s="123">
        <v>2003</v>
      </c>
      <c r="B14" s="124">
        <v>8119.6939160000002</v>
      </c>
      <c r="C14" s="125">
        <v>7519.6442960000004</v>
      </c>
      <c r="D14" s="124">
        <v>16.399234</v>
      </c>
      <c r="E14" s="125">
        <v>1164.373707</v>
      </c>
      <c r="F14" s="124">
        <v>16820.111153000002</v>
      </c>
      <c r="G14" s="159">
        <v>9.541267381239682E-2</v>
      </c>
    </row>
    <row r="15" spans="1:11" ht="20" customHeight="1" thickBot="1">
      <c r="A15" s="123">
        <v>2004</v>
      </c>
      <c r="B15" s="124">
        <v>8488.1709709999996</v>
      </c>
      <c r="C15" s="125">
        <v>7961.8606556000004</v>
      </c>
      <c r="D15" s="124">
        <v>16.728842</v>
      </c>
      <c r="E15" s="125">
        <v>1562.9443670000001</v>
      </c>
      <c r="F15" s="124">
        <v>18029.704835599998</v>
      </c>
      <c r="G15" s="159">
        <v>7.1913536812998835E-2</v>
      </c>
    </row>
    <row r="16" spans="1:11" ht="20" customHeight="1" thickBot="1">
      <c r="A16" s="123">
        <v>2005</v>
      </c>
      <c r="B16" s="124">
        <v>8881.818765</v>
      </c>
      <c r="C16" s="125">
        <v>7722.8551509999998</v>
      </c>
      <c r="D16" s="124">
        <v>16.867663</v>
      </c>
      <c r="E16" s="125">
        <v>1874.8780380000001</v>
      </c>
      <c r="F16" s="124">
        <v>18496.419617</v>
      </c>
      <c r="G16" s="159">
        <v>2.588588031005723E-2</v>
      </c>
    </row>
    <row r="17" spans="1:7" ht="20" customHeight="1" thickBot="1">
      <c r="A17" s="123">
        <v>2006</v>
      </c>
      <c r="B17" s="124">
        <v>8791.2609179999999</v>
      </c>
      <c r="C17" s="125">
        <v>7672.0020180000001</v>
      </c>
      <c r="D17" s="124">
        <v>16.96679</v>
      </c>
      <c r="E17" s="125">
        <v>2834.4584479999999</v>
      </c>
      <c r="F17" s="124">
        <v>19314.688173999999</v>
      </c>
      <c r="G17" s="159">
        <v>4.4239294628022563E-2</v>
      </c>
    </row>
    <row r="18" spans="1:7" ht="20" customHeight="1" thickBot="1">
      <c r="A18" s="123">
        <v>2007</v>
      </c>
      <c r="B18" s="124">
        <v>8532.4678672199989</v>
      </c>
      <c r="C18" s="125">
        <v>7230.4641675700004</v>
      </c>
      <c r="D18" s="124">
        <v>16.854145679999998</v>
      </c>
      <c r="E18" s="125">
        <v>3909.3553057999998</v>
      </c>
      <c r="F18" s="124">
        <v>19689.14148627</v>
      </c>
      <c r="G18" s="159">
        <v>1.9386971660979802E-2</v>
      </c>
    </row>
    <row r="19" spans="1:7" ht="20" customHeight="1" thickBot="1">
      <c r="A19" s="123">
        <v>2008</v>
      </c>
      <c r="B19" s="124">
        <v>8154.0754505200002</v>
      </c>
      <c r="C19" s="125">
        <v>6692.2544465000001</v>
      </c>
      <c r="D19" s="124">
        <v>16.346897350000003</v>
      </c>
      <c r="E19" s="125">
        <v>4829.5904296099998</v>
      </c>
      <c r="F19" s="124">
        <v>19692.267223980001</v>
      </c>
      <c r="G19" s="159">
        <v>1.5875439323642659E-4</v>
      </c>
    </row>
    <row r="20" spans="1:7" ht="20" customHeight="1" thickBot="1">
      <c r="A20" s="123">
        <v>2009</v>
      </c>
      <c r="B20" s="124">
        <v>7763.2344209800003</v>
      </c>
      <c r="C20" s="125">
        <v>6192.48310683</v>
      </c>
      <c r="D20" s="124">
        <v>15.900914239999999</v>
      </c>
      <c r="E20" s="125">
        <v>6153.1486775000003</v>
      </c>
      <c r="F20" s="124">
        <v>20124.767119550004</v>
      </c>
      <c r="G20" s="159">
        <v>2.196293045644504E-2</v>
      </c>
    </row>
    <row r="21" spans="1:7" ht="20" customHeight="1" thickBot="1">
      <c r="A21" s="123">
        <v>2010</v>
      </c>
      <c r="B21" s="124">
        <v>7589.6326881299992</v>
      </c>
      <c r="C21" s="125">
        <v>5673.83572525</v>
      </c>
      <c r="D21" s="124">
        <v>16.045472789999998</v>
      </c>
      <c r="E21" s="125">
        <v>8771.9260212000008</v>
      </c>
      <c r="F21" s="124">
        <v>22051.439907370004</v>
      </c>
      <c r="G21" s="159">
        <v>9.5736401637579904E-2</v>
      </c>
    </row>
    <row r="22" spans="1:7" ht="20" customHeight="1" thickBot="1">
      <c r="A22" s="123">
        <v>2011</v>
      </c>
      <c r="B22" s="124">
        <v>7401.1318820399993</v>
      </c>
      <c r="C22" s="125">
        <v>5327.0321627499998</v>
      </c>
      <c r="D22" s="124">
        <v>15.891755530000001</v>
      </c>
      <c r="E22" s="125">
        <v>10887.13345797</v>
      </c>
      <c r="F22" s="124">
        <v>23631.18925829</v>
      </c>
      <c r="G22" s="159">
        <v>7.1639283310112267E-2</v>
      </c>
    </row>
    <row r="23" spans="1:7" ht="30" customHeight="1" thickBot="1">
      <c r="A23" s="457">
        <v>2012</v>
      </c>
      <c r="B23" s="458">
        <v>7123.9619835199992</v>
      </c>
      <c r="C23" s="459">
        <v>4990.0542688199994</v>
      </c>
      <c r="D23" s="458">
        <v>15.550965219999998</v>
      </c>
      <c r="E23" s="459">
        <v>12328.833435740002</v>
      </c>
      <c r="F23" s="458">
        <v>24458.400653300003</v>
      </c>
      <c r="G23" s="160">
        <v>3.5005068342881307E-2</v>
      </c>
    </row>
    <row r="24" spans="1:7" ht="20" customHeight="1">
      <c r="A24" s="130" t="s">
        <v>396</v>
      </c>
      <c r="B24" s="354"/>
      <c r="C24" s="354"/>
      <c r="D24" s="354"/>
      <c r="E24" s="354"/>
      <c r="F24" s="354"/>
      <c r="G24" s="356"/>
    </row>
    <row r="25" spans="1:7" ht="14.25" customHeight="1">
      <c r="A25" s="131"/>
      <c r="B25" s="357"/>
      <c r="C25" s="357"/>
      <c r="D25" s="357"/>
      <c r="E25" s="357"/>
      <c r="F25" s="357"/>
      <c r="G25" s="358"/>
    </row>
    <row r="26" spans="1:7" ht="12.75" customHeight="1">
      <c r="A26" s="205" t="s">
        <v>307</v>
      </c>
    </row>
    <row r="28" spans="1:7">
      <c r="A28" s="3" t="s">
        <v>587</v>
      </c>
    </row>
    <row r="31" spans="1:7">
      <c r="A31" s="3" t="s">
        <v>395</v>
      </c>
    </row>
  </sheetData>
  <pageMargins left="0.56000000000000005" right="0.51" top="0.94" bottom="0.49" header="0.51" footer="0.4921259845"/>
  <pageSetup paperSize="9" scale="83" orientation="portrait" horizontalDpi="4294967292" verticalDpi="4294967292"/>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618D-9A00-E342-8092-89E32926D763}">
  <sheetPr>
    <pageSetUpPr fitToPage="1"/>
  </sheetPr>
  <dimension ref="A1:G51"/>
  <sheetViews>
    <sheetView topLeftCell="A27" zoomScaleNormal="100" workbookViewId="0">
      <selection activeCell="A38" sqref="A38"/>
    </sheetView>
  </sheetViews>
  <sheetFormatPr baseColWidth="10" defaultColWidth="11.3984375" defaultRowHeight="13"/>
  <cols>
    <col min="1" max="1" width="25.796875" style="3" customWidth="1"/>
    <col min="2" max="2" width="25.59765625" style="3" customWidth="1"/>
    <col min="3" max="6" width="17.59765625" style="3" customWidth="1"/>
    <col min="7" max="7" width="14.59765625" style="3" customWidth="1"/>
    <col min="8" max="16384" width="11.3984375" style="3"/>
  </cols>
  <sheetData>
    <row r="1" spans="1:7" s="2" customFormat="1" ht="14" customHeight="1">
      <c r="A1" s="272"/>
      <c r="B1" s="272"/>
      <c r="C1" s="272"/>
      <c r="D1" s="272"/>
      <c r="E1" s="272"/>
      <c r="F1" s="272"/>
    </row>
    <row r="2" spans="1:7" s="2" customFormat="1" ht="18.5" customHeight="1">
      <c r="A2" s="396" t="s">
        <v>588</v>
      </c>
      <c r="B2" s="396"/>
      <c r="C2" s="272"/>
      <c r="D2" s="272"/>
      <c r="E2" s="272"/>
      <c r="F2" s="460">
        <v>2012</v>
      </c>
      <c r="G2" s="460"/>
    </row>
    <row r="3" spans="1:7" s="2" customFormat="1" ht="7.25" customHeight="1">
      <c r="A3" s="461"/>
      <c r="B3" s="461"/>
      <c r="C3" s="462"/>
      <c r="D3" s="462"/>
      <c r="E3" s="462"/>
      <c r="F3" s="462"/>
      <c r="G3" s="277"/>
    </row>
    <row r="4" spans="1:7" s="2" customFormat="1" ht="81.75" customHeight="1">
      <c r="A4" s="463" t="s">
        <v>589</v>
      </c>
      <c r="B4" s="464"/>
      <c r="C4" s="465" t="s">
        <v>590</v>
      </c>
      <c r="D4" s="466" t="s">
        <v>591</v>
      </c>
      <c r="E4" s="465" t="s">
        <v>592</v>
      </c>
      <c r="F4" s="467" t="s">
        <v>430</v>
      </c>
    </row>
    <row r="5" spans="1:7" ht="8.25" customHeight="1">
      <c r="A5" s="468"/>
      <c r="B5" s="469"/>
      <c r="C5" s="444"/>
      <c r="D5" s="443"/>
      <c r="E5" s="444"/>
      <c r="F5" s="443"/>
    </row>
    <row r="6" spans="1:7" ht="47.25" customHeight="1" thickBot="1">
      <c r="A6" s="470" t="s">
        <v>593</v>
      </c>
      <c r="B6" s="471" t="s">
        <v>594</v>
      </c>
      <c r="C6" s="472">
        <v>1063.7976956242428</v>
      </c>
      <c r="D6" s="473">
        <v>3958.9872657054771</v>
      </c>
      <c r="E6" s="472">
        <v>4498.0134668197179</v>
      </c>
      <c r="F6" s="473">
        <v>3522.7591313918697</v>
      </c>
    </row>
    <row r="7" spans="1:7" ht="19.5" customHeight="1" thickBot="1">
      <c r="A7" s="174"/>
      <c r="B7" s="474"/>
      <c r="C7" s="475"/>
      <c r="D7" s="476"/>
      <c r="E7" s="475"/>
      <c r="F7" s="476"/>
    </row>
    <row r="8" spans="1:7" ht="22.5" customHeight="1" thickBot="1">
      <c r="A8" s="477" t="s">
        <v>595</v>
      </c>
      <c r="B8" s="478" t="s">
        <v>596</v>
      </c>
      <c r="C8" s="475">
        <v>1038.0821805155012</v>
      </c>
      <c r="D8" s="476">
        <v>3886.839012892528</v>
      </c>
      <c r="E8" s="475">
        <v>4449.973465029364</v>
      </c>
      <c r="F8" s="476">
        <v>4422.3730120242453</v>
      </c>
    </row>
    <row r="9" spans="1:7" ht="20" customHeight="1" thickBot="1">
      <c r="A9" s="479" t="s">
        <v>597</v>
      </c>
      <c r="B9" s="478" t="s">
        <v>598</v>
      </c>
      <c r="C9" s="475">
        <v>919.68291964933201</v>
      </c>
      <c r="D9" s="476">
        <v>3381.6693730598258</v>
      </c>
      <c r="E9" s="475">
        <v>3913.7922087939896</v>
      </c>
      <c r="F9" s="476">
        <v>3451.9213963958759</v>
      </c>
    </row>
    <row r="10" spans="1:7" ht="20" customHeight="1" thickBot="1">
      <c r="A10" s="479" t="s">
        <v>599</v>
      </c>
      <c r="B10" s="478" t="s">
        <v>600</v>
      </c>
      <c r="C10" s="475">
        <v>824.64823602586443</v>
      </c>
      <c r="D10" s="476">
        <v>3016.7512944610748</v>
      </c>
      <c r="E10" s="475">
        <v>3480.6646811516703</v>
      </c>
      <c r="F10" s="476">
        <v>3390.5273618680776</v>
      </c>
    </row>
    <row r="11" spans="1:7" ht="20" customHeight="1" thickBot="1">
      <c r="A11" s="479"/>
      <c r="B11" s="478" t="s">
        <v>601</v>
      </c>
      <c r="C11" s="475">
        <v>744.83163778393703</v>
      </c>
      <c r="D11" s="476">
        <v>2684.3531743328845</v>
      </c>
      <c r="E11" s="475">
        <v>3040.2921849270888</v>
      </c>
      <c r="F11" s="476">
        <v>2504.1929460825227</v>
      </c>
    </row>
    <row r="12" spans="1:7" ht="20" customHeight="1" thickBot="1">
      <c r="A12" s="479"/>
      <c r="B12" s="478" t="s">
        <v>602</v>
      </c>
      <c r="C12" s="475">
        <v>673.74748754148163</v>
      </c>
      <c r="D12" s="476">
        <v>2481.1351276717933</v>
      </c>
      <c r="E12" s="475">
        <v>2772.1608188041432</v>
      </c>
      <c r="F12" s="476">
        <v>2692.4465513647783</v>
      </c>
    </row>
    <row r="13" spans="1:7" ht="20" customHeight="1" thickBot="1">
      <c r="A13" s="479"/>
      <c r="B13" s="478" t="s">
        <v>603</v>
      </c>
      <c r="C13" s="475">
        <v>643.57757688220045</v>
      </c>
      <c r="D13" s="480" t="s">
        <v>29</v>
      </c>
      <c r="E13" s="481" t="s">
        <v>29</v>
      </c>
      <c r="F13" s="476">
        <v>643.57757688220045</v>
      </c>
    </row>
    <row r="14" spans="1:7" ht="20" customHeight="1" thickBot="1">
      <c r="A14" s="482"/>
      <c r="B14" s="478" t="s">
        <v>230</v>
      </c>
      <c r="C14" s="475">
        <v>785.36650083484142</v>
      </c>
      <c r="D14" s="476">
        <v>2952.9776413595105</v>
      </c>
      <c r="E14" s="475">
        <v>3753.0098987506126</v>
      </c>
      <c r="F14" s="476">
        <v>3590.2671027195524</v>
      </c>
    </row>
    <row r="15" spans="1:7" ht="18.75" customHeight="1" thickBot="1">
      <c r="A15" s="483"/>
      <c r="B15" s="484"/>
      <c r="C15" s="475"/>
      <c r="D15" s="476"/>
      <c r="E15" s="475"/>
      <c r="F15" s="476"/>
    </row>
    <row r="16" spans="1:7" ht="20" customHeight="1" thickBot="1">
      <c r="A16" s="483" t="s">
        <v>582</v>
      </c>
      <c r="B16" s="484"/>
      <c r="C16" s="475">
        <v>900.06217391304347</v>
      </c>
      <c r="D16" s="476">
        <v>2637.1280492618616</v>
      </c>
      <c r="E16" s="475">
        <v>3124.0106592274783</v>
      </c>
      <c r="F16" s="476">
        <v>3101.5088173115278</v>
      </c>
    </row>
    <row r="17" spans="1:6" ht="20.25" customHeight="1" thickBot="1">
      <c r="A17" s="483"/>
      <c r="B17" s="484"/>
      <c r="C17" s="475"/>
      <c r="D17" s="476"/>
      <c r="E17" s="475"/>
      <c r="F17" s="476"/>
    </row>
    <row r="18" spans="1:6" ht="58.5" customHeight="1" thickBot="1">
      <c r="A18" s="477" t="s">
        <v>604</v>
      </c>
      <c r="B18" s="478" t="s">
        <v>594</v>
      </c>
      <c r="C18" s="475">
        <v>890.19382520172212</v>
      </c>
      <c r="D18" s="476">
        <v>3336.4780247438262</v>
      </c>
      <c r="E18" s="475">
        <v>3785.779267069755</v>
      </c>
      <c r="F18" s="476">
        <v>2648.5861651264722</v>
      </c>
    </row>
    <row r="19" spans="1:6" ht="20" customHeight="1" thickBot="1">
      <c r="A19" s="322"/>
      <c r="B19" s="478" t="s">
        <v>596</v>
      </c>
      <c r="C19" s="475">
        <v>1057.8461403599238</v>
      </c>
      <c r="D19" s="476">
        <v>3286.8260246547616</v>
      </c>
      <c r="E19" s="475">
        <v>3698.0864849921236</v>
      </c>
      <c r="F19" s="476">
        <v>3652.0666244184354</v>
      </c>
    </row>
    <row r="20" spans="1:6" ht="20" customHeight="1" thickBot="1">
      <c r="A20" s="322"/>
      <c r="B20" s="478" t="s">
        <v>598</v>
      </c>
      <c r="C20" s="475">
        <v>768.2757623658681</v>
      </c>
      <c r="D20" s="476">
        <v>2809.0584741073503</v>
      </c>
      <c r="E20" s="475">
        <v>3205.0743697654643</v>
      </c>
      <c r="F20" s="476">
        <v>3011.4203445137123</v>
      </c>
    </row>
    <row r="21" spans="1:6" ht="20" customHeight="1" thickBot="1">
      <c r="A21" s="322"/>
      <c r="B21" s="478" t="s">
        <v>600</v>
      </c>
      <c r="C21" s="475">
        <v>639.60975933111206</v>
      </c>
      <c r="D21" s="476">
        <v>2462.3954829817558</v>
      </c>
      <c r="E21" s="475">
        <v>2804.9369551713335</v>
      </c>
      <c r="F21" s="476">
        <v>2718.7823514116644</v>
      </c>
    </row>
    <row r="22" spans="1:6" ht="20" customHeight="1" thickBot="1">
      <c r="A22" s="322"/>
      <c r="B22" s="478" t="s">
        <v>601</v>
      </c>
      <c r="C22" s="475">
        <v>591.3509996249079</v>
      </c>
      <c r="D22" s="476">
        <v>2149.3892458137693</v>
      </c>
      <c r="E22" s="475">
        <v>2465.1235103956219</v>
      </c>
      <c r="F22" s="476">
        <v>2240.5127293682112</v>
      </c>
    </row>
    <row r="23" spans="1:6" ht="20" customHeight="1" thickBot="1">
      <c r="A23" s="322"/>
      <c r="B23" s="478" t="s">
        <v>602</v>
      </c>
      <c r="C23" s="475">
        <v>579.90314453707026</v>
      </c>
      <c r="D23" s="476">
        <v>2204.4852270594706</v>
      </c>
      <c r="E23" s="475">
        <v>2411.8028815585562</v>
      </c>
      <c r="F23" s="476">
        <v>2355.131525633039</v>
      </c>
    </row>
    <row r="24" spans="1:6" ht="20" customHeight="1" thickBot="1">
      <c r="A24" s="322"/>
      <c r="B24" s="478" t="s">
        <v>603</v>
      </c>
      <c r="C24" s="475">
        <v>610.2027594413521</v>
      </c>
      <c r="D24" s="480" t="s">
        <v>29</v>
      </c>
      <c r="E24" s="481" t="s">
        <v>29</v>
      </c>
      <c r="F24" s="476">
        <v>610.2027594413521</v>
      </c>
    </row>
    <row r="25" spans="1:6" ht="20" customHeight="1" thickBot="1">
      <c r="A25" s="322"/>
      <c r="B25" s="478" t="s">
        <v>605</v>
      </c>
      <c r="C25" s="475">
        <v>869.15348193234695</v>
      </c>
      <c r="D25" s="476">
        <v>2840.5168720109814</v>
      </c>
      <c r="E25" s="475">
        <v>3224.0342377583211</v>
      </c>
      <c r="F25" s="476">
        <v>2718.085828165586</v>
      </c>
    </row>
    <row r="26" spans="1:6" ht="39.75" customHeight="1" thickBot="1">
      <c r="A26" s="485"/>
      <c r="B26" s="486" t="s">
        <v>606</v>
      </c>
      <c r="C26" s="487">
        <v>851.50348178617992</v>
      </c>
      <c r="D26" s="488">
        <v>2733.3150621425893</v>
      </c>
      <c r="E26" s="487">
        <v>3065.0810915560091</v>
      </c>
      <c r="F26" s="488">
        <v>2593.4793140814122</v>
      </c>
    </row>
    <row r="27" spans="1:6" ht="45" customHeight="1" thickBot="1">
      <c r="A27" s="485"/>
      <c r="B27" s="489" t="s">
        <v>607</v>
      </c>
      <c r="C27" s="487">
        <v>844.53673127944637</v>
      </c>
      <c r="D27" s="488">
        <v>2821.2942419530614</v>
      </c>
      <c r="E27" s="487">
        <v>3211.6847028860211</v>
      </c>
      <c r="F27" s="488">
        <v>2706.3117707151919</v>
      </c>
    </row>
    <row r="28" spans="1:6" ht="45" customHeight="1" thickBot="1">
      <c r="A28" s="490"/>
      <c r="B28" s="489" t="s">
        <v>608</v>
      </c>
      <c r="C28" s="487">
        <v>647.4290209501313</v>
      </c>
      <c r="D28" s="488">
        <v>2521.063298841535</v>
      </c>
      <c r="E28" s="487">
        <v>2899.8566954120124</v>
      </c>
      <c r="F28" s="488">
        <v>2781.5185979007715</v>
      </c>
    </row>
    <row r="29" spans="1:6" ht="15.75" customHeight="1" thickBot="1">
      <c r="A29" s="491"/>
      <c r="B29" s="492"/>
      <c r="C29" s="475"/>
      <c r="D29" s="476"/>
      <c r="E29" s="475"/>
      <c r="F29" s="476"/>
    </row>
    <row r="30" spans="1:6" ht="27.75" customHeight="1" thickBot="1">
      <c r="A30" s="493" t="s">
        <v>609</v>
      </c>
      <c r="B30" s="494"/>
      <c r="C30" s="495">
        <v>937.32188275367537</v>
      </c>
      <c r="D30" s="496">
        <v>3083.0009102671274</v>
      </c>
      <c r="E30" s="495">
        <v>3632.8505838488113</v>
      </c>
      <c r="F30" s="496">
        <v>3075.2295426022538</v>
      </c>
    </row>
    <row r="31" spans="1:6" ht="15.75" customHeight="1">
      <c r="A31" s="359" t="s">
        <v>396</v>
      </c>
      <c r="B31" s="359"/>
      <c r="C31" s="359"/>
      <c r="D31" s="359"/>
      <c r="E31" s="359"/>
      <c r="F31" s="359"/>
    </row>
    <row r="32" spans="1:6" ht="13.5" customHeight="1">
      <c r="A32" s="336"/>
      <c r="B32" s="336"/>
      <c r="C32" s="359"/>
      <c r="D32" s="359"/>
      <c r="E32" s="359"/>
      <c r="F32" s="359"/>
    </row>
    <row r="33" spans="1:6" ht="13.5" customHeight="1">
      <c r="A33" s="359" t="s">
        <v>610</v>
      </c>
      <c r="B33" s="359"/>
      <c r="C33" s="359"/>
      <c r="D33" s="359"/>
      <c r="E33" s="359"/>
      <c r="F33" s="359"/>
    </row>
    <row r="34" spans="1:6" ht="16.5" customHeight="1">
      <c r="A34" s="359"/>
      <c r="B34" s="359"/>
      <c r="C34" s="359"/>
      <c r="D34" s="359"/>
      <c r="E34" s="359"/>
      <c r="F34" s="359"/>
    </row>
    <row r="35" spans="1:6" ht="12" customHeight="1">
      <c r="A35" s="359" t="s">
        <v>611</v>
      </c>
      <c r="B35" s="359"/>
      <c r="C35" s="60"/>
      <c r="D35" s="60"/>
      <c r="E35" s="60"/>
      <c r="F35" s="60"/>
    </row>
    <row r="36" spans="1:6" ht="12" customHeight="1">
      <c r="A36" s="131" t="s">
        <v>612</v>
      </c>
      <c r="B36" s="131"/>
    </row>
    <row r="37" spans="1:6" ht="12" customHeight="1">
      <c r="A37" s="131" t="s">
        <v>613</v>
      </c>
      <c r="B37" s="131"/>
    </row>
    <row r="38" spans="1:6" ht="12" customHeight="1">
      <c r="A38" s="131" t="s">
        <v>614</v>
      </c>
      <c r="B38" s="131"/>
    </row>
    <row r="39" spans="1:6" ht="12" customHeight="1">
      <c r="A39" s="131" t="s">
        <v>615</v>
      </c>
      <c r="B39" s="131"/>
    </row>
    <row r="40" spans="1:6" ht="12" customHeight="1">
      <c r="A40" s="131" t="s">
        <v>616</v>
      </c>
      <c r="B40" s="131"/>
    </row>
    <row r="41" spans="1:6" ht="12" customHeight="1">
      <c r="A41" s="3" t="s">
        <v>617</v>
      </c>
    </row>
    <row r="42" spans="1:6" ht="12" customHeight="1"/>
    <row r="43" spans="1:6" ht="12" customHeight="1"/>
    <row r="44" spans="1:6" ht="12" customHeight="1">
      <c r="A44" s="359" t="s">
        <v>395</v>
      </c>
      <c r="B44" s="359"/>
      <c r="C44" s="131"/>
      <c r="D44" s="131"/>
      <c r="E44" s="131"/>
      <c r="F44" s="131"/>
    </row>
    <row r="49" spans="1:7">
      <c r="A49" s="48"/>
      <c r="B49" s="48"/>
      <c r="C49" s="497"/>
      <c r="D49" s="498"/>
      <c r="E49" s="497"/>
      <c r="F49" s="498"/>
      <c r="G49" s="498"/>
    </row>
    <row r="50" spans="1:7">
      <c r="A50" s="499"/>
      <c r="B50" s="499"/>
      <c r="C50" s="499"/>
      <c r="D50" s="500"/>
      <c r="E50" s="499"/>
      <c r="F50" s="501"/>
      <c r="G50" s="4"/>
    </row>
    <row r="51" spans="1:7">
      <c r="A51" s="4"/>
      <c r="B51" s="4"/>
      <c r="C51" s="4"/>
      <c r="D51" s="4"/>
      <c r="E51" s="4"/>
      <c r="F51" s="4"/>
      <c r="G51" s="4"/>
    </row>
  </sheetData>
  <pageMargins left="0.55118110236220474" right="0.45" top="0.59055118110236227" bottom="0.47244094488188981" header="0.43307086614173229" footer="0.31496062992125984"/>
  <pageSetup paperSize="9" scale="67"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93C3-DC14-4B46-954D-8A0325D2CB99}">
  <sheetPr>
    <pageSetUpPr fitToPage="1"/>
  </sheetPr>
  <dimension ref="A1:H44"/>
  <sheetViews>
    <sheetView zoomScaleNormal="100" workbookViewId="0">
      <selection activeCell="F41" sqref="F41"/>
    </sheetView>
  </sheetViews>
  <sheetFormatPr baseColWidth="10" defaultColWidth="11.3984375" defaultRowHeight="13"/>
  <cols>
    <col min="1" max="1" width="20.59765625" style="3" customWidth="1"/>
    <col min="2" max="4" width="17" style="8" customWidth="1"/>
    <col min="5" max="5" width="17.3984375" style="8" customWidth="1"/>
    <col min="6" max="6" width="17.3984375" style="283" customWidth="1"/>
    <col min="7" max="7" width="11.3984375" style="3"/>
    <col min="8" max="8" width="0" style="3" hidden="1" customWidth="1"/>
    <col min="9" max="16384" width="11.3984375" style="3"/>
  </cols>
  <sheetData>
    <row r="1" spans="1:8" s="2" customFormat="1" ht="14" customHeight="1">
      <c r="B1" s="502"/>
      <c r="C1" s="502"/>
      <c r="D1" s="502"/>
      <c r="E1" s="502"/>
      <c r="F1" s="327"/>
    </row>
    <row r="2" spans="1:8" s="2" customFormat="1" ht="28.25" customHeight="1">
      <c r="A2" s="2054" t="s">
        <v>618</v>
      </c>
      <c r="B2" s="2055"/>
      <c r="C2" s="2055"/>
      <c r="D2" s="2055"/>
      <c r="E2" s="2055"/>
      <c r="F2" s="329">
        <v>2012</v>
      </c>
      <c r="G2" s="329"/>
    </row>
    <row r="3" spans="1:8" ht="27" customHeight="1">
      <c r="A3" s="109" t="s">
        <v>426</v>
      </c>
      <c r="B3" s="110" t="s">
        <v>427</v>
      </c>
      <c r="C3" s="111" t="s">
        <v>619</v>
      </c>
      <c r="D3" s="110" t="s">
        <v>429</v>
      </c>
      <c r="E3" s="111" t="s">
        <v>242</v>
      </c>
      <c r="F3" s="165" t="s">
        <v>256</v>
      </c>
    </row>
    <row r="4" spans="1:8" ht="20.25" customHeight="1">
      <c r="A4" s="156"/>
      <c r="B4" s="113"/>
      <c r="C4" s="114" t="s">
        <v>429</v>
      </c>
      <c r="D4" s="300"/>
      <c r="E4" s="114" t="s">
        <v>620</v>
      </c>
      <c r="F4" s="300" t="s">
        <v>257</v>
      </c>
    </row>
    <row r="5" spans="1:8" ht="20.25" customHeight="1">
      <c r="A5" s="156"/>
      <c r="B5" s="113" t="s">
        <v>431</v>
      </c>
      <c r="C5" s="114" t="s">
        <v>432</v>
      </c>
      <c r="D5" s="113" t="s">
        <v>433</v>
      </c>
      <c r="E5" s="114"/>
      <c r="F5" s="300" t="s">
        <v>258</v>
      </c>
    </row>
    <row r="6" spans="1:8" ht="24" customHeight="1">
      <c r="A6" s="157"/>
      <c r="B6" s="503"/>
      <c r="C6" s="504"/>
      <c r="D6" s="503"/>
      <c r="E6" s="119"/>
      <c r="F6" s="169"/>
    </row>
    <row r="7" spans="1:8" ht="30" customHeight="1" thickBot="1">
      <c r="A7" s="302" t="s">
        <v>434</v>
      </c>
      <c r="B7" s="339">
        <v>964.26903975953201</v>
      </c>
      <c r="C7" s="340">
        <v>3140.7868086526701</v>
      </c>
      <c r="D7" s="339">
        <v>3572.6548200485904</v>
      </c>
      <c r="E7" s="340">
        <v>3061.8613694223127</v>
      </c>
      <c r="F7" s="505">
        <v>3.8843177302800631E-2</v>
      </c>
      <c r="H7" s="306">
        <v>172.8785586534616</v>
      </c>
    </row>
    <row r="8" spans="1:8" ht="20" customHeight="1" thickBot="1">
      <c r="A8" s="307" t="s">
        <v>435</v>
      </c>
      <c r="B8" s="339">
        <v>964.38812227751157</v>
      </c>
      <c r="C8" s="340">
        <v>3129.7988491856099</v>
      </c>
      <c r="D8" s="339">
        <v>3863.8562654004459</v>
      </c>
      <c r="E8" s="340">
        <v>3283.5301518429064</v>
      </c>
      <c r="F8" s="319">
        <v>-3.578379749635065E-3</v>
      </c>
      <c r="H8" s="306">
        <v>161.49387493756916</v>
      </c>
    </row>
    <row r="9" spans="1:8" ht="20" customHeight="1" thickBot="1">
      <c r="A9" s="307" t="s">
        <v>436</v>
      </c>
      <c r="B9" s="339">
        <v>785.48817756880896</v>
      </c>
      <c r="C9" s="340">
        <v>2584.8095209040512</v>
      </c>
      <c r="D9" s="339">
        <v>3157.7683458650918</v>
      </c>
      <c r="E9" s="340">
        <v>2640.768868328114</v>
      </c>
      <c r="F9" s="319">
        <v>2.9118317586218922E-2</v>
      </c>
      <c r="H9" s="306">
        <v>129.41591119853354</v>
      </c>
    </row>
    <row r="10" spans="1:8" ht="20" customHeight="1" thickBot="1">
      <c r="A10" s="307" t="s">
        <v>437</v>
      </c>
      <c r="B10" s="339">
        <v>752.22933396857854</v>
      </c>
      <c r="C10" s="340">
        <v>2440.4045617276461</v>
      </c>
      <c r="D10" s="339">
        <v>2988.2981498351969</v>
      </c>
      <c r="E10" s="340">
        <v>2503.2977864654331</v>
      </c>
      <c r="F10" s="319">
        <v>3.9544241148689631E-2</v>
      </c>
      <c r="H10" s="306">
        <v>126.90557061409594</v>
      </c>
    </row>
    <row r="11" spans="1:8" ht="20" customHeight="1" thickBot="1">
      <c r="A11" s="307" t="s">
        <v>438</v>
      </c>
      <c r="B11" s="339">
        <v>798.93899915204747</v>
      </c>
      <c r="C11" s="340">
        <v>2579.4630356350171</v>
      </c>
      <c r="D11" s="339">
        <v>3082.1459433785362</v>
      </c>
      <c r="E11" s="340">
        <v>2598.5463110981682</v>
      </c>
      <c r="F11" s="319">
        <v>3.0121772448459483E-2</v>
      </c>
      <c r="H11" s="306">
        <v>131.64111605385247</v>
      </c>
    </row>
    <row r="12" spans="1:8" ht="20" customHeight="1" thickBot="1">
      <c r="A12" s="307" t="s">
        <v>439</v>
      </c>
      <c r="B12" s="339">
        <v>747.10128091718968</v>
      </c>
      <c r="C12" s="340">
        <v>2367.1786148876386</v>
      </c>
      <c r="D12" s="339">
        <v>2884.6485152598725</v>
      </c>
      <c r="E12" s="340">
        <v>2416.2712446807577</v>
      </c>
      <c r="F12" s="319">
        <v>1.7153851720089607E-2</v>
      </c>
      <c r="H12" s="306">
        <v>125.19129183854066</v>
      </c>
    </row>
    <row r="13" spans="1:8" ht="20" customHeight="1" thickBot="1">
      <c r="A13" s="307" t="s">
        <v>440</v>
      </c>
      <c r="B13" s="339">
        <v>697.79787748536899</v>
      </c>
      <c r="C13" s="340">
        <v>2254.8031909893671</v>
      </c>
      <c r="D13" s="339">
        <v>2746.4697833848004</v>
      </c>
      <c r="E13" s="340">
        <v>2337.1229784361672</v>
      </c>
      <c r="F13" s="319">
        <v>4.5185505489013462E-2</v>
      </c>
      <c r="H13" s="306">
        <v>117.8833340734285</v>
      </c>
    </row>
    <row r="14" spans="1:8" ht="20" customHeight="1" thickBot="1">
      <c r="A14" s="307" t="s">
        <v>441</v>
      </c>
      <c r="B14" s="339">
        <v>811.85787448440055</v>
      </c>
      <c r="C14" s="340">
        <v>2658.5111235302966</v>
      </c>
      <c r="D14" s="339">
        <v>3204.7779311841537</v>
      </c>
      <c r="E14" s="340">
        <v>2716.9562268505065</v>
      </c>
      <c r="F14" s="319">
        <v>3.8409591399530624E-2</v>
      </c>
      <c r="H14" s="306">
        <v>140.25371771237261</v>
      </c>
    </row>
    <row r="15" spans="1:8" ht="20" customHeight="1" thickBot="1">
      <c r="A15" s="307" t="s">
        <v>442</v>
      </c>
      <c r="B15" s="339">
        <v>791.66925938711938</v>
      </c>
      <c r="C15" s="340">
        <v>2640.9322533452355</v>
      </c>
      <c r="D15" s="339">
        <v>3061.9710300697725</v>
      </c>
      <c r="E15" s="340">
        <v>2596.8081863269508</v>
      </c>
      <c r="F15" s="319">
        <v>4.2298104549625341E-2</v>
      </c>
      <c r="H15" s="306">
        <v>131.3336445580656</v>
      </c>
    </row>
    <row r="16" spans="1:8" ht="20" customHeight="1" thickBot="1">
      <c r="A16" s="307" t="s">
        <v>443</v>
      </c>
      <c r="B16" s="339">
        <v>912.82208969650355</v>
      </c>
      <c r="C16" s="340">
        <v>2982.8232072943802</v>
      </c>
      <c r="D16" s="339">
        <v>3483.8415697126334</v>
      </c>
      <c r="E16" s="340">
        <v>2876.9558932525547</v>
      </c>
      <c r="F16" s="319">
        <v>4.5051291212278251E-2</v>
      </c>
      <c r="H16" s="306">
        <v>163.19734143075968</v>
      </c>
    </row>
    <row r="17" spans="1:8" ht="20" customHeight="1" thickBot="1">
      <c r="A17" s="307" t="s">
        <v>444</v>
      </c>
      <c r="B17" s="339">
        <v>888.77764892219614</v>
      </c>
      <c r="C17" s="340">
        <v>2879.8423195983082</v>
      </c>
      <c r="D17" s="339">
        <v>3450.8864265996554</v>
      </c>
      <c r="E17" s="340">
        <v>2937.0289595476042</v>
      </c>
      <c r="F17" s="319">
        <v>3.6258736356873156E-2</v>
      </c>
      <c r="H17" s="306">
        <v>156.59253023292777</v>
      </c>
    </row>
    <row r="18" spans="1:8" ht="20" customHeight="1" thickBot="1">
      <c r="A18" s="307" t="s">
        <v>445</v>
      </c>
      <c r="B18" s="339">
        <v>1284.9864783744515</v>
      </c>
      <c r="C18" s="340">
        <v>4188.5772794611566</v>
      </c>
      <c r="D18" s="339">
        <v>4938.9490476469246</v>
      </c>
      <c r="E18" s="340">
        <v>4313.6316542296499</v>
      </c>
      <c r="F18" s="319">
        <v>2.3843286546262069E-2</v>
      </c>
      <c r="H18" s="306">
        <v>239.48436004651805</v>
      </c>
    </row>
    <row r="19" spans="1:8" ht="20" customHeight="1" thickBot="1">
      <c r="A19" s="307" t="s">
        <v>446</v>
      </c>
      <c r="B19" s="339">
        <v>1026.1528591585306</v>
      </c>
      <c r="C19" s="340">
        <v>3251.4083705383505</v>
      </c>
      <c r="D19" s="339">
        <v>3904.6861826390432</v>
      </c>
      <c r="E19" s="340">
        <v>3337.2255127605313</v>
      </c>
      <c r="F19" s="319">
        <v>2.9042805382752335E-2</v>
      </c>
      <c r="H19" s="306">
        <v>177.06647582891381</v>
      </c>
    </row>
    <row r="20" spans="1:8" ht="20" customHeight="1" thickBot="1">
      <c r="A20" s="307" t="s">
        <v>447</v>
      </c>
      <c r="B20" s="339">
        <v>880.33387042923061</v>
      </c>
      <c r="C20" s="340">
        <v>2892.9743134124888</v>
      </c>
      <c r="D20" s="339">
        <v>3449.2214773934434</v>
      </c>
      <c r="E20" s="340">
        <v>2948.3678905912739</v>
      </c>
      <c r="F20" s="319">
        <v>3.1730523166012249E-2</v>
      </c>
      <c r="H20" s="306">
        <v>165.60622548393192</v>
      </c>
    </row>
    <row r="21" spans="1:8" ht="20" customHeight="1" thickBot="1">
      <c r="A21" s="307" t="s">
        <v>448</v>
      </c>
      <c r="B21" s="339">
        <v>732.98164233035288</v>
      </c>
      <c r="C21" s="340">
        <v>2439.6445814266917</v>
      </c>
      <c r="D21" s="339">
        <v>2882.385214903195</v>
      </c>
      <c r="E21" s="340">
        <v>2432.2028695648323</v>
      </c>
      <c r="F21" s="319">
        <v>5.2291038657239088E-2</v>
      </c>
      <c r="H21" s="306">
        <v>125.02923450612184</v>
      </c>
    </row>
    <row r="22" spans="1:8" ht="20" customHeight="1" thickBot="1">
      <c r="A22" s="307" t="s">
        <v>449</v>
      </c>
      <c r="B22" s="339">
        <v>679.94042009828286</v>
      </c>
      <c r="C22" s="340">
        <v>2233.6259215837949</v>
      </c>
      <c r="D22" s="339">
        <v>2679.0194239828597</v>
      </c>
      <c r="E22" s="340">
        <v>2211.317046310241</v>
      </c>
      <c r="F22" s="319">
        <v>5.2671023548711685E-2</v>
      </c>
      <c r="H22" s="306">
        <v>109.87124540182084</v>
      </c>
    </row>
    <row r="23" spans="1:8" ht="20" customHeight="1" thickBot="1">
      <c r="A23" s="307" t="s">
        <v>450</v>
      </c>
      <c r="B23" s="339">
        <v>817.98674244211793</v>
      </c>
      <c r="C23" s="340">
        <v>2648.7245226532136</v>
      </c>
      <c r="D23" s="339">
        <v>3162.2398181008589</v>
      </c>
      <c r="E23" s="340">
        <v>2652.9476693360389</v>
      </c>
      <c r="F23" s="319">
        <v>3.9684345424454877E-2</v>
      </c>
      <c r="H23" s="306">
        <v>134.24530167185685</v>
      </c>
    </row>
    <row r="24" spans="1:8" ht="20" customHeight="1" thickBot="1">
      <c r="A24" s="307" t="s">
        <v>451</v>
      </c>
      <c r="B24" s="339">
        <v>828.25389524848492</v>
      </c>
      <c r="C24" s="340">
        <v>2692.3292917734889</v>
      </c>
      <c r="D24" s="339">
        <v>3125.5916713285569</v>
      </c>
      <c r="E24" s="340">
        <v>2695.4137527754033</v>
      </c>
      <c r="F24" s="319">
        <v>2.3525534403037816E-2</v>
      </c>
      <c r="H24" s="306">
        <v>132.91701511018809</v>
      </c>
    </row>
    <row r="25" spans="1:8" ht="20" customHeight="1" thickBot="1">
      <c r="A25" s="307" t="s">
        <v>452</v>
      </c>
      <c r="B25" s="339">
        <v>879.75202176075061</v>
      </c>
      <c r="C25" s="340">
        <v>2893.3277848301741</v>
      </c>
      <c r="D25" s="339">
        <v>3398.3993044453164</v>
      </c>
      <c r="E25" s="340">
        <v>2872.892779846437</v>
      </c>
      <c r="F25" s="319">
        <v>2.7455218934398368E-2</v>
      </c>
      <c r="H25" s="306">
        <v>145.05617363699608</v>
      </c>
    </row>
    <row r="26" spans="1:8" ht="20" customHeight="1" thickBot="1">
      <c r="A26" s="307" t="s">
        <v>453</v>
      </c>
      <c r="B26" s="339">
        <v>837.65120145250717</v>
      </c>
      <c r="C26" s="340">
        <v>2636.6061554331309</v>
      </c>
      <c r="D26" s="339">
        <v>3166.8439640147035</v>
      </c>
      <c r="E26" s="340">
        <v>2660.7821317341377</v>
      </c>
      <c r="F26" s="319">
        <v>2.3836131600275492E-2</v>
      </c>
      <c r="H26" s="306">
        <v>145.7338374894791</v>
      </c>
    </row>
    <row r="27" spans="1:8" ht="20" customHeight="1" thickBot="1">
      <c r="A27" s="307" t="s">
        <v>454</v>
      </c>
      <c r="B27" s="339">
        <v>1024.4450951705999</v>
      </c>
      <c r="C27" s="340">
        <v>3414.1308757329398</v>
      </c>
      <c r="D27" s="339">
        <v>3941.4025792998641</v>
      </c>
      <c r="E27" s="340">
        <v>3391.2009488011968</v>
      </c>
      <c r="F27" s="319">
        <v>-1.6493209411424348E-2</v>
      </c>
      <c r="H27" s="306">
        <v>199.67764846714121</v>
      </c>
    </row>
    <row r="28" spans="1:8" ht="20" customHeight="1" thickBot="1">
      <c r="A28" s="307" t="s">
        <v>455</v>
      </c>
      <c r="B28" s="339">
        <v>1045.1381173413915</v>
      </c>
      <c r="C28" s="340">
        <v>3576.0718590421948</v>
      </c>
      <c r="D28" s="339">
        <v>4025.6209752415066</v>
      </c>
      <c r="E28" s="340">
        <v>3365.4892584929512</v>
      </c>
      <c r="F28" s="319">
        <v>1.7363156207806089E-2</v>
      </c>
      <c r="H28" s="306">
        <v>203.24357993536964</v>
      </c>
    </row>
    <row r="29" spans="1:8" ht="20" customHeight="1" thickBot="1">
      <c r="A29" s="307" t="s">
        <v>456</v>
      </c>
      <c r="B29" s="339">
        <v>870.31863938527783</v>
      </c>
      <c r="C29" s="340">
        <v>2988.1428303515145</v>
      </c>
      <c r="D29" s="339">
        <v>3324.1636676617163</v>
      </c>
      <c r="E29" s="340">
        <v>2829.8925685176055</v>
      </c>
      <c r="F29" s="319">
        <v>2.578435224837854E-2</v>
      </c>
      <c r="H29" s="306">
        <v>144.85185631308477</v>
      </c>
    </row>
    <row r="30" spans="1:8" ht="20" customHeight="1" thickBot="1">
      <c r="A30" s="307" t="s">
        <v>457</v>
      </c>
      <c r="B30" s="339">
        <v>901.34630008824263</v>
      </c>
      <c r="C30" s="340">
        <v>3221.9208567521423</v>
      </c>
      <c r="D30" s="339">
        <v>3766.4255330304613</v>
      </c>
      <c r="E30" s="340">
        <v>3139.9865283500149</v>
      </c>
      <c r="F30" s="319">
        <v>1.6159710563936544E-2</v>
      </c>
      <c r="H30" s="306">
        <v>184.5803903521614</v>
      </c>
    </row>
    <row r="31" spans="1:8" ht="20" customHeight="1" thickBot="1">
      <c r="A31" s="307" t="s">
        <v>458</v>
      </c>
      <c r="B31" s="339">
        <v>1137.5523774984072</v>
      </c>
      <c r="C31" s="340">
        <v>4042.8938195586652</v>
      </c>
      <c r="D31" s="339">
        <v>4563.2528356541943</v>
      </c>
      <c r="E31" s="340">
        <v>3817.5911576015219</v>
      </c>
      <c r="F31" s="319">
        <v>2.4063044425744654E-2</v>
      </c>
      <c r="H31" s="306">
        <v>244.01642882305748</v>
      </c>
    </row>
    <row r="32" spans="1:8" ht="20" customHeight="1" thickBot="1">
      <c r="A32" s="174" t="s">
        <v>459</v>
      </c>
      <c r="B32" s="339">
        <v>884.62113993941171</v>
      </c>
      <c r="C32" s="340">
        <v>3153.8099662621544</v>
      </c>
      <c r="D32" s="339">
        <v>3784.1803996164085</v>
      </c>
      <c r="E32" s="340">
        <v>3127.6223779383899</v>
      </c>
      <c r="F32" s="319">
        <v>3.928582415187104E-2</v>
      </c>
      <c r="H32" s="306">
        <v>200.58331332206401</v>
      </c>
    </row>
    <row r="33" spans="1:8" ht="20" customHeight="1" thickBot="1">
      <c r="A33" s="187" t="s">
        <v>460</v>
      </c>
      <c r="B33" s="339">
        <v>748.64463075563174</v>
      </c>
      <c r="C33" s="340">
        <v>2642.3907956144071</v>
      </c>
      <c r="D33" s="339">
        <v>2809.3916439623713</v>
      </c>
      <c r="E33" s="340">
        <v>2492.0982716136782</v>
      </c>
      <c r="F33" s="319">
        <v>-0.12321887144851724</v>
      </c>
      <c r="H33" s="306">
        <v>244.01642882305748</v>
      </c>
    </row>
    <row r="34" spans="1:8" ht="19.75" hidden="1" customHeight="1" thickBot="1">
      <c r="A34" s="174" t="s">
        <v>461</v>
      </c>
      <c r="B34" s="132" t="s">
        <v>29</v>
      </c>
      <c r="C34" s="133" t="s">
        <v>29</v>
      </c>
      <c r="D34" s="132" t="s">
        <v>29</v>
      </c>
      <c r="E34" s="133" t="s">
        <v>29</v>
      </c>
      <c r="F34" s="319" t="s">
        <v>29</v>
      </c>
      <c r="H34" s="306">
        <v>200.58331332206401</v>
      </c>
    </row>
    <row r="35" spans="1:8" s="411" customFormat="1" ht="30" customHeight="1" thickBot="1">
      <c r="A35" s="322" t="s">
        <v>462</v>
      </c>
      <c r="B35" s="506">
        <v>937.32185790567917</v>
      </c>
      <c r="C35" s="507">
        <v>3083.0007719019436</v>
      </c>
      <c r="D35" s="506">
        <v>3632.8506403951742</v>
      </c>
      <c r="E35" s="507">
        <v>3075.2295464185413</v>
      </c>
      <c r="F35" s="508">
        <v>2.3216551204694617E-2</v>
      </c>
      <c r="H35" s="509">
        <v>167.9825427102873</v>
      </c>
    </row>
    <row r="36" spans="1:8" ht="20" customHeight="1">
      <c r="A36" s="130" t="s">
        <v>396</v>
      </c>
      <c r="B36" s="195"/>
      <c r="C36" s="195"/>
      <c r="D36" s="195"/>
      <c r="E36" s="195"/>
      <c r="F36" s="510"/>
    </row>
    <row r="37" spans="1:8" ht="14.25" customHeight="1">
      <c r="A37" s="131"/>
      <c r="B37" s="511"/>
      <c r="C37" s="511"/>
      <c r="D37" s="511"/>
      <c r="E37" s="511"/>
      <c r="F37" s="334"/>
    </row>
    <row r="38" spans="1:8" ht="18.5" customHeight="1">
      <c r="A38" s="131" t="s">
        <v>621</v>
      </c>
      <c r="B38" s="511"/>
      <c r="C38" s="511"/>
      <c r="D38" s="511"/>
      <c r="E38" s="511"/>
      <c r="F38" s="334"/>
    </row>
    <row r="39" spans="1:8" ht="9.75" customHeight="1">
      <c r="A39" s="131"/>
      <c r="B39" s="511"/>
      <c r="C39" s="511"/>
      <c r="D39" s="511"/>
      <c r="E39" s="511"/>
      <c r="F39" s="334"/>
    </row>
    <row r="40" spans="1:8" ht="15.75" customHeight="1">
      <c r="A40" s="131" t="s">
        <v>622</v>
      </c>
    </row>
    <row r="41" spans="1:8" ht="15.75" customHeight="1">
      <c r="A41" s="131" t="s">
        <v>465</v>
      </c>
    </row>
    <row r="42" spans="1:8" ht="12" customHeight="1">
      <c r="A42" s="131"/>
    </row>
    <row r="43" spans="1:8" ht="12" customHeight="1"/>
    <row r="44" spans="1:8">
      <c r="A44" s="131" t="s">
        <v>395</v>
      </c>
    </row>
  </sheetData>
  <mergeCells count="1">
    <mergeCell ref="A2:E2"/>
  </mergeCells>
  <pageMargins left="0.55000000000000004" right="0.78740157480314965" top="1.1000000000000001" bottom="0.49" header="0.92" footer="0.4921259845"/>
  <pageSetup paperSize="9" scale="85" orientation="portrait" horizontalDpi="4294967292" verticalDpi="4294967292"/>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2D7E-BFEC-ED4E-A56D-824101ED0650}">
  <sheetPr>
    <pageSetUpPr fitToPage="1"/>
  </sheetPr>
  <dimension ref="A1:K60"/>
  <sheetViews>
    <sheetView zoomScaleNormal="100" workbookViewId="0">
      <selection activeCell="B41" sqref="B41"/>
    </sheetView>
  </sheetViews>
  <sheetFormatPr baseColWidth="10" defaultColWidth="11.3984375" defaultRowHeight="13"/>
  <cols>
    <col min="1" max="1" width="23.3984375" style="3" customWidth="1"/>
    <col min="2" max="2" width="18.796875" style="3" customWidth="1"/>
    <col min="3" max="3" width="15.3984375" style="3" customWidth="1"/>
    <col min="4" max="4" width="19.3984375" style="3" customWidth="1"/>
    <col min="5" max="5" width="15.3984375" style="3" customWidth="1"/>
    <col min="6" max="6" width="20" style="3" customWidth="1"/>
    <col min="7" max="7" width="16.3984375" style="3" customWidth="1"/>
    <col min="8" max="8" width="13.796875" style="3" customWidth="1"/>
    <col min="9" max="9" width="13.59765625" style="3" customWidth="1"/>
    <col min="10" max="10" width="13.796875" style="3" customWidth="1"/>
    <col min="11" max="16384" width="11.3984375" style="3"/>
  </cols>
  <sheetData>
    <row r="1" spans="1:11" s="2" customFormat="1" ht="8.25" customHeight="1"/>
    <row r="2" spans="1:11" s="2" customFormat="1" ht="24.5" customHeight="1">
      <c r="A2" s="222" t="s">
        <v>623</v>
      </c>
      <c r="B2" s="328"/>
      <c r="C2" s="328"/>
      <c r="D2" s="328"/>
      <c r="E2" s="328"/>
      <c r="F2" s="139"/>
      <c r="G2" s="139"/>
    </row>
    <row r="3" spans="1:11" ht="24" customHeight="1">
      <c r="A3" s="109" t="s">
        <v>586</v>
      </c>
      <c r="B3" s="110" t="s">
        <v>226</v>
      </c>
      <c r="C3" s="111" t="s">
        <v>227</v>
      </c>
      <c r="D3" s="110" t="s">
        <v>228</v>
      </c>
      <c r="E3" s="111" t="s">
        <v>229</v>
      </c>
      <c r="F3" s="110" t="s">
        <v>430</v>
      </c>
      <c r="G3" s="155" t="s">
        <v>256</v>
      </c>
    </row>
    <row r="4" spans="1:11" ht="16.75" customHeight="1">
      <c r="A4" s="112"/>
      <c r="B4" s="113" t="s">
        <v>231</v>
      </c>
      <c r="C4" s="114" t="s">
        <v>232</v>
      </c>
      <c r="D4" s="113" t="s">
        <v>249</v>
      </c>
      <c r="E4" s="115" t="s">
        <v>624</v>
      </c>
      <c r="F4" s="113"/>
      <c r="G4" s="156" t="s">
        <v>257</v>
      </c>
    </row>
    <row r="5" spans="1:11" ht="16.75" customHeight="1">
      <c r="A5" s="112"/>
      <c r="B5" s="113" t="s">
        <v>235</v>
      </c>
      <c r="C5" s="114" t="s">
        <v>236</v>
      </c>
      <c r="D5" s="113" t="s">
        <v>251</v>
      </c>
      <c r="E5" s="115" t="s">
        <v>625</v>
      </c>
      <c r="F5" s="113"/>
      <c r="G5" s="156" t="s">
        <v>258</v>
      </c>
    </row>
    <row r="6" spans="1:11" ht="20.25" customHeight="1">
      <c r="A6" s="167" t="s">
        <v>626</v>
      </c>
      <c r="B6" s="117"/>
      <c r="C6" s="118"/>
      <c r="D6" s="117"/>
      <c r="E6" s="119" t="s">
        <v>238</v>
      </c>
      <c r="F6" s="117"/>
      <c r="G6" s="504"/>
    </row>
    <row r="7" spans="1:11" ht="1.25" customHeight="1" thickBot="1">
      <c r="A7" s="120">
        <v>1996</v>
      </c>
      <c r="B7" s="132">
        <v>1524.5463513417667</v>
      </c>
      <c r="C7" s="133">
        <v>1591.881526355354</v>
      </c>
      <c r="D7" s="132">
        <v>1359.088238474134</v>
      </c>
      <c r="E7" s="133">
        <v>1137.2770798904471</v>
      </c>
      <c r="F7" s="132">
        <v>1538.9405008830074</v>
      </c>
      <c r="G7" s="158" t="s">
        <v>29</v>
      </c>
    </row>
    <row r="8" spans="1:11" ht="19.5" hidden="1" customHeight="1" thickBot="1">
      <c r="A8" s="123">
        <v>1997</v>
      </c>
      <c r="B8" s="134">
        <v>1596.7748981305942</v>
      </c>
      <c r="C8" s="135">
        <v>1820.0543916502945</v>
      </c>
      <c r="D8" s="134">
        <v>1429.0086986460665</v>
      </c>
      <c r="E8" s="135">
        <v>1270.8735771137619</v>
      </c>
      <c r="F8" s="134">
        <v>1663.893341996396</v>
      </c>
      <c r="G8" s="159">
        <v>8.1194068933590158E-2</v>
      </c>
      <c r="I8" s="9"/>
      <c r="J8" s="9"/>
      <c r="K8" s="9"/>
    </row>
    <row r="9" spans="1:11" ht="19.5" hidden="1" customHeight="1" thickBot="1">
      <c r="A9" s="123">
        <v>1998</v>
      </c>
      <c r="B9" s="134">
        <v>1665.5565653402912</v>
      </c>
      <c r="C9" s="135">
        <v>1937.4811057809607</v>
      </c>
      <c r="D9" s="134">
        <v>1448.2169878271459</v>
      </c>
      <c r="E9" s="135">
        <v>1463.0710596518434</v>
      </c>
      <c r="F9" s="134">
        <v>1753.6807220915252</v>
      </c>
      <c r="G9" s="159">
        <v>5.3962220912188608E-2</v>
      </c>
    </row>
    <row r="10" spans="1:11" ht="19.75" hidden="1" customHeight="1" thickBot="1">
      <c r="A10" s="123">
        <v>1999</v>
      </c>
      <c r="B10" s="134">
        <v>1698.1180433399416</v>
      </c>
      <c r="C10" s="135">
        <v>1985.9900541831798</v>
      </c>
      <c r="D10" s="134">
        <v>1493.6302697798037</v>
      </c>
      <c r="E10" s="135">
        <v>1527.6216147396292</v>
      </c>
      <c r="F10" s="134">
        <v>1792.6961372402147</v>
      </c>
      <c r="G10" s="159">
        <v>2.2247729964299134E-2</v>
      </c>
    </row>
    <row r="11" spans="1:11" ht="19.75" hidden="1" customHeight="1" thickBot="1">
      <c r="A11" s="123">
        <v>2000</v>
      </c>
      <c r="B11" s="134">
        <v>1758.0451704632812</v>
      </c>
      <c r="C11" s="135">
        <v>2038.1607144334851</v>
      </c>
      <c r="D11" s="134">
        <v>1535.3433088803986</v>
      </c>
      <c r="E11" s="135">
        <v>1583.2530710258736</v>
      </c>
      <c r="F11" s="134">
        <v>1850.1631679231971</v>
      </c>
      <c r="G11" s="159">
        <v>3.2056202659894506E-2</v>
      </c>
    </row>
    <row r="12" spans="1:11" ht="20" hidden="1" customHeight="1" thickBot="1">
      <c r="A12" s="123">
        <v>2001</v>
      </c>
      <c r="B12" s="134">
        <v>1842.9742230994177</v>
      </c>
      <c r="C12" s="135">
        <v>2074.3537866389079</v>
      </c>
      <c r="D12" s="134">
        <v>1595.1792853069078</v>
      </c>
      <c r="E12" s="135">
        <v>1658.0330212983067</v>
      </c>
      <c r="F12" s="134">
        <v>1917.1693080707569</v>
      </c>
      <c r="G12" s="159">
        <v>3.6216340974279504E-2</v>
      </c>
    </row>
    <row r="13" spans="1:11" ht="20" customHeight="1" thickBot="1">
      <c r="A13" s="123">
        <v>2002</v>
      </c>
      <c r="B13" s="134">
        <v>1999.3225217818947</v>
      </c>
      <c r="C13" s="135">
        <v>2236.6776923608968</v>
      </c>
      <c r="D13" s="134">
        <v>1807.8492038743398</v>
      </c>
      <c r="E13" s="135">
        <v>1938.8414423486433</v>
      </c>
      <c r="F13" s="134">
        <v>2090.6453445046668</v>
      </c>
      <c r="G13" s="159">
        <v>9.0485506785250136E-2</v>
      </c>
    </row>
    <row r="14" spans="1:11" ht="20" customHeight="1" thickBot="1">
      <c r="A14" s="123">
        <v>2003</v>
      </c>
      <c r="B14" s="134">
        <v>2216.0796496496105</v>
      </c>
      <c r="C14" s="135">
        <v>2426.9395460837259</v>
      </c>
      <c r="D14" s="134">
        <v>1977.301650220651</v>
      </c>
      <c r="E14" s="135">
        <v>1934.7726722030034</v>
      </c>
      <c r="F14" s="134">
        <v>2281.4625632725915</v>
      </c>
      <c r="G14" s="159">
        <v>9.1271921978299364E-2</v>
      </c>
    </row>
    <row r="15" spans="1:11" ht="20" customHeight="1" thickBot="1">
      <c r="A15" s="123">
        <v>2004</v>
      </c>
      <c r="B15" s="134">
        <v>2343.8682619528158</v>
      </c>
      <c r="C15" s="135">
        <v>2645.1462345444088</v>
      </c>
      <c r="D15" s="134">
        <v>2075.9841086714919</v>
      </c>
      <c r="E15" s="135">
        <v>2100.4541508082671</v>
      </c>
      <c r="F15" s="134">
        <v>2441.8690220833437</v>
      </c>
      <c r="G15" s="159">
        <v>7.0308608781491921E-2</v>
      </c>
    </row>
    <row r="16" spans="1:11" ht="20" customHeight="1" thickBot="1">
      <c r="A16" s="123">
        <v>2005</v>
      </c>
      <c r="B16" s="134">
        <v>2470.8502609985521</v>
      </c>
      <c r="C16" s="135">
        <v>2635.6398124159059</v>
      </c>
      <c r="D16" s="134">
        <v>2194.1314013904234</v>
      </c>
      <c r="E16" s="135">
        <v>2075.4315686877048</v>
      </c>
      <c r="F16" s="134">
        <v>2487.4606144678528</v>
      </c>
      <c r="G16" s="159">
        <v>1.8670777167897112E-2</v>
      </c>
    </row>
    <row r="17" spans="1:7" ht="20" customHeight="1" thickBot="1">
      <c r="A17" s="123">
        <v>2006</v>
      </c>
      <c r="B17" s="134">
        <v>2629.69</v>
      </c>
      <c r="C17" s="135">
        <v>2763.07</v>
      </c>
      <c r="D17" s="134">
        <v>2359.12</v>
      </c>
      <c r="E17" s="135">
        <v>2097.1999999999998</v>
      </c>
      <c r="F17" s="134">
        <v>2582.7199999999998</v>
      </c>
      <c r="G17" s="159">
        <v>3.8295836717208154E-2</v>
      </c>
    </row>
    <row r="18" spans="1:7" ht="20" customHeight="1" thickBot="1">
      <c r="A18" s="123">
        <v>2007</v>
      </c>
      <c r="B18" s="134">
        <v>2723.42</v>
      </c>
      <c r="C18" s="135">
        <v>2817.48</v>
      </c>
      <c r="D18" s="134">
        <v>2454.38</v>
      </c>
      <c r="E18" s="135">
        <v>2134.58</v>
      </c>
      <c r="F18" s="134">
        <v>2612.13</v>
      </c>
      <c r="G18" s="159">
        <v>1.1387219675381033E-2</v>
      </c>
    </row>
    <row r="19" spans="1:7" ht="20" customHeight="1" thickBot="1">
      <c r="A19" s="123">
        <v>2008</v>
      </c>
      <c r="B19" s="134">
        <v>2766.67</v>
      </c>
      <c r="C19" s="135">
        <v>2814.77</v>
      </c>
      <c r="D19" s="134">
        <v>2510.7399999999998</v>
      </c>
      <c r="E19" s="135">
        <v>2114.29</v>
      </c>
      <c r="F19" s="134">
        <v>2585.79</v>
      </c>
      <c r="G19" s="159">
        <v>-1.0083724776332015E-2</v>
      </c>
    </row>
    <row r="20" spans="1:7" ht="20" customHeight="1" thickBot="1">
      <c r="A20" s="123">
        <v>2009</v>
      </c>
      <c r="B20" s="134">
        <v>2823.6745881888778</v>
      </c>
      <c r="C20" s="135">
        <v>2837.4638725119903</v>
      </c>
      <c r="D20" s="134">
        <v>2582.6714722167626</v>
      </c>
      <c r="E20" s="135">
        <v>2220.8587243287579</v>
      </c>
      <c r="F20" s="134">
        <v>2610.6060854467783</v>
      </c>
      <c r="G20" s="159">
        <v>9.5971000919556904E-3</v>
      </c>
    </row>
    <row r="21" spans="1:7" ht="20" customHeight="1" thickBot="1">
      <c r="A21" s="123">
        <v>2010</v>
      </c>
      <c r="B21" s="134">
        <v>3145.2431348976961</v>
      </c>
      <c r="C21" s="135">
        <v>3211.532192096673</v>
      </c>
      <c r="D21" s="134">
        <v>2821.8130817782608</v>
      </c>
      <c r="E21" s="135">
        <v>2440.6088467563409</v>
      </c>
      <c r="F21" s="134">
        <v>2834.4985554616119</v>
      </c>
      <c r="G21" s="159">
        <v>8.5762640048591132E-2</v>
      </c>
    </row>
    <row r="22" spans="1:7" ht="20" customHeight="1" thickBot="1">
      <c r="A22" s="123">
        <v>2011</v>
      </c>
      <c r="B22" s="134">
        <v>3394.564555374136</v>
      </c>
      <c r="C22" s="135">
        <v>3454.0913551945878</v>
      </c>
      <c r="D22" s="134">
        <v>3019.459664395612</v>
      </c>
      <c r="E22" s="135">
        <v>2632.9810008432919</v>
      </c>
      <c r="F22" s="134">
        <v>3005.4531830980982</v>
      </c>
      <c r="G22" s="159">
        <v>6.031212374657402E-2</v>
      </c>
    </row>
    <row r="23" spans="1:7" ht="22.5" customHeight="1" thickBot="1">
      <c r="A23" s="126">
        <v>2012</v>
      </c>
      <c r="B23" s="136">
        <v>3522.7591313918697</v>
      </c>
      <c r="C23" s="137">
        <v>3590.2671027195524</v>
      </c>
      <c r="D23" s="136">
        <v>3101.5088173115278</v>
      </c>
      <c r="E23" s="137">
        <v>2718.085828165586</v>
      </c>
      <c r="F23" s="136">
        <v>3075.2295426022538</v>
      </c>
      <c r="G23" s="512">
        <v>2.3216585071615947E-2</v>
      </c>
    </row>
    <row r="24" spans="1:7" ht="20" customHeight="1">
      <c r="A24" s="130" t="s">
        <v>396</v>
      </c>
      <c r="B24" s="354"/>
      <c r="C24" s="354"/>
      <c r="D24" s="354"/>
      <c r="E24" s="354"/>
      <c r="F24" s="354"/>
      <c r="G24" s="513"/>
    </row>
    <row r="25" spans="1:7" ht="13.5" customHeight="1">
      <c r="A25" s="131"/>
      <c r="B25" s="357"/>
      <c r="C25" s="357"/>
      <c r="D25" s="357"/>
      <c r="E25" s="357"/>
      <c r="F25" s="357"/>
      <c r="G25" s="514"/>
    </row>
    <row r="26" spans="1:7">
      <c r="A26" s="3" t="s">
        <v>627</v>
      </c>
      <c r="G26" s="514"/>
    </row>
    <row r="27" spans="1:7">
      <c r="G27" s="514"/>
    </row>
    <row r="28" spans="1:7">
      <c r="G28" s="514"/>
    </row>
    <row r="29" spans="1:7" ht="18">
      <c r="A29" s="515" t="s">
        <v>628</v>
      </c>
      <c r="G29" s="514"/>
    </row>
    <row r="30" spans="1:7">
      <c r="G30" s="514"/>
    </row>
    <row r="31" spans="1:7" ht="19.5" customHeight="1">
      <c r="A31" s="109" t="s">
        <v>241</v>
      </c>
      <c r="B31" s="110" t="s">
        <v>427</v>
      </c>
      <c r="C31" s="516" t="s">
        <v>256</v>
      </c>
      <c r="D31" s="110" t="s">
        <v>428</v>
      </c>
      <c r="E31" s="516" t="s">
        <v>256</v>
      </c>
      <c r="F31" s="110" t="s">
        <v>629</v>
      </c>
      <c r="G31" s="516" t="s">
        <v>256</v>
      </c>
    </row>
    <row r="32" spans="1:7" ht="19.5" customHeight="1">
      <c r="A32" s="517"/>
      <c r="B32" s="113" t="s">
        <v>431</v>
      </c>
      <c r="C32" s="518" t="s">
        <v>257</v>
      </c>
      <c r="D32" s="113" t="s">
        <v>432</v>
      </c>
      <c r="E32" s="518" t="s">
        <v>257</v>
      </c>
      <c r="F32" s="113" t="s">
        <v>630</v>
      </c>
      <c r="G32" s="518" t="s">
        <v>257</v>
      </c>
    </row>
    <row r="33" spans="1:7" ht="19.5" customHeight="1">
      <c r="A33" s="112"/>
      <c r="B33" s="113"/>
      <c r="C33" s="518" t="s">
        <v>258</v>
      </c>
      <c r="D33" s="113"/>
      <c r="E33" s="518" t="s">
        <v>258</v>
      </c>
      <c r="F33" s="113"/>
      <c r="G33" s="518" t="s">
        <v>258</v>
      </c>
    </row>
    <row r="34" spans="1:7" ht="19.5" customHeight="1">
      <c r="A34" s="116"/>
      <c r="B34" s="117"/>
      <c r="C34" s="403"/>
      <c r="D34" s="117"/>
      <c r="E34" s="403"/>
      <c r="F34" s="117"/>
      <c r="G34" s="403"/>
    </row>
    <row r="35" spans="1:7" ht="1.25" customHeight="1" thickBot="1">
      <c r="A35" s="120">
        <v>1996</v>
      </c>
      <c r="B35" s="132" t="s">
        <v>29</v>
      </c>
      <c r="C35" s="519" t="s">
        <v>29</v>
      </c>
      <c r="D35" s="132" t="s">
        <v>29</v>
      </c>
      <c r="E35" s="519" t="s">
        <v>29</v>
      </c>
      <c r="F35" s="132" t="s">
        <v>29</v>
      </c>
      <c r="G35" s="158" t="s">
        <v>29</v>
      </c>
    </row>
    <row r="36" spans="1:7" ht="0.75" hidden="1" customHeight="1" thickBot="1">
      <c r="A36" s="123">
        <v>1997</v>
      </c>
      <c r="B36" s="132">
        <v>571.27</v>
      </c>
      <c r="C36" s="519" t="s">
        <v>29</v>
      </c>
      <c r="D36" s="132">
        <v>1459.12</v>
      </c>
      <c r="E36" s="519" t="s">
        <v>29</v>
      </c>
      <c r="F36" s="132">
        <v>2024.73</v>
      </c>
      <c r="G36" s="159" t="s">
        <v>29</v>
      </c>
    </row>
    <row r="37" spans="1:7" ht="19.5" hidden="1" customHeight="1" thickBot="1">
      <c r="A37" s="123">
        <v>1998</v>
      </c>
      <c r="B37" s="134">
        <v>588.77</v>
      </c>
      <c r="C37" s="159">
        <v>3.0633500796471091E-2</v>
      </c>
      <c r="D37" s="134">
        <v>1563.95</v>
      </c>
      <c r="E37" s="159">
        <v>7.1844673501836764E-2</v>
      </c>
      <c r="F37" s="134">
        <v>2142.38</v>
      </c>
      <c r="G37" s="159">
        <v>5.8106512967161184E-2</v>
      </c>
    </row>
    <row r="38" spans="1:7" ht="0.5" hidden="1" customHeight="1" thickBot="1">
      <c r="A38" s="123">
        <v>1999</v>
      </c>
      <c r="B38" s="134">
        <v>603.19000000000005</v>
      </c>
      <c r="C38" s="159">
        <v>2.4491737011057113E-2</v>
      </c>
      <c r="D38" s="134">
        <v>1581.32</v>
      </c>
      <c r="E38" s="159">
        <v>1.1106493174334098E-2</v>
      </c>
      <c r="F38" s="134">
        <v>2190.21</v>
      </c>
      <c r="G38" s="159">
        <v>2.2325637842026014E-2</v>
      </c>
    </row>
    <row r="39" spans="1:7" ht="19.25" hidden="1" customHeight="1" thickBot="1">
      <c r="A39" s="123">
        <v>2000</v>
      </c>
      <c r="B39" s="134">
        <v>621.73</v>
      </c>
      <c r="C39" s="159">
        <v>3.073658382930744E-2</v>
      </c>
      <c r="D39" s="134">
        <v>1566.95</v>
      </c>
      <c r="E39" s="159">
        <v>-9.0873447499556503E-3</v>
      </c>
      <c r="F39" s="134">
        <v>2256.67</v>
      </c>
      <c r="G39" s="159">
        <v>3.0344122253117334E-2</v>
      </c>
    </row>
    <row r="40" spans="1:7" ht="19.5" hidden="1" customHeight="1" thickBot="1">
      <c r="A40" s="123">
        <v>2001</v>
      </c>
      <c r="B40" s="134">
        <v>652.66999999999996</v>
      </c>
      <c r="C40" s="159">
        <v>4.9764367169028212E-2</v>
      </c>
      <c r="D40" s="134">
        <v>1580.79</v>
      </c>
      <c r="E40" s="159">
        <v>8.8324451960815065E-3</v>
      </c>
      <c r="F40" s="134">
        <v>2352.56</v>
      </c>
      <c r="G40" s="159">
        <v>4.2491813158326064E-2</v>
      </c>
    </row>
    <row r="41" spans="1:7" ht="19.5" customHeight="1" thickBot="1">
      <c r="A41" s="123">
        <v>2002</v>
      </c>
      <c r="B41" s="134">
        <v>712.31</v>
      </c>
      <c r="C41" s="159">
        <v>9.1378491427520858E-2</v>
      </c>
      <c r="D41" s="134">
        <v>1782.56</v>
      </c>
      <c r="E41" s="159">
        <v>0.12763871228942492</v>
      </c>
      <c r="F41" s="134">
        <v>2553.98</v>
      </c>
      <c r="G41" s="159">
        <v>8.5617370013942207E-2</v>
      </c>
    </row>
    <row r="42" spans="1:7" ht="19.5" customHeight="1" thickBot="1">
      <c r="A42" s="123">
        <v>2003</v>
      </c>
      <c r="B42" s="134">
        <v>775.13</v>
      </c>
      <c r="C42" s="159">
        <v>8.8191938903005695E-2</v>
      </c>
      <c r="D42" s="134">
        <v>2027.01</v>
      </c>
      <c r="E42" s="159">
        <v>0.13713423391077995</v>
      </c>
      <c r="F42" s="134">
        <v>2767.57</v>
      </c>
      <c r="G42" s="159">
        <v>8.3630255522752828E-2</v>
      </c>
    </row>
    <row r="43" spans="1:7" ht="19.5" customHeight="1" thickBot="1">
      <c r="A43" s="123">
        <v>2004</v>
      </c>
      <c r="B43" s="134">
        <v>811.85</v>
      </c>
      <c r="C43" s="159">
        <v>4.7372698773109123E-2</v>
      </c>
      <c r="D43" s="134">
        <v>2229.4699999999998</v>
      </c>
      <c r="E43" s="159">
        <v>9.9881105667954273E-2</v>
      </c>
      <c r="F43" s="134">
        <v>2944.97</v>
      </c>
      <c r="G43" s="159">
        <v>6.4099553037502144E-2</v>
      </c>
    </row>
    <row r="44" spans="1:7" ht="19.5" customHeight="1" thickBot="1">
      <c r="A44" s="123">
        <v>2005</v>
      </c>
      <c r="B44" s="134">
        <v>810.41</v>
      </c>
      <c r="C44" s="159">
        <v>-1.773726673646725E-3</v>
      </c>
      <c r="D44" s="134">
        <v>2295.98</v>
      </c>
      <c r="E44" s="159">
        <v>2.9832202272288999E-2</v>
      </c>
      <c r="F44" s="134">
        <v>3001.01</v>
      </c>
      <c r="G44" s="159">
        <v>1.9029056323154547E-2</v>
      </c>
    </row>
    <row r="45" spans="1:7" ht="19.5" customHeight="1" thickBot="1">
      <c r="A45" s="123">
        <v>2006</v>
      </c>
      <c r="B45" s="134">
        <v>831.45</v>
      </c>
      <c r="C45" s="159">
        <v>2.5962167298034355E-2</v>
      </c>
      <c r="D45" s="134">
        <v>2397.42</v>
      </c>
      <c r="E45" s="159">
        <v>4.4181569525866937E-2</v>
      </c>
      <c r="F45" s="134">
        <v>3120.11</v>
      </c>
      <c r="G45" s="159">
        <v>3.9686638831593291E-2</v>
      </c>
    </row>
    <row r="46" spans="1:7" ht="19.5" customHeight="1" thickBot="1">
      <c r="A46" s="123">
        <v>2007</v>
      </c>
      <c r="B46" s="134">
        <v>830.97</v>
      </c>
      <c r="C46" s="159">
        <v>-5.7730470864159056E-4</v>
      </c>
      <c r="D46" s="134">
        <v>2410.9299999999998</v>
      </c>
      <c r="E46" s="159">
        <v>5.6352245330395512E-3</v>
      </c>
      <c r="F46" s="134">
        <v>3148.34</v>
      </c>
      <c r="G46" s="159">
        <v>9.0477579316114998E-3</v>
      </c>
    </row>
    <row r="47" spans="1:7" ht="19.5" customHeight="1" thickBot="1">
      <c r="A47" s="123">
        <v>2008</v>
      </c>
      <c r="B47" s="134">
        <v>805.67</v>
      </c>
      <c r="C47" s="159">
        <v>-3.0446345836793176E-2</v>
      </c>
      <c r="D47" s="134">
        <v>2390.77</v>
      </c>
      <c r="E47" s="159">
        <v>-8.3619184298174831E-3</v>
      </c>
      <c r="F47" s="134">
        <v>3113.11</v>
      </c>
      <c r="G47" s="159">
        <v>-1.1190023949128713E-2</v>
      </c>
    </row>
    <row r="48" spans="1:7" ht="19.5" customHeight="1" thickBot="1">
      <c r="A48" s="123">
        <v>2009</v>
      </c>
      <c r="B48" s="134">
        <v>803.29852245883592</v>
      </c>
      <c r="C48" s="159">
        <v>-2.9434849766828419E-3</v>
      </c>
      <c r="D48" s="134">
        <v>2417.2719920855861</v>
      </c>
      <c r="E48" s="159">
        <v>1.1085128258086829E-2</v>
      </c>
      <c r="F48" s="134">
        <v>3124.0890560836219</v>
      </c>
      <c r="G48" s="159">
        <v>3.5267163973073945E-3</v>
      </c>
    </row>
    <row r="49" spans="1:7" ht="19.5" customHeight="1" thickBot="1">
      <c r="A49" s="123">
        <v>2010</v>
      </c>
      <c r="B49" s="134">
        <v>870.57920238879058</v>
      </c>
      <c r="C49" s="159">
        <v>8.3755513111132718E-2</v>
      </c>
      <c r="D49" s="134">
        <v>2689.4943448135232</v>
      </c>
      <c r="E49" s="159">
        <v>0.11261552428490584</v>
      </c>
      <c r="F49" s="134">
        <v>3377.364823956269</v>
      </c>
      <c r="G49" s="159">
        <v>8.1071878338242698E-2</v>
      </c>
    </row>
    <row r="50" spans="1:7" ht="19.5" customHeight="1" thickBot="1">
      <c r="A50" s="123">
        <v>2011</v>
      </c>
      <c r="B50" s="134">
        <v>917.72072268156774</v>
      </c>
      <c r="C50" s="159">
        <v>5.4149605416055291E-2</v>
      </c>
      <c r="D50" s="134">
        <v>2952.2169073771702</v>
      </c>
      <c r="E50" s="159">
        <v>9.7684742513136857E-2</v>
      </c>
      <c r="F50" s="134">
        <v>3563.1174309275543</v>
      </c>
      <c r="G50" s="159">
        <v>5.4999272111116992E-2</v>
      </c>
    </row>
    <row r="51" spans="1:7" ht="21.75" customHeight="1" thickBot="1">
      <c r="A51" s="520">
        <v>2012</v>
      </c>
      <c r="B51" s="353">
        <v>937.32185790567917</v>
      </c>
      <c r="C51" s="512">
        <v>2.1358496914875236E-2</v>
      </c>
      <c r="D51" s="353">
        <v>3083.0007719019436</v>
      </c>
      <c r="E51" s="512">
        <v>4.4300222046003146E-2</v>
      </c>
      <c r="F51" s="353">
        <v>3632.8506403951742</v>
      </c>
      <c r="G51" s="512">
        <v>1.9570842336640748E-2</v>
      </c>
    </row>
    <row r="52" spans="1:7" ht="15" customHeight="1">
      <c r="A52" s="130" t="s">
        <v>396</v>
      </c>
    </row>
    <row r="54" spans="1:7">
      <c r="A54" s="521" t="s">
        <v>631</v>
      </c>
    </row>
    <row r="55" spans="1:7">
      <c r="A55" s="60"/>
    </row>
    <row r="56" spans="1:7" ht="12" customHeight="1">
      <c r="A56" s="60" t="s">
        <v>632</v>
      </c>
      <c r="B56" s="138"/>
      <c r="F56" s="138"/>
      <c r="G56" s="522"/>
    </row>
    <row r="57" spans="1:7">
      <c r="A57" s="60" t="s">
        <v>633</v>
      </c>
    </row>
    <row r="60" spans="1:7">
      <c r="A60" s="3" t="s">
        <v>395</v>
      </c>
    </row>
  </sheetData>
  <pageMargins left="0.34" right="0.34" top="0.43307086614173229" bottom="0.35433070866141736" header="0.31496062992125984" footer="0.27559055118110237"/>
  <pageSetup paperSize="9" scale="67"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C6DD-195F-084A-AD78-60E59C94D3DD}">
  <sheetPr>
    <pageSetUpPr fitToPage="1"/>
  </sheetPr>
  <dimension ref="A1:G44"/>
  <sheetViews>
    <sheetView zoomScaleNormal="100" workbookViewId="0">
      <selection activeCell="A22" sqref="A22:E24"/>
    </sheetView>
  </sheetViews>
  <sheetFormatPr baseColWidth="10" defaultColWidth="11.3984375" defaultRowHeight="13"/>
  <cols>
    <col min="1" max="1" width="21.3984375" style="3" customWidth="1"/>
    <col min="2" max="5" width="20.3984375" style="3" customWidth="1"/>
    <col min="6" max="6" width="11.3984375" style="3"/>
    <col min="7" max="7" width="14.59765625" style="3" customWidth="1"/>
    <col min="8" max="16384" width="11.3984375" style="3"/>
  </cols>
  <sheetData>
    <row r="1" spans="1:7" s="2" customFormat="1" ht="14" customHeight="1"/>
    <row r="2" spans="1:7" s="2" customFormat="1" ht="28" customHeight="1">
      <c r="A2" s="139" t="s">
        <v>634</v>
      </c>
      <c r="E2" s="139">
        <v>2012</v>
      </c>
    </row>
    <row r="3" spans="1:7" ht="27" customHeight="1">
      <c r="A3" s="109" t="s">
        <v>426</v>
      </c>
      <c r="B3" s="110" t="s">
        <v>427</v>
      </c>
      <c r="C3" s="111" t="s">
        <v>619</v>
      </c>
      <c r="D3" s="110" t="s">
        <v>429</v>
      </c>
      <c r="E3" s="111" t="s">
        <v>230</v>
      </c>
    </row>
    <row r="4" spans="1:7" ht="21.75" customHeight="1">
      <c r="A4" s="156"/>
      <c r="B4" s="113"/>
      <c r="C4" s="114" t="s">
        <v>429</v>
      </c>
      <c r="D4" s="300"/>
      <c r="E4" s="114"/>
    </row>
    <row r="5" spans="1:7" ht="21.75" customHeight="1">
      <c r="A5" s="156"/>
      <c r="B5" s="113" t="s">
        <v>431</v>
      </c>
      <c r="C5" s="114" t="s">
        <v>432</v>
      </c>
      <c r="D5" s="113" t="s">
        <v>433</v>
      </c>
      <c r="E5" s="114"/>
    </row>
    <row r="6" spans="1:7" ht="14.5" customHeight="1">
      <c r="A6" s="157"/>
      <c r="B6" s="169"/>
      <c r="C6" s="157"/>
      <c r="D6" s="169"/>
      <c r="E6" s="118"/>
    </row>
    <row r="7" spans="1:7" ht="25.25" customHeight="1" thickBot="1">
      <c r="A7" s="302" t="s">
        <v>434</v>
      </c>
      <c r="B7" s="303">
        <v>246340172.33000001</v>
      </c>
      <c r="C7" s="304">
        <v>330287025.26999998</v>
      </c>
      <c r="D7" s="303">
        <v>3689984519.9000001</v>
      </c>
      <c r="E7" s="304">
        <v>4266611717.5</v>
      </c>
      <c r="G7" s="306"/>
    </row>
    <row r="8" spans="1:7" ht="20" customHeight="1" thickBot="1">
      <c r="A8" s="307" t="s">
        <v>435</v>
      </c>
      <c r="B8" s="303">
        <v>170462303.11000001</v>
      </c>
      <c r="C8" s="304">
        <v>255352275.81999999</v>
      </c>
      <c r="D8" s="303">
        <v>2812818584.5700002</v>
      </c>
      <c r="E8" s="304">
        <v>3238633163.5</v>
      </c>
      <c r="G8" s="306"/>
    </row>
    <row r="9" spans="1:7" ht="20" customHeight="1" thickBot="1">
      <c r="A9" s="307" t="s">
        <v>436</v>
      </c>
      <c r="B9" s="303">
        <v>59146325.039999999</v>
      </c>
      <c r="C9" s="304">
        <v>92352555.980000004</v>
      </c>
      <c r="D9" s="303">
        <v>865484211.26999998</v>
      </c>
      <c r="E9" s="304">
        <v>1016983092.29</v>
      </c>
      <c r="G9" s="306"/>
    </row>
    <row r="10" spans="1:7" ht="20" customHeight="1" thickBot="1">
      <c r="A10" s="307" t="s">
        <v>437</v>
      </c>
      <c r="B10" s="303">
        <v>5241864.9800000004</v>
      </c>
      <c r="C10" s="304">
        <v>7845925.0700000003</v>
      </c>
      <c r="D10" s="303">
        <v>76429012.310000002</v>
      </c>
      <c r="E10" s="304">
        <v>89516802.359999999</v>
      </c>
      <c r="G10" s="306"/>
    </row>
    <row r="11" spans="1:7" ht="20" customHeight="1" thickBot="1">
      <c r="A11" s="307" t="s">
        <v>438</v>
      </c>
      <c r="B11" s="303">
        <v>23008468.469999999</v>
      </c>
      <c r="C11" s="304">
        <v>32773316.010000002</v>
      </c>
      <c r="D11" s="303">
        <v>331853944.82999998</v>
      </c>
      <c r="E11" s="304">
        <v>387635729.31</v>
      </c>
      <c r="G11" s="306"/>
    </row>
    <row r="12" spans="1:7" ht="20" customHeight="1" thickBot="1">
      <c r="A12" s="307" t="s">
        <v>439</v>
      </c>
      <c r="B12" s="303">
        <v>5363029.1900000004</v>
      </c>
      <c r="C12" s="304">
        <v>8112013.3799999999</v>
      </c>
      <c r="D12" s="303">
        <v>74831359.450000003</v>
      </c>
      <c r="E12" s="304">
        <v>88306402.020000011</v>
      </c>
      <c r="G12" s="306"/>
    </row>
    <row r="13" spans="1:7" ht="20" customHeight="1" thickBot="1">
      <c r="A13" s="307" t="s">
        <v>440</v>
      </c>
      <c r="B13" s="303">
        <v>5136546</v>
      </c>
      <c r="C13" s="304">
        <v>8155758.4299999997</v>
      </c>
      <c r="D13" s="303">
        <v>82961404.299999997</v>
      </c>
      <c r="E13" s="304">
        <v>96253708.729999989</v>
      </c>
      <c r="G13" s="306"/>
    </row>
    <row r="14" spans="1:7" ht="20" customHeight="1" thickBot="1">
      <c r="A14" s="307" t="s">
        <v>441</v>
      </c>
      <c r="B14" s="303">
        <v>5865348.4000000004</v>
      </c>
      <c r="C14" s="304">
        <v>9894553.0399999991</v>
      </c>
      <c r="D14" s="303">
        <v>91849768.75</v>
      </c>
      <c r="E14" s="304">
        <v>107609670.19</v>
      </c>
      <c r="G14" s="306"/>
    </row>
    <row r="15" spans="1:7" ht="20" customHeight="1" thickBot="1">
      <c r="A15" s="307" t="s">
        <v>442</v>
      </c>
      <c r="B15" s="303">
        <v>17451375.07</v>
      </c>
      <c r="C15" s="304">
        <v>23431196.050000001</v>
      </c>
      <c r="D15" s="303">
        <v>259358132.16</v>
      </c>
      <c r="E15" s="304">
        <v>300240703.27999997</v>
      </c>
      <c r="G15" s="306"/>
    </row>
    <row r="16" spans="1:7" ht="20" customHeight="1" thickBot="1">
      <c r="A16" s="307" t="s">
        <v>443</v>
      </c>
      <c r="B16" s="303">
        <v>57532218.770000003</v>
      </c>
      <c r="C16" s="304">
        <v>77855235.269999996</v>
      </c>
      <c r="D16" s="303">
        <v>694774999.14999998</v>
      </c>
      <c r="E16" s="304">
        <v>830162453.18999994</v>
      </c>
      <c r="G16" s="306"/>
    </row>
    <row r="17" spans="1:7" ht="20" customHeight="1" thickBot="1">
      <c r="A17" s="307" t="s">
        <v>444</v>
      </c>
      <c r="B17" s="303">
        <v>41760355.469999999</v>
      </c>
      <c r="C17" s="304">
        <v>65745273.840000004</v>
      </c>
      <c r="D17" s="303">
        <v>655079078.66999996</v>
      </c>
      <c r="E17" s="304">
        <v>762584707.98000002</v>
      </c>
      <c r="G17" s="306"/>
    </row>
    <row r="18" spans="1:7" ht="20" customHeight="1" thickBot="1">
      <c r="A18" s="307" t="s">
        <v>445</v>
      </c>
      <c r="B18" s="303">
        <v>36197670.75</v>
      </c>
      <c r="C18" s="304">
        <v>54624241.560000002</v>
      </c>
      <c r="D18" s="303">
        <v>686731330.15999997</v>
      </c>
      <c r="E18" s="304">
        <v>777553242.47000003</v>
      </c>
      <c r="G18" s="306"/>
    </row>
    <row r="19" spans="1:7" ht="20" customHeight="1" thickBot="1">
      <c r="A19" s="307" t="s">
        <v>446</v>
      </c>
      <c r="B19" s="303">
        <v>50610505.490000002</v>
      </c>
      <c r="C19" s="304">
        <v>70211920.290000007</v>
      </c>
      <c r="D19" s="303">
        <v>797069837.96000004</v>
      </c>
      <c r="E19" s="304">
        <v>917892263.74000001</v>
      </c>
      <c r="G19" s="306"/>
    </row>
    <row r="20" spans="1:7" ht="20" customHeight="1" thickBot="1">
      <c r="A20" s="307" t="s">
        <v>447</v>
      </c>
      <c r="B20" s="303">
        <v>11970621.51</v>
      </c>
      <c r="C20" s="304">
        <v>19862698.760000002</v>
      </c>
      <c r="D20" s="303">
        <v>196277775.71000001</v>
      </c>
      <c r="E20" s="304">
        <v>228111095.98000002</v>
      </c>
      <c r="G20" s="306"/>
    </row>
    <row r="21" spans="1:7" ht="20" customHeight="1" thickBot="1">
      <c r="A21" s="307" t="s">
        <v>448</v>
      </c>
      <c r="B21" s="303">
        <v>7560331.8200000003</v>
      </c>
      <c r="C21" s="304">
        <v>12273022.41</v>
      </c>
      <c r="D21" s="303">
        <v>111978129.09999999</v>
      </c>
      <c r="E21" s="304">
        <v>131811483.33</v>
      </c>
      <c r="G21" s="306"/>
    </row>
    <row r="22" spans="1:7" ht="20" customHeight="1" thickBot="1">
      <c r="A22" s="307" t="s">
        <v>449</v>
      </c>
      <c r="B22" s="303">
        <v>2284389.0299999998</v>
      </c>
      <c r="C22" s="304">
        <v>3696114.83</v>
      </c>
      <c r="D22" s="303">
        <v>29259044.59</v>
      </c>
      <c r="E22" s="304">
        <v>35239548.450000003</v>
      </c>
      <c r="G22" s="306"/>
    </row>
    <row r="23" spans="1:7" ht="20" customHeight="1" thickBot="1">
      <c r="A23" s="307" t="s">
        <v>450</v>
      </c>
      <c r="B23" s="303">
        <v>77999469.379999995</v>
      </c>
      <c r="C23" s="304">
        <v>123527055.79000001</v>
      </c>
      <c r="D23" s="303">
        <v>1087648748.8599999</v>
      </c>
      <c r="E23" s="304">
        <v>1289175274.03</v>
      </c>
      <c r="G23" s="306"/>
    </row>
    <row r="24" spans="1:7" ht="20" customHeight="1" thickBot="1">
      <c r="A24" s="307" t="s">
        <v>451</v>
      </c>
      <c r="B24" s="303">
        <v>27802677.670000002</v>
      </c>
      <c r="C24" s="304">
        <v>48423238.479999997</v>
      </c>
      <c r="D24" s="303">
        <v>455798219.63999999</v>
      </c>
      <c r="E24" s="304">
        <v>532024135.78999996</v>
      </c>
      <c r="G24" s="306"/>
    </row>
    <row r="25" spans="1:7" ht="20" customHeight="1" thickBot="1">
      <c r="A25" s="307" t="s">
        <v>452</v>
      </c>
      <c r="B25" s="303">
        <v>105346671.23</v>
      </c>
      <c r="C25" s="304">
        <v>156104553.03999999</v>
      </c>
      <c r="D25" s="303">
        <v>1536327049.5899999</v>
      </c>
      <c r="E25" s="304">
        <v>1797778273.8599999</v>
      </c>
      <c r="G25" s="306"/>
    </row>
    <row r="26" spans="1:7" ht="20" customHeight="1" thickBot="1">
      <c r="A26" s="307" t="s">
        <v>453</v>
      </c>
      <c r="B26" s="303">
        <v>41724905.740000002</v>
      </c>
      <c r="C26" s="304">
        <v>63848924.740000002</v>
      </c>
      <c r="D26" s="303">
        <v>571958019.69000006</v>
      </c>
      <c r="E26" s="304">
        <v>677531850.17000008</v>
      </c>
      <c r="G26" s="306"/>
    </row>
    <row r="27" spans="1:7" ht="20" customHeight="1" thickBot="1">
      <c r="A27" s="307" t="s">
        <v>454</v>
      </c>
      <c r="B27" s="303">
        <v>60661686.509999998</v>
      </c>
      <c r="C27" s="304">
        <v>82425722.950000003</v>
      </c>
      <c r="D27" s="303">
        <v>999976046.78999996</v>
      </c>
      <c r="E27" s="304">
        <v>1143063456.25</v>
      </c>
      <c r="G27" s="306"/>
    </row>
    <row r="28" spans="1:7" ht="20" customHeight="1" thickBot="1">
      <c r="A28" s="307" t="s">
        <v>455</v>
      </c>
      <c r="B28" s="303">
        <v>156398334.88999999</v>
      </c>
      <c r="C28" s="304">
        <v>216952412.33000001</v>
      </c>
      <c r="D28" s="303">
        <v>2039548219.3199999</v>
      </c>
      <c r="E28" s="304">
        <v>2412898966.54</v>
      </c>
      <c r="G28" s="306"/>
    </row>
    <row r="29" spans="1:7" ht="20" customHeight="1" thickBot="1">
      <c r="A29" s="307" t="s">
        <v>456</v>
      </c>
      <c r="B29" s="303">
        <v>53239436.420000002</v>
      </c>
      <c r="C29" s="304">
        <v>86837104.010000005</v>
      </c>
      <c r="D29" s="303">
        <v>775254503.07000005</v>
      </c>
      <c r="E29" s="304">
        <v>915331043.5</v>
      </c>
      <c r="G29" s="306"/>
    </row>
    <row r="30" spans="1:7" ht="20" customHeight="1" thickBot="1">
      <c r="A30" s="307" t="s">
        <v>457</v>
      </c>
      <c r="B30" s="303">
        <v>31776990.850000001</v>
      </c>
      <c r="C30" s="304">
        <v>49665781.130000003</v>
      </c>
      <c r="D30" s="303">
        <v>466927050.12</v>
      </c>
      <c r="E30" s="304">
        <v>548369822.10000002</v>
      </c>
      <c r="G30" s="306"/>
    </row>
    <row r="31" spans="1:7" ht="20" customHeight="1" thickBot="1">
      <c r="A31" s="307" t="s">
        <v>458</v>
      </c>
      <c r="B31" s="303">
        <v>99838888.359999999</v>
      </c>
      <c r="C31" s="304">
        <v>139983379.19999999</v>
      </c>
      <c r="D31" s="303">
        <v>1391728503.1300001</v>
      </c>
      <c r="E31" s="304">
        <v>1631550770.6900001</v>
      </c>
      <c r="G31" s="306"/>
    </row>
    <row r="32" spans="1:7" ht="20" customHeight="1" thickBot="1">
      <c r="A32" s="174" t="s">
        <v>459</v>
      </c>
      <c r="B32" s="303">
        <v>13035352.5</v>
      </c>
      <c r="C32" s="304">
        <v>20294483.289999999</v>
      </c>
      <c r="D32" s="303">
        <v>189528896.75</v>
      </c>
      <c r="E32" s="304">
        <v>222858732.53999999</v>
      </c>
      <c r="G32" s="306"/>
    </row>
    <row r="33" spans="1:7" ht="20" customHeight="1" thickBot="1">
      <c r="A33" s="187" t="s">
        <v>460</v>
      </c>
      <c r="B33" s="303">
        <v>558983</v>
      </c>
      <c r="C33" s="304">
        <v>1183341.8700000001</v>
      </c>
      <c r="D33" s="303">
        <v>10930219.130000001</v>
      </c>
      <c r="E33" s="304">
        <v>12672544</v>
      </c>
      <c r="G33" s="306"/>
    </row>
    <row r="34" spans="1:7" ht="0.5" customHeight="1" thickBot="1">
      <c r="A34" s="174" t="s">
        <v>461</v>
      </c>
      <c r="B34" s="303">
        <v>0</v>
      </c>
      <c r="C34" s="304">
        <v>0</v>
      </c>
      <c r="D34" s="303">
        <v>0</v>
      </c>
      <c r="E34" s="304">
        <v>0</v>
      </c>
      <c r="G34" s="306"/>
    </row>
    <row r="35" spans="1:7" ht="30" customHeight="1" thickBot="1">
      <c r="A35" s="322" t="s">
        <v>462</v>
      </c>
      <c r="B35" s="323">
        <v>1414314922.05</v>
      </c>
      <c r="C35" s="324">
        <v>2061719122.77</v>
      </c>
      <c r="D35" s="323">
        <v>20982366608.959999</v>
      </c>
      <c r="E35" s="324">
        <v>24458400653.779999</v>
      </c>
      <c r="G35" s="306"/>
    </row>
    <row r="36" spans="1:7" ht="20" customHeight="1">
      <c r="A36" s="130" t="s">
        <v>396</v>
      </c>
      <c r="B36" s="130"/>
      <c r="C36" s="130"/>
      <c r="D36" s="130"/>
      <c r="E36" s="130"/>
    </row>
    <row r="37" spans="1:7" ht="13.5" customHeight="1">
      <c r="A37" s="131"/>
      <c r="B37" s="131"/>
      <c r="C37" s="131"/>
      <c r="D37" s="131"/>
      <c r="E37" s="131"/>
    </row>
    <row r="38" spans="1:7" ht="13.5" customHeight="1">
      <c r="A38" s="131" t="s">
        <v>635</v>
      </c>
      <c r="B38" s="131"/>
      <c r="C38" s="131"/>
      <c r="D38" s="131"/>
      <c r="E38" s="131"/>
    </row>
    <row r="39" spans="1:7" ht="12.75" customHeight="1">
      <c r="A39" s="131"/>
      <c r="B39" s="131"/>
      <c r="C39" s="131"/>
      <c r="D39" s="131"/>
      <c r="E39" s="131"/>
    </row>
    <row r="40" spans="1:7" ht="12" customHeight="1">
      <c r="A40" s="131" t="s">
        <v>622</v>
      </c>
    </row>
    <row r="41" spans="1:7" ht="14.25" customHeight="1">
      <c r="A41" s="131" t="s">
        <v>465</v>
      </c>
    </row>
    <row r="42" spans="1:7" ht="14.25" customHeight="1">
      <c r="A42" s="131"/>
    </row>
    <row r="43" spans="1:7" ht="12" customHeight="1"/>
    <row r="44" spans="1:7">
      <c r="A44" s="131" t="s">
        <v>395</v>
      </c>
    </row>
  </sheetData>
  <pageMargins left="0.56000000000000005" right="1.03" top="0.81" bottom="0.49" header="0.44" footer="0.4921259845"/>
  <pageSetup paperSize="9" scale="83" orientation="portrait" horizontalDpi="1200" verticalDpi="12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EC8C-DAED-4C40-A46A-75832FB19383}">
  <sheetPr>
    <pageSetUpPr fitToPage="1"/>
  </sheetPr>
  <dimension ref="A1:J48"/>
  <sheetViews>
    <sheetView topLeftCell="A18" zoomScaleNormal="100" workbookViewId="0"/>
  </sheetViews>
  <sheetFormatPr baseColWidth="10" defaultColWidth="11.3984375" defaultRowHeight="13"/>
  <cols>
    <col min="1" max="1" width="22.59765625" style="3" customWidth="1"/>
    <col min="2" max="2" width="14.796875" style="338" customWidth="1"/>
    <col min="3" max="3" width="14.796875" style="181" customWidth="1"/>
    <col min="4" max="4" width="16" style="338" customWidth="1"/>
    <col min="5" max="5" width="15.796875" style="181" customWidth="1"/>
    <col min="6" max="6" width="16" style="338" customWidth="1"/>
    <col min="7" max="7" width="13.59765625" style="3" customWidth="1"/>
    <col min="8" max="8" width="15.59765625" style="3" customWidth="1"/>
    <col min="9" max="9" width="7.796875" style="3" customWidth="1"/>
    <col min="10" max="10" width="9" style="3" customWidth="1"/>
    <col min="11" max="16384" width="11.3984375" style="3"/>
  </cols>
  <sheetData>
    <row r="1" spans="1:10" s="2" customFormat="1" ht="18.75" customHeight="1">
      <c r="A1" s="523"/>
      <c r="B1" s="524"/>
      <c r="C1" s="161"/>
      <c r="D1" s="326"/>
      <c r="E1" s="161"/>
      <c r="F1" s="326"/>
    </row>
    <row r="2" spans="1:10" s="2" customFormat="1" ht="24" customHeight="1">
      <c r="A2" s="525" t="s">
        <v>636</v>
      </c>
      <c r="B2" s="328"/>
      <c r="C2" s="328"/>
      <c r="D2" s="328"/>
      <c r="E2" s="328"/>
      <c r="F2" s="460"/>
      <c r="H2" s="460">
        <v>2012</v>
      </c>
    </row>
    <row r="3" spans="1:10" ht="27" customHeight="1">
      <c r="A3" s="109" t="s">
        <v>637</v>
      </c>
      <c r="B3" s="2057" t="s">
        <v>638</v>
      </c>
      <c r="C3" s="2058"/>
      <c r="D3" s="2059" t="s">
        <v>639</v>
      </c>
      <c r="E3" s="2058"/>
      <c r="F3" s="2057" t="s">
        <v>430</v>
      </c>
      <c r="G3" s="2058"/>
      <c r="H3" s="2058"/>
    </row>
    <row r="4" spans="1:10" ht="17.5" customHeight="1">
      <c r="A4" s="156"/>
      <c r="B4" s="348" t="s">
        <v>640</v>
      </c>
      <c r="C4" s="526" t="s">
        <v>641</v>
      </c>
      <c r="D4" s="348" t="s">
        <v>578</v>
      </c>
      <c r="E4" s="526" t="s">
        <v>641</v>
      </c>
      <c r="F4" s="348" t="s">
        <v>640</v>
      </c>
      <c r="G4" s="526" t="s">
        <v>579</v>
      </c>
      <c r="H4" s="348" t="s">
        <v>641</v>
      </c>
    </row>
    <row r="5" spans="1:10" ht="18.5" customHeight="1">
      <c r="A5" s="156"/>
      <c r="B5" s="348"/>
      <c r="C5" s="526" t="s">
        <v>642</v>
      </c>
      <c r="D5" s="348"/>
      <c r="E5" s="526" t="s">
        <v>642</v>
      </c>
      <c r="F5" s="348"/>
      <c r="G5" s="526"/>
      <c r="H5" s="348" t="s">
        <v>642</v>
      </c>
    </row>
    <row r="6" spans="1:10" ht="17.5" customHeight="1">
      <c r="A6" s="157"/>
      <c r="B6" s="330"/>
      <c r="C6" s="527"/>
      <c r="D6" s="330"/>
      <c r="E6" s="527"/>
      <c r="F6" s="330"/>
      <c r="G6" s="528"/>
      <c r="H6" s="330"/>
    </row>
    <row r="7" spans="1:10" ht="30" customHeight="1" thickBot="1">
      <c r="A7" s="302" t="s">
        <v>643</v>
      </c>
      <c r="B7" s="121">
        <v>215.28385780000002</v>
      </c>
      <c r="C7" s="529">
        <v>937.29218319380072</v>
      </c>
      <c r="D7" s="121">
        <v>204.21563071</v>
      </c>
      <c r="E7" s="529">
        <v>936.82292296290098</v>
      </c>
      <c r="F7" s="121">
        <v>419.49948852999995</v>
      </c>
      <c r="G7" s="530">
        <v>1.715155027797767E-2</v>
      </c>
      <c r="H7" s="132">
        <v>937.06370591255074</v>
      </c>
      <c r="I7" s="531"/>
      <c r="J7" s="531"/>
    </row>
    <row r="8" spans="1:10" ht="20" customHeight="1" thickBot="1">
      <c r="A8" s="307" t="s">
        <v>644</v>
      </c>
      <c r="B8" s="121">
        <v>186.02593043000002</v>
      </c>
      <c r="C8" s="529">
        <v>935.84269102590588</v>
      </c>
      <c r="D8" s="121">
        <v>176.33527658000003</v>
      </c>
      <c r="E8" s="529">
        <v>934.0169162547769</v>
      </c>
      <c r="F8" s="121">
        <v>362.36120701999999</v>
      </c>
      <c r="G8" s="530">
        <v>1.481540891210823E-2</v>
      </c>
      <c r="H8" s="132">
        <v>934.95332633384953</v>
      </c>
      <c r="I8" s="531"/>
      <c r="J8" s="531"/>
    </row>
    <row r="9" spans="1:10" ht="20" customHeight="1" thickBot="1">
      <c r="A9" s="307" t="s">
        <v>645</v>
      </c>
      <c r="B9" s="121">
        <v>198.90716502999999</v>
      </c>
      <c r="C9" s="529">
        <v>941.31148517180213</v>
      </c>
      <c r="D9" s="121">
        <v>188.05126113</v>
      </c>
      <c r="E9" s="529">
        <v>939.09122212527029</v>
      </c>
      <c r="F9" s="121">
        <v>386.95842617</v>
      </c>
      <c r="G9" s="530">
        <v>1.5821084610135906E-2</v>
      </c>
      <c r="H9" s="132">
        <v>940.23111947318273</v>
      </c>
      <c r="I9" s="531"/>
      <c r="J9" s="531"/>
    </row>
    <row r="10" spans="1:10" ht="20" customHeight="1" thickBot="1">
      <c r="A10" s="307" t="s">
        <v>646</v>
      </c>
      <c r="B10" s="121">
        <v>125.93454901000001</v>
      </c>
      <c r="C10" s="529">
        <v>936.18472681647506</v>
      </c>
      <c r="D10" s="121">
        <v>119.56125123999999</v>
      </c>
      <c r="E10" s="529">
        <v>937.23757555889335</v>
      </c>
      <c r="F10" s="121">
        <v>245.49580025</v>
      </c>
      <c r="G10" s="530">
        <v>1.0037279367789075E-2</v>
      </c>
      <c r="H10" s="132">
        <v>936.69726056196691</v>
      </c>
      <c r="I10" s="531"/>
      <c r="J10" s="531"/>
    </row>
    <row r="11" spans="1:10" ht="20" customHeight="1" thickBot="1">
      <c r="A11" s="532" t="s">
        <v>647</v>
      </c>
      <c r="B11" s="533">
        <v>726.15150225000002</v>
      </c>
      <c r="C11" s="534">
        <v>937.82451644504147</v>
      </c>
      <c r="D11" s="533">
        <v>688.16341970000008</v>
      </c>
      <c r="E11" s="534">
        <v>936.79212461985037</v>
      </c>
      <c r="F11" s="533">
        <v>1414.31492194</v>
      </c>
      <c r="G11" s="535">
        <v>5.7825323166784313E-2</v>
      </c>
      <c r="H11" s="536">
        <v>937.32187025677592</v>
      </c>
      <c r="I11" s="531"/>
      <c r="J11" s="531"/>
    </row>
    <row r="12" spans="1:10" ht="20" customHeight="1" thickBot="1">
      <c r="A12" s="307" t="s">
        <v>648</v>
      </c>
      <c r="B12" s="121">
        <v>285.06279398999999</v>
      </c>
      <c r="C12" s="529">
        <v>3080.0976812297627</v>
      </c>
      <c r="D12" s="121">
        <v>288.67351192000001</v>
      </c>
      <c r="E12" s="529">
        <v>3230.4328194642317</v>
      </c>
      <c r="F12" s="121">
        <v>573.73630590999994</v>
      </c>
      <c r="G12" s="530">
        <v>2.3457637890332766E-2</v>
      </c>
      <c r="H12" s="132">
        <v>3153.9479185151031</v>
      </c>
      <c r="I12" s="531"/>
      <c r="J12" s="531"/>
    </row>
    <row r="13" spans="1:10" ht="20" customHeight="1" thickBot="1">
      <c r="A13" s="307" t="s">
        <v>649</v>
      </c>
      <c r="B13" s="121">
        <v>737.24966427999993</v>
      </c>
      <c r="C13" s="529">
        <v>2982.0686051233761</v>
      </c>
      <c r="D13" s="121">
        <v>751.73301528999991</v>
      </c>
      <c r="E13" s="529">
        <v>3137.4580989733777</v>
      </c>
      <c r="F13" s="121">
        <v>1488.9826795699998</v>
      </c>
      <c r="G13" s="530">
        <v>6.0878170271848678E-2</v>
      </c>
      <c r="H13" s="132">
        <v>3058.5461211011425</v>
      </c>
      <c r="I13" s="531"/>
      <c r="J13" s="531"/>
    </row>
    <row r="14" spans="1:10" ht="20" customHeight="1" thickBot="1">
      <c r="A14" s="532" t="s">
        <v>650</v>
      </c>
      <c r="B14" s="533">
        <v>1022.3124582200001</v>
      </c>
      <c r="C14" s="534">
        <v>3008.7703224021602</v>
      </c>
      <c r="D14" s="533">
        <v>1040.4065272400001</v>
      </c>
      <c r="E14" s="534">
        <v>3162.7146830053521</v>
      </c>
      <c r="F14" s="533">
        <v>2062.7189854899998</v>
      </c>
      <c r="G14" s="535">
        <v>8.4335808162590301E-2</v>
      </c>
      <c r="H14" s="536">
        <v>3084.4975353705336</v>
      </c>
      <c r="I14" s="531"/>
      <c r="J14" s="531"/>
    </row>
    <row r="15" spans="1:10" ht="20" customHeight="1" thickBot="1">
      <c r="A15" s="307" t="s">
        <v>651</v>
      </c>
      <c r="B15" s="121">
        <v>843.98427611</v>
      </c>
      <c r="C15" s="529">
        <v>3131.9043769847049</v>
      </c>
      <c r="D15" s="121">
        <v>869.82789090999995</v>
      </c>
      <c r="E15" s="529">
        <v>3312.8229938268369</v>
      </c>
      <c r="F15" s="121">
        <v>1713.8121670599999</v>
      </c>
      <c r="G15" s="530">
        <v>7.0070491988781874E-2</v>
      </c>
      <c r="H15" s="132">
        <v>3221.1880552248076</v>
      </c>
      <c r="I15" s="531"/>
      <c r="J15" s="531"/>
    </row>
    <row r="16" spans="1:10" ht="20" customHeight="1" thickBot="1">
      <c r="A16" s="307" t="s">
        <v>652</v>
      </c>
      <c r="B16" s="121">
        <v>858.12895189999995</v>
      </c>
      <c r="C16" s="529">
        <v>3082.4851884237964</v>
      </c>
      <c r="D16" s="121">
        <v>909.14362687999994</v>
      </c>
      <c r="E16" s="529">
        <v>3335.1698700883258</v>
      </c>
      <c r="F16" s="121">
        <v>1767.2725787699999</v>
      </c>
      <c r="G16" s="530">
        <v>7.225626089767502E-2</v>
      </c>
      <c r="H16" s="132">
        <v>3207.4981860466019</v>
      </c>
      <c r="I16" s="531"/>
      <c r="J16" s="531"/>
    </row>
    <row r="17" spans="1:10" ht="20" customHeight="1" thickBot="1">
      <c r="A17" s="307" t="s">
        <v>653</v>
      </c>
      <c r="B17" s="121">
        <v>873.86542039999995</v>
      </c>
      <c r="C17" s="529">
        <v>3125.4944081158055</v>
      </c>
      <c r="D17" s="121">
        <v>944.45073982000008</v>
      </c>
      <c r="E17" s="529">
        <v>3418.1173425427905</v>
      </c>
      <c r="F17" s="121">
        <v>1818.3161602100001</v>
      </c>
      <c r="G17" s="530">
        <v>7.434321589374436E-2</v>
      </c>
      <c r="H17" s="132">
        <v>3270.9412814143525</v>
      </c>
      <c r="I17" s="531"/>
      <c r="J17" s="531"/>
    </row>
    <row r="18" spans="1:10" ht="20" customHeight="1" thickBot="1">
      <c r="A18" s="307" t="s">
        <v>654</v>
      </c>
      <c r="B18" s="121">
        <v>1009.6229747699999</v>
      </c>
      <c r="C18" s="529">
        <v>3215.9061890611029</v>
      </c>
      <c r="D18" s="121">
        <v>1087.6706458699998</v>
      </c>
      <c r="E18" s="529">
        <v>3498.0623481395701</v>
      </c>
      <c r="F18" s="121">
        <v>2097.2936206899999</v>
      </c>
      <c r="G18" s="530">
        <v>8.5749417976641679E-2</v>
      </c>
      <c r="H18" s="132">
        <v>3356.3042151519649</v>
      </c>
      <c r="I18" s="531"/>
      <c r="J18" s="531"/>
    </row>
    <row r="19" spans="1:10" ht="20" customHeight="1" thickBot="1">
      <c r="A19" s="307" t="s">
        <v>655</v>
      </c>
      <c r="B19" s="121">
        <v>1114.69102649</v>
      </c>
      <c r="C19" s="529">
        <v>3327.5346333858383</v>
      </c>
      <c r="D19" s="121">
        <v>1158.82995476</v>
      </c>
      <c r="E19" s="529">
        <v>3564.5093998893826</v>
      </c>
      <c r="F19" s="121">
        <v>2273.5209812500002</v>
      </c>
      <c r="G19" s="530">
        <v>9.2954605390795073E-2</v>
      </c>
      <c r="H19" s="132">
        <v>3444.246878020127</v>
      </c>
      <c r="I19" s="531"/>
      <c r="J19" s="531"/>
    </row>
    <row r="20" spans="1:10" ht="20" customHeight="1" thickBot="1">
      <c r="A20" s="307" t="s">
        <v>656</v>
      </c>
      <c r="B20" s="121">
        <v>1010.84385437</v>
      </c>
      <c r="C20" s="529">
        <v>3456.4941036471719</v>
      </c>
      <c r="D20" s="121">
        <v>1046.37101598</v>
      </c>
      <c r="E20" s="529">
        <v>3656.242009322767</v>
      </c>
      <c r="F20" s="121">
        <v>2057.2148703399998</v>
      </c>
      <c r="G20" s="530">
        <v>8.4110768298866476E-2</v>
      </c>
      <c r="H20" s="132">
        <v>3555.2875366228086</v>
      </c>
      <c r="I20" s="531"/>
      <c r="J20" s="531"/>
    </row>
    <row r="21" spans="1:10" ht="20" customHeight="1" thickBot="1">
      <c r="A21" s="307" t="s">
        <v>657</v>
      </c>
      <c r="B21" s="121">
        <v>898.51842224999996</v>
      </c>
      <c r="C21" s="529">
        <v>3620.0163187473236</v>
      </c>
      <c r="D21" s="121">
        <v>935.44885319000002</v>
      </c>
      <c r="E21" s="529">
        <v>3793.6515951443471</v>
      </c>
      <c r="F21" s="121">
        <v>1833.9672754600001</v>
      </c>
      <c r="G21" s="530">
        <v>7.4983123444186103E-2</v>
      </c>
      <c r="H21" s="132">
        <v>3706.5484085375583</v>
      </c>
      <c r="I21" s="531"/>
      <c r="J21" s="531"/>
    </row>
    <row r="22" spans="1:10" ht="20" customHeight="1" thickBot="1">
      <c r="A22" s="307" t="s">
        <v>658</v>
      </c>
      <c r="B22" s="121">
        <v>845.77311525999994</v>
      </c>
      <c r="C22" s="529">
        <v>3805.6913464611212</v>
      </c>
      <c r="D22" s="121">
        <v>907.85505185</v>
      </c>
      <c r="E22" s="529">
        <v>3965.9337073526344</v>
      </c>
      <c r="F22" s="121">
        <v>1753.6281670999999</v>
      </c>
      <c r="G22" s="530">
        <v>7.1698398923655732E-2</v>
      </c>
      <c r="H22" s="132">
        <v>3886.9982619394441</v>
      </c>
      <c r="I22" s="531"/>
      <c r="J22" s="531"/>
    </row>
    <row r="23" spans="1:10" ht="20" customHeight="1" thickBot="1">
      <c r="A23" s="307" t="s">
        <v>659</v>
      </c>
      <c r="B23" s="121">
        <v>783.17303878999996</v>
      </c>
      <c r="C23" s="529">
        <v>4003.5912856627492</v>
      </c>
      <c r="D23" s="121">
        <v>866.31332839999993</v>
      </c>
      <c r="E23" s="529">
        <v>4137.0922767983993</v>
      </c>
      <c r="F23" s="121">
        <v>1649.48636719</v>
      </c>
      <c r="G23" s="530">
        <v>6.7440483560148159E-2</v>
      </c>
      <c r="H23" s="132">
        <v>4072.6133762221707</v>
      </c>
      <c r="I23" s="531"/>
      <c r="J23" s="531"/>
    </row>
    <row r="24" spans="1:10" ht="20" customHeight="1" thickBot="1">
      <c r="A24" s="307" t="s">
        <v>660</v>
      </c>
      <c r="B24" s="121">
        <v>582.53559588999997</v>
      </c>
      <c r="C24" s="529">
        <v>4135.4486882164447</v>
      </c>
      <c r="D24" s="121">
        <v>708.16096283000002</v>
      </c>
      <c r="E24" s="529">
        <v>4267.305203862431</v>
      </c>
      <c r="F24" s="121">
        <v>1290.6965587499999</v>
      </c>
      <c r="G24" s="530">
        <v>5.2771093949570462E-2</v>
      </c>
      <c r="H24" s="132">
        <v>4206.7673849599078</v>
      </c>
      <c r="I24" s="531"/>
      <c r="J24" s="531"/>
    </row>
    <row r="25" spans="1:10" ht="20" customHeight="1" thickBot="1">
      <c r="A25" s="307" t="s">
        <v>661</v>
      </c>
      <c r="B25" s="121">
        <v>466.57055186000002</v>
      </c>
      <c r="C25" s="529">
        <v>4259.9888650777475</v>
      </c>
      <c r="D25" s="121">
        <v>633.08840975999999</v>
      </c>
      <c r="E25" s="529">
        <v>4386.5619897826082</v>
      </c>
      <c r="F25" s="121">
        <v>1099.6589616199999</v>
      </c>
      <c r="G25" s="530">
        <v>4.4960378938591575E-2</v>
      </c>
      <c r="H25" s="132">
        <v>4331.9518589009704</v>
      </c>
      <c r="I25" s="531"/>
      <c r="J25" s="531"/>
    </row>
    <row r="26" spans="1:10" ht="20" customHeight="1" thickBot="1">
      <c r="A26" s="307" t="s">
        <v>662</v>
      </c>
      <c r="B26" s="121">
        <v>321.39623222</v>
      </c>
      <c r="C26" s="529">
        <v>4364.7133130613065</v>
      </c>
      <c r="D26" s="121">
        <v>527.07398850000004</v>
      </c>
      <c r="E26" s="529">
        <v>4493.2464860413493</v>
      </c>
      <c r="F26" s="121">
        <v>848.47022073000005</v>
      </c>
      <c r="G26" s="530">
        <v>3.4690339435721862E-2</v>
      </c>
      <c r="H26" s="132">
        <v>4443.6770003808033</v>
      </c>
      <c r="I26" s="531"/>
      <c r="J26" s="531"/>
    </row>
    <row r="27" spans="1:10" ht="20" customHeight="1" thickBot="1">
      <c r="A27" s="307" t="s">
        <v>663</v>
      </c>
      <c r="B27" s="121">
        <v>169.96553724</v>
      </c>
      <c r="C27" s="529">
        <v>4443.6352342963428</v>
      </c>
      <c r="D27" s="121">
        <v>354.67146861999998</v>
      </c>
      <c r="E27" s="529">
        <v>4570.1205093536519</v>
      </c>
      <c r="F27" s="121">
        <v>524.63700584000003</v>
      </c>
      <c r="G27" s="530">
        <v>2.145017629195255E-2</v>
      </c>
      <c r="H27" s="132">
        <v>4528.3620314218188</v>
      </c>
      <c r="I27" s="531"/>
      <c r="J27" s="531"/>
    </row>
    <row r="28" spans="1:10" ht="20" customHeight="1" thickBot="1">
      <c r="A28" s="307" t="s">
        <v>664</v>
      </c>
      <c r="B28" s="121">
        <v>55.52303294</v>
      </c>
      <c r="C28" s="529">
        <v>4510.9797146993678</v>
      </c>
      <c r="D28" s="121">
        <v>148.22619758000002</v>
      </c>
      <c r="E28" s="529">
        <v>4645.1243770773235</v>
      </c>
      <c r="F28" s="121">
        <v>203.74923053999999</v>
      </c>
      <c r="G28" s="530">
        <v>8.3304396483338278E-3</v>
      </c>
      <c r="H28" s="132">
        <v>4607.7804173454924</v>
      </c>
      <c r="I28" s="531"/>
      <c r="J28" s="531"/>
    </row>
    <row r="29" spans="1:10" ht="20" customHeight="1" thickBot="1">
      <c r="A29" s="307" t="s">
        <v>665</v>
      </c>
      <c r="B29" s="121">
        <v>9.6922251599999996</v>
      </c>
      <c r="C29" s="529">
        <v>4583.6959848663992</v>
      </c>
      <c r="D29" s="121">
        <v>34.685354400000001</v>
      </c>
      <c r="E29" s="529">
        <v>4721.138451738303</v>
      </c>
      <c r="F29" s="121">
        <v>44.377579539999999</v>
      </c>
      <c r="G29" s="530">
        <v>1.8144105237468747E-3</v>
      </c>
      <c r="H29" s="132">
        <v>4690.4265413563244</v>
      </c>
      <c r="I29" s="531"/>
      <c r="J29" s="531"/>
    </row>
    <row r="30" spans="1:10" ht="20" customHeight="1" thickBot="1">
      <c r="A30" s="307" t="s">
        <v>666</v>
      </c>
      <c r="B30" s="121">
        <v>0.78637120999999999</v>
      </c>
      <c r="C30" s="529">
        <v>4651.1575678712961</v>
      </c>
      <c r="D30" s="121">
        <v>4.4786299999999999</v>
      </c>
      <c r="E30" s="529">
        <v>4829.4405624568672</v>
      </c>
      <c r="F30" s="121">
        <v>5.2650012100000003</v>
      </c>
      <c r="G30" s="530">
        <v>2.1526351148452088E-4</v>
      </c>
      <c r="H30" s="132">
        <v>4801.9054485425559</v>
      </c>
      <c r="I30" s="531"/>
      <c r="J30" s="531"/>
    </row>
    <row r="31" spans="1:10" ht="20" customHeight="1" thickBot="1">
      <c r="A31" s="532" t="s">
        <v>667</v>
      </c>
      <c r="B31" s="533">
        <v>9845.0706268600006</v>
      </c>
      <c r="C31" s="534">
        <v>3501.372567983</v>
      </c>
      <c r="D31" s="533">
        <v>11136.296119379998</v>
      </c>
      <c r="E31" s="534">
        <v>3757.2407390991029</v>
      </c>
      <c r="F31" s="533">
        <v>20981.366746240001</v>
      </c>
      <c r="G31" s="535">
        <v>0.8578388686714431</v>
      </c>
      <c r="H31" s="536">
        <v>3632.6775007360807</v>
      </c>
      <c r="I31" s="531"/>
      <c r="J31" s="531"/>
    </row>
    <row r="32" spans="1:10" ht="20" customHeight="1" thickBot="1">
      <c r="A32" s="307" t="s">
        <v>461</v>
      </c>
      <c r="B32" s="121">
        <v>0</v>
      </c>
      <c r="C32" s="529" t="s">
        <v>29</v>
      </c>
      <c r="D32" s="121">
        <v>0</v>
      </c>
      <c r="E32" s="529" t="s">
        <v>29</v>
      </c>
      <c r="F32" s="121" t="s">
        <v>29</v>
      </c>
      <c r="G32" s="530" t="s">
        <v>29</v>
      </c>
      <c r="H32" s="132" t="s">
        <v>29</v>
      </c>
      <c r="I32" s="531"/>
      <c r="J32" s="531"/>
    </row>
    <row r="33" spans="1:10" s="138" customFormat="1" ht="24.75" customHeight="1" thickBot="1">
      <c r="A33" s="322" t="s">
        <v>230</v>
      </c>
      <c r="B33" s="537">
        <v>11593.534587350001</v>
      </c>
      <c r="C33" s="192">
        <v>2953.130447593695</v>
      </c>
      <c r="D33" s="537">
        <v>12864.866066299999</v>
      </c>
      <c r="E33" s="192">
        <v>3194.246774740544</v>
      </c>
      <c r="F33" s="537">
        <v>24458.400653650002</v>
      </c>
      <c r="G33" s="538">
        <v>1</v>
      </c>
      <c r="H33" s="353">
        <v>3075.2296739993476</v>
      </c>
      <c r="I33" s="539"/>
      <c r="J33" s="539"/>
    </row>
    <row r="34" spans="1:10" ht="20" customHeight="1">
      <c r="A34" s="130" t="s">
        <v>396</v>
      </c>
      <c r="B34" s="333"/>
      <c r="C34" s="194"/>
      <c r="D34" s="333"/>
      <c r="E34" s="194"/>
      <c r="F34" s="333"/>
    </row>
    <row r="35" spans="1:10" ht="12.75" customHeight="1">
      <c r="A35" s="131"/>
      <c r="B35" s="335"/>
      <c r="C35" s="540"/>
      <c r="D35" s="335"/>
      <c r="E35" s="540"/>
      <c r="F35" s="335"/>
    </row>
    <row r="36" spans="1:10" ht="16.5" customHeight="1">
      <c r="A36" s="131" t="s">
        <v>668</v>
      </c>
      <c r="B36" s="335"/>
      <c r="C36" s="540"/>
      <c r="D36" s="335"/>
      <c r="E36" s="540"/>
      <c r="F36" s="335"/>
    </row>
    <row r="37" spans="1:10" ht="12" customHeight="1">
      <c r="A37" s="131"/>
      <c r="B37" s="335"/>
      <c r="C37" s="540"/>
      <c r="D37" s="335"/>
      <c r="E37" s="540"/>
      <c r="F37" s="335"/>
    </row>
    <row r="38" spans="1:10" ht="14.25" customHeight="1">
      <c r="A38" s="131"/>
      <c r="B38" s="335"/>
      <c r="C38" s="540"/>
      <c r="D38" s="335"/>
      <c r="E38" s="540"/>
      <c r="F38" s="335"/>
    </row>
    <row r="39" spans="1:10" ht="15.75" customHeight="1">
      <c r="A39" s="131" t="s">
        <v>395</v>
      </c>
      <c r="B39" s="335"/>
      <c r="C39" s="540"/>
      <c r="D39" s="335"/>
      <c r="E39" s="540"/>
      <c r="F39" s="335"/>
    </row>
    <row r="40" spans="1:10" ht="18" customHeight="1">
      <c r="A40"/>
    </row>
    <row r="41" spans="1:10" ht="30" customHeight="1"/>
    <row r="42" spans="1:10" ht="30" customHeight="1">
      <c r="H42" s="541"/>
    </row>
    <row r="43" spans="1:10" ht="30" customHeight="1"/>
    <row r="44" spans="1:10" ht="30" customHeight="1"/>
    <row r="45" spans="1:10" ht="30" customHeight="1"/>
    <row r="46" spans="1:10" ht="30" customHeight="1"/>
    <row r="47" spans="1:10" ht="30" customHeight="1"/>
    <row r="48" spans="1:10" ht="30" customHeight="1"/>
  </sheetData>
  <mergeCells count="3">
    <mergeCell ref="B3:C3"/>
    <mergeCell ref="D3:E3"/>
    <mergeCell ref="F3:H3"/>
  </mergeCells>
  <pageMargins left="0.56000000000000005" right="0.54" top="0.74" bottom="0.49" header="0.44" footer="0.4921259845"/>
  <pageSetup paperSize="9" scale="72" orientation="portrait"/>
  <headerFooter alignWithMargins="0"/>
  <rowBreaks count="1" manualBreakCount="1">
    <brk id="39" max="1638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8485-31AF-B645-9BF6-05A3A68E728E}">
  <sheetPr>
    <pageSetUpPr fitToPage="1"/>
  </sheetPr>
  <dimension ref="A1:R43"/>
  <sheetViews>
    <sheetView topLeftCell="A20" zoomScaleNormal="100" workbookViewId="0">
      <selection activeCell="I44" sqref="I44"/>
    </sheetView>
  </sheetViews>
  <sheetFormatPr baseColWidth="10" defaultColWidth="11.3984375" defaultRowHeight="13"/>
  <cols>
    <col min="1" max="1" width="16.3984375" style="3" customWidth="1"/>
    <col min="2" max="16" width="10.796875" style="3" customWidth="1"/>
    <col min="17" max="16384" width="11.3984375" style="3"/>
  </cols>
  <sheetData>
    <row r="1" spans="1:18" s="2" customFormat="1" ht="14" customHeight="1"/>
    <row r="2" spans="1:18" s="2" customFormat="1" ht="30.75" customHeight="1">
      <c r="A2" s="222" t="s">
        <v>564</v>
      </c>
      <c r="B2" s="328"/>
      <c r="C2" s="328"/>
      <c r="D2" s="328"/>
      <c r="E2" s="328"/>
      <c r="F2" s="328"/>
      <c r="G2" s="328"/>
      <c r="H2" s="328"/>
      <c r="I2" s="139"/>
      <c r="J2" s="139"/>
      <c r="K2" s="139"/>
      <c r="L2" s="139"/>
    </row>
    <row r="3" spans="1:18" ht="24" customHeight="1">
      <c r="A3" s="344" t="s">
        <v>426</v>
      </c>
      <c r="B3" s="111">
        <v>1996</v>
      </c>
      <c r="C3" s="110">
        <v>1997</v>
      </c>
      <c r="D3" s="111">
        <v>1998</v>
      </c>
      <c r="E3" s="110">
        <v>1999</v>
      </c>
      <c r="F3" s="111">
        <v>2000</v>
      </c>
      <c r="G3" s="110">
        <v>2001</v>
      </c>
      <c r="H3" s="111">
        <v>2002</v>
      </c>
      <c r="I3" s="110">
        <v>2003</v>
      </c>
      <c r="J3" s="111">
        <v>2004</v>
      </c>
      <c r="K3" s="110">
        <v>2005</v>
      </c>
      <c r="L3" s="111">
        <v>2006</v>
      </c>
      <c r="M3" s="110">
        <v>2007</v>
      </c>
      <c r="N3" s="111">
        <v>2008</v>
      </c>
      <c r="O3" s="110">
        <v>2009</v>
      </c>
      <c r="P3" s="111">
        <v>2010</v>
      </c>
      <c r="Q3" s="110">
        <v>2011</v>
      </c>
      <c r="R3" s="111">
        <v>2012</v>
      </c>
    </row>
    <row r="4" spans="1:18" ht="15" customHeight="1">
      <c r="A4" s="347"/>
      <c r="B4" s="114"/>
      <c r="C4" s="113"/>
      <c r="D4" s="114"/>
      <c r="E4" s="348"/>
      <c r="F4" s="115"/>
      <c r="G4" s="113"/>
      <c r="H4" s="114"/>
      <c r="I4" s="113"/>
      <c r="J4" s="114"/>
      <c r="K4" s="113"/>
      <c r="L4" s="114"/>
      <c r="M4" s="113"/>
      <c r="N4" s="114"/>
      <c r="O4" s="113"/>
      <c r="P4" s="114"/>
      <c r="Q4" s="113"/>
      <c r="R4" s="114"/>
    </row>
    <row r="5" spans="1:18" ht="16" customHeight="1">
      <c r="A5" s="349"/>
      <c r="B5" s="118"/>
      <c r="C5" s="117"/>
      <c r="D5" s="118"/>
      <c r="E5" s="330"/>
      <c r="F5" s="119"/>
      <c r="G5" s="117"/>
      <c r="H5" s="118"/>
      <c r="I5" s="117"/>
      <c r="J5" s="118"/>
      <c r="K5" s="117"/>
      <c r="L5" s="118"/>
      <c r="M5" s="117"/>
      <c r="N5" s="118"/>
      <c r="O5" s="117"/>
      <c r="P5" s="118"/>
      <c r="Q5" s="117"/>
      <c r="R5" s="118"/>
    </row>
    <row r="6" spans="1:18" ht="30" customHeight="1" thickBot="1">
      <c r="A6" s="350" t="s">
        <v>434</v>
      </c>
      <c r="B6" s="321">
        <v>1512.7278548766653</v>
      </c>
      <c r="C6" s="320">
        <v>1690.4682648276428</v>
      </c>
      <c r="D6" s="321">
        <v>1786.7638261345123</v>
      </c>
      <c r="E6" s="320">
        <v>1850.2378191327716</v>
      </c>
      <c r="F6" s="321">
        <v>1919.051518810124</v>
      </c>
      <c r="G6" s="320">
        <v>1976.8212819287562</v>
      </c>
      <c r="H6" s="133">
        <v>2159.2798764460244</v>
      </c>
      <c r="I6" s="132">
        <v>2353.3393199429302</v>
      </c>
      <c r="J6" s="133">
        <v>2492.4202002955412</v>
      </c>
      <c r="K6" s="132">
        <v>2505.6468635796055</v>
      </c>
      <c r="L6" s="133">
        <v>2579.1355787180837</v>
      </c>
      <c r="M6" s="132">
        <v>2595.7230249620488</v>
      </c>
      <c r="N6" s="133">
        <v>2561.3104380170212</v>
      </c>
      <c r="O6" s="132">
        <v>2553.0417138843345</v>
      </c>
      <c r="P6" s="133">
        <v>2776.320883235062</v>
      </c>
      <c r="Q6" s="132">
        <v>2947.375923834792</v>
      </c>
      <c r="R6" s="133">
        <v>3061.8613694223127</v>
      </c>
    </row>
    <row r="7" spans="1:18" ht="20" customHeight="1" thickBot="1">
      <c r="A7" s="351" t="s">
        <v>435</v>
      </c>
      <c r="B7" s="135">
        <v>1496.5880644384356</v>
      </c>
      <c r="C7" s="134">
        <v>1599.5458393409558</v>
      </c>
      <c r="D7" s="135">
        <v>1690.3815381114243</v>
      </c>
      <c r="E7" s="134">
        <v>1762.4320316284072</v>
      </c>
      <c r="F7" s="135">
        <v>1803.1485925383765</v>
      </c>
      <c r="G7" s="134">
        <v>1852.232176297025</v>
      </c>
      <c r="H7" s="133">
        <v>2045.656327850518</v>
      </c>
      <c r="I7" s="132">
        <v>2242.2825383559061</v>
      </c>
      <c r="J7" s="133">
        <v>2405.958768189671</v>
      </c>
      <c r="K7" s="132">
        <v>2463.9298694595982</v>
      </c>
      <c r="L7" s="133">
        <v>2642.1397449747906</v>
      </c>
      <c r="M7" s="132">
        <v>2717.2576736993597</v>
      </c>
      <c r="N7" s="133">
        <v>2699.9144765268679</v>
      </c>
      <c r="O7" s="132">
        <v>2759.6216653565525</v>
      </c>
      <c r="P7" s="133">
        <v>3066.9952969527417</v>
      </c>
      <c r="Q7" s="132">
        <v>3295.3220655909427</v>
      </c>
      <c r="R7" s="133">
        <v>3283.5301518429064</v>
      </c>
    </row>
    <row r="8" spans="1:18" ht="20" customHeight="1" thickBot="1">
      <c r="A8" s="351" t="s">
        <v>436</v>
      </c>
      <c r="B8" s="135">
        <v>1264.7539129021991</v>
      </c>
      <c r="C8" s="134">
        <v>1292.9185463072927</v>
      </c>
      <c r="D8" s="135">
        <v>1361.5901144612462</v>
      </c>
      <c r="E8" s="134">
        <v>1365.3904963868044</v>
      </c>
      <c r="F8" s="135">
        <v>1440.1292213830022</v>
      </c>
      <c r="G8" s="134">
        <v>1511.8839050654096</v>
      </c>
      <c r="H8" s="133">
        <v>1668.1137447159015</v>
      </c>
      <c r="I8" s="132">
        <v>1819.4834782945495</v>
      </c>
      <c r="J8" s="133">
        <v>1961.4638186220066</v>
      </c>
      <c r="K8" s="132">
        <v>2008.91188361891</v>
      </c>
      <c r="L8" s="133">
        <v>2073.9452150695606</v>
      </c>
      <c r="M8" s="132">
        <v>2130.7126484963214</v>
      </c>
      <c r="N8" s="133">
        <v>2109.7970680523613</v>
      </c>
      <c r="O8" s="132">
        <v>2171.352517674145</v>
      </c>
      <c r="P8" s="133">
        <v>2401.9040700129181</v>
      </c>
      <c r="Q8" s="132">
        <v>2566.0498148764823</v>
      </c>
      <c r="R8" s="133">
        <v>2640.768868328114</v>
      </c>
    </row>
    <row r="9" spans="1:18" ht="20" customHeight="1" thickBot="1">
      <c r="A9" s="351" t="s">
        <v>437</v>
      </c>
      <c r="B9" s="135">
        <v>1283.7049916745705</v>
      </c>
      <c r="C9" s="134">
        <v>1323.187640547761</v>
      </c>
      <c r="D9" s="135">
        <v>1341.9131806270102</v>
      </c>
      <c r="E9" s="134">
        <v>1349.2621368050134</v>
      </c>
      <c r="F9" s="135">
        <v>1385.6329145041038</v>
      </c>
      <c r="G9" s="134">
        <v>1427.6289225723506</v>
      </c>
      <c r="H9" s="133">
        <v>1560.7602667092981</v>
      </c>
      <c r="I9" s="132">
        <v>1717.3481583157482</v>
      </c>
      <c r="J9" s="133">
        <v>1827.2942907370123</v>
      </c>
      <c r="K9" s="132">
        <v>1869.6008044084128</v>
      </c>
      <c r="L9" s="133">
        <v>1893.5458296718957</v>
      </c>
      <c r="M9" s="132">
        <v>1925.9720196197322</v>
      </c>
      <c r="N9" s="133">
        <v>1903.8905380120916</v>
      </c>
      <c r="O9" s="132">
        <v>1955.006748060292</v>
      </c>
      <c r="P9" s="133">
        <v>2218.3498646214603</v>
      </c>
      <c r="Q9" s="132">
        <v>2408.0723911271975</v>
      </c>
      <c r="R9" s="133">
        <v>2503.2977864654331</v>
      </c>
    </row>
    <row r="10" spans="1:18" ht="20" customHeight="1" thickBot="1">
      <c r="A10" s="351" t="s">
        <v>438</v>
      </c>
      <c r="B10" s="135">
        <v>1274.1975828909499</v>
      </c>
      <c r="C10" s="134">
        <v>1358.1597068831431</v>
      </c>
      <c r="D10" s="135">
        <v>1387.4588069577039</v>
      </c>
      <c r="E10" s="134">
        <v>1395.2856339532652</v>
      </c>
      <c r="F10" s="135">
        <v>1424.9980709085219</v>
      </c>
      <c r="G10" s="134">
        <v>1486.1515165568649</v>
      </c>
      <c r="H10" s="133">
        <v>1646.6159773148697</v>
      </c>
      <c r="I10" s="132">
        <v>1820.6576168670324</v>
      </c>
      <c r="J10" s="133">
        <v>1956.2475958099869</v>
      </c>
      <c r="K10" s="132">
        <v>2015.092203070071</v>
      </c>
      <c r="L10" s="133">
        <v>2070.3233661823961</v>
      </c>
      <c r="M10" s="132">
        <v>2104.4671218361436</v>
      </c>
      <c r="N10" s="133">
        <v>2093.4186615928788</v>
      </c>
      <c r="O10" s="132">
        <v>2138.5684760685695</v>
      </c>
      <c r="P10" s="133">
        <v>2377.2945251429996</v>
      </c>
      <c r="Q10" s="132">
        <v>2522.5622645774943</v>
      </c>
      <c r="R10" s="133">
        <v>2598.5463110981682</v>
      </c>
    </row>
    <row r="11" spans="1:18" ht="20" customHeight="1" thickBot="1">
      <c r="A11" s="351" t="s">
        <v>439</v>
      </c>
      <c r="B11" s="135">
        <v>1243.2114386384837</v>
      </c>
      <c r="C11" s="134">
        <v>1304.4535433971391</v>
      </c>
      <c r="D11" s="135">
        <v>1320.0366294859739</v>
      </c>
      <c r="E11" s="134">
        <v>1347.0959040317259</v>
      </c>
      <c r="F11" s="135">
        <v>1376.7111042831873</v>
      </c>
      <c r="G11" s="134">
        <v>1427.1790847864725</v>
      </c>
      <c r="H11" s="133">
        <v>1523.9847837432212</v>
      </c>
      <c r="I11" s="132">
        <v>1615.5146859127801</v>
      </c>
      <c r="J11" s="133">
        <v>1736.7186272054973</v>
      </c>
      <c r="K11" s="132">
        <v>1797.2900613304164</v>
      </c>
      <c r="L11" s="133">
        <v>1851.681033450858</v>
      </c>
      <c r="M11" s="132">
        <v>1891.2966624753446</v>
      </c>
      <c r="N11" s="133">
        <v>1884.8057100982198</v>
      </c>
      <c r="O11" s="132">
        <v>1944.3164077974288</v>
      </c>
      <c r="P11" s="133">
        <v>2198.9616541804353</v>
      </c>
      <c r="Q11" s="132">
        <v>2375.5218943472978</v>
      </c>
      <c r="R11" s="133">
        <v>2416.2712446807577</v>
      </c>
    </row>
    <row r="12" spans="1:18" ht="20" customHeight="1" thickBot="1">
      <c r="A12" s="351" t="s">
        <v>440</v>
      </c>
      <c r="B12" s="135">
        <v>1214.9307276924769</v>
      </c>
      <c r="C12" s="134">
        <v>1266.118836983019</v>
      </c>
      <c r="D12" s="135">
        <v>1295.7900233358537</v>
      </c>
      <c r="E12" s="134">
        <v>1277.6212506182928</v>
      </c>
      <c r="F12" s="135">
        <v>1305.8385719120508</v>
      </c>
      <c r="G12" s="134">
        <v>1347.6778695992052</v>
      </c>
      <c r="H12" s="133">
        <v>1461.6954401022306</v>
      </c>
      <c r="I12" s="132">
        <v>1582.4544625683175</v>
      </c>
      <c r="J12" s="133">
        <v>1704.3352440630301</v>
      </c>
      <c r="K12" s="132">
        <v>1731.3225876828974</v>
      </c>
      <c r="L12" s="133">
        <v>1784.2849383276041</v>
      </c>
      <c r="M12" s="132">
        <v>1817.7752893874101</v>
      </c>
      <c r="N12" s="133">
        <v>1803.0935553154891</v>
      </c>
      <c r="O12" s="132">
        <v>1867.5283697227594</v>
      </c>
      <c r="P12" s="133">
        <v>2048.914851429085</v>
      </c>
      <c r="Q12" s="132">
        <v>2236.0843756082245</v>
      </c>
      <c r="R12" s="133">
        <v>2337.1229784361672</v>
      </c>
    </row>
    <row r="13" spans="1:18" ht="20" customHeight="1" thickBot="1">
      <c r="A13" s="351" t="s">
        <v>441</v>
      </c>
      <c r="B13" s="135">
        <v>1198.3740333745261</v>
      </c>
      <c r="C13" s="134">
        <v>1297.3320819790542</v>
      </c>
      <c r="D13" s="135">
        <v>1354.4946046966113</v>
      </c>
      <c r="E13" s="134">
        <v>1392.697869544131</v>
      </c>
      <c r="F13" s="135">
        <v>1414.7931696969233</v>
      </c>
      <c r="G13" s="134">
        <v>1506.2915726656754</v>
      </c>
      <c r="H13" s="133">
        <v>1671.0568705401902</v>
      </c>
      <c r="I13" s="132">
        <v>1875.7946117866009</v>
      </c>
      <c r="J13" s="133">
        <v>1996.9107804120981</v>
      </c>
      <c r="K13" s="132">
        <v>2054.4674310978558</v>
      </c>
      <c r="L13" s="133">
        <v>2129.0070154057216</v>
      </c>
      <c r="M13" s="132">
        <v>2179.7101269508044</v>
      </c>
      <c r="N13" s="133">
        <v>2158.4121284594676</v>
      </c>
      <c r="O13" s="132">
        <v>2204.6169963077955</v>
      </c>
      <c r="P13" s="133">
        <v>2435.2221064710629</v>
      </c>
      <c r="Q13" s="132">
        <v>2616.4591018354249</v>
      </c>
      <c r="R13" s="133">
        <v>2716.9562268505065</v>
      </c>
    </row>
    <row r="14" spans="1:18" ht="20" customHeight="1" thickBot="1">
      <c r="A14" s="351" t="s">
        <v>442</v>
      </c>
      <c r="B14" s="135">
        <v>1253.5171294618378</v>
      </c>
      <c r="C14" s="134">
        <v>1400.3478967023677</v>
      </c>
      <c r="D14" s="135">
        <v>1373.4113579987272</v>
      </c>
      <c r="E14" s="134">
        <v>1377.2250963641409</v>
      </c>
      <c r="F14" s="135">
        <v>1419.1255885373778</v>
      </c>
      <c r="G14" s="134">
        <v>1471.0485635859277</v>
      </c>
      <c r="H14" s="133">
        <v>1627.2423468346346</v>
      </c>
      <c r="I14" s="132">
        <v>1850.5402485014397</v>
      </c>
      <c r="J14" s="133">
        <v>1963.5117068989878</v>
      </c>
      <c r="K14" s="132">
        <v>2011.3532466369977</v>
      </c>
      <c r="L14" s="133">
        <v>2075.651262141364</v>
      </c>
      <c r="M14" s="132">
        <v>2105.7716453745988</v>
      </c>
      <c r="N14" s="133">
        <v>2070.3218561356912</v>
      </c>
      <c r="O14" s="132">
        <v>2124.2562209431949</v>
      </c>
      <c r="P14" s="133">
        <v>2327.9773214911061</v>
      </c>
      <c r="Q14" s="132">
        <v>2491.4256055843312</v>
      </c>
      <c r="R14" s="133">
        <v>2596.8081863269508</v>
      </c>
    </row>
    <row r="15" spans="1:18" ht="20" customHeight="1" thickBot="1">
      <c r="A15" s="351" t="s">
        <v>443</v>
      </c>
      <c r="B15" s="135">
        <v>1598.8685198081489</v>
      </c>
      <c r="C15" s="134">
        <v>1659.0886104976244</v>
      </c>
      <c r="D15" s="135">
        <v>1674.7305534979612</v>
      </c>
      <c r="E15" s="134">
        <v>1705.5435518433258</v>
      </c>
      <c r="F15" s="135">
        <v>1792.5921885530313</v>
      </c>
      <c r="G15" s="134">
        <v>1873.2961835664028</v>
      </c>
      <c r="H15" s="133">
        <v>2011.8324829122876</v>
      </c>
      <c r="I15" s="132">
        <v>2133.3207028574438</v>
      </c>
      <c r="J15" s="133">
        <v>2222.7575924015277</v>
      </c>
      <c r="K15" s="132">
        <v>2280.732083672829</v>
      </c>
      <c r="L15" s="133">
        <v>2364.7798578203287</v>
      </c>
      <c r="M15" s="132">
        <v>2375.0390172724083</v>
      </c>
      <c r="N15" s="133">
        <v>2344.5923085432219</v>
      </c>
      <c r="O15" s="132">
        <v>2384.3628245658833</v>
      </c>
      <c r="P15" s="133">
        <v>2601.5028989787161</v>
      </c>
      <c r="Q15" s="132">
        <v>2752.9327196134404</v>
      </c>
      <c r="R15" s="133">
        <v>2876.9558932525547</v>
      </c>
    </row>
    <row r="16" spans="1:18" ht="20" customHeight="1" thickBot="1">
      <c r="A16" s="351" t="s">
        <v>444</v>
      </c>
      <c r="B16" s="135">
        <v>1432.0540697646038</v>
      </c>
      <c r="C16" s="134">
        <v>1546.0757185444368</v>
      </c>
      <c r="D16" s="135">
        <v>1670.2122551894063</v>
      </c>
      <c r="E16" s="134">
        <v>1690.360521472358</v>
      </c>
      <c r="F16" s="135">
        <v>1748.7938485973016</v>
      </c>
      <c r="G16" s="134">
        <v>1791.4647816610463</v>
      </c>
      <c r="H16" s="133">
        <v>1919.2684223971701</v>
      </c>
      <c r="I16" s="132">
        <v>2083.8284927301152</v>
      </c>
      <c r="J16" s="133">
        <v>2235.982610007572</v>
      </c>
      <c r="K16" s="132">
        <v>2283.3794466850818</v>
      </c>
      <c r="L16" s="133">
        <v>2322.8332723261396</v>
      </c>
      <c r="M16" s="132">
        <v>2363.6875610633019</v>
      </c>
      <c r="N16" s="133">
        <v>2360.2666473094714</v>
      </c>
      <c r="O16" s="132">
        <v>2430.7046474771378</v>
      </c>
      <c r="P16" s="133">
        <v>2679.5115744097079</v>
      </c>
      <c r="Q16" s="132">
        <v>2834.2621938929856</v>
      </c>
      <c r="R16" s="133">
        <v>2937.0289595476042</v>
      </c>
    </row>
    <row r="17" spans="1:18" ht="20" customHeight="1" thickBot="1">
      <c r="A17" s="351" t="s">
        <v>795</v>
      </c>
      <c r="B17" s="135">
        <v>1779.0716956039746</v>
      </c>
      <c r="C17" s="134">
        <v>1980.1286207444</v>
      </c>
      <c r="D17" s="135">
        <v>2325.1884256767662</v>
      </c>
      <c r="E17" s="134">
        <v>2468.7395837395525</v>
      </c>
      <c r="F17" s="135">
        <v>2556.388603057927</v>
      </c>
      <c r="G17" s="134">
        <v>2667.9533276530469</v>
      </c>
      <c r="H17" s="133">
        <v>2873.2285637607215</v>
      </c>
      <c r="I17" s="132">
        <v>3144.1726359207455</v>
      </c>
      <c r="J17" s="133">
        <v>3390.8382944172918</v>
      </c>
      <c r="K17" s="132">
        <v>3465.1178920107632</v>
      </c>
      <c r="L17" s="133">
        <v>3572.5031117061712</v>
      </c>
      <c r="M17" s="132">
        <v>3609.5021774338197</v>
      </c>
      <c r="N17" s="133">
        <v>3579.7912682098909</v>
      </c>
      <c r="O17" s="132">
        <v>3636.9303412384484</v>
      </c>
      <c r="P17" s="133">
        <v>3963.5004883465881</v>
      </c>
      <c r="Q17" s="132">
        <v>4213.1756987740328</v>
      </c>
      <c r="R17" s="133">
        <v>4313.6316542296499</v>
      </c>
    </row>
    <row r="18" spans="1:18" ht="20" customHeight="1" thickBot="1">
      <c r="A18" s="351" t="s">
        <v>446</v>
      </c>
      <c r="B18" s="135">
        <v>1576.3385142672505</v>
      </c>
      <c r="C18" s="134">
        <v>1772.7380414639133</v>
      </c>
      <c r="D18" s="135">
        <v>1852.5938087977788</v>
      </c>
      <c r="E18" s="134">
        <v>1855.719700876213</v>
      </c>
      <c r="F18" s="135">
        <v>1914.1321999689392</v>
      </c>
      <c r="G18" s="134">
        <v>1965.3534704811639</v>
      </c>
      <c r="H18" s="133">
        <v>2129.9146402115421</v>
      </c>
      <c r="I18" s="132">
        <v>2323.4267215082082</v>
      </c>
      <c r="J18" s="133">
        <v>2511.1817544584183</v>
      </c>
      <c r="K18" s="132">
        <v>2543.1840087506721</v>
      </c>
      <c r="L18" s="133">
        <v>2635.2629047824526</v>
      </c>
      <c r="M18" s="132">
        <v>2670.4562706659181</v>
      </c>
      <c r="N18" s="133">
        <v>2649.1798448962313</v>
      </c>
      <c r="O18" s="132">
        <v>2720.5119199181258</v>
      </c>
      <c r="P18" s="133">
        <v>3012.8106660836356</v>
      </c>
      <c r="Q18" s="132">
        <v>3243.0385745899566</v>
      </c>
      <c r="R18" s="133">
        <v>3337.2255127605313</v>
      </c>
    </row>
    <row r="19" spans="1:18" ht="20" customHeight="1" thickBot="1">
      <c r="A19" s="351" t="s">
        <v>447</v>
      </c>
      <c r="B19" s="135">
        <v>1377.4433608787208</v>
      </c>
      <c r="C19" s="134">
        <v>1496.085735075158</v>
      </c>
      <c r="D19" s="135">
        <v>1550.1089878371702</v>
      </c>
      <c r="E19" s="134">
        <v>1621.2920897617873</v>
      </c>
      <c r="F19" s="135">
        <v>1686.9323864525529</v>
      </c>
      <c r="G19" s="134">
        <v>1755.3711632421132</v>
      </c>
      <c r="H19" s="133">
        <v>1964.1156528535771</v>
      </c>
      <c r="I19" s="132">
        <v>2118.1459782521838</v>
      </c>
      <c r="J19" s="133">
        <v>2333.3747091400724</v>
      </c>
      <c r="K19" s="132">
        <v>2347.6561302217251</v>
      </c>
      <c r="L19" s="133">
        <v>2424.4107082919618</v>
      </c>
      <c r="M19" s="132">
        <v>2489.9160664760416</v>
      </c>
      <c r="N19" s="133">
        <v>2487.0259022335358</v>
      </c>
      <c r="O19" s="132">
        <v>2492.4390560167353</v>
      </c>
      <c r="P19" s="133">
        <v>2705.1575783276594</v>
      </c>
      <c r="Q19" s="132">
        <v>2857.6918336619397</v>
      </c>
      <c r="R19" s="133">
        <v>2948.3678905912739</v>
      </c>
    </row>
    <row r="20" spans="1:18" ht="20" customHeight="1" thickBot="1">
      <c r="A20" s="351" t="s">
        <v>448</v>
      </c>
      <c r="B20" s="135">
        <v>1088.2631097960402</v>
      </c>
      <c r="C20" s="134">
        <v>1219.1232978865526</v>
      </c>
      <c r="D20" s="135">
        <v>1281.7803147765962</v>
      </c>
      <c r="E20" s="134">
        <v>1295.3360153745725</v>
      </c>
      <c r="F20" s="135">
        <v>1323.5018460517797</v>
      </c>
      <c r="G20" s="134">
        <v>1381.1762586810332</v>
      </c>
      <c r="H20" s="133">
        <v>1490.3963038968932</v>
      </c>
      <c r="I20" s="132">
        <v>1673.1785117574805</v>
      </c>
      <c r="J20" s="133">
        <v>1783.5989266764338</v>
      </c>
      <c r="K20" s="132">
        <v>1833.8149969101737</v>
      </c>
      <c r="L20" s="133">
        <v>1908.2347339982916</v>
      </c>
      <c r="M20" s="132">
        <v>1929.0275823865018</v>
      </c>
      <c r="N20" s="133">
        <v>1927.2506540682261</v>
      </c>
      <c r="O20" s="132">
        <v>1980.3919865184796</v>
      </c>
      <c r="P20" s="133">
        <v>2189.786105109592</v>
      </c>
      <c r="Q20" s="132">
        <v>2311.3404754148719</v>
      </c>
      <c r="R20" s="133">
        <v>2432.2028695648323</v>
      </c>
    </row>
    <row r="21" spans="1:18" ht="20" customHeight="1" thickBot="1">
      <c r="A21" s="351" t="s">
        <v>449</v>
      </c>
      <c r="B21" s="135">
        <v>1063.9670413831095</v>
      </c>
      <c r="C21" s="134">
        <v>1133.5896136637402</v>
      </c>
      <c r="D21" s="135">
        <v>1149.5816729512298</v>
      </c>
      <c r="E21" s="134">
        <v>1132.1987248610853</v>
      </c>
      <c r="F21" s="135">
        <v>1153.6563486767391</v>
      </c>
      <c r="G21" s="134">
        <v>1206.5368275627904</v>
      </c>
      <c r="H21" s="133">
        <v>1329.5316032117605</v>
      </c>
      <c r="I21" s="132">
        <v>1457.285464187351</v>
      </c>
      <c r="J21" s="133">
        <v>1569.3448708775961</v>
      </c>
      <c r="K21" s="132">
        <v>1616.5031213778504</v>
      </c>
      <c r="L21" s="133">
        <v>1708.8239272302951</v>
      </c>
      <c r="M21" s="132">
        <v>1753.2072160251437</v>
      </c>
      <c r="N21" s="133">
        <v>1772.4265745911973</v>
      </c>
      <c r="O21" s="132">
        <v>1808.2572305818178</v>
      </c>
      <c r="P21" s="133">
        <v>1959.3141936106897</v>
      </c>
      <c r="Q21" s="132">
        <v>2100.6724768157483</v>
      </c>
      <c r="R21" s="133">
        <v>2211.317046310241</v>
      </c>
    </row>
    <row r="22" spans="1:18" ht="20" customHeight="1" thickBot="1">
      <c r="A22" s="351" t="s">
        <v>450</v>
      </c>
      <c r="B22" s="135">
        <v>1188.3889362651646</v>
      </c>
      <c r="C22" s="134">
        <v>1304.2886879059893</v>
      </c>
      <c r="D22" s="135">
        <v>1369.0446563687569</v>
      </c>
      <c r="E22" s="134">
        <v>1401.9716323562091</v>
      </c>
      <c r="F22" s="135">
        <v>1438.2798432384884</v>
      </c>
      <c r="G22" s="134">
        <v>1498.2165892317853</v>
      </c>
      <c r="H22" s="133">
        <v>1628.1859223180359</v>
      </c>
      <c r="I22" s="132">
        <v>1779.1011543200063</v>
      </c>
      <c r="J22" s="133">
        <v>1925.2469157131877</v>
      </c>
      <c r="K22" s="132">
        <v>1983.710377581416</v>
      </c>
      <c r="L22" s="133">
        <v>2063.0210904751507</v>
      </c>
      <c r="M22" s="132">
        <v>2097.6601681024395</v>
      </c>
      <c r="N22" s="133">
        <v>2102.885021901081</v>
      </c>
      <c r="O22" s="132">
        <v>2162.9519973111946</v>
      </c>
      <c r="P22" s="133">
        <v>2389.0288696900816</v>
      </c>
      <c r="Q22" s="132">
        <v>2551.6856928849529</v>
      </c>
      <c r="R22" s="133">
        <v>2652.9476693360389</v>
      </c>
    </row>
    <row r="23" spans="1:18" ht="20" customHeight="1" thickBot="1">
      <c r="A23" s="351" t="s">
        <v>451</v>
      </c>
      <c r="B23" s="135">
        <v>1143.0492063265676</v>
      </c>
      <c r="C23" s="134">
        <v>1118.7264708589582</v>
      </c>
      <c r="D23" s="135">
        <v>1230.4546176647252</v>
      </c>
      <c r="E23" s="134">
        <v>1336.8496660502983</v>
      </c>
      <c r="F23" s="135">
        <v>1406.1163676195615</v>
      </c>
      <c r="G23" s="134">
        <v>1487.4162136975867</v>
      </c>
      <c r="H23" s="133">
        <v>1688.6776910005324</v>
      </c>
      <c r="I23" s="132">
        <v>1919.3632236727024</v>
      </c>
      <c r="J23" s="133">
        <v>2060.0819990324671</v>
      </c>
      <c r="K23" s="132">
        <v>2103.6861391914222</v>
      </c>
      <c r="L23" s="133">
        <v>2169.9849681912365</v>
      </c>
      <c r="M23" s="132">
        <v>2201.0081903069449</v>
      </c>
      <c r="N23" s="133">
        <v>2220.7397464059109</v>
      </c>
      <c r="O23" s="132">
        <v>2260.611571997274</v>
      </c>
      <c r="P23" s="133">
        <v>2528.7313729979492</v>
      </c>
      <c r="Q23" s="132">
        <v>2633.4601943736357</v>
      </c>
      <c r="R23" s="133">
        <v>2695.4137527754033</v>
      </c>
    </row>
    <row r="24" spans="1:18" ht="20" customHeight="1" thickBot="1">
      <c r="A24" s="351" t="s">
        <v>452</v>
      </c>
      <c r="B24" s="135">
        <v>1230.393303349367</v>
      </c>
      <c r="C24" s="134">
        <v>1330.9781495724483</v>
      </c>
      <c r="D24" s="135">
        <v>1405.9852586348795</v>
      </c>
      <c r="E24" s="134">
        <v>1469.6726041508725</v>
      </c>
      <c r="F24" s="135">
        <v>1549.1699069322558</v>
      </c>
      <c r="G24" s="134">
        <v>1635.8907364935624</v>
      </c>
      <c r="H24" s="133">
        <v>1816.6441908039451</v>
      </c>
      <c r="I24" s="132">
        <v>1997.8601434259615</v>
      </c>
      <c r="J24" s="133">
        <v>2140.1435254865942</v>
      </c>
      <c r="K24" s="132">
        <v>2174.3274668790045</v>
      </c>
      <c r="L24" s="133">
        <v>2261.0179236407416</v>
      </c>
      <c r="M24" s="132">
        <v>2313.0454326980785</v>
      </c>
      <c r="N24" s="133">
        <v>2335.8854448503616</v>
      </c>
      <c r="O24" s="132">
        <v>2380.1168143167224</v>
      </c>
      <c r="P24" s="133">
        <v>2628.6802500576746</v>
      </c>
      <c r="Q24" s="132">
        <v>2796.1245676731214</v>
      </c>
      <c r="R24" s="133">
        <v>2872.892779846437</v>
      </c>
    </row>
    <row r="25" spans="1:18" ht="20" customHeight="1" thickBot="1">
      <c r="A25" s="351" t="s">
        <v>453</v>
      </c>
      <c r="B25" s="135">
        <v>1159.474855393762</v>
      </c>
      <c r="C25" s="134">
        <v>1328.9310231083491</v>
      </c>
      <c r="D25" s="135">
        <v>1424.2062478349167</v>
      </c>
      <c r="E25" s="134">
        <v>1499.208030123239</v>
      </c>
      <c r="F25" s="135">
        <v>1553.2244240914515</v>
      </c>
      <c r="G25" s="134">
        <v>1661.7386576828317</v>
      </c>
      <c r="H25" s="133">
        <v>1834.2044347153485</v>
      </c>
      <c r="I25" s="132">
        <v>2048.4142232764871</v>
      </c>
      <c r="J25" s="133">
        <v>2185.335824306746</v>
      </c>
      <c r="K25" s="132">
        <v>2217.2402153263711</v>
      </c>
      <c r="L25" s="133">
        <v>2283.3758420037034</v>
      </c>
      <c r="M25" s="132">
        <v>2295.2652584431348</v>
      </c>
      <c r="N25" s="133">
        <v>2279.0884858210197</v>
      </c>
      <c r="O25" s="132">
        <v>2310.2839491028731</v>
      </c>
      <c r="P25" s="133">
        <v>2491.2944287675346</v>
      </c>
      <c r="Q25" s="132">
        <v>2598.8359363478257</v>
      </c>
      <c r="R25" s="133">
        <v>2660.7821317341377</v>
      </c>
    </row>
    <row r="26" spans="1:18" ht="20" customHeight="1" thickBot="1">
      <c r="A26" s="351" t="s">
        <v>454</v>
      </c>
      <c r="B26" s="135">
        <v>1920.211422462608</v>
      </c>
      <c r="C26" s="134">
        <v>2093.5784969576162</v>
      </c>
      <c r="D26" s="135">
        <v>2183.6764640346432</v>
      </c>
      <c r="E26" s="134">
        <v>2180.8658737487976</v>
      </c>
      <c r="F26" s="135">
        <v>2209.7472935521837</v>
      </c>
      <c r="G26" s="134">
        <v>2261.3042021099595</v>
      </c>
      <c r="H26" s="133">
        <v>2455.9261698805649</v>
      </c>
      <c r="I26" s="132">
        <v>2659.8152582525563</v>
      </c>
      <c r="J26" s="133">
        <v>2945.1851385564305</v>
      </c>
      <c r="K26" s="132">
        <v>3013.0448522524503</v>
      </c>
      <c r="L26" s="133">
        <v>3139.534487394506</v>
      </c>
      <c r="M26" s="132">
        <v>3169.8223243558823</v>
      </c>
      <c r="N26" s="133">
        <v>3125.0045807300799</v>
      </c>
      <c r="O26" s="132">
        <v>3113.9964674152993</v>
      </c>
      <c r="P26" s="133">
        <v>3258.4000702781441</v>
      </c>
      <c r="Q26" s="132">
        <v>3448.0707009371499</v>
      </c>
      <c r="R26" s="133">
        <v>3391.2009488011968</v>
      </c>
    </row>
    <row r="27" spans="1:18" ht="20" customHeight="1" thickBot="1">
      <c r="A27" s="351" t="s">
        <v>455</v>
      </c>
      <c r="B27" s="135">
        <v>2123.7022616874642</v>
      </c>
      <c r="C27" s="134">
        <v>2188.5978122919905</v>
      </c>
      <c r="D27" s="135">
        <v>2262.0665036594364</v>
      </c>
      <c r="E27" s="134">
        <v>2312.2186861426335</v>
      </c>
      <c r="F27" s="135">
        <v>2316.3375313816941</v>
      </c>
      <c r="G27" s="134">
        <v>2380.1958460230621</v>
      </c>
      <c r="H27" s="133">
        <v>2554.8427885240826</v>
      </c>
      <c r="I27" s="132">
        <v>2773.1739770111981</v>
      </c>
      <c r="J27" s="133">
        <v>2944.2591828792392</v>
      </c>
      <c r="K27" s="132">
        <v>2988.5411219630787</v>
      </c>
      <c r="L27" s="133">
        <v>3103.1064497360926</v>
      </c>
      <c r="M27" s="132">
        <v>3073.8913428932055</v>
      </c>
      <c r="N27" s="133">
        <v>2988.2071859643597</v>
      </c>
      <c r="O27" s="132">
        <v>2982.6854115033552</v>
      </c>
      <c r="P27" s="133">
        <v>3140.9802005474835</v>
      </c>
      <c r="Q27" s="132">
        <v>3308.0510513450499</v>
      </c>
      <c r="R27" s="133">
        <v>3365.4892584929512</v>
      </c>
    </row>
    <row r="28" spans="1:18" ht="20" customHeight="1" thickBot="1">
      <c r="A28" s="351" t="s">
        <v>456</v>
      </c>
      <c r="B28" s="135">
        <v>1523.0862537186249</v>
      </c>
      <c r="C28" s="134">
        <v>1528.2235423576719</v>
      </c>
      <c r="D28" s="135">
        <v>1520.7734947996855</v>
      </c>
      <c r="E28" s="134">
        <v>1512.315774872128</v>
      </c>
      <c r="F28" s="135">
        <v>1565.0382066640796</v>
      </c>
      <c r="G28" s="134">
        <v>1611.8069928879931</v>
      </c>
      <c r="H28" s="133">
        <v>1740.4035512056632</v>
      </c>
      <c r="I28" s="132">
        <v>1894.4509552934464</v>
      </c>
      <c r="J28" s="133">
        <v>2065.9446432202062</v>
      </c>
      <c r="K28" s="132">
        <v>2150.4788048623009</v>
      </c>
      <c r="L28" s="133">
        <v>2233.854286832724</v>
      </c>
      <c r="M28" s="132">
        <v>2300.3259863497678</v>
      </c>
      <c r="N28" s="133">
        <v>2281.6342887948704</v>
      </c>
      <c r="O28" s="132">
        <v>2341.0548273196509</v>
      </c>
      <c r="P28" s="133">
        <v>2568.2788659171997</v>
      </c>
      <c r="Q28" s="132">
        <v>2758.7597357230779</v>
      </c>
      <c r="R28" s="133">
        <v>2829.8925685176055</v>
      </c>
    </row>
    <row r="29" spans="1:18" ht="20" customHeight="1" thickBot="1">
      <c r="A29" s="351" t="s">
        <v>457</v>
      </c>
      <c r="B29" s="135">
        <v>1646.3624740952964</v>
      </c>
      <c r="C29" s="134">
        <v>1879.9747320853974</v>
      </c>
      <c r="D29" s="135">
        <v>2069.35224515651</v>
      </c>
      <c r="E29" s="134">
        <v>2121.724134131829</v>
      </c>
      <c r="F29" s="135">
        <v>2178.2282725122873</v>
      </c>
      <c r="G29" s="134">
        <v>2226.3886221358225</v>
      </c>
      <c r="H29" s="133">
        <v>2442.2463006271605</v>
      </c>
      <c r="I29" s="132">
        <v>2644.2879266571426</v>
      </c>
      <c r="J29" s="133">
        <v>2860.2934659084876</v>
      </c>
      <c r="K29" s="132">
        <v>2940.8560577149369</v>
      </c>
      <c r="L29" s="133">
        <v>3020.0836352379274</v>
      </c>
      <c r="M29" s="132">
        <v>3036.6447662858664</v>
      </c>
      <c r="N29" s="133">
        <v>2985.7510655824785</v>
      </c>
      <c r="O29" s="132">
        <v>2927.0194519439683</v>
      </c>
      <c r="P29" s="133">
        <v>2974.5856498318376</v>
      </c>
      <c r="Q29" s="132">
        <v>3090.0521795018044</v>
      </c>
      <c r="R29" s="133">
        <v>3139.9865283500149</v>
      </c>
    </row>
    <row r="30" spans="1:18" ht="20" customHeight="1" thickBot="1">
      <c r="A30" s="351" t="s">
        <v>458</v>
      </c>
      <c r="B30" s="135">
        <v>2220.6501203576581</v>
      </c>
      <c r="C30" s="134">
        <v>2493.6749107586593</v>
      </c>
      <c r="D30" s="135">
        <v>2561.7921105578544</v>
      </c>
      <c r="E30" s="134">
        <v>2603.6595742963436</v>
      </c>
      <c r="F30" s="135">
        <v>2734.6485196897552</v>
      </c>
      <c r="G30" s="134">
        <v>2841.8547383361183</v>
      </c>
      <c r="H30" s="133">
        <v>3059.4100324412902</v>
      </c>
      <c r="I30" s="132">
        <v>3320.3890189876888</v>
      </c>
      <c r="J30" s="133">
        <v>3481.6460008994604</v>
      </c>
      <c r="K30" s="132">
        <v>3552.0553634331818</v>
      </c>
      <c r="L30" s="133">
        <v>3652.1506224056161</v>
      </c>
      <c r="M30" s="132">
        <v>3622.8650823319726</v>
      </c>
      <c r="N30" s="133">
        <v>3559.7613049734655</v>
      </c>
      <c r="O30" s="132">
        <v>3476.4972788144619</v>
      </c>
      <c r="P30" s="133">
        <v>3621.8603945653181</v>
      </c>
      <c r="Q30" s="132">
        <v>3727.8868506990025</v>
      </c>
      <c r="R30" s="133">
        <v>3817.5911576015219</v>
      </c>
    </row>
    <row r="31" spans="1:18" ht="20" customHeight="1" thickBot="1">
      <c r="A31" s="351" t="s">
        <v>459</v>
      </c>
      <c r="B31" s="135">
        <v>1693.2060147156392</v>
      </c>
      <c r="C31" s="134">
        <v>1771.8388464541085</v>
      </c>
      <c r="D31" s="135">
        <v>1906.8006626155413</v>
      </c>
      <c r="E31" s="134">
        <v>1937.3880227473887</v>
      </c>
      <c r="F31" s="135">
        <v>2029.2697954509338</v>
      </c>
      <c r="G31" s="134">
        <v>2148.616923310622</v>
      </c>
      <c r="H31" s="133">
        <v>2294.2217121062836</v>
      </c>
      <c r="I31" s="132">
        <v>2448.0281481617167</v>
      </c>
      <c r="J31" s="133">
        <v>2616.9536771306425</v>
      </c>
      <c r="K31" s="132">
        <v>2669.8602402292095</v>
      </c>
      <c r="L31" s="133">
        <v>2741.23867601759</v>
      </c>
      <c r="M31" s="132">
        <v>2725.6473968139912</v>
      </c>
      <c r="N31" s="133">
        <v>2677.0243457222141</v>
      </c>
      <c r="O31" s="132">
        <v>2671.0952437588021</v>
      </c>
      <c r="P31" s="133">
        <v>2841.9202686687795</v>
      </c>
      <c r="Q31" s="132">
        <v>3009.3957843509947</v>
      </c>
      <c r="R31" s="133">
        <v>3127.6223779383899</v>
      </c>
    </row>
    <row r="32" spans="1:18" ht="30" customHeight="1" thickBot="1">
      <c r="A32" s="352" t="s">
        <v>462</v>
      </c>
      <c r="B32" s="137">
        <v>1538.9393456106852</v>
      </c>
      <c r="C32" s="136">
        <v>1663.8889491853145</v>
      </c>
      <c r="D32" s="137">
        <v>1753.683394842503</v>
      </c>
      <c r="E32" s="136">
        <v>1792.6969718267824</v>
      </c>
      <c r="F32" s="137">
        <v>1850.1645719756871</v>
      </c>
      <c r="G32" s="136">
        <v>1917.1642434992227</v>
      </c>
      <c r="H32" s="189">
        <v>2090.6486849170938</v>
      </c>
      <c r="I32" s="353">
        <v>2281.464868725081</v>
      </c>
      <c r="J32" s="206">
        <v>2441.8668834361247</v>
      </c>
      <c r="K32" s="353">
        <v>2487.4603849935415</v>
      </c>
      <c r="L32" s="206">
        <v>2582.7207564451369</v>
      </c>
      <c r="M32" s="353">
        <v>2612.1277928402606</v>
      </c>
      <c r="N32" s="206">
        <v>2585.7925929424218</v>
      </c>
      <c r="O32" s="353">
        <v>2610.6061328786159</v>
      </c>
      <c r="P32" s="206">
        <v>2834.4986028216172</v>
      </c>
      <c r="Q32" s="353">
        <v>3005.4532863037525</v>
      </c>
      <c r="R32" s="206">
        <v>3075.2295464185413</v>
      </c>
    </row>
    <row r="33" spans="1:18" ht="20" customHeight="1">
      <c r="A33" s="130" t="s">
        <v>396</v>
      </c>
      <c r="B33" s="354"/>
      <c r="C33" s="354"/>
      <c r="D33" s="354"/>
      <c r="E33" s="354"/>
      <c r="F33" s="355"/>
      <c r="G33" s="354"/>
      <c r="H33" s="356"/>
    </row>
    <row r="34" spans="1:18" ht="15.75" customHeight="1">
      <c r="A34" s="131"/>
      <c r="B34" s="357"/>
      <c r="C34" s="357"/>
      <c r="D34" s="357"/>
      <c r="E34" s="357"/>
      <c r="F34" s="357"/>
      <c r="G34" s="357"/>
      <c r="H34" s="358"/>
    </row>
    <row r="35" spans="1:18" ht="14.25" customHeight="1">
      <c r="A35" s="359" t="s">
        <v>475</v>
      </c>
      <c r="B35" s="357"/>
      <c r="C35" s="357"/>
      <c r="D35" s="357"/>
      <c r="E35" s="357"/>
      <c r="F35" s="357"/>
      <c r="G35" s="357"/>
      <c r="H35" s="358"/>
    </row>
    <row r="36" spans="1:18" ht="14.25" customHeight="1">
      <c r="A36" s="359" t="s">
        <v>565</v>
      </c>
      <c r="B36" s="357"/>
      <c r="C36" s="357"/>
      <c r="D36" s="357"/>
      <c r="E36" s="357"/>
      <c r="F36" s="357"/>
      <c r="G36" s="357"/>
      <c r="H36" s="358"/>
    </row>
    <row r="37" spans="1:18" ht="13.5" customHeight="1">
      <c r="A37" s="131"/>
      <c r="B37" s="357"/>
      <c r="C37" s="357"/>
      <c r="D37" s="357"/>
      <c r="E37" s="357"/>
      <c r="F37" s="357"/>
      <c r="G37" s="357"/>
      <c r="H37" s="358"/>
    </row>
    <row r="38" spans="1:18" ht="12.75" customHeight="1">
      <c r="A38" s="131" t="s">
        <v>477</v>
      </c>
      <c r="B38" s="357"/>
      <c r="C38" s="357"/>
      <c r="D38" s="357"/>
      <c r="E38" s="357"/>
      <c r="F38" s="357"/>
      <c r="G38" s="357"/>
      <c r="H38" s="358"/>
    </row>
    <row r="39" spans="1:18" ht="12.75" customHeight="1" thickBot="1">
      <c r="A39" s="622" t="s">
        <v>796</v>
      </c>
      <c r="B39" s="623"/>
      <c r="C39" s="623"/>
      <c r="D39" s="623"/>
      <c r="E39" s="623"/>
      <c r="F39" s="623"/>
      <c r="G39" s="623"/>
      <c r="H39" s="624"/>
      <c r="L39" s="625"/>
      <c r="M39" s="626"/>
      <c r="N39" s="627"/>
      <c r="O39" s="627"/>
      <c r="P39" s="627"/>
      <c r="Q39" s="627"/>
      <c r="R39" s="627"/>
    </row>
    <row r="40" spans="1:18" ht="12.75" customHeight="1" thickBot="1">
      <c r="A40" s="628" t="s">
        <v>797</v>
      </c>
      <c r="B40" s="629">
        <v>76.900000000000006</v>
      </c>
      <c r="C40" s="630">
        <v>48.4</v>
      </c>
      <c r="D40" s="629">
        <v>47</v>
      </c>
      <c r="E40" s="630">
        <v>35.5</v>
      </c>
      <c r="F40" s="629">
        <v>34.6</v>
      </c>
      <c r="G40" s="630">
        <v>34.4</v>
      </c>
      <c r="H40" s="629">
        <v>46.1</v>
      </c>
      <c r="I40" s="630">
        <v>21.7</v>
      </c>
      <c r="J40" s="629">
        <v>19.600000000000001</v>
      </c>
      <c r="K40" s="630">
        <v>21.6</v>
      </c>
      <c r="L40" s="629">
        <v>23</v>
      </c>
      <c r="M40" s="630">
        <v>18.400000000000002</v>
      </c>
      <c r="N40" s="629">
        <v>16.099999999999998</v>
      </c>
      <c r="O40" s="630">
        <v>13.799999999999999</v>
      </c>
      <c r="P40" s="629">
        <v>11.5</v>
      </c>
      <c r="Q40" s="630">
        <v>9.2000000000000011</v>
      </c>
      <c r="R40" s="629">
        <v>4.6000000000000005</v>
      </c>
    </row>
    <row r="41" spans="1:18" ht="14" thickBot="1">
      <c r="A41" s="628" t="s">
        <v>798</v>
      </c>
      <c r="B41" s="631">
        <v>2158.3621413319015</v>
      </c>
      <c r="C41" s="632">
        <v>2225.7179081802751</v>
      </c>
      <c r="D41" s="631">
        <v>2570.6589718226173</v>
      </c>
      <c r="E41" s="632">
        <v>2656.1844723022464</v>
      </c>
      <c r="F41" s="631">
        <v>2741.6283171677323</v>
      </c>
      <c r="G41" s="632">
        <v>2853.1036277149433</v>
      </c>
      <c r="H41" s="631">
        <v>3122.0143165939648</v>
      </c>
      <c r="I41" s="632">
        <v>3262.194010298686</v>
      </c>
      <c r="J41" s="631">
        <v>3497.7545778763606</v>
      </c>
      <c r="K41" s="632">
        <v>3583.6000045029468</v>
      </c>
      <c r="L41" s="631">
        <v>3700.8455964166751</v>
      </c>
      <c r="M41" s="632">
        <v>3712.6215380937838</v>
      </c>
      <c r="N41" s="631">
        <v>3669.7243490602891</v>
      </c>
      <c r="O41" s="632">
        <v>3714.9932541764088</v>
      </c>
      <c r="P41" s="631">
        <v>4028.1300499642716</v>
      </c>
      <c r="Q41" s="632">
        <v>4264.2967983799945</v>
      </c>
      <c r="R41" s="631">
        <v>4339.151071454924</v>
      </c>
    </row>
    <row r="42" spans="1:18">
      <c r="A42" s="131"/>
    </row>
    <row r="43" spans="1:18">
      <c r="A43" s="131" t="s">
        <v>395</v>
      </c>
    </row>
  </sheetData>
  <pageMargins left="0.43307086614173229" right="0.47244094488188981" top="0.35" bottom="0.27" header="0.31" footer="0.38"/>
  <pageSetup paperSize="9" scale="70" orientation="landscape"/>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12A5-A163-2E42-BB6E-8A992F048E3B}">
  <sheetPr>
    <pageSetUpPr fitToPage="1"/>
  </sheetPr>
  <dimension ref="A1:H16"/>
  <sheetViews>
    <sheetView workbookViewId="0">
      <selection activeCell="M12" sqref="M12:M13"/>
    </sheetView>
  </sheetViews>
  <sheetFormatPr baseColWidth="10" defaultColWidth="11.59765625" defaultRowHeight="13"/>
  <cols>
    <col min="1" max="1" width="5.59765625" style="65" customWidth="1"/>
    <col min="2" max="16384" width="11.59765625" style="65"/>
  </cols>
  <sheetData>
    <row r="1" spans="1:8" ht="16">
      <c r="A1" s="66" t="s">
        <v>2036</v>
      </c>
    </row>
    <row r="2" spans="1:8" ht="16">
      <c r="A2" s="66"/>
    </row>
    <row r="3" spans="1:8">
      <c r="A3" s="602">
        <v>4.01</v>
      </c>
      <c r="B3" s="67" t="s">
        <v>2037</v>
      </c>
    </row>
    <row r="4" spans="1:8">
      <c r="A4" s="602">
        <v>4.0199999999999996</v>
      </c>
      <c r="B4" s="1204" t="s">
        <v>2038</v>
      </c>
    </row>
    <row r="5" spans="1:8">
      <c r="A5" s="602">
        <v>4.03</v>
      </c>
      <c r="B5" s="1204" t="s">
        <v>2039</v>
      </c>
    </row>
    <row r="6" spans="1:8">
      <c r="A6" s="602">
        <v>4.04</v>
      </c>
      <c r="B6" s="1204" t="s">
        <v>2040</v>
      </c>
    </row>
    <row r="7" spans="1:8">
      <c r="A7" s="602">
        <v>4.05</v>
      </c>
      <c r="B7" s="1204" t="s">
        <v>2041</v>
      </c>
    </row>
    <row r="8" spans="1:8">
      <c r="A8" s="602">
        <v>4.0599999999999996</v>
      </c>
      <c r="B8" s="65" t="s">
        <v>2042</v>
      </c>
    </row>
    <row r="9" spans="1:8">
      <c r="A9" s="602">
        <v>4.07</v>
      </c>
      <c r="B9" s="602" t="s">
        <v>2043</v>
      </c>
    </row>
    <row r="10" spans="1:8">
      <c r="A10" s="602">
        <v>4.08</v>
      </c>
      <c r="B10" s="1204" t="s">
        <v>2044</v>
      </c>
    </row>
    <row r="11" spans="1:8">
      <c r="A11" s="602">
        <v>4.09</v>
      </c>
      <c r="B11" s="67" t="s">
        <v>2045</v>
      </c>
    </row>
    <row r="12" spans="1:8">
      <c r="A12" s="1403">
        <v>4.0999999999999996</v>
      </c>
      <c r="B12" s="67" t="s">
        <v>2046</v>
      </c>
      <c r="H12" s="1404"/>
    </row>
    <row r="13" spans="1:8">
      <c r="A13" s="1403">
        <v>4.1100000000000003</v>
      </c>
      <c r="B13" s="67" t="s">
        <v>2047</v>
      </c>
      <c r="H13" s="1404"/>
    </row>
    <row r="14" spans="1:8">
      <c r="A14" s="1403"/>
    </row>
    <row r="16" spans="1:8">
      <c r="A16" s="70" t="s">
        <v>395</v>
      </c>
    </row>
  </sheetData>
  <pageMargins left="0.59055118110236227" right="0.59055118110236227" top="0.78740157480314965" bottom="0.47244094488188981" header="0.47244094488188981" footer="0.51181102362204722"/>
  <pageSetup paperSize="9" scale="94"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C3177-5046-544A-B611-B5277BCCC539}">
  <sheetPr>
    <pageSetUpPr fitToPage="1"/>
  </sheetPr>
  <dimension ref="A1:BH51"/>
  <sheetViews>
    <sheetView zoomScaleNormal="100" workbookViewId="0">
      <selection activeCell="J28" sqref="J28"/>
    </sheetView>
  </sheetViews>
  <sheetFormatPr baseColWidth="10" defaultColWidth="11.3984375" defaultRowHeight="13"/>
  <cols>
    <col min="1" max="1" width="10.59765625" style="3" customWidth="1"/>
    <col min="2" max="2" width="16" style="3" customWidth="1"/>
    <col min="3" max="3" width="14.59765625" style="3" customWidth="1"/>
    <col min="4" max="4" width="13.796875" style="3" customWidth="1"/>
    <col min="5" max="5" width="12.796875" style="3" customWidth="1"/>
    <col min="6" max="6" width="14.59765625" style="3" customWidth="1"/>
    <col min="7" max="8" width="14.3984375" style="3" customWidth="1"/>
    <col min="9" max="16384" width="11.3984375" style="3"/>
  </cols>
  <sheetData>
    <row r="1" spans="1:60" s="2" customFormat="1" ht="14" customHeight="1"/>
    <row r="2" spans="1:60" s="2" customFormat="1" ht="37.5" customHeight="1">
      <c r="A2" s="2054" t="s">
        <v>2014</v>
      </c>
      <c r="B2" s="2060"/>
      <c r="C2" s="2060"/>
      <c r="D2" s="2060"/>
      <c r="E2" s="2060"/>
      <c r="F2" s="2060"/>
      <c r="G2" s="2060"/>
      <c r="H2" s="328"/>
    </row>
    <row r="3" spans="1:60" ht="21" customHeight="1">
      <c r="A3" s="109" t="s">
        <v>241</v>
      </c>
      <c r="B3" s="110" t="s">
        <v>2015</v>
      </c>
      <c r="C3" s="111"/>
      <c r="D3" s="110" t="s">
        <v>2016</v>
      </c>
      <c r="E3" s="111" t="s">
        <v>2008</v>
      </c>
      <c r="F3" s="110" t="s">
        <v>2017</v>
      </c>
      <c r="G3" s="111" t="s">
        <v>2018</v>
      </c>
      <c r="H3" s="110" t="s">
        <v>2017</v>
      </c>
    </row>
    <row r="4" spans="1:60" ht="15" customHeight="1">
      <c r="A4" s="112"/>
      <c r="B4" s="113" t="s">
        <v>1891</v>
      </c>
      <c r="C4" s="115" t="s">
        <v>2019</v>
      </c>
      <c r="D4" s="113" t="s">
        <v>1935</v>
      </c>
      <c r="E4" s="114" t="s">
        <v>2020</v>
      </c>
      <c r="F4" s="113" t="s">
        <v>2021</v>
      </c>
      <c r="G4" s="114" t="s">
        <v>2022</v>
      </c>
      <c r="H4" s="113" t="s">
        <v>2021</v>
      </c>
    </row>
    <row r="5" spans="1:60" ht="15" customHeight="1">
      <c r="A5" s="112"/>
      <c r="B5" s="113" t="s">
        <v>2023</v>
      </c>
      <c r="C5" s="115" t="s">
        <v>1921</v>
      </c>
      <c r="D5" s="113"/>
      <c r="E5" s="114"/>
      <c r="F5" s="113" t="s">
        <v>1899</v>
      </c>
      <c r="G5" s="114" t="s">
        <v>1964</v>
      </c>
      <c r="H5" s="113" t="s">
        <v>1898</v>
      </c>
    </row>
    <row r="6" spans="1:60" ht="21" customHeight="1">
      <c r="A6" s="116"/>
      <c r="B6" s="117" t="s">
        <v>2024</v>
      </c>
      <c r="C6" s="1335" t="s">
        <v>487</v>
      </c>
      <c r="D6" s="117"/>
      <c r="E6" s="118"/>
      <c r="F6" s="143" t="s">
        <v>1901</v>
      </c>
      <c r="G6" s="118"/>
      <c r="H6" s="143" t="s">
        <v>1901</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row>
    <row r="7" spans="1:60" ht="22.5" customHeight="1" thickBot="1">
      <c r="A7" s="367">
        <v>1996</v>
      </c>
      <c r="B7" s="1257">
        <v>1467.1668685500001</v>
      </c>
      <c r="C7" s="149">
        <v>0.19641864881833015</v>
      </c>
      <c r="D7" s="320">
        <v>1656431</v>
      </c>
      <c r="E7" s="149">
        <v>0.22900000000000001</v>
      </c>
      <c r="F7" s="320">
        <v>901.63486133741753</v>
      </c>
      <c r="G7" s="321">
        <v>821972</v>
      </c>
      <c r="H7" s="320">
        <v>1508.6632014229194</v>
      </c>
    </row>
    <row r="8" spans="1:60" ht="22.5" customHeight="1" thickBot="1">
      <c r="A8" s="123">
        <v>1997</v>
      </c>
      <c r="B8" s="124">
        <v>1994.2314670000001</v>
      </c>
      <c r="C8" s="659">
        <v>0.32454456351229566</v>
      </c>
      <c r="D8" s="134">
        <v>1955994</v>
      </c>
      <c r="E8" s="659">
        <v>0.27</v>
      </c>
      <c r="F8" s="320">
        <v>1019.5488672255641</v>
      </c>
      <c r="G8" s="135">
        <v>988940</v>
      </c>
      <c r="H8" s="134">
        <v>2016.5343367646167</v>
      </c>
    </row>
    <row r="9" spans="1:60" ht="22.5" customHeight="1" thickBot="1">
      <c r="A9" s="123">
        <v>1998</v>
      </c>
      <c r="B9" s="124">
        <v>2446.4709480000001</v>
      </c>
      <c r="C9" s="659">
        <v>0.3175521493515443</v>
      </c>
      <c r="D9" s="134">
        <v>2240522</v>
      </c>
      <c r="E9" s="659">
        <v>0.309</v>
      </c>
      <c r="F9" s="320">
        <v>1091.9200739827595</v>
      </c>
      <c r="G9" s="135">
        <v>1178551</v>
      </c>
      <c r="H9" s="134">
        <v>2075.8295126812504</v>
      </c>
    </row>
    <row r="10" spans="1:60" ht="22.5" customHeight="1" thickBot="1">
      <c r="A10" s="123">
        <v>1999</v>
      </c>
      <c r="B10" s="124">
        <v>2689.6721769999999</v>
      </c>
      <c r="C10" s="659">
        <v>0.33145279359936858</v>
      </c>
      <c r="D10" s="134">
        <v>2334267</v>
      </c>
      <c r="E10" s="659">
        <v>0.32100000000000001</v>
      </c>
      <c r="F10" s="320">
        <v>1152.2555804455958</v>
      </c>
      <c r="G10" s="135">
        <v>1230090</v>
      </c>
      <c r="H10" s="134">
        <v>2186.5653545675523</v>
      </c>
    </row>
    <row r="11" spans="1:60" ht="22.5" customHeight="1" thickBot="1">
      <c r="A11" s="123">
        <v>2000</v>
      </c>
      <c r="B11" s="124">
        <v>2545.3263492000001</v>
      </c>
      <c r="C11" s="659">
        <v>0.3246756501223273</v>
      </c>
      <c r="D11" s="134">
        <v>2337717</v>
      </c>
      <c r="E11" s="659">
        <v>0.32177297173492003</v>
      </c>
      <c r="F11" s="320">
        <v>1088.8085894058177</v>
      </c>
      <c r="G11" s="135">
        <v>1242695</v>
      </c>
      <c r="H11" s="134">
        <v>2048</v>
      </c>
    </row>
    <row r="12" spans="1:60" ht="22.5" customHeight="1" thickBot="1">
      <c r="A12" s="123">
        <v>2001</v>
      </c>
      <c r="B12" s="124">
        <v>2657.2</v>
      </c>
      <c r="C12" s="659">
        <v>0.32300000000000001</v>
      </c>
      <c r="D12" s="134">
        <v>2376421</v>
      </c>
      <c r="E12" s="659">
        <v>0.32500000000000001</v>
      </c>
      <c r="F12" s="320">
        <v>1118</v>
      </c>
      <c r="G12" s="135">
        <v>1268943</v>
      </c>
      <c r="H12" s="134">
        <v>2094</v>
      </c>
    </row>
    <row r="13" spans="1:60" ht="22.5" customHeight="1" thickBot="1">
      <c r="A13" s="123">
        <v>2002</v>
      </c>
      <c r="B13" s="124">
        <v>2892</v>
      </c>
      <c r="C13" s="659">
        <v>0.33503586516078104</v>
      </c>
      <c r="D13" s="134">
        <v>2433822</v>
      </c>
      <c r="E13" s="659">
        <v>0.33137426082069188</v>
      </c>
      <c r="F13" s="320">
        <v>1188.2690726766377</v>
      </c>
      <c r="G13" s="135">
        <v>1289405</v>
      </c>
      <c r="H13" s="134">
        <v>2242.922441746387</v>
      </c>
      <c r="I13" s="266"/>
      <c r="J13" s="266"/>
      <c r="K13" s="266"/>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row>
    <row r="14" spans="1:60" s="266" customFormat="1" ht="22.5" customHeight="1" thickBot="1">
      <c r="A14" s="123">
        <v>2003</v>
      </c>
      <c r="B14" s="124">
        <v>3065.5</v>
      </c>
      <c r="C14" s="659">
        <v>0.34986041988328265</v>
      </c>
      <c r="D14" s="134">
        <v>2427518.2400000002</v>
      </c>
      <c r="E14" s="659">
        <v>0.32926640809331431</v>
      </c>
      <c r="F14" s="320">
        <v>1262.8124985787954</v>
      </c>
      <c r="G14" s="135">
        <v>1287365.05</v>
      </c>
      <c r="H14" s="134">
        <v>2381.2207531966164</v>
      </c>
    </row>
    <row r="15" spans="1:60" s="266" customFormat="1" ht="22.5" customHeight="1" thickBot="1">
      <c r="A15" s="123">
        <v>2004</v>
      </c>
      <c r="B15" s="124">
        <v>3169.8</v>
      </c>
      <c r="C15" s="659">
        <v>0.35221732419197194</v>
      </c>
      <c r="D15" s="134">
        <v>2361377</v>
      </c>
      <c r="E15" s="659">
        <v>0.31981490264741708</v>
      </c>
      <c r="F15" s="320">
        <v>1342.3653663095729</v>
      </c>
      <c r="G15" s="135">
        <v>1245875</v>
      </c>
      <c r="H15" s="134">
        <v>2544.2606213303907</v>
      </c>
    </row>
    <row r="16" spans="1:60" s="266" customFormat="1" ht="22.5" customHeight="1" thickBot="1">
      <c r="A16" s="123">
        <v>2005</v>
      </c>
      <c r="B16" s="124">
        <v>3201.7620889999998</v>
      </c>
      <c r="C16" s="659">
        <v>0.35637005695084922</v>
      </c>
      <c r="D16" s="134">
        <v>2262160</v>
      </c>
      <c r="E16" s="659">
        <v>0.30422284428240698</v>
      </c>
      <c r="F16" s="320">
        <v>1415.3561591576192</v>
      </c>
      <c r="G16" s="135">
        <v>1215989</v>
      </c>
      <c r="H16" s="134">
        <v>2633.0518524427443</v>
      </c>
    </row>
    <row r="17" spans="1:10" s="266" customFormat="1" ht="22.5" customHeight="1" thickBot="1">
      <c r="A17" s="123">
        <v>2006</v>
      </c>
      <c r="B17" s="124">
        <v>3308.7390919999998</v>
      </c>
      <c r="C17" s="659">
        <v>0.35384170478437954</v>
      </c>
      <c r="D17" s="134">
        <v>2178397</v>
      </c>
      <c r="E17" s="659">
        <v>0.2912908088184103</v>
      </c>
      <c r="F17" s="320">
        <v>1518.8870954192464</v>
      </c>
      <c r="G17" s="135">
        <v>1182675</v>
      </c>
      <c r="H17" s="134">
        <v>2797.6739949690323</v>
      </c>
    </row>
    <row r="18" spans="1:10" s="266" customFormat="1" ht="22.5" customHeight="1" thickBot="1">
      <c r="A18" s="123">
        <v>2007</v>
      </c>
      <c r="B18" s="124">
        <v>3420.5200599999998</v>
      </c>
      <c r="C18" s="659">
        <v>0.35134625317765278</v>
      </c>
      <c r="D18" s="134">
        <v>2271950</v>
      </c>
      <c r="E18" s="659">
        <v>0.30161607339582402</v>
      </c>
      <c r="F18" s="320">
        <v>1505.5437223530448</v>
      </c>
      <c r="G18" s="135">
        <v>1225436</v>
      </c>
      <c r="H18" s="134">
        <v>2791.2678099876289</v>
      </c>
    </row>
    <row r="19" spans="1:10" s="266" customFormat="1" ht="22.5" customHeight="1" thickBot="1">
      <c r="A19" s="123">
        <v>2008</v>
      </c>
      <c r="B19" s="124">
        <v>3398.253929</v>
      </c>
      <c r="C19" s="659">
        <v>0.47648657864613625</v>
      </c>
      <c r="D19" s="134">
        <v>2249481</v>
      </c>
      <c r="E19" s="659">
        <v>0.29579460935900997</v>
      </c>
      <c r="F19" s="320">
        <v>1510.6835438930136</v>
      </c>
      <c r="G19" s="135">
        <v>1211669.9745008873</v>
      </c>
      <c r="H19" s="134">
        <v>2804.603564101531</v>
      </c>
    </row>
    <row r="20" spans="1:10" s="266" customFormat="1" ht="22.5" customHeight="1" thickBot="1">
      <c r="A20" s="123">
        <v>2009</v>
      </c>
      <c r="B20" s="124">
        <v>3542.4140867700003</v>
      </c>
      <c r="C20" s="659">
        <v>0.48763624888153639</v>
      </c>
      <c r="D20" s="134">
        <v>2254890</v>
      </c>
      <c r="E20" s="659">
        <v>0.29250672209346623</v>
      </c>
      <c r="F20" s="320">
        <v>1570.991971568458</v>
      </c>
      <c r="G20" s="135">
        <v>1229418</v>
      </c>
      <c r="H20" s="134">
        <v>2881.37483489749</v>
      </c>
    </row>
    <row r="21" spans="1:10" s="266" customFormat="1" ht="22.5" customHeight="1" thickBot="1">
      <c r="A21" s="123">
        <v>2010</v>
      </c>
      <c r="B21" s="124">
        <v>3979.8429310299998</v>
      </c>
      <c r="C21" s="659">
        <v>0.50358678665524759</v>
      </c>
      <c r="D21" s="134">
        <v>2315252</v>
      </c>
      <c r="E21" s="659">
        <v>0.29760312239746117</v>
      </c>
      <c r="F21" s="320">
        <v>1718.9674951279601</v>
      </c>
      <c r="G21" s="135">
        <v>1270592</v>
      </c>
      <c r="H21" s="134">
        <v>3132.2745074972922</v>
      </c>
      <c r="J21" s="1399"/>
    </row>
    <row r="22" spans="1:10" s="266" customFormat="1" ht="22.5" customHeight="1" thickBot="1">
      <c r="A22" s="123">
        <v>2011</v>
      </c>
      <c r="B22" s="124">
        <v>4070.3476851999999</v>
      </c>
      <c r="C22" s="659">
        <v>0.48015848870747058</v>
      </c>
      <c r="D22" s="134">
        <v>2273693</v>
      </c>
      <c r="E22" s="659">
        <v>0.28917199317343922</v>
      </c>
      <c r="F22" s="320">
        <v>1790.1922929788673</v>
      </c>
      <c r="G22" s="135">
        <v>1274390</v>
      </c>
      <c r="H22" s="134">
        <v>3193.957646560315</v>
      </c>
    </row>
    <row r="23" spans="1:10" ht="25.5" customHeight="1" thickBot="1">
      <c r="A23" s="322" t="s">
        <v>2025</v>
      </c>
      <c r="B23" s="127">
        <v>3967.7031699399995</v>
      </c>
      <c r="C23" s="660">
        <v>0.45779670802267358</v>
      </c>
      <c r="D23" s="136">
        <v>2308013.1255999999</v>
      </c>
      <c r="E23" s="660">
        <v>0.29019354159588945</v>
      </c>
      <c r="F23" s="1400">
        <v>1719.0990492779542</v>
      </c>
      <c r="G23" s="137">
        <v>1317820.2429706492</v>
      </c>
      <c r="H23" s="136">
        <v>3010.8075749359764</v>
      </c>
    </row>
    <row r="24" spans="1:10" ht="16.5" customHeight="1">
      <c r="A24" s="1274" t="s">
        <v>1866</v>
      </c>
      <c r="B24" s="130"/>
      <c r="C24" s="130"/>
      <c r="D24" s="130"/>
      <c r="E24" s="130"/>
      <c r="F24" s="130"/>
      <c r="G24" s="130"/>
      <c r="H24" s="130"/>
    </row>
    <row r="25" spans="1:10" ht="10.5" customHeight="1">
      <c r="A25" s="1276"/>
      <c r="B25" s="131"/>
      <c r="C25" s="131"/>
      <c r="D25" s="131"/>
      <c r="E25" s="131"/>
      <c r="F25" s="131"/>
      <c r="G25" s="131"/>
      <c r="H25" s="131"/>
    </row>
    <row r="26" spans="1:10" ht="16.5" customHeight="1">
      <c r="A26" s="1276" t="s">
        <v>2026</v>
      </c>
      <c r="B26" s="131"/>
      <c r="C26" s="131"/>
      <c r="D26" s="131"/>
      <c r="E26" s="131"/>
      <c r="F26" s="131"/>
      <c r="G26" s="131"/>
      <c r="H26" s="131"/>
    </row>
    <row r="27" spans="1:10" ht="12.75" customHeight="1">
      <c r="A27" s="1276"/>
      <c r="B27" s="131"/>
      <c r="C27" s="131"/>
      <c r="D27" s="131"/>
      <c r="E27" s="131"/>
      <c r="F27" s="131"/>
      <c r="G27" s="131"/>
      <c r="H27" s="131"/>
    </row>
    <row r="28" spans="1:10" ht="13.5" customHeight="1">
      <c r="A28" s="787" t="s">
        <v>2027</v>
      </c>
      <c r="B28" s="131"/>
      <c r="C28" s="131"/>
      <c r="D28" s="131"/>
      <c r="E28" s="131"/>
      <c r="F28" s="131"/>
      <c r="G28" s="131"/>
      <c r="H28" s="131"/>
      <c r="J28" s="1401"/>
    </row>
    <row r="29" spans="1:10" ht="13.5" customHeight="1">
      <c r="A29" s="787" t="s">
        <v>2028</v>
      </c>
      <c r="B29" s="131"/>
      <c r="C29" s="131"/>
      <c r="D29" s="131"/>
      <c r="E29" s="131"/>
      <c r="F29" s="131"/>
      <c r="G29" s="131"/>
      <c r="H29" s="131"/>
    </row>
    <row r="30" spans="1:10" ht="13.5" customHeight="1">
      <c r="A30" s="787" t="s">
        <v>2029</v>
      </c>
      <c r="B30" s="131"/>
      <c r="C30" s="131"/>
      <c r="D30" s="131"/>
      <c r="E30" s="131"/>
      <c r="F30" s="131"/>
      <c r="G30" s="131"/>
      <c r="H30" s="131"/>
    </row>
    <row r="31" spans="1:10" ht="13.5" customHeight="1">
      <c r="A31" s="787" t="s">
        <v>2030</v>
      </c>
    </row>
    <row r="32" spans="1:10" ht="13.5" customHeight="1">
      <c r="A32" s="2061" t="s">
        <v>2031</v>
      </c>
      <c r="B32" s="2062"/>
      <c r="C32" s="2062"/>
      <c r="D32" s="2062"/>
      <c r="E32" s="2062"/>
      <c r="F32" s="2062"/>
      <c r="G32" s="2062"/>
      <c r="H32" s="2062"/>
    </row>
    <row r="33" spans="1:1" ht="13.5" customHeight="1">
      <c r="A33" s="787" t="s">
        <v>2032</v>
      </c>
    </row>
    <row r="34" spans="1:1" ht="13.5" customHeight="1">
      <c r="A34" s="787" t="s">
        <v>2033</v>
      </c>
    </row>
    <row r="35" spans="1:1" ht="13.5" customHeight="1">
      <c r="A35" s="787" t="s">
        <v>2034</v>
      </c>
    </row>
    <row r="36" spans="1:1" ht="13.5" customHeight="1">
      <c r="A36" s="3" t="s">
        <v>2035</v>
      </c>
    </row>
    <row r="37" spans="1:1" ht="15" customHeight="1"/>
    <row r="38" spans="1:1" ht="15" customHeight="1">
      <c r="A38" s="1402"/>
    </row>
    <row r="39" spans="1:1" ht="15" customHeight="1">
      <c r="A39" s="1214" t="s">
        <v>395</v>
      </c>
    </row>
    <row r="40" spans="1:1" ht="30" customHeight="1"/>
    <row r="41" spans="1:1" ht="30" customHeight="1"/>
    <row r="42" spans="1:1" ht="30" customHeight="1"/>
    <row r="43" spans="1:1" ht="30" customHeight="1"/>
    <row r="44" spans="1:1" ht="30" customHeight="1"/>
    <row r="45" spans="1:1" ht="30" customHeight="1"/>
    <row r="46" spans="1:1" ht="30" customHeight="1"/>
    <row r="47" spans="1:1" ht="30" customHeight="1"/>
    <row r="48" spans="1:1" ht="30" customHeight="1"/>
    <row r="49" ht="30" customHeight="1"/>
    <row r="50" ht="30" customHeight="1"/>
    <row r="51" ht="30" customHeight="1"/>
  </sheetData>
  <mergeCells count="2">
    <mergeCell ref="A2:G2"/>
    <mergeCell ref="A32:H32"/>
  </mergeCells>
  <pageMargins left="0.59055118110236227" right="0.59055118110236227" top="0.78740157480314965" bottom="0.47244094488188981" header="0.47244094488188981" footer="0.51181102362204722"/>
  <pageSetup paperSize="9" scale="83" orientation="portrait" horizontalDpi="4294967292" verticalDpi="4294967292"/>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E587-0B60-3549-9253-0595C210C1AC}">
  <sheetPr>
    <pageSetUpPr fitToPage="1"/>
  </sheetPr>
  <dimension ref="A1:J45"/>
  <sheetViews>
    <sheetView zoomScaleNormal="100" workbookViewId="0">
      <selection activeCell="K10" sqref="K10"/>
    </sheetView>
  </sheetViews>
  <sheetFormatPr baseColWidth="10" defaultColWidth="11.3984375" defaultRowHeight="13"/>
  <cols>
    <col min="1" max="1" width="10.59765625" style="3" customWidth="1"/>
    <col min="2" max="4" width="13.3984375" style="3" customWidth="1"/>
    <col min="5" max="5" width="15" style="181" customWidth="1"/>
    <col min="6" max="7" width="15" style="283" customWidth="1"/>
    <col min="8" max="8" width="16.59765625" style="3" customWidth="1"/>
    <col min="9" max="9" width="15.59765625" style="336" customWidth="1"/>
    <col min="10" max="10" width="17" style="3" customWidth="1"/>
    <col min="11" max="16384" width="11.3984375" style="3"/>
  </cols>
  <sheetData>
    <row r="1" spans="1:10" s="2" customFormat="1" ht="14" customHeight="1">
      <c r="E1" s="161"/>
      <c r="F1" s="327"/>
      <c r="G1" s="327"/>
      <c r="I1" s="1281"/>
      <c r="J1" s="1281"/>
    </row>
    <row r="2" spans="1:10" s="2" customFormat="1" ht="25.25" customHeight="1">
      <c r="A2" s="139" t="s">
        <v>2007</v>
      </c>
      <c r="E2" s="161"/>
      <c r="F2" s="327"/>
      <c r="G2" s="442"/>
      <c r="H2" s="442">
        <v>2012</v>
      </c>
      <c r="I2" s="1027"/>
      <c r="J2" s="1330"/>
    </row>
    <row r="3" spans="1:10" ht="24" customHeight="1">
      <c r="A3" s="1072" t="s">
        <v>426</v>
      </c>
      <c r="B3" s="2063" t="s">
        <v>1990</v>
      </c>
      <c r="C3" s="2063"/>
      <c r="D3" s="2063"/>
      <c r="E3" s="1392" t="s">
        <v>2008</v>
      </c>
      <c r="F3" s="1393" t="s">
        <v>1936</v>
      </c>
      <c r="G3" s="1392" t="s">
        <v>1936</v>
      </c>
      <c r="H3" s="1209" t="s">
        <v>1936</v>
      </c>
      <c r="I3" s="1030"/>
      <c r="J3" s="1331"/>
    </row>
    <row r="4" spans="1:10" ht="15" customHeight="1">
      <c r="A4" s="112"/>
      <c r="B4" s="426" t="s">
        <v>638</v>
      </c>
      <c r="C4" s="1333" t="s">
        <v>639</v>
      </c>
      <c r="D4" s="619" t="s">
        <v>230</v>
      </c>
      <c r="E4" s="114" t="s">
        <v>2009</v>
      </c>
      <c r="F4" s="619" t="s">
        <v>1939</v>
      </c>
      <c r="G4" s="1333" t="s">
        <v>1940</v>
      </c>
      <c r="H4" s="619" t="s">
        <v>1941</v>
      </c>
      <c r="I4" s="1303"/>
      <c r="J4" s="1332"/>
    </row>
    <row r="5" spans="1:10" ht="15" customHeight="1">
      <c r="A5" s="112"/>
      <c r="B5" s="113"/>
      <c r="C5" s="114"/>
      <c r="D5" s="113"/>
      <c r="E5" s="114"/>
      <c r="F5" s="348" t="s">
        <v>1943</v>
      </c>
      <c r="G5" s="115" t="s">
        <v>1944</v>
      </c>
      <c r="H5" s="348" t="s">
        <v>1945</v>
      </c>
      <c r="I5" s="1303"/>
      <c r="J5" s="1332"/>
    </row>
    <row r="6" spans="1:10" ht="15" customHeight="1">
      <c r="A6" s="112"/>
      <c r="B6" s="113"/>
      <c r="C6" s="114"/>
      <c r="D6" s="113"/>
      <c r="E6" s="114"/>
      <c r="F6" s="348" t="s">
        <v>1462</v>
      </c>
      <c r="G6" s="115"/>
      <c r="H6" s="348" t="s">
        <v>1946</v>
      </c>
      <c r="I6" s="1303"/>
      <c r="J6" s="1332"/>
    </row>
    <row r="7" spans="1:10" ht="24" customHeight="1">
      <c r="A7" s="116"/>
      <c r="B7" s="117"/>
      <c r="C7" s="118"/>
      <c r="D7" s="117"/>
      <c r="E7" s="118"/>
      <c r="F7" s="781"/>
      <c r="G7" s="1394"/>
      <c r="H7" s="781" t="s">
        <v>1947</v>
      </c>
      <c r="I7" s="1303"/>
      <c r="J7" s="1336"/>
    </row>
    <row r="8" spans="1:10" ht="30" customHeight="1" thickBot="1">
      <c r="A8" s="775" t="s">
        <v>434</v>
      </c>
      <c r="B8" s="303">
        <v>192851</v>
      </c>
      <c r="C8" s="304">
        <v>221813</v>
      </c>
      <c r="D8" s="303">
        <v>414664</v>
      </c>
      <c r="E8" s="149">
        <v>0.29757655349594897</v>
      </c>
      <c r="F8" s="320">
        <v>52504</v>
      </c>
      <c r="G8" s="321">
        <v>45491</v>
      </c>
      <c r="H8" s="320"/>
      <c r="I8" s="1303"/>
      <c r="J8" s="1340"/>
    </row>
    <row r="9" spans="1:10" ht="20" customHeight="1" thickBot="1">
      <c r="A9" s="777" t="s">
        <v>1904</v>
      </c>
      <c r="B9" s="303">
        <v>136235</v>
      </c>
      <c r="C9" s="304">
        <v>151449</v>
      </c>
      <c r="D9" s="303">
        <v>287684</v>
      </c>
      <c r="E9" s="149">
        <v>0.29167203168928763</v>
      </c>
      <c r="F9" s="320">
        <v>49042</v>
      </c>
      <c r="G9" s="321">
        <v>37125</v>
      </c>
      <c r="H9" s="320"/>
      <c r="I9" s="1303"/>
      <c r="J9" s="1340"/>
    </row>
    <row r="10" spans="1:10" ht="20" customHeight="1" thickBot="1">
      <c r="A10" s="777" t="s">
        <v>436</v>
      </c>
      <c r="B10" s="303">
        <v>58834</v>
      </c>
      <c r="C10" s="304">
        <v>64810</v>
      </c>
      <c r="D10" s="303">
        <v>123644</v>
      </c>
      <c r="E10" s="149">
        <v>0.32106234858183008</v>
      </c>
      <c r="F10" s="320">
        <v>18469</v>
      </c>
      <c r="G10" s="321">
        <v>8980</v>
      </c>
      <c r="H10" s="320">
        <v>2208</v>
      </c>
      <c r="I10" s="1303"/>
      <c r="J10" s="1340"/>
    </row>
    <row r="11" spans="1:10" ht="20" customHeight="1" thickBot="1">
      <c r="A11" s="777" t="s">
        <v>437</v>
      </c>
      <c r="B11" s="303">
        <v>7179</v>
      </c>
      <c r="C11" s="304">
        <v>7509</v>
      </c>
      <c r="D11" s="303">
        <v>14688</v>
      </c>
      <c r="E11" s="149">
        <v>0.41073825503355704</v>
      </c>
      <c r="F11" s="320">
        <v>1308</v>
      </c>
      <c r="G11" s="321">
        <v>323</v>
      </c>
      <c r="H11" s="320">
        <v>87</v>
      </c>
      <c r="I11" s="1303"/>
      <c r="J11" s="1340"/>
    </row>
    <row r="12" spans="1:10" ht="20" customHeight="1" thickBot="1">
      <c r="A12" s="777" t="s">
        <v>438</v>
      </c>
      <c r="B12" s="303">
        <v>17584</v>
      </c>
      <c r="C12" s="304">
        <v>19507</v>
      </c>
      <c r="D12" s="303">
        <v>37091</v>
      </c>
      <c r="E12" s="149">
        <v>0.2486425248367678</v>
      </c>
      <c r="F12" s="320">
        <v>4226</v>
      </c>
      <c r="G12" s="321">
        <v>1556</v>
      </c>
      <c r="H12" s="320">
        <v>1540</v>
      </c>
      <c r="I12" s="1303"/>
      <c r="J12" s="1340"/>
    </row>
    <row r="13" spans="1:10" ht="20" customHeight="1" thickBot="1">
      <c r="A13" s="777" t="s">
        <v>439</v>
      </c>
      <c r="B13" s="303">
        <v>6033</v>
      </c>
      <c r="C13" s="304">
        <v>6377</v>
      </c>
      <c r="D13" s="303">
        <v>12410</v>
      </c>
      <c r="E13" s="149">
        <v>0.33956275480887627</v>
      </c>
      <c r="F13" s="320">
        <v>1020</v>
      </c>
      <c r="G13" s="321">
        <v>359</v>
      </c>
      <c r="H13" s="320">
        <v>3050</v>
      </c>
      <c r="I13" s="1303"/>
      <c r="J13" s="1340"/>
    </row>
    <row r="14" spans="1:10" ht="20" customHeight="1" thickBot="1">
      <c r="A14" s="777" t="s">
        <v>440</v>
      </c>
      <c r="B14" s="303">
        <v>9152</v>
      </c>
      <c r="C14" s="304">
        <v>9863</v>
      </c>
      <c r="D14" s="303">
        <v>19015</v>
      </c>
      <c r="E14" s="149">
        <v>0.46169721986160012</v>
      </c>
      <c r="F14" s="320">
        <v>840</v>
      </c>
      <c r="G14" s="321">
        <v>456</v>
      </c>
      <c r="H14" s="320">
        <v>1296</v>
      </c>
      <c r="I14" s="1303"/>
      <c r="J14" s="1340"/>
    </row>
    <row r="15" spans="1:10" ht="20" customHeight="1" thickBot="1">
      <c r="A15" s="777" t="s">
        <v>441</v>
      </c>
      <c r="B15" s="303">
        <v>4083.7627839999996</v>
      </c>
      <c r="C15" s="304">
        <v>4659.3628160000007</v>
      </c>
      <c r="D15" s="303">
        <v>8743.1255999999994</v>
      </c>
      <c r="E15" s="149">
        <v>0.22074697906935642</v>
      </c>
      <c r="F15" s="320">
        <v>1365</v>
      </c>
      <c r="G15" s="321">
        <v>626</v>
      </c>
      <c r="H15" s="320">
        <v>1311</v>
      </c>
      <c r="I15" s="1303"/>
      <c r="J15" s="1340"/>
    </row>
    <row r="16" spans="1:10" ht="20" customHeight="1" thickBot="1">
      <c r="A16" s="777" t="s">
        <v>442</v>
      </c>
      <c r="B16" s="303">
        <v>13485</v>
      </c>
      <c r="C16" s="304">
        <v>15722</v>
      </c>
      <c r="D16" s="303">
        <v>29207</v>
      </c>
      <c r="E16" s="149">
        <v>0.25261418970930383</v>
      </c>
      <c r="F16" s="320">
        <v>2408</v>
      </c>
      <c r="G16" s="321">
        <v>1755</v>
      </c>
      <c r="H16" s="320">
        <v>4163</v>
      </c>
      <c r="I16" s="1303"/>
      <c r="J16" s="1340"/>
    </row>
    <row r="17" spans="1:10" ht="20" customHeight="1" thickBot="1">
      <c r="A17" s="777" t="s">
        <v>443</v>
      </c>
      <c r="B17" s="303">
        <v>37749</v>
      </c>
      <c r="C17" s="304">
        <v>46174</v>
      </c>
      <c r="D17" s="303">
        <v>83923</v>
      </c>
      <c r="E17" s="149">
        <v>0.29083782697292726</v>
      </c>
      <c r="F17" s="320">
        <v>11499</v>
      </c>
      <c r="G17" s="321">
        <v>8888</v>
      </c>
      <c r="H17" s="320">
        <v>20387</v>
      </c>
      <c r="I17" s="1303"/>
      <c r="J17" s="1340"/>
    </row>
    <row r="18" spans="1:10" ht="20" customHeight="1" thickBot="1">
      <c r="A18" s="777" t="s">
        <v>444</v>
      </c>
      <c r="B18" s="303">
        <v>35359</v>
      </c>
      <c r="C18" s="304">
        <v>41831</v>
      </c>
      <c r="D18" s="303">
        <v>77190</v>
      </c>
      <c r="E18" s="149">
        <v>0.29729053130235517</v>
      </c>
      <c r="F18" s="320">
        <v>9350</v>
      </c>
      <c r="G18" s="321">
        <v>7924</v>
      </c>
      <c r="H18" s="320"/>
      <c r="I18" s="1303"/>
      <c r="J18" s="1340"/>
    </row>
    <row r="19" spans="1:10" ht="20" customHeight="1" thickBot="1">
      <c r="A19" s="777" t="s">
        <v>445</v>
      </c>
      <c r="B19" s="303">
        <v>23343</v>
      </c>
      <c r="C19" s="304">
        <v>26933</v>
      </c>
      <c r="D19" s="303">
        <v>50276</v>
      </c>
      <c r="E19" s="149">
        <v>0.27891598013924718</v>
      </c>
      <c r="F19" s="320">
        <v>11935</v>
      </c>
      <c r="G19" s="321">
        <v>10051</v>
      </c>
      <c r="H19" s="320"/>
      <c r="I19" s="1303"/>
      <c r="J19" s="1340"/>
    </row>
    <row r="20" spans="1:10" ht="20" customHeight="1" thickBot="1">
      <c r="A20" s="777" t="s">
        <v>446</v>
      </c>
      <c r="B20" s="303">
        <v>27639</v>
      </c>
      <c r="C20" s="304">
        <v>29865</v>
      </c>
      <c r="D20" s="303">
        <v>57504</v>
      </c>
      <c r="E20" s="149">
        <v>0.20906972262922338</v>
      </c>
      <c r="F20" s="320">
        <v>9065</v>
      </c>
      <c r="G20" s="321">
        <v>1371</v>
      </c>
      <c r="H20" s="320"/>
      <c r="I20" s="1303"/>
      <c r="J20" s="1340"/>
    </row>
    <row r="21" spans="1:10" ht="20" customHeight="1" thickBot="1">
      <c r="A21" s="777" t="s">
        <v>447</v>
      </c>
      <c r="B21" s="303">
        <v>10553</v>
      </c>
      <c r="C21" s="304">
        <v>11210</v>
      </c>
      <c r="D21" s="303">
        <v>21763</v>
      </c>
      <c r="E21" s="149">
        <v>0.28128837131150719</v>
      </c>
      <c r="F21" s="320">
        <v>2481</v>
      </c>
      <c r="G21" s="321">
        <v>1630</v>
      </c>
      <c r="H21" s="320"/>
      <c r="I21" s="1303"/>
      <c r="J21" s="1340"/>
    </row>
    <row r="22" spans="1:10" ht="20" customHeight="1" thickBot="1">
      <c r="A22" s="777" t="s">
        <v>448</v>
      </c>
      <c r="B22" s="303">
        <v>6554</v>
      </c>
      <c r="C22" s="304">
        <v>6895</v>
      </c>
      <c r="D22" s="303">
        <v>13449</v>
      </c>
      <c r="E22" s="149">
        <v>0.2481640033952098</v>
      </c>
      <c r="F22" s="320">
        <v>1507</v>
      </c>
      <c r="G22" s="321">
        <v>607</v>
      </c>
      <c r="H22" s="320">
        <v>6709</v>
      </c>
      <c r="I22" s="1303"/>
      <c r="J22" s="1340"/>
    </row>
    <row r="23" spans="1:10" ht="20" customHeight="1" thickBot="1">
      <c r="A23" s="777" t="s">
        <v>449</v>
      </c>
      <c r="B23" s="303">
        <v>3180</v>
      </c>
      <c r="C23" s="304">
        <v>3028</v>
      </c>
      <c r="D23" s="303">
        <v>6208</v>
      </c>
      <c r="E23" s="149">
        <v>0.38955823293172692</v>
      </c>
      <c r="F23" s="320">
        <v>359</v>
      </c>
      <c r="G23" s="321">
        <v>135</v>
      </c>
      <c r="H23" s="320">
        <v>74</v>
      </c>
      <c r="I23" s="1303"/>
      <c r="J23" s="1340"/>
    </row>
    <row r="24" spans="1:10" ht="20" customHeight="1" thickBot="1">
      <c r="A24" s="777" t="s">
        <v>450</v>
      </c>
      <c r="B24" s="303">
        <v>68084</v>
      </c>
      <c r="C24" s="304">
        <v>77557</v>
      </c>
      <c r="D24" s="303">
        <v>145641</v>
      </c>
      <c r="E24" s="149">
        <v>0.29970922395928723</v>
      </c>
      <c r="F24" s="320">
        <v>21718</v>
      </c>
      <c r="G24" s="321">
        <v>18094</v>
      </c>
      <c r="H24" s="320">
        <v>18094</v>
      </c>
      <c r="I24" s="1303"/>
      <c r="J24" s="1340"/>
    </row>
    <row r="25" spans="1:10" ht="20" customHeight="1" thickBot="1">
      <c r="A25" s="777" t="s">
        <v>451</v>
      </c>
      <c r="B25" s="303">
        <v>29636</v>
      </c>
      <c r="C25" s="304">
        <v>34141</v>
      </c>
      <c r="D25" s="303">
        <v>63777</v>
      </c>
      <c r="E25" s="149">
        <v>0.32311620672709124</v>
      </c>
      <c r="F25" s="320">
        <v>6426</v>
      </c>
      <c r="G25" s="321">
        <v>2200</v>
      </c>
      <c r="H25" s="320">
        <v>89</v>
      </c>
      <c r="I25" s="1303"/>
      <c r="J25" s="1340"/>
    </row>
    <row r="26" spans="1:10" ht="20" customHeight="1" thickBot="1">
      <c r="A26" s="777" t="s">
        <v>452</v>
      </c>
      <c r="B26" s="303">
        <v>74816</v>
      </c>
      <c r="C26" s="304">
        <v>84034</v>
      </c>
      <c r="D26" s="303">
        <v>158850</v>
      </c>
      <c r="E26" s="149">
        <v>0.2538460432137532</v>
      </c>
      <c r="F26" s="320">
        <v>21580</v>
      </c>
      <c r="G26" s="321">
        <v>11700</v>
      </c>
      <c r="H26" s="320">
        <v>8041</v>
      </c>
      <c r="I26" s="1303"/>
      <c r="J26" s="1340"/>
    </row>
    <row r="27" spans="1:10" ht="20" customHeight="1" thickBot="1">
      <c r="A27" s="777" t="s">
        <v>453</v>
      </c>
      <c r="B27" s="303">
        <v>45634</v>
      </c>
      <c r="C27" s="304">
        <v>50926</v>
      </c>
      <c r="D27" s="303">
        <v>96560</v>
      </c>
      <c r="E27" s="149">
        <v>0.37920796745157792</v>
      </c>
      <c r="F27" s="320">
        <v>9075</v>
      </c>
      <c r="G27" s="321">
        <v>2936</v>
      </c>
      <c r="H27" s="320"/>
      <c r="I27" s="1303"/>
      <c r="J27" s="1340"/>
    </row>
    <row r="28" spans="1:10" ht="20" customHeight="1" thickBot="1">
      <c r="A28" s="777" t="s">
        <v>454</v>
      </c>
      <c r="B28" s="303">
        <v>59208</v>
      </c>
      <c r="C28" s="304">
        <v>71115</v>
      </c>
      <c r="D28" s="303">
        <v>130323</v>
      </c>
      <c r="E28" s="149">
        <v>0.38663826479601976</v>
      </c>
      <c r="F28" s="320">
        <v>26595</v>
      </c>
      <c r="G28" s="321">
        <v>20266</v>
      </c>
      <c r="H28" s="320"/>
      <c r="I28" s="1303"/>
      <c r="J28" s="1340"/>
    </row>
    <row r="29" spans="1:10" ht="20" customHeight="1" thickBot="1">
      <c r="A29" s="777" t="s">
        <v>455</v>
      </c>
      <c r="B29" s="303">
        <v>81064</v>
      </c>
      <c r="C29" s="304">
        <v>97735</v>
      </c>
      <c r="D29" s="303">
        <v>178799</v>
      </c>
      <c r="E29" s="149">
        <v>0.24938733780317537</v>
      </c>
      <c r="F29" s="320">
        <v>36509</v>
      </c>
      <c r="G29" s="321">
        <v>29921</v>
      </c>
      <c r="H29" s="320">
        <v>15528</v>
      </c>
      <c r="I29" s="1303"/>
      <c r="J29" s="1340"/>
    </row>
    <row r="30" spans="1:10" ht="20" customHeight="1" thickBot="1">
      <c r="A30" s="777" t="s">
        <v>456</v>
      </c>
      <c r="B30" s="303">
        <v>42063.052148731244</v>
      </c>
      <c r="C30" s="304">
        <v>50160.947851268756</v>
      </c>
      <c r="D30" s="303">
        <v>92224</v>
      </c>
      <c r="E30" s="149">
        <v>0.28512510395701357</v>
      </c>
      <c r="F30" s="320">
        <v>9278</v>
      </c>
      <c r="G30" s="321">
        <v>4847</v>
      </c>
      <c r="H30" s="320">
        <v>14125</v>
      </c>
      <c r="I30" s="1303"/>
      <c r="J30" s="1340"/>
    </row>
    <row r="31" spans="1:10" ht="20" customHeight="1" thickBot="1">
      <c r="A31" s="777" t="s">
        <v>457</v>
      </c>
      <c r="B31" s="309">
        <v>21665</v>
      </c>
      <c r="C31" s="310">
        <v>26226</v>
      </c>
      <c r="D31" s="309">
        <v>47891</v>
      </c>
      <c r="E31" s="1395">
        <v>0.27422541098596548</v>
      </c>
      <c r="F31" s="1396">
        <v>10633</v>
      </c>
      <c r="G31" s="1397">
        <v>10491</v>
      </c>
      <c r="H31" s="320"/>
      <c r="I31" s="1303"/>
      <c r="J31" s="1340"/>
    </row>
    <row r="32" spans="1:10" ht="20" customHeight="1" thickBot="1">
      <c r="A32" s="777" t="s">
        <v>458</v>
      </c>
      <c r="B32" s="339">
        <v>51669</v>
      </c>
      <c r="C32" s="340">
        <v>62126</v>
      </c>
      <c r="D32" s="339">
        <v>113795</v>
      </c>
      <c r="E32" s="146">
        <v>0.26626374372041545</v>
      </c>
      <c r="F32" s="132">
        <v>27821</v>
      </c>
      <c r="G32" s="133">
        <v>25260</v>
      </c>
      <c r="H32" s="320"/>
      <c r="I32" s="1303"/>
      <c r="J32" s="1340"/>
    </row>
    <row r="33" spans="1:10" ht="20" customHeight="1" thickBot="1">
      <c r="A33" s="777" t="s">
        <v>459</v>
      </c>
      <c r="B33" s="303">
        <v>9844</v>
      </c>
      <c r="C33" s="304">
        <v>12850</v>
      </c>
      <c r="D33" s="303">
        <v>22694</v>
      </c>
      <c r="E33" s="149">
        <v>0.31848993053119079</v>
      </c>
      <c r="F33" s="320">
        <v>4256</v>
      </c>
      <c r="G33" s="321">
        <v>1521</v>
      </c>
      <c r="H33" s="320"/>
      <c r="I33" s="1303"/>
      <c r="J33" s="1340"/>
    </row>
    <row r="34" spans="1:10" ht="30" customHeight="1" thickBot="1">
      <c r="A34" s="1268" t="s">
        <v>1905</v>
      </c>
      <c r="B34" s="323">
        <v>1073496.8149327312</v>
      </c>
      <c r="C34" s="324">
        <v>1234516.3106672687</v>
      </c>
      <c r="D34" s="323">
        <v>2308013.1255999999</v>
      </c>
      <c r="E34" s="152">
        <v>0.29019354159588945</v>
      </c>
      <c r="F34" s="1398">
        <v>351269</v>
      </c>
      <c r="G34" s="173">
        <v>254513</v>
      </c>
      <c r="H34" s="353">
        <v>96702</v>
      </c>
      <c r="I34" s="190"/>
      <c r="J34" s="1349"/>
    </row>
    <row r="35" spans="1:10" ht="20" customHeight="1">
      <c r="A35" s="1274" t="s">
        <v>1866</v>
      </c>
      <c r="B35" s="354"/>
      <c r="C35" s="354"/>
      <c r="D35" s="354"/>
      <c r="E35" s="1275"/>
      <c r="F35" s="354"/>
      <c r="G35" s="354"/>
    </row>
    <row r="36" spans="1:10" ht="14.25" customHeight="1">
      <c r="A36" s="1276"/>
      <c r="B36" s="357"/>
      <c r="C36" s="357"/>
      <c r="D36" s="357"/>
      <c r="E36" s="1277"/>
      <c r="F36" s="357"/>
      <c r="G36" s="357"/>
    </row>
    <row r="37" spans="1:10" ht="20" customHeight="1">
      <c r="A37" s="1276" t="s">
        <v>2010</v>
      </c>
      <c r="B37" s="357"/>
      <c r="C37" s="357"/>
      <c r="D37" s="357"/>
      <c r="E37" s="1277"/>
      <c r="F37" s="357"/>
      <c r="G37" s="357"/>
    </row>
    <row r="38" spans="1:10" ht="15.75" customHeight="1">
      <c r="A38" s="1276"/>
      <c r="B38" s="357"/>
      <c r="C38" s="357"/>
      <c r="D38" s="357"/>
      <c r="E38" s="1277"/>
      <c r="F38" s="357"/>
      <c r="G38" s="357"/>
    </row>
    <row r="39" spans="1:10" ht="12.75" customHeight="1">
      <c r="A39" s="131" t="s">
        <v>2011</v>
      </c>
      <c r="B39" s="357"/>
      <c r="C39" s="357"/>
      <c r="D39" s="357"/>
      <c r="E39" s="1277"/>
      <c r="F39" s="357"/>
      <c r="G39" s="357"/>
    </row>
    <row r="40" spans="1:10" ht="12.75" customHeight="1">
      <c r="A40" s="131" t="s">
        <v>2012</v>
      </c>
      <c r="B40" s="357"/>
      <c r="C40" s="357"/>
      <c r="D40" s="357"/>
      <c r="E40" s="1277"/>
      <c r="F40" s="357"/>
      <c r="G40" s="357"/>
    </row>
    <row r="41" spans="1:10" ht="12.75" customHeight="1">
      <c r="A41" s="131" t="s">
        <v>2013</v>
      </c>
      <c r="B41" s="357"/>
      <c r="C41" s="357"/>
      <c r="D41" s="357"/>
      <c r="E41" s="1277"/>
      <c r="F41" s="357"/>
      <c r="G41" s="357"/>
    </row>
    <row r="42" spans="1:10" ht="12.75" customHeight="1">
      <c r="A42" s="131" t="s">
        <v>1910</v>
      </c>
      <c r="B42" s="357"/>
      <c r="C42" s="357"/>
      <c r="D42" s="357"/>
      <c r="E42" s="1277"/>
      <c r="F42" s="357"/>
      <c r="G42" s="357"/>
    </row>
    <row r="43" spans="1:10" ht="12.75" customHeight="1">
      <c r="A43" s="131"/>
      <c r="B43" s="357"/>
      <c r="C43" s="357"/>
      <c r="D43" s="357"/>
      <c r="E43" s="1277"/>
      <c r="F43" s="357"/>
      <c r="G43" s="357"/>
      <c r="H43" s="131"/>
    </row>
    <row r="45" spans="1:10">
      <c r="A45" s="3" t="s">
        <v>395</v>
      </c>
    </row>
  </sheetData>
  <mergeCells count="1">
    <mergeCell ref="B3:D3"/>
  </mergeCells>
  <pageMargins left="0.67" right="0.64" top="0.78740157480314965" bottom="0.47244094488188981" header="0.47244094488188981" footer="0.51181102362204722"/>
  <pageSetup paperSize="9" scale="79" orientation="portrait" horizontalDpi="1200" verticalDpi="12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3702-3B10-7149-829C-D49272F7E0DA}">
  <sheetPr>
    <pageSetUpPr fitToPage="1"/>
  </sheetPr>
  <dimension ref="A1:K34"/>
  <sheetViews>
    <sheetView zoomScaleNormal="100" workbookViewId="0">
      <selection activeCell="E30" sqref="E30"/>
    </sheetView>
  </sheetViews>
  <sheetFormatPr baseColWidth="10" defaultColWidth="11.3984375" defaultRowHeight="13"/>
  <cols>
    <col min="1" max="1" width="15.59765625" style="3" customWidth="1"/>
    <col min="2" max="4" width="17.19921875" style="3" customWidth="1"/>
    <col min="5" max="5" width="20.19921875" style="181" customWidth="1"/>
    <col min="6" max="6" width="19.59765625" style="3" customWidth="1"/>
    <col min="7" max="16384" width="11.3984375" style="3"/>
  </cols>
  <sheetData>
    <row r="1" spans="1:11" s="2" customFormat="1" ht="14" customHeight="1">
      <c r="E1" s="161"/>
    </row>
    <row r="2" spans="1:11" s="2" customFormat="1" ht="25.25" customHeight="1">
      <c r="A2" s="139" t="s">
        <v>1989</v>
      </c>
      <c r="E2" s="442"/>
      <c r="F2" s="140">
        <v>2012</v>
      </c>
    </row>
    <row r="3" spans="1:11" ht="24" customHeight="1">
      <c r="A3" s="1072" t="s">
        <v>637</v>
      </c>
      <c r="B3" s="2063" t="s">
        <v>1990</v>
      </c>
      <c r="C3" s="2063"/>
      <c r="D3" s="2063"/>
      <c r="E3" s="1387" t="s">
        <v>1991</v>
      </c>
      <c r="F3" s="619" t="s">
        <v>1992</v>
      </c>
    </row>
    <row r="4" spans="1:11" ht="15" customHeight="1">
      <c r="A4" s="156"/>
      <c r="B4" s="426" t="s">
        <v>638</v>
      </c>
      <c r="C4" s="427" t="s">
        <v>639</v>
      </c>
      <c r="D4" s="426" t="s">
        <v>230</v>
      </c>
      <c r="E4" s="771" t="s">
        <v>1993</v>
      </c>
      <c r="F4" s="619" t="s">
        <v>1994</v>
      </c>
    </row>
    <row r="5" spans="1:11" ht="24" customHeight="1">
      <c r="A5" s="168"/>
      <c r="B5" s="443"/>
      <c r="C5" s="444"/>
      <c r="D5" s="443"/>
      <c r="E5" s="168"/>
      <c r="F5" s="330" t="s">
        <v>1995</v>
      </c>
    </row>
    <row r="6" spans="1:11" ht="25.5" customHeight="1" thickBot="1">
      <c r="A6" s="1217" t="s">
        <v>1996</v>
      </c>
      <c r="B6" s="339">
        <v>343733.19281622418</v>
      </c>
      <c r="C6" s="340">
        <v>323155.36718377587</v>
      </c>
      <c r="D6" s="339">
        <v>666888.56000000006</v>
      </c>
      <c r="E6" s="566">
        <v>0.44197315789797381</v>
      </c>
      <c r="F6" s="1388">
        <v>436.29320773990423</v>
      </c>
      <c r="G6" s="306"/>
      <c r="H6" s="306"/>
      <c r="I6" s="306"/>
    </row>
    <row r="7" spans="1:11" ht="20" customHeight="1" thickBot="1">
      <c r="A7" s="307" t="s">
        <v>1997</v>
      </c>
      <c r="B7" s="339">
        <v>144997.64538436773</v>
      </c>
      <c r="C7" s="340">
        <v>151107.92261563224</v>
      </c>
      <c r="D7" s="317">
        <v>296105.56799999997</v>
      </c>
      <c r="E7" s="566">
        <v>0.44278299716552433</v>
      </c>
      <c r="F7" s="1389">
        <v>522.63657327188707</v>
      </c>
      <c r="G7" s="306"/>
      <c r="H7" s="306"/>
      <c r="I7" s="1390"/>
    </row>
    <row r="8" spans="1:11" ht="20" customHeight="1" thickBot="1">
      <c r="A8" s="307" t="s">
        <v>651</v>
      </c>
      <c r="B8" s="339">
        <v>72943.757222580141</v>
      </c>
      <c r="C8" s="340">
        <v>88884.346777419865</v>
      </c>
      <c r="D8" s="317">
        <v>161828.10399999999</v>
      </c>
      <c r="E8" s="566">
        <v>0.30416329491855459</v>
      </c>
      <c r="F8" s="1389">
        <v>280.31148494348895</v>
      </c>
      <c r="G8" s="306"/>
      <c r="H8" s="306"/>
      <c r="I8" s="1390"/>
    </row>
    <row r="9" spans="1:11" ht="20" customHeight="1" thickBot="1">
      <c r="A9" s="307" t="s">
        <v>652</v>
      </c>
      <c r="B9" s="339">
        <v>62716.304544516133</v>
      </c>
      <c r="C9" s="340">
        <v>80769.639455483863</v>
      </c>
      <c r="D9" s="317">
        <v>143485.94400000002</v>
      </c>
      <c r="E9" s="566">
        <v>0.260418743906217</v>
      </c>
      <c r="F9" s="1389">
        <v>244.63703279556631</v>
      </c>
      <c r="G9" s="306"/>
      <c r="H9" s="306"/>
      <c r="I9" s="1390"/>
    </row>
    <row r="10" spans="1:11" ht="20" customHeight="1" thickBot="1">
      <c r="A10" s="307" t="s">
        <v>653</v>
      </c>
      <c r="B10" s="339">
        <v>64200.597456142968</v>
      </c>
      <c r="C10" s="340">
        <v>83195.858543857044</v>
      </c>
      <c r="D10" s="317">
        <v>147396.45600000001</v>
      </c>
      <c r="E10" s="566">
        <v>0.26514924258765477</v>
      </c>
      <c r="F10" s="1389">
        <v>251.1725913345937</v>
      </c>
      <c r="G10" s="306"/>
      <c r="H10" s="306"/>
      <c r="I10" s="1390"/>
    </row>
    <row r="11" spans="1:11" ht="20" customHeight="1" thickBot="1">
      <c r="A11" s="307" t="s">
        <v>654</v>
      </c>
      <c r="B11" s="339">
        <v>70997.522779641498</v>
      </c>
      <c r="C11" s="340">
        <v>87797.266820358505</v>
      </c>
      <c r="D11" s="317">
        <v>158794.78959999999</v>
      </c>
      <c r="E11" s="566">
        <v>0.25411969808181023</v>
      </c>
      <c r="F11" s="1389">
        <v>271.98977439160382</v>
      </c>
      <c r="G11" s="306"/>
      <c r="H11" s="306"/>
      <c r="I11" s="1390"/>
    </row>
    <row r="12" spans="1:11" ht="20" customHeight="1" thickBot="1">
      <c r="A12" s="307" t="s">
        <v>655</v>
      </c>
      <c r="B12" s="339">
        <v>67688.621701283555</v>
      </c>
      <c r="C12" s="340">
        <v>77316.298298716443</v>
      </c>
      <c r="D12" s="317">
        <v>145004.91999999998</v>
      </c>
      <c r="E12" s="566">
        <v>0.2196736898961742</v>
      </c>
      <c r="F12" s="1389">
        <v>260.04379254727968</v>
      </c>
      <c r="G12" s="306"/>
      <c r="H12" s="306"/>
      <c r="I12" s="1390"/>
    </row>
    <row r="13" spans="1:11" ht="20" customHeight="1" thickBot="1">
      <c r="A13" s="307" t="s">
        <v>656</v>
      </c>
      <c r="B13" s="339">
        <v>51076.228040717018</v>
      </c>
      <c r="C13" s="340">
        <v>54996.019959282989</v>
      </c>
      <c r="D13" s="317">
        <v>106072.24799999999</v>
      </c>
      <c r="E13" s="566">
        <v>0.18331451261269402</v>
      </c>
      <c r="F13" s="1389">
        <v>206.36524019165566</v>
      </c>
      <c r="G13" s="306"/>
      <c r="H13" s="306"/>
      <c r="I13" s="1390"/>
    </row>
    <row r="14" spans="1:11" ht="20" customHeight="1" thickBot="1">
      <c r="A14" s="307" t="s">
        <v>657</v>
      </c>
      <c r="B14" s="339">
        <v>38973.107319311661</v>
      </c>
      <c r="C14" s="340">
        <v>42126.164680688336</v>
      </c>
      <c r="D14" s="317">
        <v>81099.271999999997</v>
      </c>
      <c r="E14" s="566">
        <v>0.16390607487244163</v>
      </c>
      <c r="F14" s="1389">
        <v>173.46567998068713</v>
      </c>
      <c r="G14" s="306"/>
      <c r="H14" s="306"/>
      <c r="I14" s="1390"/>
    </row>
    <row r="15" spans="1:11" ht="20" customHeight="1" thickBot="1">
      <c r="A15" s="307" t="s">
        <v>658</v>
      </c>
      <c r="B15" s="339">
        <v>33476.196505050502</v>
      </c>
      <c r="C15" s="340">
        <v>39726.283494949501</v>
      </c>
      <c r="D15" s="317">
        <v>73202.48</v>
      </c>
      <c r="E15" s="566">
        <v>0.16225669607041115</v>
      </c>
      <c r="F15" s="1389">
        <v>165.37864695609278</v>
      </c>
      <c r="G15" s="306"/>
      <c r="H15" s="306"/>
      <c r="I15" s="1390"/>
    </row>
    <row r="16" spans="1:11" ht="20" customHeight="1" thickBot="1">
      <c r="A16" s="307" t="s">
        <v>659</v>
      </c>
      <c r="B16" s="339">
        <v>29548.353492134829</v>
      </c>
      <c r="C16" s="340">
        <v>36791.406507865162</v>
      </c>
      <c r="D16" s="317">
        <v>66339.759999999995</v>
      </c>
      <c r="E16" s="566">
        <v>0.16379413575368312</v>
      </c>
      <c r="F16" s="1389">
        <v>160.65387413455016</v>
      </c>
      <c r="G16" s="306"/>
      <c r="H16" s="306"/>
      <c r="I16" s="1390"/>
      <c r="K16" s="1391"/>
    </row>
    <row r="17" spans="1:9" ht="20" customHeight="1" thickBot="1">
      <c r="A17" s="307" t="s">
        <v>660</v>
      </c>
      <c r="B17" s="339">
        <v>25350.960807255367</v>
      </c>
      <c r="C17" s="340">
        <v>36931.823192744632</v>
      </c>
      <c r="D17" s="317">
        <v>62282.784</v>
      </c>
      <c r="E17" s="566">
        <v>0.20299828228367681</v>
      </c>
      <c r="F17" s="1389">
        <v>150.29808958948183</v>
      </c>
      <c r="G17" s="306"/>
      <c r="H17" s="306"/>
      <c r="I17" s="1390"/>
    </row>
    <row r="18" spans="1:9" ht="20" customHeight="1" thickBot="1">
      <c r="A18" s="307" t="s">
        <v>661</v>
      </c>
      <c r="B18" s="339">
        <v>22790.445156984926</v>
      </c>
      <c r="C18" s="340">
        <v>37246.338843015074</v>
      </c>
      <c r="D18" s="317">
        <v>60036.784</v>
      </c>
      <c r="E18" s="566">
        <v>0.23650646894023905</v>
      </c>
      <c r="F18" s="1389">
        <v>148.85286774736872</v>
      </c>
      <c r="G18" s="306"/>
      <c r="H18" s="306"/>
      <c r="I18" s="1390"/>
    </row>
    <row r="19" spans="1:9" ht="20" customHeight="1" thickBot="1">
      <c r="A19" s="307" t="s">
        <v>662</v>
      </c>
      <c r="B19" s="339">
        <v>16729.010491145218</v>
      </c>
      <c r="C19" s="340">
        <v>33955.589508854784</v>
      </c>
      <c r="D19" s="317">
        <v>50684.6</v>
      </c>
      <c r="E19" s="566">
        <v>0.2654494946207101</v>
      </c>
      <c r="F19" s="1389">
        <v>129.25934577319867</v>
      </c>
      <c r="G19" s="306"/>
      <c r="H19" s="306"/>
      <c r="I19" s="1390"/>
    </row>
    <row r="20" spans="1:9" ht="20" customHeight="1" thickBot="1">
      <c r="A20" s="307" t="s">
        <v>663</v>
      </c>
      <c r="B20" s="339">
        <v>9637.6844772052409</v>
      </c>
      <c r="C20" s="340">
        <v>26519.21952279476</v>
      </c>
      <c r="D20" s="317">
        <v>36156.904000000002</v>
      </c>
      <c r="E20" s="566">
        <v>0.31208540271613505</v>
      </c>
      <c r="F20" s="1389">
        <v>102.47634128497985</v>
      </c>
      <c r="G20" s="306"/>
      <c r="H20" s="306"/>
      <c r="I20" s="1390"/>
    </row>
    <row r="21" spans="1:9" ht="20" customHeight="1" thickBot="1">
      <c r="A21" s="307" t="s">
        <v>1998</v>
      </c>
      <c r="B21" s="339">
        <v>4442.1867381703469</v>
      </c>
      <c r="C21" s="340">
        <v>17716.765261829652</v>
      </c>
      <c r="D21" s="317">
        <v>22158.952000000001</v>
      </c>
      <c r="E21" s="566">
        <v>0.40453561368819019</v>
      </c>
      <c r="F21" s="1389">
        <v>66.996105461118233</v>
      </c>
      <c r="G21" s="306"/>
      <c r="H21" s="306"/>
      <c r="I21" s="1390"/>
    </row>
    <row r="22" spans="1:9" ht="20" customHeight="1" thickBot="1">
      <c r="A22" s="307" t="s">
        <v>1999</v>
      </c>
      <c r="B22" s="339">
        <v>14195</v>
      </c>
      <c r="C22" s="340">
        <v>16280</v>
      </c>
      <c r="D22" s="317">
        <v>30475</v>
      </c>
      <c r="E22" s="158" t="s">
        <v>29</v>
      </c>
      <c r="F22" s="1389">
        <v>396.87252417999883</v>
      </c>
      <c r="G22" s="306"/>
      <c r="H22" s="306"/>
      <c r="I22" s="1390"/>
    </row>
    <row r="23" spans="1:9" ht="30" customHeight="1" thickBot="1">
      <c r="A23" s="322" t="s">
        <v>2000</v>
      </c>
      <c r="B23" s="136">
        <v>1073496.8149327314</v>
      </c>
      <c r="C23" s="137">
        <v>1234516.3106672682</v>
      </c>
      <c r="D23" s="136">
        <v>2308013.1256000004</v>
      </c>
      <c r="E23" s="568">
        <v>0.29019356202856644</v>
      </c>
      <c r="F23" s="153">
        <v>3967.7031723234554</v>
      </c>
      <c r="G23" s="306"/>
      <c r="H23" s="306"/>
      <c r="I23" s="1390"/>
    </row>
    <row r="24" spans="1:9" ht="20" customHeight="1">
      <c r="A24" s="1274" t="s">
        <v>1866</v>
      </c>
      <c r="B24" s="130"/>
      <c r="C24" s="130"/>
      <c r="D24" s="130"/>
      <c r="E24" s="194"/>
    </row>
    <row r="26" spans="1:9">
      <c r="A26" s="1276" t="s">
        <v>2001</v>
      </c>
    </row>
    <row r="27" spans="1:9">
      <c r="A27" s="1276"/>
    </row>
    <row r="28" spans="1:9">
      <c r="A28" s="1276" t="s">
        <v>2002</v>
      </c>
    </row>
    <row r="29" spans="1:9">
      <c r="A29" s="3" t="s">
        <v>2003</v>
      </c>
      <c r="B29" s="4"/>
      <c r="C29" s="4"/>
      <c r="D29" s="4"/>
    </row>
    <row r="30" spans="1:9">
      <c r="A30" s="3" t="s">
        <v>2004</v>
      </c>
      <c r="B30" s="4"/>
      <c r="C30" s="4"/>
      <c r="D30" s="4"/>
    </row>
    <row r="31" spans="1:9">
      <c r="A31" s="3" t="s">
        <v>2005</v>
      </c>
      <c r="B31" s="4"/>
      <c r="C31" s="4"/>
      <c r="D31" s="4"/>
    </row>
    <row r="32" spans="1:9">
      <c r="A32" s="131" t="s">
        <v>2006</v>
      </c>
    </row>
    <row r="34" spans="1:1">
      <c r="A34" s="3" t="s">
        <v>395</v>
      </c>
    </row>
  </sheetData>
  <mergeCells count="1">
    <mergeCell ref="B3:D3"/>
  </mergeCells>
  <pageMargins left="0.59055118110236227" right="0.59055118110236227" top="0.78740157480314965" bottom="0.47244094488188981" header="0.47244094488188981" footer="0.51181102362204722"/>
  <pageSetup paperSize="9" scale="85" orientation="portrait" horizontalDpi="1200" verticalDpi="12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A66C-3DEC-F345-86D9-96AE073819B8}">
  <sheetPr>
    <pageSetUpPr fitToPage="1"/>
  </sheetPr>
  <dimension ref="A1:O52"/>
  <sheetViews>
    <sheetView zoomScaleNormal="100" workbookViewId="0">
      <selection activeCell="B72" sqref="B72"/>
    </sheetView>
  </sheetViews>
  <sheetFormatPr baseColWidth="10" defaultColWidth="11.3984375" defaultRowHeight="13"/>
  <cols>
    <col min="1" max="1" width="15.3984375" style="3" customWidth="1"/>
    <col min="2" max="10" width="10.59765625" style="3" customWidth="1"/>
    <col min="11" max="11" width="11.59765625" style="138" customWidth="1"/>
    <col min="12" max="12" width="13.3984375" style="3" customWidth="1"/>
    <col min="13" max="16384" width="11.3984375" style="3"/>
  </cols>
  <sheetData>
    <row r="1" spans="1:15" s="2" customFormat="1" ht="14" customHeight="1">
      <c r="K1" s="17"/>
    </row>
    <row r="2" spans="1:15" s="2" customFormat="1" ht="25.25" customHeight="1">
      <c r="A2" s="139" t="s">
        <v>1967</v>
      </c>
      <c r="I2" s="442"/>
      <c r="K2" s="140"/>
      <c r="L2" s="140">
        <v>2012</v>
      </c>
    </row>
    <row r="3" spans="1:15" ht="24" customHeight="1">
      <c r="A3" s="1350" t="s">
        <v>1954</v>
      </c>
      <c r="B3" s="1351" t="s">
        <v>1968</v>
      </c>
      <c r="C3" s="1351"/>
      <c r="D3" s="1351"/>
      <c r="E3" s="1351"/>
      <c r="F3" s="1351"/>
      <c r="G3" s="1352"/>
      <c r="H3" s="1352"/>
      <c r="I3" s="1352"/>
      <c r="J3" s="1353"/>
      <c r="K3" s="1354" t="s">
        <v>1969</v>
      </c>
      <c r="L3" s="1355" t="s">
        <v>256</v>
      </c>
    </row>
    <row r="4" spans="1:15" ht="15" customHeight="1">
      <c r="A4" s="1356"/>
      <c r="B4" s="1357"/>
      <c r="C4" s="1358"/>
      <c r="D4" s="1358"/>
      <c r="E4" s="1358"/>
      <c r="F4" s="1358"/>
      <c r="G4" s="1358"/>
      <c r="H4" s="1358"/>
      <c r="I4" s="1358"/>
      <c r="J4" s="1359"/>
      <c r="K4" s="1354" t="s">
        <v>1970</v>
      </c>
      <c r="L4" s="300" t="s">
        <v>257</v>
      </c>
    </row>
    <row r="5" spans="1:15" ht="15" customHeight="1">
      <c r="A5" s="1356"/>
      <c r="B5" s="1360"/>
      <c r="C5" s="1361"/>
      <c r="D5" s="1361"/>
      <c r="E5" s="1361"/>
      <c r="F5" s="1361"/>
      <c r="G5" s="1361"/>
      <c r="H5" s="1361"/>
      <c r="I5" s="1361"/>
      <c r="J5" s="1362"/>
      <c r="K5" s="1363"/>
      <c r="L5" s="300" t="s">
        <v>258</v>
      </c>
    </row>
    <row r="6" spans="1:15" ht="18" customHeight="1">
      <c r="A6" s="112"/>
      <c r="B6" s="1364" t="s">
        <v>1971</v>
      </c>
      <c r="C6" s="1365" t="s">
        <v>1971</v>
      </c>
      <c r="D6" s="1364" t="s">
        <v>1971</v>
      </c>
      <c r="E6" s="1365" t="s">
        <v>1971</v>
      </c>
      <c r="F6" s="1364" t="s">
        <v>1972</v>
      </c>
      <c r="G6" s="1365" t="s">
        <v>1972</v>
      </c>
      <c r="H6" s="1364" t="s">
        <v>1972</v>
      </c>
      <c r="I6" s="1365" t="s">
        <v>1972</v>
      </c>
      <c r="J6" s="1366" t="s">
        <v>1964</v>
      </c>
      <c r="K6" s="1363"/>
      <c r="L6" s="300"/>
    </row>
    <row r="7" spans="1:15" ht="15" customHeight="1">
      <c r="A7" s="112"/>
      <c r="B7" s="1367" t="s">
        <v>1973</v>
      </c>
      <c r="C7" s="1368" t="s">
        <v>1974</v>
      </c>
      <c r="D7" s="1367" t="s">
        <v>1975</v>
      </c>
      <c r="E7" s="1368" t="s">
        <v>1974</v>
      </c>
      <c r="F7" s="1367" t="s">
        <v>1976</v>
      </c>
      <c r="G7" s="1368" t="s">
        <v>1977</v>
      </c>
      <c r="H7" s="1367" t="s">
        <v>1978</v>
      </c>
      <c r="I7" s="1368" t="s">
        <v>1977</v>
      </c>
      <c r="J7" s="1369" t="s">
        <v>1979</v>
      </c>
      <c r="K7" s="1354"/>
      <c r="L7" s="300"/>
    </row>
    <row r="8" spans="1:15" ht="15" customHeight="1">
      <c r="A8" s="112"/>
      <c r="B8" s="1370" t="s">
        <v>1980</v>
      </c>
      <c r="C8" s="1371" t="s">
        <v>1981</v>
      </c>
      <c r="D8" s="1369" t="s">
        <v>1982</v>
      </c>
      <c r="E8" s="1372" t="s">
        <v>1983</v>
      </c>
      <c r="F8" s="1369" t="s">
        <v>427</v>
      </c>
      <c r="G8" s="1372" t="s">
        <v>1981</v>
      </c>
      <c r="H8" s="1369" t="s">
        <v>1982</v>
      </c>
      <c r="I8" s="1372" t="s">
        <v>1983</v>
      </c>
      <c r="J8" s="1369" t="s">
        <v>1580</v>
      </c>
      <c r="K8" s="1354"/>
      <c r="L8" s="300"/>
    </row>
    <row r="9" spans="1:15" ht="18" customHeight="1">
      <c r="A9" s="112"/>
      <c r="B9" s="1360"/>
      <c r="C9" s="1373"/>
      <c r="D9" s="1360"/>
      <c r="E9" s="1373" t="s">
        <v>427</v>
      </c>
      <c r="F9" s="1360"/>
      <c r="G9" s="1374"/>
      <c r="H9" s="1360"/>
      <c r="I9" s="1373" t="s">
        <v>427</v>
      </c>
      <c r="J9" s="1375" t="s">
        <v>835</v>
      </c>
      <c r="K9" s="1376"/>
      <c r="L9" s="117"/>
    </row>
    <row r="10" spans="1:15" ht="27" customHeight="1" thickBot="1">
      <c r="A10" s="775" t="s">
        <v>434</v>
      </c>
      <c r="B10" s="132">
        <v>198390</v>
      </c>
      <c r="C10" s="133">
        <v>14778</v>
      </c>
      <c r="D10" s="132">
        <v>7057</v>
      </c>
      <c r="E10" s="133">
        <v>1535</v>
      </c>
      <c r="F10" s="132">
        <v>21446</v>
      </c>
      <c r="G10" s="133">
        <v>12205</v>
      </c>
      <c r="H10" s="132">
        <v>17149</v>
      </c>
      <c r="I10" s="133">
        <v>7348</v>
      </c>
      <c r="J10" s="132"/>
      <c r="K10" s="1377">
        <v>279908</v>
      </c>
      <c r="L10" s="1378">
        <v>-1.1547507221606246E-2</v>
      </c>
      <c r="O10" s="8"/>
    </row>
    <row r="11" spans="1:15" ht="20" customHeight="1" thickBot="1">
      <c r="A11" s="777" t="s">
        <v>1984</v>
      </c>
      <c r="B11" s="132">
        <v>91980</v>
      </c>
      <c r="C11" s="133">
        <v>10348</v>
      </c>
      <c r="D11" s="132">
        <v>6337</v>
      </c>
      <c r="E11" s="133">
        <v>1695</v>
      </c>
      <c r="F11" s="132">
        <v>13674</v>
      </c>
      <c r="G11" s="133">
        <v>7372</v>
      </c>
      <c r="H11" s="132">
        <v>14286</v>
      </c>
      <c r="I11" s="133">
        <v>8035</v>
      </c>
      <c r="J11" s="132">
        <v>2</v>
      </c>
      <c r="K11" s="1377">
        <v>153729</v>
      </c>
      <c r="L11" s="1378">
        <v>0.21499928868374885</v>
      </c>
    </row>
    <row r="12" spans="1:15" ht="20" customHeight="1" thickBot="1">
      <c r="A12" s="777" t="s">
        <v>436</v>
      </c>
      <c r="B12" s="132">
        <v>24482.064000000002</v>
      </c>
      <c r="C12" s="133">
        <v>4246.826</v>
      </c>
      <c r="D12" s="132">
        <v>2706.5924999999997</v>
      </c>
      <c r="E12" s="133">
        <v>770.06749999999988</v>
      </c>
      <c r="F12" s="132">
        <v>5103.0380000000005</v>
      </c>
      <c r="G12" s="133">
        <v>6863.8694999999989</v>
      </c>
      <c r="H12" s="132">
        <v>11488.638500000003</v>
      </c>
      <c r="I12" s="133">
        <v>5810.9054999999998</v>
      </c>
      <c r="J12" s="132"/>
      <c r="K12" s="1377">
        <v>61472.001499999984</v>
      </c>
      <c r="L12" s="1378">
        <v>-2.0803442288700125E-2</v>
      </c>
    </row>
    <row r="13" spans="1:15" ht="20" customHeight="1" thickBot="1">
      <c r="A13" s="777" t="s">
        <v>437</v>
      </c>
      <c r="B13" s="132">
        <v>3622</v>
      </c>
      <c r="C13" s="133">
        <v>134</v>
      </c>
      <c r="D13" s="132">
        <v>80</v>
      </c>
      <c r="E13" s="133">
        <v>82</v>
      </c>
      <c r="F13" s="132">
        <v>1379</v>
      </c>
      <c r="G13" s="133">
        <v>623</v>
      </c>
      <c r="H13" s="132">
        <v>990</v>
      </c>
      <c r="I13" s="133">
        <v>433</v>
      </c>
      <c r="J13" s="132">
        <v>115</v>
      </c>
      <c r="K13" s="1377">
        <v>7458</v>
      </c>
      <c r="L13" s="1378">
        <v>-1.3752975403332424E-2</v>
      </c>
    </row>
    <row r="14" spans="1:15" ht="20" customHeight="1" thickBot="1">
      <c r="A14" s="777" t="s">
        <v>438</v>
      </c>
      <c r="B14" s="132">
        <v>7985</v>
      </c>
      <c r="C14" s="133">
        <v>1061</v>
      </c>
      <c r="D14" s="132">
        <v>791</v>
      </c>
      <c r="E14" s="133">
        <v>427</v>
      </c>
      <c r="F14" s="132">
        <v>1054</v>
      </c>
      <c r="G14" s="133">
        <v>1002</v>
      </c>
      <c r="H14" s="132">
        <v>2196</v>
      </c>
      <c r="I14" s="133">
        <v>733</v>
      </c>
      <c r="J14" s="132">
        <v>4181</v>
      </c>
      <c r="K14" s="1377">
        <v>19430</v>
      </c>
      <c r="L14" s="1378">
        <v>-7.001584300097119E-3</v>
      </c>
    </row>
    <row r="15" spans="1:15" ht="20" customHeight="1" thickBot="1">
      <c r="A15" s="777" t="s">
        <v>439</v>
      </c>
      <c r="B15" s="132">
        <v>4633</v>
      </c>
      <c r="C15" s="133" t="s">
        <v>29</v>
      </c>
      <c r="D15" s="132" t="s">
        <v>29</v>
      </c>
      <c r="E15" s="133" t="s">
        <v>29</v>
      </c>
      <c r="F15" s="132">
        <v>1153</v>
      </c>
      <c r="G15" s="133">
        <v>513</v>
      </c>
      <c r="H15" s="132">
        <v>602</v>
      </c>
      <c r="I15" s="133">
        <v>285</v>
      </c>
      <c r="J15" s="132"/>
      <c r="K15" s="1377">
        <v>7186</v>
      </c>
      <c r="L15" s="1378">
        <v>-0.17761501487754638</v>
      </c>
    </row>
    <row r="16" spans="1:15" ht="20" customHeight="1" thickBot="1">
      <c r="A16" s="777" t="s">
        <v>440</v>
      </c>
      <c r="B16" s="132">
        <v>5101</v>
      </c>
      <c r="C16" s="133">
        <v>352</v>
      </c>
      <c r="D16" s="132">
        <v>174</v>
      </c>
      <c r="E16" s="133">
        <v>34</v>
      </c>
      <c r="F16" s="132">
        <v>1315</v>
      </c>
      <c r="G16" s="133">
        <v>865</v>
      </c>
      <c r="H16" s="132">
        <v>1093</v>
      </c>
      <c r="I16" s="133">
        <v>409</v>
      </c>
      <c r="J16" s="132">
        <v>840</v>
      </c>
      <c r="K16" s="1377">
        <v>10183</v>
      </c>
      <c r="L16" s="1378">
        <v>-1.2750098077677352E-3</v>
      </c>
    </row>
    <row r="17" spans="1:12" ht="20" customHeight="1" thickBot="1">
      <c r="A17" s="777" t="s">
        <v>441</v>
      </c>
      <c r="B17" s="132" t="s">
        <v>29</v>
      </c>
      <c r="C17" s="133" t="s">
        <v>29</v>
      </c>
      <c r="D17" s="132" t="s">
        <v>29</v>
      </c>
      <c r="E17" s="133" t="s">
        <v>29</v>
      </c>
      <c r="F17" s="132" t="s">
        <v>29</v>
      </c>
      <c r="G17" s="133" t="s">
        <v>29</v>
      </c>
      <c r="H17" s="132" t="s">
        <v>29</v>
      </c>
      <c r="I17" s="133" t="s">
        <v>29</v>
      </c>
      <c r="J17" s="132">
        <v>4324</v>
      </c>
      <c r="K17" s="1377">
        <v>4324</v>
      </c>
      <c r="L17" s="1378">
        <v>-0.19881415601259955</v>
      </c>
    </row>
    <row r="18" spans="1:12" ht="20" customHeight="1" thickBot="1">
      <c r="A18" s="777" t="s">
        <v>442</v>
      </c>
      <c r="B18" s="132">
        <v>8469</v>
      </c>
      <c r="C18" s="133">
        <v>691</v>
      </c>
      <c r="D18" s="132">
        <v>396</v>
      </c>
      <c r="E18" s="133">
        <v>96</v>
      </c>
      <c r="F18" s="132">
        <v>2025</v>
      </c>
      <c r="G18" s="133">
        <v>898</v>
      </c>
      <c r="H18" s="132">
        <v>1415</v>
      </c>
      <c r="I18" s="133">
        <v>566</v>
      </c>
      <c r="J18" s="132">
        <v>1975</v>
      </c>
      <c r="K18" s="1377">
        <v>16531</v>
      </c>
      <c r="L18" s="1378">
        <v>6.5148563078420985E-3</v>
      </c>
    </row>
    <row r="19" spans="1:12" ht="20" customHeight="1" thickBot="1">
      <c r="A19" s="777" t="s">
        <v>443</v>
      </c>
      <c r="B19" s="132">
        <v>28420.294532670923</v>
      </c>
      <c r="C19" s="133">
        <v>3111.1427926223409</v>
      </c>
      <c r="D19" s="132">
        <v>2031.4113130622663</v>
      </c>
      <c r="E19" s="133">
        <v>642.30705662634432</v>
      </c>
      <c r="F19" s="132">
        <v>4542.2479889652477</v>
      </c>
      <c r="G19" s="133">
        <v>4540.1991626283216</v>
      </c>
      <c r="H19" s="132">
        <v>3389.7831744442956</v>
      </c>
      <c r="I19" s="133">
        <v>2259.8554496295305</v>
      </c>
      <c r="J19" s="132"/>
      <c r="K19" s="1377">
        <v>48937.241470649278</v>
      </c>
      <c r="L19" s="1378">
        <v>0.15062522561541658</v>
      </c>
    </row>
    <row r="20" spans="1:12" ht="20" customHeight="1" thickBot="1">
      <c r="A20" s="777" t="s">
        <v>444</v>
      </c>
      <c r="B20" s="132">
        <v>22935</v>
      </c>
      <c r="C20" s="133">
        <v>2901</v>
      </c>
      <c r="D20" s="132">
        <v>1564</v>
      </c>
      <c r="E20" s="133">
        <v>419</v>
      </c>
      <c r="F20" s="132">
        <v>4050</v>
      </c>
      <c r="G20" s="133">
        <v>2619</v>
      </c>
      <c r="H20" s="132">
        <v>4033</v>
      </c>
      <c r="I20" s="133">
        <v>1879</v>
      </c>
      <c r="J20" s="132"/>
      <c r="K20" s="1377">
        <v>40400</v>
      </c>
      <c r="L20" s="1378">
        <v>0.24342125511680157</v>
      </c>
    </row>
    <row r="21" spans="1:12" ht="20" customHeight="1" thickBot="1">
      <c r="A21" s="777" t="s">
        <v>445</v>
      </c>
      <c r="B21" s="132">
        <v>21068</v>
      </c>
      <c r="C21" s="133">
        <v>1973</v>
      </c>
      <c r="D21" s="132">
        <v>794</v>
      </c>
      <c r="E21" s="133">
        <v>222</v>
      </c>
      <c r="F21" s="132">
        <v>2799</v>
      </c>
      <c r="G21" s="133">
        <v>1494</v>
      </c>
      <c r="H21" s="132">
        <v>1853</v>
      </c>
      <c r="I21" s="133">
        <v>840</v>
      </c>
      <c r="J21" s="132"/>
      <c r="K21" s="1377">
        <v>31043</v>
      </c>
      <c r="L21" s="1378">
        <v>2.590964671667928E-2</v>
      </c>
    </row>
    <row r="22" spans="1:12" ht="20" customHeight="1" thickBot="1">
      <c r="A22" s="777" t="s">
        <v>446</v>
      </c>
      <c r="B22" s="132">
        <v>21067</v>
      </c>
      <c r="C22" s="133" t="s">
        <v>29</v>
      </c>
      <c r="D22" s="132" t="s">
        <v>29</v>
      </c>
      <c r="E22" s="133" t="s">
        <v>29</v>
      </c>
      <c r="F22" s="132">
        <v>3972</v>
      </c>
      <c r="G22" s="133">
        <v>2631</v>
      </c>
      <c r="H22" s="132">
        <v>3238</v>
      </c>
      <c r="I22" s="133">
        <v>1494</v>
      </c>
      <c r="J22" s="132"/>
      <c r="K22" s="1377">
        <v>32402</v>
      </c>
      <c r="L22" s="1378">
        <v>1.8258382828949538E-2</v>
      </c>
    </row>
    <row r="23" spans="1:12" ht="20" customHeight="1" thickBot="1">
      <c r="A23" s="777" t="s">
        <v>447</v>
      </c>
      <c r="B23" s="132">
        <v>5746</v>
      </c>
      <c r="C23" s="133">
        <v>1124</v>
      </c>
      <c r="D23" s="132" t="s">
        <v>29</v>
      </c>
      <c r="E23" s="133" t="s">
        <v>29</v>
      </c>
      <c r="F23" s="132">
        <v>643</v>
      </c>
      <c r="G23" s="133">
        <v>994</v>
      </c>
      <c r="H23" s="132">
        <v>1080</v>
      </c>
      <c r="I23" s="133">
        <v>510</v>
      </c>
      <c r="J23" s="132">
        <v>2481</v>
      </c>
      <c r="K23" s="1377">
        <v>12578</v>
      </c>
      <c r="L23" s="1378">
        <v>-0.21909728689389707</v>
      </c>
    </row>
    <row r="24" spans="1:12" ht="20" customHeight="1" thickBot="1">
      <c r="A24" s="777" t="s">
        <v>448</v>
      </c>
      <c r="B24" s="132">
        <v>2531</v>
      </c>
      <c r="C24" s="133">
        <v>370</v>
      </c>
      <c r="D24" s="132">
        <v>284</v>
      </c>
      <c r="E24" s="133">
        <v>101</v>
      </c>
      <c r="F24" s="132">
        <v>491</v>
      </c>
      <c r="G24" s="133">
        <v>382</v>
      </c>
      <c r="H24" s="132">
        <v>833</v>
      </c>
      <c r="I24" s="133">
        <v>704</v>
      </c>
      <c r="J24" s="132">
        <v>1500</v>
      </c>
      <c r="K24" s="1377">
        <v>7196</v>
      </c>
      <c r="L24" s="1378">
        <v>5.8235294117647163E-2</v>
      </c>
    </row>
    <row r="25" spans="1:12" ht="20" customHeight="1" thickBot="1">
      <c r="A25" s="777" t="s">
        <v>449</v>
      </c>
      <c r="B25" s="132">
        <v>708</v>
      </c>
      <c r="C25" s="133">
        <v>95</v>
      </c>
      <c r="D25" s="132">
        <v>54</v>
      </c>
      <c r="E25" s="133">
        <v>18</v>
      </c>
      <c r="F25" s="132">
        <v>357</v>
      </c>
      <c r="G25" s="133">
        <v>275</v>
      </c>
      <c r="H25" s="132">
        <v>362</v>
      </c>
      <c r="I25" s="133">
        <v>276</v>
      </c>
      <c r="J25" s="132"/>
      <c r="K25" s="1377">
        <v>2145</v>
      </c>
      <c r="L25" s="1378">
        <v>0</v>
      </c>
    </row>
    <row r="26" spans="1:12" ht="20" customHeight="1" thickBot="1">
      <c r="A26" s="777" t="s">
        <v>450</v>
      </c>
      <c r="B26" s="132">
        <v>33712</v>
      </c>
      <c r="C26" s="133">
        <v>3806</v>
      </c>
      <c r="D26" s="132">
        <v>2341</v>
      </c>
      <c r="E26" s="133">
        <v>882</v>
      </c>
      <c r="F26" s="132">
        <v>7946</v>
      </c>
      <c r="G26" s="133">
        <v>4909</v>
      </c>
      <c r="H26" s="132">
        <v>8219</v>
      </c>
      <c r="I26" s="133">
        <v>5126</v>
      </c>
      <c r="J26" s="132">
        <v>3077</v>
      </c>
      <c r="K26" s="1377">
        <v>70018</v>
      </c>
      <c r="L26" s="1378">
        <v>-3.3327810912303968E-2</v>
      </c>
    </row>
    <row r="27" spans="1:12" ht="20" customHeight="1" thickBot="1">
      <c r="A27" s="777" t="s">
        <v>451</v>
      </c>
      <c r="B27" s="132">
        <v>16525</v>
      </c>
      <c r="C27" s="133">
        <v>1640</v>
      </c>
      <c r="D27" s="132">
        <v>895</v>
      </c>
      <c r="E27" s="133">
        <v>175</v>
      </c>
      <c r="F27" s="132">
        <v>4516</v>
      </c>
      <c r="G27" s="133">
        <v>2507</v>
      </c>
      <c r="H27" s="132">
        <v>3844</v>
      </c>
      <c r="I27" s="133">
        <v>1586</v>
      </c>
      <c r="J27" s="132">
        <v>259</v>
      </c>
      <c r="K27" s="1377">
        <v>31947</v>
      </c>
      <c r="L27" s="1378">
        <v>3.1380145278450344E-2</v>
      </c>
    </row>
    <row r="28" spans="1:12" ht="20" customHeight="1" thickBot="1">
      <c r="A28" s="777" t="s">
        <v>452</v>
      </c>
      <c r="B28" s="132">
        <v>34845</v>
      </c>
      <c r="C28" s="133">
        <v>3148</v>
      </c>
      <c r="D28" s="132">
        <v>2421</v>
      </c>
      <c r="E28" s="133">
        <v>790</v>
      </c>
      <c r="F28" s="132">
        <v>10021</v>
      </c>
      <c r="G28" s="133">
        <v>5920</v>
      </c>
      <c r="H28" s="132">
        <v>11768</v>
      </c>
      <c r="I28" s="133">
        <v>6250</v>
      </c>
      <c r="J28" s="132"/>
      <c r="K28" s="1377">
        <v>75163</v>
      </c>
      <c r="L28" s="1378">
        <v>4.7772387643582048E-2</v>
      </c>
    </row>
    <row r="29" spans="1:12" ht="20" customHeight="1" thickBot="1">
      <c r="A29" s="777" t="s">
        <v>453</v>
      </c>
      <c r="B29" s="132">
        <v>32235</v>
      </c>
      <c r="C29" s="133">
        <v>9273</v>
      </c>
      <c r="D29" s="132">
        <v>8726</v>
      </c>
      <c r="E29" s="133">
        <v>3001</v>
      </c>
      <c r="F29" s="132">
        <v>5369</v>
      </c>
      <c r="G29" s="133">
        <v>1039</v>
      </c>
      <c r="H29" s="132">
        <v>1611</v>
      </c>
      <c r="I29" s="133">
        <v>1118</v>
      </c>
      <c r="J29" s="132">
        <v>504</v>
      </c>
      <c r="K29" s="1377">
        <v>62876</v>
      </c>
      <c r="L29" s="1378">
        <v>9.2109148385527861E-2</v>
      </c>
    </row>
    <row r="30" spans="1:12" ht="20" customHeight="1" thickBot="1">
      <c r="A30" s="777" t="s">
        <v>454</v>
      </c>
      <c r="B30" s="132">
        <v>35100</v>
      </c>
      <c r="C30" s="133">
        <v>4271</v>
      </c>
      <c r="D30" s="132">
        <v>1984</v>
      </c>
      <c r="E30" s="133">
        <v>453</v>
      </c>
      <c r="F30" s="132">
        <v>9609</v>
      </c>
      <c r="G30" s="133">
        <v>5973</v>
      </c>
      <c r="H30" s="132">
        <v>7243</v>
      </c>
      <c r="I30" s="133">
        <v>2546</v>
      </c>
      <c r="J30" s="132"/>
      <c r="K30" s="1377">
        <v>67179</v>
      </c>
      <c r="L30" s="1378">
        <v>-3.951789314155818E-2</v>
      </c>
    </row>
    <row r="31" spans="1:12" ht="20" customHeight="1" thickBot="1">
      <c r="A31" s="777" t="s">
        <v>455</v>
      </c>
      <c r="B31" s="132">
        <v>57159</v>
      </c>
      <c r="C31" s="133">
        <v>6635</v>
      </c>
      <c r="D31" s="132">
        <v>3588</v>
      </c>
      <c r="E31" s="133">
        <v>1001</v>
      </c>
      <c r="F31" s="132">
        <v>9801</v>
      </c>
      <c r="G31" s="133">
        <v>6036</v>
      </c>
      <c r="H31" s="132">
        <v>7342</v>
      </c>
      <c r="I31" s="133">
        <v>3804</v>
      </c>
      <c r="J31" s="132">
        <v>3916</v>
      </c>
      <c r="K31" s="1377">
        <v>99282</v>
      </c>
      <c r="L31" s="1378">
        <v>2.9084953770885935E-2</v>
      </c>
    </row>
    <row r="32" spans="1:12" ht="20" customHeight="1" thickBot="1">
      <c r="A32" s="777" t="s">
        <v>456</v>
      </c>
      <c r="B32" s="132">
        <v>35439</v>
      </c>
      <c r="C32" s="133">
        <v>3089</v>
      </c>
      <c r="D32" s="132">
        <v>1777</v>
      </c>
      <c r="E32" s="133">
        <v>455</v>
      </c>
      <c r="F32" s="132">
        <v>4029</v>
      </c>
      <c r="G32" s="133">
        <v>1784</v>
      </c>
      <c r="H32" s="132">
        <v>3835</v>
      </c>
      <c r="I32" s="133">
        <v>2190</v>
      </c>
      <c r="J32" s="132">
        <v>2443</v>
      </c>
      <c r="K32" s="1377">
        <v>55041</v>
      </c>
      <c r="L32" s="1378">
        <v>3.8411470615979715E-2</v>
      </c>
    </row>
    <row r="33" spans="1:15" ht="20" customHeight="1" thickBot="1">
      <c r="A33" s="777" t="s">
        <v>457</v>
      </c>
      <c r="B33" s="132">
        <v>18794</v>
      </c>
      <c r="C33" s="133">
        <v>1815</v>
      </c>
      <c r="D33" s="132">
        <v>872</v>
      </c>
      <c r="E33" s="133">
        <v>260</v>
      </c>
      <c r="F33" s="132">
        <v>2916</v>
      </c>
      <c r="G33" s="133">
        <v>1552</v>
      </c>
      <c r="H33" s="132">
        <v>1826</v>
      </c>
      <c r="I33" s="133">
        <v>863</v>
      </c>
      <c r="J33" s="132">
        <v>118</v>
      </c>
      <c r="K33" s="1377">
        <v>29016</v>
      </c>
      <c r="L33" s="1378">
        <v>-1.111035375911662E-2</v>
      </c>
    </row>
    <row r="34" spans="1:15" ht="20" customHeight="1" thickBot="1">
      <c r="A34" s="777" t="s">
        <v>458</v>
      </c>
      <c r="B34" s="132">
        <v>47125</v>
      </c>
      <c r="C34" s="133">
        <v>7145</v>
      </c>
      <c r="D34" s="132">
        <v>3750</v>
      </c>
      <c r="E34" s="133">
        <v>1137</v>
      </c>
      <c r="F34" s="132">
        <v>8148</v>
      </c>
      <c r="G34" s="133">
        <v>4978</v>
      </c>
      <c r="H34" s="132">
        <v>4281</v>
      </c>
      <c r="I34" s="133">
        <v>2021</v>
      </c>
      <c r="J34" s="132"/>
      <c r="K34" s="1377">
        <v>78585</v>
      </c>
      <c r="L34" s="1378">
        <v>3.0190608531501573E-2</v>
      </c>
    </row>
    <row r="35" spans="1:15" ht="20" customHeight="1" thickBot="1">
      <c r="A35" s="777" t="s">
        <v>459</v>
      </c>
      <c r="B35" s="132">
        <v>9145</v>
      </c>
      <c r="C35" s="133">
        <v>688</v>
      </c>
      <c r="D35" s="132">
        <v>489</v>
      </c>
      <c r="E35" s="133">
        <v>175</v>
      </c>
      <c r="F35" s="132">
        <v>1303</v>
      </c>
      <c r="G35" s="133">
        <v>284</v>
      </c>
      <c r="H35" s="132">
        <v>572</v>
      </c>
      <c r="I35" s="133">
        <v>581</v>
      </c>
      <c r="J35" s="132">
        <v>554</v>
      </c>
      <c r="K35" s="1377">
        <v>13791</v>
      </c>
      <c r="L35" s="1378">
        <v>-2.2330923011484427E-2</v>
      </c>
    </row>
    <row r="36" spans="1:15" ht="30" customHeight="1" thickBot="1">
      <c r="A36" s="1379" t="s">
        <v>1985</v>
      </c>
      <c r="B36" s="1380">
        <v>767216.35853267089</v>
      </c>
      <c r="C36" s="1381">
        <v>82694.968792622341</v>
      </c>
      <c r="D36" s="1380">
        <v>49112.003813062263</v>
      </c>
      <c r="E36" s="1381">
        <v>14370.374556626344</v>
      </c>
      <c r="F36" s="1380">
        <v>127661.28598896525</v>
      </c>
      <c r="G36" s="1381">
        <v>78259.068662628328</v>
      </c>
      <c r="H36" s="1380">
        <v>114549.4216744443</v>
      </c>
      <c r="I36" s="1381">
        <v>57667.760949629534</v>
      </c>
      <c r="J36" s="372">
        <v>26289</v>
      </c>
      <c r="K36" s="206">
        <v>1317820.2429706492</v>
      </c>
      <c r="L36" s="1382">
        <v>3.4079240240938224E-2</v>
      </c>
      <c r="O36" s="336"/>
    </row>
    <row r="37" spans="1:15" ht="19.5" customHeight="1">
      <c r="A37" s="1274"/>
      <c r="B37" s="354"/>
      <c r="C37" s="354"/>
      <c r="D37" s="354"/>
      <c r="E37" s="354"/>
      <c r="F37" s="354"/>
      <c r="G37" s="354"/>
      <c r="H37" s="354"/>
      <c r="I37" s="354"/>
    </row>
    <row r="38" spans="1:15" ht="63.75" customHeight="1" thickBot="1">
      <c r="A38" s="1383" t="s">
        <v>1986</v>
      </c>
      <c r="B38" s="1384">
        <v>1692.1131924538961</v>
      </c>
      <c r="C38" s="1384">
        <v>188.92602327278885</v>
      </c>
      <c r="D38" s="1384">
        <v>136.70322512065596</v>
      </c>
      <c r="E38" s="1384">
        <v>53.347900435880746</v>
      </c>
      <c r="F38" s="1384">
        <v>432.97387950189795</v>
      </c>
      <c r="G38" s="1384">
        <v>222.33180471536417</v>
      </c>
      <c r="H38" s="1384">
        <v>363.56781613955229</v>
      </c>
      <c r="I38" s="1384">
        <v>260.43328014701808</v>
      </c>
      <c r="J38" s="1384">
        <v>617.30604794999874</v>
      </c>
      <c r="K38" s="1385">
        <v>3967.703169737053</v>
      </c>
      <c r="L38" s="1386" t="s">
        <v>29</v>
      </c>
    </row>
    <row r="39" spans="1:15" ht="19.5" customHeight="1">
      <c r="A39" s="1274" t="s">
        <v>1866</v>
      </c>
      <c r="B39" s="357"/>
      <c r="C39" s="357"/>
      <c r="D39" s="357"/>
      <c r="E39" s="357"/>
      <c r="F39" s="357"/>
      <c r="G39" s="357"/>
      <c r="H39" s="357"/>
      <c r="I39" s="357"/>
    </row>
    <row r="40" spans="1:15" ht="14.25" customHeight="1">
      <c r="A40" s="1276"/>
      <c r="B40" s="357"/>
      <c r="C40" s="357"/>
      <c r="D40" s="357"/>
      <c r="E40" s="357"/>
      <c r="F40" s="357"/>
      <c r="G40" s="357"/>
      <c r="H40" s="357"/>
      <c r="I40" s="357"/>
    </row>
    <row r="41" spans="1:15" ht="14.25" customHeight="1">
      <c r="A41" s="1276" t="s">
        <v>1965</v>
      </c>
      <c r="B41" s="357"/>
      <c r="C41" s="357"/>
      <c r="D41" s="357"/>
      <c r="E41" s="357"/>
      <c r="F41" s="357"/>
      <c r="G41" s="357"/>
      <c r="H41" s="357"/>
      <c r="I41" s="357"/>
    </row>
    <row r="42" spans="1:15" ht="13.5" customHeight="1">
      <c r="A42" s="1276"/>
      <c r="B42" s="357"/>
      <c r="C42" s="357"/>
      <c r="D42" s="357"/>
      <c r="E42" s="357"/>
      <c r="F42" s="357"/>
      <c r="G42" s="357"/>
      <c r="H42" s="357"/>
      <c r="I42" s="357"/>
    </row>
    <row r="43" spans="1:15" ht="11.25" customHeight="1">
      <c r="A43" s="131" t="s">
        <v>1966</v>
      </c>
      <c r="B43" s="357"/>
      <c r="C43" s="357"/>
      <c r="D43" s="357"/>
      <c r="E43" s="357"/>
      <c r="F43" s="357"/>
      <c r="G43" s="357"/>
      <c r="H43" s="357"/>
      <c r="I43" s="357"/>
    </row>
    <row r="44" spans="1:15">
      <c r="A44" s="131" t="s">
        <v>1951</v>
      </c>
    </row>
    <row r="45" spans="1:15">
      <c r="A45" s="131" t="s">
        <v>1987</v>
      </c>
    </row>
    <row r="46" spans="1:15">
      <c r="A46" s="3" t="s">
        <v>1988</v>
      </c>
    </row>
    <row r="47" spans="1:15">
      <c r="A47" s="131"/>
    </row>
    <row r="49" spans="1:1">
      <c r="A49" s="3" t="s">
        <v>395</v>
      </c>
    </row>
    <row r="52" spans="1:1">
      <c r="A52" s="131"/>
    </row>
  </sheetData>
  <pageMargins left="0.59055118110236227" right="0.59055118110236227" top="0.78740157480314965" bottom="0.47244094488188981" header="0.47244094488188981" footer="0.51181102362204722"/>
  <pageSetup paperSize="9" scale="69" orientation="portrait" horizontalDpi="1200" verticalDpi="12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901D-34CE-2B44-AB52-7C35AC23DE90}">
  <sheetPr>
    <pageSetUpPr fitToPage="1"/>
  </sheetPr>
  <dimension ref="A1:O41"/>
  <sheetViews>
    <sheetView zoomScaleNormal="100" workbookViewId="0">
      <selection activeCell="B50" sqref="B50"/>
    </sheetView>
  </sheetViews>
  <sheetFormatPr baseColWidth="10" defaultColWidth="11.3984375" defaultRowHeight="13"/>
  <cols>
    <col min="1" max="1" width="10.59765625" style="3" customWidth="1"/>
    <col min="2" max="9" width="11.59765625" style="3" customWidth="1"/>
    <col min="10" max="10" width="13.59765625" style="3" customWidth="1"/>
    <col min="11" max="11" width="14.3984375" style="3" customWidth="1"/>
    <col min="12" max="16384" width="11.3984375" style="3"/>
  </cols>
  <sheetData>
    <row r="1" spans="1:15" s="2" customFormat="1" ht="14" customHeight="1"/>
    <row r="2" spans="1:15" s="2" customFormat="1" ht="25.25" customHeight="1">
      <c r="A2" s="139" t="s">
        <v>1953</v>
      </c>
      <c r="J2" s="442"/>
      <c r="K2" s="140">
        <v>2012</v>
      </c>
    </row>
    <row r="3" spans="1:15" ht="24" customHeight="1">
      <c r="A3" s="109" t="s">
        <v>1954</v>
      </c>
      <c r="B3" s="1248" t="s">
        <v>1955</v>
      </c>
      <c r="C3" s="556"/>
      <c r="D3" s="556"/>
      <c r="E3" s="556"/>
      <c r="F3" s="556"/>
      <c r="G3" s="556"/>
      <c r="H3" s="556"/>
      <c r="I3" s="556"/>
      <c r="J3" s="556"/>
      <c r="K3" s="361" t="s">
        <v>230</v>
      </c>
    </row>
    <row r="4" spans="1:15" ht="15" customHeight="1">
      <c r="A4" s="112"/>
      <c r="B4" s="113" t="s">
        <v>1956</v>
      </c>
      <c r="C4" s="115" t="s">
        <v>1957</v>
      </c>
      <c r="D4" s="348" t="s">
        <v>1958</v>
      </c>
      <c r="E4" s="115" t="s">
        <v>1959</v>
      </c>
      <c r="F4" s="348" t="s">
        <v>1960</v>
      </c>
      <c r="G4" s="115" t="s">
        <v>1961</v>
      </c>
      <c r="H4" s="348" t="s">
        <v>1962</v>
      </c>
      <c r="I4" s="115" t="s">
        <v>1570</v>
      </c>
      <c r="J4" s="348" t="s">
        <v>1963</v>
      </c>
      <c r="K4" s="361" t="s">
        <v>1964</v>
      </c>
    </row>
    <row r="5" spans="1:15" ht="24" customHeight="1">
      <c r="A5" s="112"/>
      <c r="B5" s="113"/>
      <c r="C5" s="1335">
        <v>1200</v>
      </c>
      <c r="D5" s="781">
        <v>2400</v>
      </c>
      <c r="E5" s="1335">
        <v>3600</v>
      </c>
      <c r="F5" s="781">
        <v>4800</v>
      </c>
      <c r="G5" s="1335">
        <v>6000</v>
      </c>
      <c r="H5" s="781">
        <v>12000</v>
      </c>
      <c r="I5" s="1335">
        <v>12000</v>
      </c>
      <c r="J5" s="781" t="s">
        <v>835</v>
      </c>
      <c r="K5" s="227"/>
    </row>
    <row r="6" spans="1:15" ht="30" customHeight="1" thickBot="1">
      <c r="A6" s="775" t="s">
        <v>434</v>
      </c>
      <c r="B6" s="303">
        <v>31007</v>
      </c>
      <c r="C6" s="304">
        <v>73911</v>
      </c>
      <c r="D6" s="303">
        <v>89357</v>
      </c>
      <c r="E6" s="304">
        <v>24650</v>
      </c>
      <c r="F6" s="303">
        <v>29467</v>
      </c>
      <c r="G6" s="304">
        <v>19567</v>
      </c>
      <c r="H6" s="303">
        <v>9098</v>
      </c>
      <c r="I6" s="304">
        <v>636</v>
      </c>
      <c r="J6" s="303">
        <v>2215</v>
      </c>
      <c r="K6" s="1325">
        <v>279908</v>
      </c>
      <c r="M6" s="8"/>
      <c r="O6" s="8"/>
    </row>
    <row r="7" spans="1:15" ht="20" customHeight="1" thickBot="1">
      <c r="A7" s="777" t="s">
        <v>1904</v>
      </c>
      <c r="B7" s="317">
        <v>27937</v>
      </c>
      <c r="C7" s="318">
        <v>57561</v>
      </c>
      <c r="D7" s="317">
        <v>41679</v>
      </c>
      <c r="E7" s="318">
        <v>14739</v>
      </c>
      <c r="F7" s="317">
        <v>7198</v>
      </c>
      <c r="G7" s="318">
        <v>3191</v>
      </c>
      <c r="H7" s="317">
        <v>1422</v>
      </c>
      <c r="I7" s="318">
        <v>2</v>
      </c>
      <c r="J7" s="303"/>
      <c r="K7" s="1325">
        <v>153729</v>
      </c>
      <c r="M7" s="8"/>
      <c r="O7" s="8"/>
    </row>
    <row r="8" spans="1:15" ht="20" customHeight="1" thickBot="1">
      <c r="A8" s="777" t="s">
        <v>436</v>
      </c>
      <c r="B8" s="317">
        <v>7611.2505000000001</v>
      </c>
      <c r="C8" s="318">
        <v>10895.016000000001</v>
      </c>
      <c r="D8" s="317">
        <v>13069.707999999999</v>
      </c>
      <c r="E8" s="318">
        <v>7698.86</v>
      </c>
      <c r="F8" s="317">
        <v>15731.4895</v>
      </c>
      <c r="G8" s="318">
        <v>2058.768</v>
      </c>
      <c r="H8" s="317">
        <v>4189.0560000000005</v>
      </c>
      <c r="I8" s="318">
        <v>217.8535</v>
      </c>
      <c r="J8" s="303"/>
      <c r="K8" s="1325">
        <v>61472.001499999984</v>
      </c>
      <c r="M8" s="8"/>
      <c r="O8" s="8"/>
    </row>
    <row r="9" spans="1:15" ht="20" customHeight="1" thickBot="1">
      <c r="A9" s="777" t="s">
        <v>437</v>
      </c>
      <c r="B9" s="317">
        <v>1237</v>
      </c>
      <c r="C9" s="318">
        <v>1306</v>
      </c>
      <c r="D9" s="317">
        <v>2290</v>
      </c>
      <c r="E9" s="318">
        <v>1188</v>
      </c>
      <c r="F9" s="317">
        <v>1023</v>
      </c>
      <c r="G9" s="318">
        <v>148</v>
      </c>
      <c r="H9" s="317">
        <v>266</v>
      </c>
      <c r="I9" s="318"/>
      <c r="J9" s="303"/>
      <c r="K9" s="1325">
        <v>7458</v>
      </c>
      <c r="M9" s="8"/>
      <c r="O9" s="8"/>
    </row>
    <row r="10" spans="1:15" ht="20" customHeight="1" thickBot="1">
      <c r="A10" s="777" t="s">
        <v>438</v>
      </c>
      <c r="B10" s="317">
        <v>1760</v>
      </c>
      <c r="C10" s="318">
        <v>2038</v>
      </c>
      <c r="D10" s="317">
        <v>3090</v>
      </c>
      <c r="E10" s="318">
        <v>4136</v>
      </c>
      <c r="F10" s="317">
        <v>2537</v>
      </c>
      <c r="G10" s="318">
        <v>938</v>
      </c>
      <c r="H10" s="317">
        <v>737</v>
      </c>
      <c r="I10" s="318">
        <v>13</v>
      </c>
      <c r="J10" s="317">
        <v>4181</v>
      </c>
      <c r="K10" s="1325">
        <v>19430</v>
      </c>
      <c r="M10" s="8"/>
      <c r="O10" s="8"/>
    </row>
    <row r="11" spans="1:15" ht="20" customHeight="1" thickBot="1">
      <c r="A11" s="777" t="s">
        <v>439</v>
      </c>
      <c r="B11" s="317">
        <v>800</v>
      </c>
      <c r="C11" s="318">
        <v>1213</v>
      </c>
      <c r="D11" s="317">
        <v>1420</v>
      </c>
      <c r="E11" s="318">
        <v>2113</v>
      </c>
      <c r="F11" s="317">
        <v>1078</v>
      </c>
      <c r="G11" s="318">
        <v>258</v>
      </c>
      <c r="H11" s="317">
        <v>304</v>
      </c>
      <c r="I11" s="318"/>
      <c r="J11" s="303"/>
      <c r="K11" s="1325">
        <v>7186</v>
      </c>
      <c r="M11" s="8"/>
      <c r="O11" s="8"/>
    </row>
    <row r="12" spans="1:15" ht="20" customHeight="1" thickBot="1">
      <c r="A12" s="777" t="s">
        <v>440</v>
      </c>
      <c r="B12" s="317">
        <v>1849</v>
      </c>
      <c r="C12" s="318">
        <v>2469</v>
      </c>
      <c r="D12" s="317">
        <v>3193</v>
      </c>
      <c r="E12" s="318">
        <v>1504</v>
      </c>
      <c r="F12" s="317">
        <v>238</v>
      </c>
      <c r="G12" s="318">
        <v>35</v>
      </c>
      <c r="H12" s="317">
        <v>55</v>
      </c>
      <c r="I12" s="318"/>
      <c r="J12" s="317">
        <v>840</v>
      </c>
      <c r="K12" s="1325">
        <v>10183</v>
      </c>
      <c r="M12" s="8"/>
      <c r="O12" s="8"/>
    </row>
    <row r="13" spans="1:15" ht="20" customHeight="1" thickBot="1">
      <c r="A13" s="777" t="s">
        <v>441</v>
      </c>
      <c r="B13" s="317">
        <v>691</v>
      </c>
      <c r="C13" s="318">
        <v>735</v>
      </c>
      <c r="D13" s="317">
        <v>1304</v>
      </c>
      <c r="E13" s="318">
        <v>751</v>
      </c>
      <c r="F13" s="317">
        <v>540</v>
      </c>
      <c r="G13" s="318">
        <v>135</v>
      </c>
      <c r="H13" s="317">
        <v>165</v>
      </c>
      <c r="I13" s="318">
        <v>3</v>
      </c>
      <c r="J13" s="303"/>
      <c r="K13" s="1325">
        <v>4324</v>
      </c>
      <c r="M13" s="8"/>
      <c r="O13" s="8"/>
    </row>
    <row r="14" spans="1:15" ht="20" customHeight="1" thickBot="1">
      <c r="A14" s="777" t="s">
        <v>442</v>
      </c>
      <c r="B14" s="317">
        <v>1716</v>
      </c>
      <c r="C14" s="318">
        <v>2261</v>
      </c>
      <c r="D14" s="317">
        <v>3461</v>
      </c>
      <c r="E14" s="318">
        <v>3295</v>
      </c>
      <c r="F14" s="317">
        <v>1941</v>
      </c>
      <c r="G14" s="318">
        <v>906</v>
      </c>
      <c r="H14" s="317">
        <v>959</v>
      </c>
      <c r="I14" s="318">
        <v>17</v>
      </c>
      <c r="J14" s="317">
        <v>1975</v>
      </c>
      <c r="K14" s="1325">
        <v>16531</v>
      </c>
      <c r="M14" s="8"/>
      <c r="O14" s="8"/>
    </row>
    <row r="15" spans="1:15" ht="20" customHeight="1" thickBot="1">
      <c r="A15" s="777" t="s">
        <v>443</v>
      </c>
      <c r="B15" s="317">
        <v>652.55118831097514</v>
      </c>
      <c r="C15" s="318">
        <v>5080.0649024083596</v>
      </c>
      <c r="D15" s="317">
        <v>9377.4781441109353</v>
      </c>
      <c r="E15" s="318">
        <v>13563.230350451036</v>
      </c>
      <c r="F15" s="317">
        <v>12083.977735190365</v>
      </c>
      <c r="G15" s="318">
        <v>2798.696776241105</v>
      </c>
      <c r="H15" s="317">
        <v>5165.0911953907944</v>
      </c>
      <c r="I15" s="318">
        <v>216.15117854570758</v>
      </c>
      <c r="J15" s="303"/>
      <c r="K15" s="1325">
        <v>48937.241470649278</v>
      </c>
      <c r="M15" s="8"/>
      <c r="O15" s="8"/>
    </row>
    <row r="16" spans="1:15" ht="20" customHeight="1" thickBot="1">
      <c r="A16" s="777" t="s">
        <v>444</v>
      </c>
      <c r="B16" s="317">
        <v>3126</v>
      </c>
      <c r="C16" s="318">
        <v>5712</v>
      </c>
      <c r="D16" s="317">
        <v>9616</v>
      </c>
      <c r="E16" s="318">
        <v>5681</v>
      </c>
      <c r="F16" s="317">
        <v>11776</v>
      </c>
      <c r="G16" s="318">
        <v>1519</v>
      </c>
      <c r="H16" s="317">
        <v>2881</v>
      </c>
      <c r="I16" s="318">
        <v>89</v>
      </c>
      <c r="J16" s="303"/>
      <c r="K16" s="1325">
        <v>40400</v>
      </c>
      <c r="M16" s="8"/>
      <c r="O16" s="8"/>
    </row>
    <row r="17" spans="1:15" ht="20" customHeight="1" thickBot="1">
      <c r="A17" s="777" t="s">
        <v>445</v>
      </c>
      <c r="B17" s="317">
        <v>2233</v>
      </c>
      <c r="C17" s="318">
        <v>1640</v>
      </c>
      <c r="D17" s="317">
        <v>3152</v>
      </c>
      <c r="E17" s="318">
        <v>4558</v>
      </c>
      <c r="F17" s="317">
        <v>3663</v>
      </c>
      <c r="G17" s="318">
        <v>5209</v>
      </c>
      <c r="H17" s="317">
        <v>9298</v>
      </c>
      <c r="I17" s="318">
        <v>1060</v>
      </c>
      <c r="J17" s="317">
        <v>230</v>
      </c>
      <c r="K17" s="1325">
        <v>31043</v>
      </c>
      <c r="M17" s="8"/>
      <c r="O17" s="8"/>
    </row>
    <row r="18" spans="1:15" ht="20" customHeight="1" thickBot="1">
      <c r="A18" s="777" t="s">
        <v>446</v>
      </c>
      <c r="B18" s="134">
        <v>1273</v>
      </c>
      <c r="C18" s="135">
        <v>5259</v>
      </c>
      <c r="D18" s="317">
        <v>18544</v>
      </c>
      <c r="E18" s="318">
        <v>4617</v>
      </c>
      <c r="F18" s="134">
        <v>1475</v>
      </c>
      <c r="G18" s="135">
        <v>728</v>
      </c>
      <c r="H18" s="134">
        <v>500</v>
      </c>
      <c r="I18" s="135">
        <v>6</v>
      </c>
      <c r="J18" s="317"/>
      <c r="K18" s="1325">
        <v>32402</v>
      </c>
      <c r="M18" s="8"/>
      <c r="O18" s="8"/>
    </row>
    <row r="19" spans="1:15" ht="20" customHeight="1" thickBot="1">
      <c r="A19" s="777" t="s">
        <v>447</v>
      </c>
      <c r="B19" s="317">
        <v>814</v>
      </c>
      <c r="C19" s="318">
        <v>1025</v>
      </c>
      <c r="D19" s="317">
        <v>1737</v>
      </c>
      <c r="E19" s="318">
        <v>4089</v>
      </c>
      <c r="F19" s="317">
        <v>1213</v>
      </c>
      <c r="G19" s="318">
        <v>639</v>
      </c>
      <c r="H19" s="317">
        <v>571</v>
      </c>
      <c r="I19" s="318">
        <v>9</v>
      </c>
      <c r="J19" s="317">
        <v>2481</v>
      </c>
      <c r="K19" s="1325">
        <v>12578</v>
      </c>
      <c r="M19" s="8"/>
      <c r="O19" s="8"/>
    </row>
    <row r="20" spans="1:15" ht="20" customHeight="1" thickBot="1">
      <c r="A20" s="777" t="s">
        <v>448</v>
      </c>
      <c r="B20" s="317">
        <v>283</v>
      </c>
      <c r="C20" s="318">
        <v>384</v>
      </c>
      <c r="D20" s="317">
        <v>944</v>
      </c>
      <c r="E20" s="318">
        <v>2137</v>
      </c>
      <c r="F20" s="317">
        <v>578</v>
      </c>
      <c r="G20" s="318">
        <v>382</v>
      </c>
      <c r="H20" s="317">
        <v>957</v>
      </c>
      <c r="I20" s="318">
        <v>31</v>
      </c>
      <c r="J20" s="317">
        <v>1500</v>
      </c>
      <c r="K20" s="1325">
        <v>7196</v>
      </c>
      <c r="M20" s="8"/>
      <c r="O20" s="8"/>
    </row>
    <row r="21" spans="1:15" ht="20" customHeight="1" thickBot="1">
      <c r="A21" s="777" t="s">
        <v>449</v>
      </c>
      <c r="B21" s="317">
        <v>524</v>
      </c>
      <c r="C21" s="318">
        <v>413</v>
      </c>
      <c r="D21" s="317">
        <v>592</v>
      </c>
      <c r="E21" s="318">
        <v>342</v>
      </c>
      <c r="F21" s="317">
        <v>159</v>
      </c>
      <c r="G21" s="318">
        <v>59</v>
      </c>
      <c r="H21" s="317">
        <v>56</v>
      </c>
      <c r="I21" s="318"/>
      <c r="J21" s="303"/>
      <c r="K21" s="1325">
        <v>2145</v>
      </c>
      <c r="M21" s="8"/>
      <c r="O21" s="8"/>
    </row>
    <row r="22" spans="1:15" ht="20" customHeight="1" thickBot="1">
      <c r="A22" s="777" t="s">
        <v>450</v>
      </c>
      <c r="B22" s="317">
        <v>8944</v>
      </c>
      <c r="C22" s="318">
        <v>8117</v>
      </c>
      <c r="D22" s="317">
        <v>12621</v>
      </c>
      <c r="E22" s="318">
        <v>12267</v>
      </c>
      <c r="F22" s="317">
        <v>17872</v>
      </c>
      <c r="G22" s="318">
        <v>2743</v>
      </c>
      <c r="H22" s="317">
        <v>5280</v>
      </c>
      <c r="I22" s="318">
        <v>434</v>
      </c>
      <c r="J22" s="317">
        <v>1740</v>
      </c>
      <c r="K22" s="1325">
        <v>70018</v>
      </c>
      <c r="M22" s="8"/>
      <c r="O22" s="8"/>
    </row>
    <row r="23" spans="1:15" ht="20" customHeight="1" thickBot="1">
      <c r="A23" s="777" t="s">
        <v>451</v>
      </c>
      <c r="B23" s="317">
        <v>3572</v>
      </c>
      <c r="C23" s="318">
        <v>3917</v>
      </c>
      <c r="D23" s="317">
        <v>7903</v>
      </c>
      <c r="E23" s="318">
        <v>9876</v>
      </c>
      <c r="F23" s="317">
        <v>3069</v>
      </c>
      <c r="G23" s="318">
        <v>1847</v>
      </c>
      <c r="H23" s="317">
        <v>1709</v>
      </c>
      <c r="I23" s="318">
        <v>54</v>
      </c>
      <c r="J23" s="303"/>
      <c r="K23" s="1325">
        <v>31947</v>
      </c>
      <c r="M23" s="8"/>
      <c r="O23" s="8"/>
    </row>
    <row r="24" spans="1:15" ht="20" customHeight="1" thickBot="1">
      <c r="A24" s="777" t="s">
        <v>452</v>
      </c>
      <c r="B24" s="317">
        <v>4379</v>
      </c>
      <c r="C24" s="318">
        <v>7471</v>
      </c>
      <c r="D24" s="317">
        <v>16567</v>
      </c>
      <c r="E24" s="318">
        <v>18836</v>
      </c>
      <c r="F24" s="317">
        <v>17461</v>
      </c>
      <c r="G24" s="318">
        <v>3846</v>
      </c>
      <c r="H24" s="317">
        <v>6280</v>
      </c>
      <c r="I24" s="318">
        <v>295</v>
      </c>
      <c r="J24" s="303">
        <v>28</v>
      </c>
      <c r="K24" s="1325">
        <v>75163</v>
      </c>
      <c r="M24" s="8"/>
      <c r="O24" s="8"/>
    </row>
    <row r="25" spans="1:15" ht="20" customHeight="1" thickBot="1">
      <c r="A25" s="777" t="s">
        <v>453</v>
      </c>
      <c r="B25" s="317">
        <v>594</v>
      </c>
      <c r="C25" s="318">
        <v>10229</v>
      </c>
      <c r="D25" s="317">
        <v>36035</v>
      </c>
      <c r="E25" s="318">
        <v>6830</v>
      </c>
      <c r="F25" s="317">
        <v>7187</v>
      </c>
      <c r="G25" s="318">
        <v>820</v>
      </c>
      <c r="H25" s="317">
        <v>1117</v>
      </c>
      <c r="I25" s="318">
        <v>62</v>
      </c>
      <c r="J25" s="317">
        <v>2</v>
      </c>
      <c r="K25" s="1325">
        <v>62876</v>
      </c>
      <c r="M25" s="8"/>
      <c r="O25" s="8"/>
    </row>
    <row r="26" spans="1:15" ht="20" customHeight="1" thickBot="1">
      <c r="A26" s="777" t="s">
        <v>454</v>
      </c>
      <c r="B26" s="317">
        <v>5674</v>
      </c>
      <c r="C26" s="318">
        <v>5292</v>
      </c>
      <c r="D26" s="317">
        <v>9878</v>
      </c>
      <c r="E26" s="318">
        <v>14033</v>
      </c>
      <c r="F26" s="317">
        <v>5045</v>
      </c>
      <c r="G26" s="318">
        <v>17151</v>
      </c>
      <c r="H26" s="317">
        <v>9494</v>
      </c>
      <c r="I26" s="318">
        <v>612</v>
      </c>
      <c r="J26" s="303"/>
      <c r="K26" s="1325">
        <v>67179</v>
      </c>
      <c r="M26" s="8"/>
      <c r="O26" s="8"/>
    </row>
    <row r="27" spans="1:15" ht="20" customHeight="1" thickBot="1">
      <c r="A27" s="777" t="s">
        <v>455</v>
      </c>
      <c r="B27" s="317">
        <v>5348</v>
      </c>
      <c r="C27" s="318">
        <v>7312</v>
      </c>
      <c r="D27" s="317">
        <v>12298</v>
      </c>
      <c r="E27" s="318">
        <v>14194</v>
      </c>
      <c r="F27" s="317">
        <v>22696</v>
      </c>
      <c r="G27" s="318">
        <v>20404</v>
      </c>
      <c r="H27" s="317">
        <v>14925</v>
      </c>
      <c r="I27" s="318">
        <v>1151</v>
      </c>
      <c r="J27" s="317">
        <v>954</v>
      </c>
      <c r="K27" s="1325">
        <v>99282</v>
      </c>
      <c r="M27" s="8"/>
      <c r="O27" s="8"/>
    </row>
    <row r="28" spans="1:15" ht="20" customHeight="1" thickBot="1">
      <c r="A28" s="777" t="s">
        <v>456</v>
      </c>
      <c r="B28" s="317">
        <v>27</v>
      </c>
      <c r="C28" s="318">
        <v>3326</v>
      </c>
      <c r="D28" s="317">
        <v>9999</v>
      </c>
      <c r="E28" s="318">
        <v>21321</v>
      </c>
      <c r="F28" s="317">
        <v>10432</v>
      </c>
      <c r="G28" s="318">
        <v>2123</v>
      </c>
      <c r="H28" s="317">
        <v>5286</v>
      </c>
      <c r="I28" s="318">
        <v>84</v>
      </c>
      <c r="J28" s="317">
        <v>2443</v>
      </c>
      <c r="K28" s="1325">
        <v>55041</v>
      </c>
      <c r="M28" s="8"/>
      <c r="O28" s="8"/>
    </row>
    <row r="29" spans="1:15" ht="20" customHeight="1" thickBot="1">
      <c r="A29" s="777" t="s">
        <v>457</v>
      </c>
      <c r="B29" s="317">
        <v>3083</v>
      </c>
      <c r="C29" s="318">
        <v>3454</v>
      </c>
      <c r="D29" s="317">
        <v>4983</v>
      </c>
      <c r="E29" s="318">
        <v>3403</v>
      </c>
      <c r="F29" s="317">
        <v>9508</v>
      </c>
      <c r="G29" s="318">
        <v>1690</v>
      </c>
      <c r="H29" s="317">
        <v>2748</v>
      </c>
      <c r="I29" s="318">
        <v>147</v>
      </c>
      <c r="J29" s="303"/>
      <c r="K29" s="1325">
        <v>29016</v>
      </c>
      <c r="M29" s="8"/>
      <c r="O29" s="8"/>
    </row>
    <row r="30" spans="1:15" ht="20" customHeight="1" thickBot="1">
      <c r="A30" s="777" t="s">
        <v>458</v>
      </c>
      <c r="B30" s="317">
        <v>9579</v>
      </c>
      <c r="C30" s="318">
        <v>18221</v>
      </c>
      <c r="D30" s="317">
        <v>9693</v>
      </c>
      <c r="E30" s="318">
        <v>8021</v>
      </c>
      <c r="F30" s="317">
        <v>7324</v>
      </c>
      <c r="G30" s="318">
        <v>18777</v>
      </c>
      <c r="H30" s="317">
        <v>6083</v>
      </c>
      <c r="I30" s="318">
        <v>887</v>
      </c>
      <c r="J30" s="303"/>
      <c r="K30" s="1325">
        <v>78585</v>
      </c>
      <c r="M30" s="8"/>
      <c r="O30" s="8"/>
    </row>
    <row r="31" spans="1:15" ht="20" customHeight="1" thickBot="1">
      <c r="A31" s="777" t="s">
        <v>459</v>
      </c>
      <c r="B31" s="317">
        <v>2038</v>
      </c>
      <c r="C31" s="318">
        <v>2181</v>
      </c>
      <c r="D31" s="317">
        <v>2998</v>
      </c>
      <c r="E31" s="318">
        <v>1423</v>
      </c>
      <c r="F31" s="317">
        <v>3573</v>
      </c>
      <c r="G31" s="318">
        <v>485</v>
      </c>
      <c r="H31" s="317">
        <v>987</v>
      </c>
      <c r="I31" s="318">
        <v>106</v>
      </c>
      <c r="J31" s="303"/>
      <c r="K31" s="1325">
        <v>13791</v>
      </c>
      <c r="M31" s="8"/>
      <c r="O31" s="8"/>
    </row>
    <row r="32" spans="1:15" ht="30" customHeight="1" thickBot="1">
      <c r="A32" s="453" t="s">
        <v>1865</v>
      </c>
      <c r="B32" s="452">
        <v>126751.80168831097</v>
      </c>
      <c r="C32" s="453">
        <v>241422.08090240837</v>
      </c>
      <c r="D32" s="452">
        <v>325801.18614411092</v>
      </c>
      <c r="E32" s="453">
        <v>205266.09035045104</v>
      </c>
      <c r="F32" s="452">
        <v>194868.46723519036</v>
      </c>
      <c r="G32" s="453">
        <v>108457.4647762411</v>
      </c>
      <c r="H32" s="452">
        <v>90532.147195390804</v>
      </c>
      <c r="I32" s="495">
        <v>6132.0046785457071</v>
      </c>
      <c r="J32" s="496">
        <v>18589</v>
      </c>
      <c r="K32" s="495">
        <v>1317820.2429706492</v>
      </c>
    </row>
    <row r="33" spans="1:8" ht="20" customHeight="1">
      <c r="A33" s="1274" t="s">
        <v>1866</v>
      </c>
      <c r="B33" s="354"/>
      <c r="C33" s="354"/>
      <c r="D33" s="354"/>
      <c r="E33" s="354"/>
      <c r="F33" s="354"/>
      <c r="G33" s="354"/>
      <c r="H33" s="354"/>
    </row>
    <row r="34" spans="1:8" ht="14.25" customHeight="1">
      <c r="A34" s="1276"/>
      <c r="B34" s="357"/>
      <c r="C34" s="357"/>
      <c r="D34" s="357"/>
      <c r="E34" s="357"/>
      <c r="F34" s="357"/>
      <c r="G34" s="357"/>
      <c r="H34" s="357"/>
    </row>
    <row r="35" spans="1:8" ht="20" customHeight="1">
      <c r="A35" s="1276" t="s">
        <v>1965</v>
      </c>
      <c r="B35" s="357"/>
      <c r="C35" s="357"/>
      <c r="D35" s="357"/>
      <c r="E35" s="357"/>
      <c r="F35" s="357"/>
      <c r="G35" s="357"/>
      <c r="H35" s="357"/>
    </row>
    <row r="36" spans="1:8" ht="13.5" customHeight="1">
      <c r="A36" s="1276"/>
      <c r="B36" s="357"/>
      <c r="C36" s="357"/>
      <c r="D36" s="357"/>
      <c r="E36" s="357"/>
      <c r="F36" s="357"/>
      <c r="G36" s="357"/>
      <c r="H36" s="357"/>
    </row>
    <row r="37" spans="1:8" ht="14.25" customHeight="1">
      <c r="A37" s="131" t="s">
        <v>1966</v>
      </c>
      <c r="B37" s="357"/>
      <c r="C37" s="357"/>
      <c r="D37" s="357"/>
      <c r="E37" s="357"/>
      <c r="F37" s="357"/>
      <c r="G37" s="357"/>
      <c r="H37" s="357"/>
    </row>
    <row r="38" spans="1:8" ht="14.25" customHeight="1">
      <c r="A38" s="131" t="s">
        <v>1930</v>
      </c>
      <c r="B38" s="357"/>
      <c r="C38" s="357"/>
      <c r="D38" s="357"/>
      <c r="E38" s="357"/>
      <c r="F38" s="357"/>
      <c r="G38" s="357"/>
      <c r="H38" s="357"/>
    </row>
    <row r="39" spans="1:8" ht="14.25" customHeight="1">
      <c r="A39" s="131" t="s">
        <v>1910</v>
      </c>
      <c r="B39" s="357"/>
      <c r="C39" s="357"/>
      <c r="D39" s="357"/>
      <c r="E39" s="357"/>
      <c r="F39" s="357"/>
      <c r="G39" s="357"/>
      <c r="H39" s="357"/>
    </row>
    <row r="40" spans="1:8" ht="11.25" customHeight="1">
      <c r="A40" s="131"/>
      <c r="B40" s="357"/>
      <c r="C40" s="357"/>
      <c r="D40" s="357"/>
      <c r="E40" s="357"/>
      <c r="F40" s="357"/>
      <c r="G40" s="357"/>
      <c r="H40" s="357"/>
    </row>
    <row r="41" spans="1:8">
      <c r="A41" s="787" t="s">
        <v>395</v>
      </c>
    </row>
  </sheetData>
  <pageMargins left="0.59055118110236227" right="0.59055118110236227" top="0.78740157480314965" bottom="0.47244094488188981" header="0.47244094488188981" footer="0.51181102362204722"/>
  <pageSetup paperSize="9" scale="70"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C21F-EE13-324B-85F1-630AAF516EEE}">
  <sheetPr>
    <pageSetUpPr fitToPage="1"/>
  </sheetPr>
  <dimension ref="A1:P44"/>
  <sheetViews>
    <sheetView zoomScaleNormal="100" workbookViewId="0">
      <selection activeCell="B59" sqref="B59"/>
    </sheetView>
  </sheetViews>
  <sheetFormatPr baseColWidth="10" defaultColWidth="11.3984375" defaultRowHeight="13"/>
  <cols>
    <col min="1" max="1" width="10.59765625" style="3" customWidth="1"/>
    <col min="2" max="2" width="13.3984375" style="3" customWidth="1"/>
    <col min="3" max="3" width="14" style="3" customWidth="1"/>
    <col min="4" max="4" width="15.59765625" style="3" customWidth="1"/>
    <col min="5" max="5" width="13.3984375" style="283" customWidth="1"/>
    <col min="6" max="6" width="13.796875" style="283" customWidth="1"/>
    <col min="7" max="7" width="14.59765625" style="283" customWidth="1"/>
    <col min="8" max="8" width="14" style="283" customWidth="1"/>
    <col min="9" max="9" width="16.796875" style="3" customWidth="1"/>
    <col min="10" max="10" width="15.59765625" style="336" customWidth="1"/>
    <col min="11" max="11" width="17" style="3" customWidth="1"/>
    <col min="12" max="16384" width="11.3984375" style="3"/>
  </cols>
  <sheetData>
    <row r="1" spans="1:16" s="2" customFormat="1" ht="14" customHeight="1">
      <c r="A1" s="841"/>
      <c r="B1" s="841"/>
      <c r="C1" s="841"/>
      <c r="D1" s="841"/>
      <c r="E1" s="1328"/>
      <c r="F1" s="1328"/>
      <c r="G1" s="1328"/>
      <c r="H1" s="1328"/>
      <c r="I1" s="841"/>
      <c r="J1" s="1281"/>
      <c r="K1" s="1281"/>
    </row>
    <row r="2" spans="1:16" s="2" customFormat="1" ht="25.25" customHeight="1">
      <c r="A2" s="910" t="s">
        <v>1934</v>
      </c>
      <c r="B2" s="1329"/>
      <c r="C2" s="841"/>
      <c r="D2" s="841"/>
      <c r="E2" s="1328"/>
      <c r="F2" s="1328"/>
      <c r="G2" s="1328"/>
      <c r="H2" s="442"/>
      <c r="I2" s="442">
        <v>2012</v>
      </c>
      <c r="J2" s="1027"/>
      <c r="K2" s="1330"/>
    </row>
    <row r="3" spans="1:16" ht="24" customHeight="1">
      <c r="A3" s="109" t="s">
        <v>426</v>
      </c>
      <c r="B3" s="110" t="s">
        <v>427</v>
      </c>
      <c r="C3" s="569" t="s">
        <v>619</v>
      </c>
      <c r="D3" s="556" t="s">
        <v>429</v>
      </c>
      <c r="E3" s="569" t="s">
        <v>1935</v>
      </c>
      <c r="F3" s="397" t="s">
        <v>230</v>
      </c>
      <c r="G3" s="569" t="s">
        <v>1936</v>
      </c>
      <c r="H3" s="556" t="s">
        <v>1936</v>
      </c>
      <c r="I3" s="111" t="s">
        <v>1936</v>
      </c>
      <c r="J3" s="1030"/>
      <c r="K3" s="1331"/>
    </row>
    <row r="4" spans="1:16" ht="15" customHeight="1">
      <c r="A4" s="112"/>
      <c r="B4" s="348" t="s">
        <v>431</v>
      </c>
      <c r="C4" s="114" t="s">
        <v>429</v>
      </c>
      <c r="D4" s="348" t="s">
        <v>1937</v>
      </c>
      <c r="E4" s="115" t="s">
        <v>1938</v>
      </c>
      <c r="F4" s="113"/>
      <c r="G4" s="115" t="s">
        <v>1939</v>
      </c>
      <c r="H4" s="348" t="s">
        <v>1940</v>
      </c>
      <c r="I4" s="115" t="s">
        <v>1941</v>
      </c>
      <c r="J4" s="1303"/>
      <c r="K4" s="1332"/>
    </row>
    <row r="5" spans="1:16" ht="15" customHeight="1">
      <c r="A5" s="112"/>
      <c r="B5" s="113"/>
      <c r="C5" s="115" t="s">
        <v>432</v>
      </c>
      <c r="D5" s="348" t="s">
        <v>1942</v>
      </c>
      <c r="E5" s="115" t="s">
        <v>835</v>
      </c>
      <c r="F5" s="113"/>
      <c r="G5" s="115" t="s">
        <v>1943</v>
      </c>
      <c r="H5" s="348" t="s">
        <v>1944</v>
      </c>
      <c r="I5" s="115" t="s">
        <v>1945</v>
      </c>
      <c r="J5" s="1303"/>
      <c r="K5" s="1332"/>
    </row>
    <row r="6" spans="1:16" ht="15" customHeight="1">
      <c r="A6" s="112"/>
      <c r="B6" s="143"/>
      <c r="C6" s="780"/>
      <c r="D6" s="143"/>
      <c r="E6" s="780"/>
      <c r="F6" s="143"/>
      <c r="G6" s="1333" t="s">
        <v>1462</v>
      </c>
      <c r="H6" s="619"/>
      <c r="I6" s="115" t="s">
        <v>1946</v>
      </c>
      <c r="J6" s="1303"/>
      <c r="K6" s="1332"/>
    </row>
    <row r="7" spans="1:16" ht="24" customHeight="1">
      <c r="A7" s="116"/>
      <c r="B7" s="117"/>
      <c r="C7" s="118"/>
      <c r="D7" s="117"/>
      <c r="E7" s="118"/>
      <c r="F7" s="117"/>
      <c r="G7" s="1333"/>
      <c r="H7" s="1334"/>
      <c r="I7" s="1335" t="s">
        <v>1947</v>
      </c>
      <c r="J7" s="1303"/>
      <c r="K7" s="1336"/>
    </row>
    <row r="8" spans="1:16" ht="30" customHeight="1" thickBot="1">
      <c r="A8" s="775" t="s">
        <v>434</v>
      </c>
      <c r="B8" s="1337">
        <v>91.108056000000005</v>
      </c>
      <c r="C8" s="1338">
        <v>118.533649</v>
      </c>
      <c r="D8" s="1337">
        <v>450.394767</v>
      </c>
      <c r="E8" s="1258"/>
      <c r="F8" s="1339">
        <v>660.036472</v>
      </c>
      <c r="G8" s="1258">
        <v>209.20275899999999</v>
      </c>
      <c r="H8" s="1257">
        <v>78.196957999999995</v>
      </c>
      <c r="I8" s="1258"/>
      <c r="J8" s="1303"/>
      <c r="K8" s="1340"/>
    </row>
    <row r="9" spans="1:16" ht="20" customHeight="1" thickBot="1">
      <c r="A9" s="777" t="s">
        <v>1948</v>
      </c>
      <c r="B9" s="1257">
        <v>51.797435999999998</v>
      </c>
      <c r="C9" s="1338">
        <v>67.973140000000001</v>
      </c>
      <c r="D9" s="1337">
        <v>264.008128</v>
      </c>
      <c r="E9" s="1258"/>
      <c r="F9" s="1339">
        <v>383.77889800000003</v>
      </c>
      <c r="G9" s="1258">
        <v>80.048998650000001</v>
      </c>
      <c r="H9" s="1257">
        <v>59.147000200000001</v>
      </c>
      <c r="I9" s="1258"/>
      <c r="J9" s="1303"/>
      <c r="K9" s="1340"/>
      <c r="P9" s="1341"/>
    </row>
    <row r="10" spans="1:16" ht="20" customHeight="1" thickBot="1">
      <c r="A10" s="777" t="s">
        <v>436</v>
      </c>
      <c r="B10" s="1257">
        <v>38.84862348658617</v>
      </c>
      <c r="C10" s="1338">
        <v>24.587271897213874</v>
      </c>
      <c r="D10" s="1337">
        <v>107.9090731696556</v>
      </c>
      <c r="E10" s="1258"/>
      <c r="F10" s="1339">
        <v>171.34496855345566</v>
      </c>
      <c r="G10" s="1258">
        <v>60.347749</v>
      </c>
      <c r="H10" s="1257">
        <v>23.658537149999997</v>
      </c>
      <c r="I10" s="1258">
        <v>6.5799770000000004</v>
      </c>
      <c r="J10" s="1303"/>
      <c r="K10" s="1340"/>
    </row>
    <row r="11" spans="1:16" ht="20" customHeight="1" thickBot="1">
      <c r="A11" s="777" t="s">
        <v>437</v>
      </c>
      <c r="B11" s="1257" t="s">
        <v>29</v>
      </c>
      <c r="C11" s="1258" t="s">
        <v>29</v>
      </c>
      <c r="D11" s="1257" t="s">
        <v>29</v>
      </c>
      <c r="E11" s="1258">
        <v>15.571536999999999</v>
      </c>
      <c r="F11" s="1339">
        <v>15.571536999999999</v>
      </c>
      <c r="G11" s="1258">
        <v>3.9681739999999999</v>
      </c>
      <c r="H11" s="1257">
        <v>0.90095000000000003</v>
      </c>
      <c r="I11" s="1258">
        <v>0.24267</v>
      </c>
      <c r="J11" s="1303"/>
      <c r="K11" s="1340"/>
    </row>
    <row r="12" spans="1:16" ht="20" customHeight="1" thickBot="1">
      <c r="A12" s="777" t="s">
        <v>438</v>
      </c>
      <c r="B12" s="1257">
        <v>5.9733109000000004</v>
      </c>
      <c r="C12" s="1338">
        <v>7.9526995500000002</v>
      </c>
      <c r="D12" s="1337">
        <v>41.655031550000004</v>
      </c>
      <c r="E12" s="1258"/>
      <c r="F12" s="1339">
        <v>55.581041999999997</v>
      </c>
      <c r="G12" s="1258">
        <v>14.537917999999999</v>
      </c>
      <c r="H12" s="1257">
        <v>3.6254439999999999</v>
      </c>
      <c r="I12" s="1258">
        <v>5.5150550000000003</v>
      </c>
      <c r="J12" s="1303"/>
      <c r="K12" s="1340"/>
    </row>
    <row r="13" spans="1:16" ht="20" customHeight="1" thickBot="1">
      <c r="A13" s="777" t="s">
        <v>439</v>
      </c>
      <c r="B13" s="1257">
        <v>4.9333470000000004</v>
      </c>
      <c r="C13" s="1258">
        <v>4.110608</v>
      </c>
      <c r="D13" s="1257">
        <v>10.112126999999999</v>
      </c>
      <c r="E13" s="1258"/>
      <c r="F13" s="1339">
        <v>19.156082000000001</v>
      </c>
      <c r="G13" s="1258">
        <v>3.6734550000000001</v>
      </c>
      <c r="H13" s="1257">
        <v>0.952206</v>
      </c>
      <c r="I13" s="1258">
        <v>5.5454169999999996</v>
      </c>
      <c r="J13" s="1303"/>
      <c r="K13" s="1340"/>
    </row>
    <row r="14" spans="1:16" ht="20" customHeight="1" thickBot="1">
      <c r="A14" s="777" t="s">
        <v>440</v>
      </c>
      <c r="B14" s="1257">
        <v>2.5485720000000001</v>
      </c>
      <c r="C14" s="1338">
        <v>4.5070800000000002</v>
      </c>
      <c r="D14" s="1337">
        <v>7.3325129999999996</v>
      </c>
      <c r="E14" s="1258">
        <v>3.2684500000000001</v>
      </c>
      <c r="F14" s="1339">
        <v>17.656614999999999</v>
      </c>
      <c r="G14" s="1258">
        <v>3.2684500000000001</v>
      </c>
      <c r="H14" s="1257">
        <v>1.010621</v>
      </c>
      <c r="I14" s="1258">
        <v>4.2790710000000001</v>
      </c>
      <c r="J14" s="1303"/>
      <c r="K14" s="1340"/>
    </row>
    <row r="15" spans="1:16" ht="20" customHeight="1" thickBot="1">
      <c r="A15" s="777" t="s">
        <v>441</v>
      </c>
      <c r="B15" s="1257" t="s">
        <v>29</v>
      </c>
      <c r="C15" s="1258" t="s">
        <v>29</v>
      </c>
      <c r="D15" s="1257" t="s">
        <v>29</v>
      </c>
      <c r="E15" s="1258">
        <v>14.415176000000001</v>
      </c>
      <c r="F15" s="1339">
        <v>14.415176000000001</v>
      </c>
      <c r="G15" s="1258">
        <v>5.4085678499999998</v>
      </c>
      <c r="H15" s="1257">
        <v>1.452521</v>
      </c>
      <c r="I15" s="1258" t="s">
        <v>29</v>
      </c>
      <c r="J15" s="1303"/>
      <c r="K15" s="1340"/>
    </row>
    <row r="16" spans="1:16" ht="20" customHeight="1" thickBot="1">
      <c r="A16" s="777" t="s">
        <v>442</v>
      </c>
      <c r="B16" s="1257">
        <v>3.4737209999999998</v>
      </c>
      <c r="C16" s="1338">
        <v>6.5830380000000002</v>
      </c>
      <c r="D16" s="1337">
        <v>28.672006</v>
      </c>
      <c r="E16" s="1258">
        <v>11.744953000000001</v>
      </c>
      <c r="F16" s="1339">
        <v>50.473717999999998</v>
      </c>
      <c r="G16" s="1258">
        <v>8.8976109999999995</v>
      </c>
      <c r="H16" s="1257">
        <v>4.5637689999999997</v>
      </c>
      <c r="I16" s="1258">
        <v>13.46138</v>
      </c>
      <c r="J16" s="1303"/>
      <c r="K16" s="1340"/>
    </row>
    <row r="17" spans="1:11" ht="20" customHeight="1" thickBot="1">
      <c r="A17" s="777" t="s">
        <v>443</v>
      </c>
      <c r="B17" s="1257">
        <v>13.574756983317677</v>
      </c>
      <c r="C17" s="1338">
        <v>18.886458454673168</v>
      </c>
      <c r="D17" s="1337">
        <v>127.38082156200916</v>
      </c>
      <c r="E17" s="1258"/>
      <c r="F17" s="1339">
        <v>159.842037</v>
      </c>
      <c r="G17" s="1258">
        <v>48.671821000000001</v>
      </c>
      <c r="H17" s="1257">
        <v>21.654976000000001</v>
      </c>
      <c r="I17" s="1258">
        <v>70.326796999999999</v>
      </c>
      <c r="J17" s="1303"/>
      <c r="K17" s="1340"/>
    </row>
    <row r="18" spans="1:11" ht="20" customHeight="1" thickBot="1">
      <c r="A18" s="777" t="s">
        <v>444</v>
      </c>
      <c r="B18" s="1257">
        <v>11.827432999999999</v>
      </c>
      <c r="C18" s="1338">
        <v>14.664061999999999</v>
      </c>
      <c r="D18" s="1337">
        <v>92.555508000000003</v>
      </c>
      <c r="E18" s="1258">
        <v>6.1827800000000002</v>
      </c>
      <c r="F18" s="1339">
        <v>125.229783</v>
      </c>
      <c r="G18" s="1258" t="s">
        <v>29</v>
      </c>
      <c r="H18" s="1257">
        <v>21.530438</v>
      </c>
      <c r="I18" s="1258"/>
      <c r="J18" s="1303"/>
      <c r="K18" s="1340"/>
    </row>
    <row r="19" spans="1:11" ht="20" customHeight="1" thickBot="1">
      <c r="A19" s="777" t="s">
        <v>445</v>
      </c>
      <c r="B19" s="1257" t="s">
        <v>29</v>
      </c>
      <c r="C19" s="1258" t="s">
        <v>29</v>
      </c>
      <c r="D19" s="1257" t="s">
        <v>29</v>
      </c>
      <c r="E19" s="1258">
        <v>141.90687</v>
      </c>
      <c r="F19" s="1339">
        <v>141.90687</v>
      </c>
      <c r="G19" s="1258">
        <v>63.787348999999999</v>
      </c>
      <c r="H19" s="1257">
        <v>31.052879000000001</v>
      </c>
      <c r="I19" s="1258"/>
      <c r="J19" s="1303"/>
      <c r="K19" s="1340"/>
    </row>
    <row r="20" spans="1:11" ht="20" customHeight="1" thickBot="1">
      <c r="A20" s="777" t="s">
        <v>446</v>
      </c>
      <c r="B20" s="1257" t="s">
        <v>29</v>
      </c>
      <c r="C20" s="1258" t="s">
        <v>29</v>
      </c>
      <c r="D20" s="1257" t="s">
        <v>29</v>
      </c>
      <c r="E20" s="1258">
        <v>118.037859</v>
      </c>
      <c r="F20" s="1339">
        <v>118.037859</v>
      </c>
      <c r="G20" s="1258" t="s">
        <v>29</v>
      </c>
      <c r="H20" s="1257" t="s">
        <v>29</v>
      </c>
      <c r="I20" s="1258"/>
      <c r="J20" s="1303"/>
      <c r="K20" s="1340"/>
    </row>
    <row r="21" spans="1:11" ht="20" customHeight="1" thickBot="1">
      <c r="A21" s="777" t="s">
        <v>447</v>
      </c>
      <c r="B21" s="1257" t="s">
        <v>29</v>
      </c>
      <c r="C21" s="1258" t="s">
        <v>29</v>
      </c>
      <c r="D21" s="1257" t="s">
        <v>29</v>
      </c>
      <c r="E21" s="1258">
        <v>41.828578999999998</v>
      </c>
      <c r="F21" s="1339">
        <v>41.828578999999998</v>
      </c>
      <c r="G21" s="1258">
        <v>12.4</v>
      </c>
      <c r="H21" s="1257" t="s">
        <v>29</v>
      </c>
      <c r="I21" s="1258"/>
      <c r="J21" s="1303"/>
      <c r="K21" s="1340"/>
    </row>
    <row r="22" spans="1:11" ht="20" customHeight="1" thickBot="1">
      <c r="A22" s="777" t="s">
        <v>448</v>
      </c>
      <c r="B22" s="1337">
        <v>3.8558854500000002</v>
      </c>
      <c r="C22" s="1338">
        <v>4.1668573999999996</v>
      </c>
      <c r="D22" s="1337">
        <v>12.986170399999999</v>
      </c>
      <c r="E22" s="1258">
        <v>6.2019570000000002</v>
      </c>
      <c r="F22" s="1339">
        <v>27.210870250000006</v>
      </c>
      <c r="G22" s="1258">
        <v>6.0652730000000004</v>
      </c>
      <c r="H22" s="1257">
        <v>1.48628</v>
      </c>
      <c r="I22" s="1258">
        <v>9.0878329999999998</v>
      </c>
      <c r="J22" s="1303"/>
      <c r="K22" s="1340"/>
    </row>
    <row r="23" spans="1:11" ht="20" customHeight="1" thickBot="1">
      <c r="A23" s="777" t="s">
        <v>449</v>
      </c>
      <c r="B23" s="1337">
        <v>1.2590680000000001</v>
      </c>
      <c r="C23" s="1338">
        <v>0.584534</v>
      </c>
      <c r="D23" s="1337">
        <v>3.9163809999999999</v>
      </c>
      <c r="E23" s="1258"/>
      <c r="F23" s="1339">
        <v>5.7599830000000001</v>
      </c>
      <c r="G23" s="1258">
        <v>1.295282</v>
      </c>
      <c r="H23" s="1257">
        <v>0.74724800000000002</v>
      </c>
      <c r="I23" s="1258">
        <v>0.12740799999999999</v>
      </c>
      <c r="J23" s="1303"/>
      <c r="K23" s="1340"/>
    </row>
    <row r="24" spans="1:11" ht="20" customHeight="1" thickBot="1">
      <c r="A24" s="777" t="s">
        <v>450</v>
      </c>
      <c r="B24" s="1337">
        <v>15.172743000000001</v>
      </c>
      <c r="C24" s="1338">
        <v>18.200555000000001</v>
      </c>
      <c r="D24" s="1337">
        <v>139.134266</v>
      </c>
      <c r="E24" s="1258">
        <v>26.631598</v>
      </c>
      <c r="F24" s="1339">
        <v>199.139162</v>
      </c>
      <c r="G24" s="1258">
        <v>81.171634999999995</v>
      </c>
      <c r="H24" s="1257">
        <v>24.379183000000001</v>
      </c>
      <c r="I24" s="1258">
        <v>24.379183000000001</v>
      </c>
      <c r="J24" s="1303"/>
      <c r="K24" s="1340"/>
    </row>
    <row r="25" spans="1:11" ht="20" customHeight="1" thickBot="1">
      <c r="A25" s="777" t="s">
        <v>451</v>
      </c>
      <c r="B25" s="1337">
        <v>8.5626422100000017</v>
      </c>
      <c r="C25" s="1338">
        <v>11.409227869999999</v>
      </c>
      <c r="D25" s="1337">
        <v>76.775520270000015</v>
      </c>
      <c r="E25" s="1258"/>
      <c r="F25" s="1339">
        <v>96.747390350000003</v>
      </c>
      <c r="G25" s="1258">
        <v>21.913488999999998</v>
      </c>
      <c r="H25" s="1257">
        <v>5.5146550000000003</v>
      </c>
      <c r="I25" s="1258">
        <v>8.2153000000000004E-2</v>
      </c>
      <c r="J25" s="1303"/>
      <c r="K25" s="1340"/>
    </row>
    <row r="26" spans="1:11" ht="20" customHeight="1" thickBot="1">
      <c r="A26" s="777" t="s">
        <v>452</v>
      </c>
      <c r="B26" s="1337">
        <v>35.593098439999999</v>
      </c>
      <c r="C26" s="1338">
        <v>31.70960187</v>
      </c>
      <c r="D26" s="1337">
        <v>193.50292867999997</v>
      </c>
      <c r="E26" s="1258">
        <v>0</v>
      </c>
      <c r="F26" s="1339">
        <v>260.82034099000003</v>
      </c>
      <c r="G26" s="1258">
        <v>74.480436999999995</v>
      </c>
      <c r="H26" s="1257">
        <v>16.441365999999999</v>
      </c>
      <c r="I26" s="1258">
        <v>25.193449999999999</v>
      </c>
      <c r="J26" s="1303"/>
      <c r="K26" s="1340"/>
    </row>
    <row r="27" spans="1:11" ht="20" customHeight="1" thickBot="1">
      <c r="A27" s="777" t="s">
        <v>453</v>
      </c>
      <c r="B27" s="1337">
        <v>25.571131000000001</v>
      </c>
      <c r="C27" s="1338">
        <v>25.288481999999998</v>
      </c>
      <c r="D27" s="1337">
        <v>74.722465999999997</v>
      </c>
      <c r="E27" s="1258"/>
      <c r="F27" s="1339">
        <v>125.58207899999999</v>
      </c>
      <c r="G27" s="1258">
        <v>32.630505999999997</v>
      </c>
      <c r="H27" s="1257">
        <v>5.9474910000000003</v>
      </c>
      <c r="I27" s="1258"/>
      <c r="J27" s="1303"/>
      <c r="K27" s="1340"/>
    </row>
    <row r="28" spans="1:11" ht="20" customHeight="1" thickBot="1">
      <c r="A28" s="777" t="s">
        <v>454</v>
      </c>
      <c r="B28" s="1337">
        <v>20.395168100000003</v>
      </c>
      <c r="C28" s="1338">
        <v>29.445729449999998</v>
      </c>
      <c r="D28" s="1337">
        <v>215.92485055</v>
      </c>
      <c r="E28" s="1258"/>
      <c r="F28" s="1339">
        <v>265.7657481</v>
      </c>
      <c r="G28" s="1258">
        <v>110.84635445000001</v>
      </c>
      <c r="H28" s="1257">
        <v>43.564160999999999</v>
      </c>
      <c r="I28" s="1258"/>
      <c r="J28" s="1303"/>
      <c r="K28" s="1340"/>
    </row>
    <row r="29" spans="1:11" ht="20" customHeight="1" thickBot="1">
      <c r="A29" s="777" t="s">
        <v>455</v>
      </c>
      <c r="B29" s="1337">
        <v>41.536817700000363</v>
      </c>
      <c r="C29" s="1338">
        <v>56.77149515000005</v>
      </c>
      <c r="D29" s="1337">
        <v>319.43055470000076</v>
      </c>
      <c r="E29" s="1258">
        <v>2.331915449998796</v>
      </c>
      <c r="F29" s="1339">
        <v>420.07078300000001</v>
      </c>
      <c r="G29" s="1258">
        <v>155.258365</v>
      </c>
      <c r="H29" s="1257">
        <v>81.529955999999999</v>
      </c>
      <c r="I29" s="1258">
        <v>28.335901</v>
      </c>
      <c r="J29" s="1303"/>
      <c r="K29" s="1340"/>
    </row>
    <row r="30" spans="1:11" ht="20" customHeight="1" thickBot="1">
      <c r="A30" s="777" t="s">
        <v>456</v>
      </c>
      <c r="B30" s="1337">
        <v>14.2765106</v>
      </c>
      <c r="C30" s="1338">
        <v>41.020314540000001</v>
      </c>
      <c r="D30" s="1337">
        <v>124.59872969999998</v>
      </c>
      <c r="E30" s="1258">
        <v>7.1091827300000006</v>
      </c>
      <c r="F30" s="1339">
        <v>187.00473757</v>
      </c>
      <c r="G30" s="1258">
        <v>33.7032521</v>
      </c>
      <c r="H30" s="1257">
        <v>12.99262564</v>
      </c>
      <c r="I30" s="1258">
        <v>46.695878</v>
      </c>
      <c r="J30" s="1303"/>
      <c r="K30" s="1340"/>
    </row>
    <row r="31" spans="1:11" ht="20" customHeight="1" thickBot="1">
      <c r="A31" s="777" t="s">
        <v>457</v>
      </c>
      <c r="B31" s="1337">
        <v>8.7181390000000007</v>
      </c>
      <c r="C31" s="1338">
        <v>8.3345529999999997</v>
      </c>
      <c r="D31" s="1337">
        <v>81.978690999999998</v>
      </c>
      <c r="E31" s="1258">
        <v>1.6267609999999999</v>
      </c>
      <c r="F31" s="1339">
        <v>100.65814399999999</v>
      </c>
      <c r="G31" s="1258">
        <v>42.963845999999997</v>
      </c>
      <c r="H31" s="1257">
        <v>27.947711999999999</v>
      </c>
      <c r="I31" s="1258"/>
      <c r="J31" s="1303"/>
      <c r="K31" s="1340"/>
    </row>
    <row r="32" spans="1:11" ht="20" customHeight="1" thickBot="1">
      <c r="A32" s="777" t="s">
        <v>458</v>
      </c>
      <c r="B32" s="1337">
        <v>32.826356769999997</v>
      </c>
      <c r="C32" s="1338">
        <v>23.60161269</v>
      </c>
      <c r="D32" s="1337">
        <v>206.52440395000002</v>
      </c>
      <c r="E32" s="1258"/>
      <c r="F32" s="1339">
        <v>262.95237341000006</v>
      </c>
      <c r="G32" s="1258">
        <v>130.22700467000001</v>
      </c>
      <c r="H32" s="1257">
        <v>72.404151650000003</v>
      </c>
      <c r="I32" s="1258"/>
      <c r="J32" s="1303"/>
      <c r="K32" s="1340"/>
    </row>
    <row r="33" spans="1:11" ht="20" customHeight="1" thickBot="1">
      <c r="A33" s="777" t="s">
        <v>459</v>
      </c>
      <c r="B33" s="1337">
        <v>4.4403910999999994</v>
      </c>
      <c r="C33" s="1338">
        <v>4.3056034000000007</v>
      </c>
      <c r="D33" s="1337">
        <v>32.385929600000004</v>
      </c>
      <c r="E33" s="1258"/>
      <c r="F33" s="1339">
        <v>41.131924099999999</v>
      </c>
      <c r="G33" s="1258">
        <v>18.486565199999998</v>
      </c>
      <c r="H33" s="1257">
        <v>4.5971915000000001</v>
      </c>
      <c r="I33" s="1258"/>
      <c r="J33" s="1303"/>
      <c r="K33" s="1340"/>
    </row>
    <row r="34" spans="1:11" ht="30" customHeight="1" thickBot="1">
      <c r="A34" s="1268" t="s">
        <v>1949</v>
      </c>
      <c r="B34" s="1342">
        <v>436.29320773990423</v>
      </c>
      <c r="C34" s="1343">
        <v>522.63657327188719</v>
      </c>
      <c r="D34" s="1342">
        <v>2611.9008671316651</v>
      </c>
      <c r="E34" s="1344">
        <v>396.85761817999872</v>
      </c>
      <c r="F34" s="1345">
        <v>3967.7031723234559</v>
      </c>
      <c r="G34" s="1346">
        <v>1223.2548619200004</v>
      </c>
      <c r="H34" s="1347">
        <v>545.2983201400001</v>
      </c>
      <c r="I34" s="1348">
        <v>239.85217300000002</v>
      </c>
      <c r="J34" s="190"/>
      <c r="K34" s="1349"/>
    </row>
    <row r="35" spans="1:11" ht="20" customHeight="1">
      <c r="A35" s="1274" t="s">
        <v>1856</v>
      </c>
      <c r="B35" s="354"/>
      <c r="C35" s="354"/>
      <c r="D35" s="354"/>
      <c r="E35" s="354"/>
      <c r="F35" s="354"/>
      <c r="G35" s="354"/>
      <c r="H35" s="354"/>
    </row>
    <row r="36" spans="1:11" ht="14.25" customHeight="1">
      <c r="A36" s="1276"/>
      <c r="B36" s="357"/>
      <c r="C36" s="357"/>
      <c r="D36" s="357"/>
      <c r="E36" s="357"/>
      <c r="F36" s="357"/>
      <c r="G36" s="357"/>
      <c r="H36" s="357"/>
    </row>
    <row r="37" spans="1:11" ht="20" customHeight="1">
      <c r="A37" s="1276" t="s">
        <v>1950</v>
      </c>
      <c r="B37" s="357"/>
      <c r="C37" s="357"/>
      <c r="D37" s="357"/>
      <c r="E37" s="357"/>
      <c r="F37" s="357"/>
      <c r="G37" s="357"/>
      <c r="H37" s="357"/>
    </row>
    <row r="38" spans="1:11" ht="15.75" customHeight="1">
      <c r="A38" s="1276"/>
      <c r="B38" s="357"/>
      <c r="C38" s="357"/>
      <c r="D38" s="357"/>
      <c r="E38" s="357"/>
      <c r="F38" s="357"/>
      <c r="G38" s="357"/>
      <c r="H38" s="357"/>
    </row>
    <row r="39" spans="1:11" ht="12.75" customHeight="1">
      <c r="A39" s="1276" t="s">
        <v>1907</v>
      </c>
      <c r="B39" s="357"/>
      <c r="C39" s="357"/>
      <c r="D39" s="357"/>
      <c r="E39" s="357"/>
      <c r="F39" s="357"/>
      <c r="G39" s="357"/>
      <c r="H39" s="357"/>
    </row>
    <row r="40" spans="1:11">
      <c r="A40" s="131" t="s">
        <v>1951</v>
      </c>
    </row>
    <row r="41" spans="1:11">
      <c r="A41" s="131" t="s">
        <v>1952</v>
      </c>
      <c r="E41" s="338"/>
    </row>
    <row r="42" spans="1:11">
      <c r="A42" s="131"/>
      <c r="E42" s="338"/>
    </row>
    <row r="44" spans="1:11">
      <c r="A44" s="3" t="s">
        <v>395</v>
      </c>
    </row>
  </sheetData>
  <pageMargins left="0.59055118110236227" right="0.59055118110236227" top="0.78740157480314965" bottom="0.47244094488188981" header="0.47244094488188981" footer="0.51181102362204722"/>
  <pageSetup paperSize="9" scale="72" orientation="portrait" horizontalDpi="1200" verticalDpi="12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8A05C-7928-464A-90C7-91FBC8715B12}">
  <sheetPr>
    <pageSetUpPr fitToPage="1"/>
  </sheetPr>
  <dimension ref="A1:N47"/>
  <sheetViews>
    <sheetView zoomScaleNormal="100" workbookViewId="0">
      <selection activeCell="A62" sqref="A62"/>
    </sheetView>
  </sheetViews>
  <sheetFormatPr baseColWidth="10" defaultColWidth="11.3984375" defaultRowHeight="13"/>
  <cols>
    <col min="1" max="1" width="10.59765625" style="3" customWidth="1"/>
    <col min="2" max="2" width="12" style="3" customWidth="1"/>
    <col min="3" max="3" width="11.59765625" style="3" customWidth="1"/>
    <col min="4" max="4" width="15.3984375" style="283" customWidth="1"/>
    <col min="5" max="5" width="18.19921875" style="3" customWidth="1"/>
    <col min="6" max="6" width="19.19921875" style="3" customWidth="1"/>
    <col min="7" max="7" width="15.19921875" style="138" customWidth="1"/>
    <col min="8" max="8" width="16.796875" style="3" customWidth="1"/>
    <col min="9" max="13" width="11.3984375" style="3"/>
    <col min="14" max="14" width="17.59765625" style="3" customWidth="1"/>
    <col min="15" max="16384" width="11.3984375" style="3"/>
  </cols>
  <sheetData>
    <row r="1" spans="1:10" s="2" customFormat="1" ht="14" customHeight="1">
      <c r="D1" s="327"/>
      <c r="G1" s="17"/>
      <c r="J1" s="1281"/>
    </row>
    <row r="2" spans="1:10" s="2" customFormat="1" ht="25.25" customHeight="1">
      <c r="A2" s="2054" t="s">
        <v>1911</v>
      </c>
      <c r="B2" s="2055"/>
      <c r="C2" s="2055"/>
      <c r="D2" s="2055"/>
      <c r="E2" s="2055"/>
      <c r="F2" s="2055"/>
      <c r="G2" s="2060"/>
      <c r="H2" s="442">
        <v>2012</v>
      </c>
      <c r="J2" s="1027"/>
    </row>
    <row r="3" spans="1:10" ht="24" customHeight="1">
      <c r="A3" s="109" t="s">
        <v>426</v>
      </c>
      <c r="B3" s="165" t="s">
        <v>1829</v>
      </c>
      <c r="C3" s="155" t="s">
        <v>1877</v>
      </c>
      <c r="D3" s="165" t="s">
        <v>1878</v>
      </c>
      <c r="E3" s="344" t="s">
        <v>1912</v>
      </c>
      <c r="F3" s="110"/>
      <c r="G3" s="110"/>
      <c r="H3" s="110"/>
      <c r="J3" s="1030"/>
    </row>
    <row r="4" spans="1:10" ht="15" customHeight="1">
      <c r="A4" s="112"/>
      <c r="B4" s="300" t="s">
        <v>1879</v>
      </c>
      <c r="C4" s="1283" t="s">
        <v>1913</v>
      </c>
      <c r="D4" s="300" t="s">
        <v>1914</v>
      </c>
      <c r="E4" s="115" t="s">
        <v>1915</v>
      </c>
      <c r="F4" s="348" t="s">
        <v>1916</v>
      </c>
      <c r="G4" s="361" t="s">
        <v>230</v>
      </c>
      <c r="H4" s="1306" t="s">
        <v>1917</v>
      </c>
      <c r="J4" s="1285"/>
    </row>
    <row r="5" spans="1:10" ht="15" customHeight="1">
      <c r="A5" s="112"/>
      <c r="B5" s="300" t="s">
        <v>1918</v>
      </c>
      <c r="C5" s="156"/>
      <c r="D5" s="300" t="s">
        <v>1919</v>
      </c>
      <c r="E5" s="114" t="s">
        <v>1901</v>
      </c>
      <c r="F5" s="348" t="s">
        <v>1901</v>
      </c>
      <c r="G5" s="361" t="s">
        <v>1920</v>
      </c>
      <c r="H5" s="1306" t="s">
        <v>1921</v>
      </c>
      <c r="J5" s="1285"/>
    </row>
    <row r="6" spans="1:10" s="129" customFormat="1" ht="24" customHeight="1">
      <c r="A6" s="401"/>
      <c r="B6" s="143"/>
      <c r="C6" s="1287"/>
      <c r="D6" s="1323" t="s">
        <v>1922</v>
      </c>
      <c r="E6" s="780"/>
      <c r="F6" s="781"/>
      <c r="G6" s="1324" t="s">
        <v>1923</v>
      </c>
      <c r="H6" s="1308" t="s">
        <v>487</v>
      </c>
      <c r="J6" s="1289"/>
    </row>
    <row r="7" spans="1:10" ht="30" customHeight="1" thickBot="1">
      <c r="A7" s="775" t="s">
        <v>434</v>
      </c>
      <c r="B7" s="303">
        <v>1366821</v>
      </c>
      <c r="C7" s="304">
        <v>2657.7000778821975</v>
      </c>
      <c r="D7" s="320">
        <v>1369478.7000778823</v>
      </c>
      <c r="E7" s="304">
        <v>376506253</v>
      </c>
      <c r="F7" s="303">
        <v>283530219</v>
      </c>
      <c r="G7" s="1325">
        <v>660036472</v>
      </c>
      <c r="H7" s="305">
        <v>0.4295675027485451</v>
      </c>
      <c r="I7" s="8"/>
      <c r="J7" s="1292"/>
    </row>
    <row r="8" spans="1:10" ht="20" customHeight="1" thickBot="1">
      <c r="A8" s="777" t="s">
        <v>1924</v>
      </c>
      <c r="B8" s="317">
        <v>979554</v>
      </c>
      <c r="C8" s="318">
        <v>204.696666666667</v>
      </c>
      <c r="D8" s="134">
        <v>979758.69666666666</v>
      </c>
      <c r="E8" s="318">
        <v>269361821</v>
      </c>
      <c r="F8" s="1326">
        <v>114417075.70000005</v>
      </c>
      <c r="G8" s="1327">
        <v>383778896.70000005</v>
      </c>
      <c r="H8" s="319">
        <v>0.29813279647171398</v>
      </c>
      <c r="I8" s="8"/>
      <c r="J8" s="1292"/>
    </row>
    <row r="9" spans="1:10" ht="20" customHeight="1" thickBot="1">
      <c r="A9" s="777" t="s">
        <v>436</v>
      </c>
      <c r="B9" s="317">
        <v>370931</v>
      </c>
      <c r="C9" s="318">
        <v>973.88297535463323</v>
      </c>
      <c r="D9" s="134">
        <v>371904.88297535462</v>
      </c>
      <c r="E9" s="318">
        <v>102246581</v>
      </c>
      <c r="F9" s="1326">
        <v>69098387.849999994</v>
      </c>
      <c r="G9" s="1327">
        <v>171344968.84999999</v>
      </c>
      <c r="H9" s="319">
        <v>0.40327059681857708</v>
      </c>
      <c r="I9" s="8"/>
      <c r="J9" s="1292"/>
    </row>
    <row r="10" spans="1:10" ht="20" customHeight="1" thickBot="1">
      <c r="A10" s="777" t="s">
        <v>437</v>
      </c>
      <c r="B10" s="317">
        <v>34772</v>
      </c>
      <c r="C10" s="318">
        <v>4.9166666666666661</v>
      </c>
      <c r="D10" s="134">
        <v>34776.916666666664</v>
      </c>
      <c r="E10" s="318">
        <v>9561103</v>
      </c>
      <c r="F10" s="317">
        <v>6010434</v>
      </c>
      <c r="G10" s="1327">
        <v>15571537</v>
      </c>
      <c r="H10" s="319">
        <v>0.38598848655723583</v>
      </c>
      <c r="I10" s="8"/>
      <c r="J10" s="1292"/>
    </row>
    <row r="11" spans="1:10" ht="20" customHeight="1" thickBot="1">
      <c r="A11" s="777" t="s">
        <v>438</v>
      </c>
      <c r="B11" s="317">
        <v>143699</v>
      </c>
      <c r="C11" s="318">
        <v>28.356600000000036</v>
      </c>
      <c r="D11" s="134">
        <v>143727.3566</v>
      </c>
      <c r="E11" s="475">
        <v>39514487</v>
      </c>
      <c r="F11" s="317">
        <v>16066554.849999994</v>
      </c>
      <c r="G11" s="1327">
        <v>55581041.849999994</v>
      </c>
      <c r="H11" s="319">
        <v>0.28906537760410828</v>
      </c>
      <c r="I11" s="8"/>
      <c r="J11" s="1292"/>
    </row>
    <row r="12" spans="1:10" ht="20" customHeight="1" thickBot="1">
      <c r="A12" s="777" t="s">
        <v>439</v>
      </c>
      <c r="B12" s="317">
        <v>34667</v>
      </c>
      <c r="C12" s="318">
        <v>14.373333333333337</v>
      </c>
      <c r="D12" s="134">
        <v>34681.373333333337</v>
      </c>
      <c r="E12" s="318">
        <v>9534835</v>
      </c>
      <c r="F12" s="317">
        <v>9621247</v>
      </c>
      <c r="G12" s="1327">
        <v>19156082</v>
      </c>
      <c r="H12" s="319">
        <v>0.50225547165646922</v>
      </c>
      <c r="I12" s="8"/>
      <c r="J12" s="1292"/>
    </row>
    <row r="13" spans="1:10" ht="20" customHeight="1" thickBot="1">
      <c r="A13" s="777" t="s">
        <v>440</v>
      </c>
      <c r="B13" s="317">
        <v>40164</v>
      </c>
      <c r="C13" s="318">
        <v>6.5</v>
      </c>
      <c r="D13" s="134">
        <v>40170.5</v>
      </c>
      <c r="E13" s="318">
        <v>11043943</v>
      </c>
      <c r="F13" s="317">
        <v>6612672</v>
      </c>
      <c r="G13" s="1327">
        <v>17656615</v>
      </c>
      <c r="H13" s="319">
        <v>0.37451527373735</v>
      </c>
      <c r="I13" s="8"/>
      <c r="J13" s="1292"/>
    </row>
    <row r="14" spans="1:10" ht="20" customHeight="1" thickBot="1">
      <c r="A14" s="777" t="s">
        <v>441</v>
      </c>
      <c r="B14" s="317">
        <v>38259</v>
      </c>
      <c r="C14" s="318">
        <v>2.253333333333333</v>
      </c>
      <c r="D14" s="134">
        <v>38261.253333333334</v>
      </c>
      <c r="E14" s="318">
        <v>10519040</v>
      </c>
      <c r="F14" s="317">
        <v>3896136</v>
      </c>
      <c r="G14" s="1327">
        <v>14415176</v>
      </c>
      <c r="H14" s="319">
        <v>0.27028015474802392</v>
      </c>
      <c r="I14" s="8"/>
      <c r="J14" s="1292"/>
    </row>
    <row r="15" spans="1:10" ht="20" customHeight="1" thickBot="1">
      <c r="A15" s="777" t="s">
        <v>442</v>
      </c>
      <c r="B15" s="317">
        <v>111151</v>
      </c>
      <c r="C15" s="318">
        <v>109.10333333333332</v>
      </c>
      <c r="D15" s="134">
        <v>111260.10333333333</v>
      </c>
      <c r="E15" s="318">
        <v>30588373</v>
      </c>
      <c r="F15" s="317">
        <v>19885345</v>
      </c>
      <c r="G15" s="1327">
        <v>50473718</v>
      </c>
      <c r="H15" s="319">
        <v>0.39397424616114074</v>
      </c>
      <c r="I15" s="8"/>
      <c r="J15" s="1292"/>
    </row>
    <row r="16" spans="1:10" ht="20" customHeight="1" thickBot="1">
      <c r="A16" s="777" t="s">
        <v>443</v>
      </c>
      <c r="B16" s="317">
        <v>273855</v>
      </c>
      <c r="C16" s="318">
        <v>128.0413306277996</v>
      </c>
      <c r="D16" s="134">
        <v>273983.04133062781</v>
      </c>
      <c r="E16" s="318">
        <v>75325252</v>
      </c>
      <c r="F16" s="317">
        <v>84516784.949999988</v>
      </c>
      <c r="G16" s="1327">
        <v>159842036.94999999</v>
      </c>
      <c r="H16" s="319">
        <v>0.52875192635612867</v>
      </c>
      <c r="I16" s="8"/>
      <c r="J16" s="1292"/>
    </row>
    <row r="17" spans="1:14" ht="20" customHeight="1" thickBot="1">
      <c r="A17" s="777" t="s">
        <v>444</v>
      </c>
      <c r="B17" s="317">
        <v>252083</v>
      </c>
      <c r="C17" s="318">
        <v>189.52537156603393</v>
      </c>
      <c r="D17" s="134">
        <v>252272.52537156604</v>
      </c>
      <c r="E17" s="318">
        <v>69356452</v>
      </c>
      <c r="F17" s="317">
        <v>55873331</v>
      </c>
      <c r="G17" s="1327">
        <v>125229783</v>
      </c>
      <c r="H17" s="319">
        <v>0.44616647622874184</v>
      </c>
      <c r="I17" s="8"/>
      <c r="J17" s="1292"/>
    </row>
    <row r="18" spans="1:14" ht="20" customHeight="1" thickBot="1">
      <c r="A18" s="777" t="s">
        <v>445</v>
      </c>
      <c r="B18" s="317">
        <v>192068</v>
      </c>
      <c r="C18" s="318">
        <v>4380.8231843611993</v>
      </c>
      <c r="D18" s="134">
        <v>196448.82318436119</v>
      </c>
      <c r="E18" s="318">
        <v>54009026</v>
      </c>
      <c r="F18" s="317">
        <v>87897844</v>
      </c>
      <c r="G18" s="1327">
        <v>141906870</v>
      </c>
      <c r="H18" s="319">
        <v>0.61940513521297458</v>
      </c>
      <c r="I18" s="8"/>
      <c r="J18" s="1292"/>
    </row>
    <row r="19" spans="1:14" ht="20" customHeight="1" thickBot="1">
      <c r="A19" s="777" t="s">
        <v>446</v>
      </c>
      <c r="B19" s="134">
        <v>271125</v>
      </c>
      <c r="C19" s="135">
        <v>2100.6894176242313</v>
      </c>
      <c r="D19" s="134">
        <v>273225.68941762421</v>
      </c>
      <c r="E19" s="318">
        <v>75117036</v>
      </c>
      <c r="F19" s="134">
        <v>42920822.850000009</v>
      </c>
      <c r="G19" s="370">
        <v>118037858.85000001</v>
      </c>
      <c r="H19" s="319">
        <v>0.36361912413662867</v>
      </c>
      <c r="I19" s="8"/>
      <c r="J19" s="1292"/>
    </row>
    <row r="20" spans="1:14" ht="20" customHeight="1" thickBot="1">
      <c r="A20" s="777" t="s">
        <v>447</v>
      </c>
      <c r="B20" s="317">
        <v>75691</v>
      </c>
      <c r="C20" s="318">
        <v>1797.0250552514767</v>
      </c>
      <c r="D20" s="134">
        <v>77488.025055251477</v>
      </c>
      <c r="E20" s="318">
        <v>21303527</v>
      </c>
      <c r="F20" s="317">
        <v>20525052</v>
      </c>
      <c r="G20" s="1327">
        <v>41828579</v>
      </c>
      <c r="H20" s="319">
        <v>0.49069446035926778</v>
      </c>
      <c r="I20" s="8"/>
      <c r="J20" s="1292"/>
    </row>
    <row r="21" spans="1:14" ht="20" customHeight="1" thickBot="1">
      <c r="A21" s="777" t="s">
        <v>448</v>
      </c>
      <c r="B21" s="317">
        <v>52681</v>
      </c>
      <c r="C21" s="318">
        <v>41.166666666666636</v>
      </c>
      <c r="D21" s="134">
        <v>52722.166666666664</v>
      </c>
      <c r="E21" s="318">
        <v>14494731</v>
      </c>
      <c r="F21" s="317">
        <v>12716139</v>
      </c>
      <c r="G21" s="1327">
        <v>27210870</v>
      </c>
      <c r="H21" s="319">
        <v>0.46731835476043215</v>
      </c>
      <c r="I21" s="8"/>
      <c r="J21" s="1292"/>
    </row>
    <row r="22" spans="1:14" ht="20" customHeight="1" thickBot="1">
      <c r="A22" s="777" t="s">
        <v>449</v>
      </c>
      <c r="B22" s="317">
        <v>15517</v>
      </c>
      <c r="C22" s="318">
        <v>6.7566666666666668</v>
      </c>
      <c r="D22" s="134">
        <v>15523.756666666666</v>
      </c>
      <c r="E22" s="318">
        <v>4267895</v>
      </c>
      <c r="F22" s="317">
        <v>1492088.2000000002</v>
      </c>
      <c r="G22" s="1327">
        <v>5759983.2000000002</v>
      </c>
      <c r="H22" s="319">
        <v>0.25904384582232809</v>
      </c>
      <c r="I22" s="8"/>
      <c r="J22" s="1292"/>
    </row>
    <row r="23" spans="1:14" ht="20" customHeight="1" thickBot="1">
      <c r="A23" s="777" t="s">
        <v>450</v>
      </c>
      <c r="B23" s="317">
        <v>474316</v>
      </c>
      <c r="C23" s="318">
        <v>463.06333333333328</v>
      </c>
      <c r="D23" s="134">
        <v>474779.06333333335</v>
      </c>
      <c r="E23" s="318">
        <v>130529439</v>
      </c>
      <c r="F23" s="317">
        <v>68609723</v>
      </c>
      <c r="G23" s="1327">
        <v>199139162</v>
      </c>
      <c r="H23" s="319">
        <v>0.34453154422734789</v>
      </c>
      <c r="I23" s="8"/>
      <c r="J23" s="1292"/>
    </row>
    <row r="24" spans="1:14" ht="20" customHeight="1" thickBot="1">
      <c r="A24" s="777" t="s">
        <v>451</v>
      </c>
      <c r="B24" s="317">
        <v>194753</v>
      </c>
      <c r="C24" s="318">
        <v>51.86</v>
      </c>
      <c r="D24" s="134">
        <v>194804.86</v>
      </c>
      <c r="E24" s="318">
        <v>53557056</v>
      </c>
      <c r="F24" s="317">
        <v>43190333.950000003</v>
      </c>
      <c r="G24" s="1327">
        <v>96747389.950000003</v>
      </c>
      <c r="H24" s="319">
        <v>0.4464237637038187</v>
      </c>
      <c r="I24" s="8"/>
      <c r="J24" s="1292"/>
    </row>
    <row r="25" spans="1:14" ht="20" customHeight="1" thickBot="1">
      <c r="A25" s="777" t="s">
        <v>452</v>
      </c>
      <c r="B25" s="317">
        <v>596795</v>
      </c>
      <c r="C25" s="318">
        <v>3577.7932999999998</v>
      </c>
      <c r="D25" s="134">
        <v>600372.79330000002</v>
      </c>
      <c r="E25" s="318">
        <v>165058508</v>
      </c>
      <c r="F25" s="317">
        <v>95761832.800000012</v>
      </c>
      <c r="G25" s="1327">
        <v>260820340.80000001</v>
      </c>
      <c r="H25" s="319">
        <v>0.36715630577843339</v>
      </c>
      <c r="I25" s="8"/>
      <c r="J25" s="1292"/>
    </row>
    <row r="26" spans="1:14" ht="20" customHeight="1" thickBot="1">
      <c r="A26" s="777" t="s">
        <v>453</v>
      </c>
      <c r="B26" s="317">
        <v>244069</v>
      </c>
      <c r="C26" s="318">
        <v>1571.4533333333334</v>
      </c>
      <c r="D26" s="134">
        <v>245640.45333333334</v>
      </c>
      <c r="E26" s="318">
        <v>67533118</v>
      </c>
      <c r="F26" s="317">
        <v>58048961</v>
      </c>
      <c r="G26" s="1327">
        <v>125582079</v>
      </c>
      <c r="H26" s="319">
        <v>0.46223921010258162</v>
      </c>
      <c r="I26" s="8"/>
      <c r="J26" s="1292"/>
    </row>
    <row r="27" spans="1:14" ht="20" customHeight="1" thickBot="1">
      <c r="A27" s="777" t="s">
        <v>454</v>
      </c>
      <c r="B27" s="317">
        <v>333567</v>
      </c>
      <c r="C27" s="318">
        <v>665.66033043786683</v>
      </c>
      <c r="D27" s="134">
        <v>334232.66033043788</v>
      </c>
      <c r="E27" s="318">
        <v>91889481</v>
      </c>
      <c r="F27" s="317">
        <v>173876266.65000001</v>
      </c>
      <c r="G27" s="1327">
        <v>265765747.65000001</v>
      </c>
      <c r="H27" s="319">
        <v>0.65424633605902527</v>
      </c>
      <c r="I27" s="8"/>
      <c r="J27" s="1292"/>
    </row>
    <row r="28" spans="1:14" ht="20" customHeight="1" thickBot="1">
      <c r="A28" s="777" t="s">
        <v>455</v>
      </c>
      <c r="B28" s="317">
        <v>704916</v>
      </c>
      <c r="C28" s="318">
        <v>1163.6863582932081</v>
      </c>
      <c r="D28" s="134">
        <v>706079.68635829317</v>
      </c>
      <c r="E28" s="318">
        <v>194120155</v>
      </c>
      <c r="F28" s="317">
        <v>225950628</v>
      </c>
      <c r="G28" s="1327">
        <v>420070783</v>
      </c>
      <c r="H28" s="319">
        <v>0.53788703509998692</v>
      </c>
      <c r="I28" s="8"/>
      <c r="J28" s="1292"/>
    </row>
    <row r="29" spans="1:14" ht="20" customHeight="1" thickBot="1">
      <c r="A29" s="777" t="s">
        <v>456</v>
      </c>
      <c r="B29" s="317">
        <v>305178</v>
      </c>
      <c r="C29" s="318">
        <v>39.333333333333343</v>
      </c>
      <c r="D29" s="134">
        <v>305217.33333333331</v>
      </c>
      <c r="E29" s="318">
        <v>83912393</v>
      </c>
      <c r="F29" s="317">
        <v>103092344.72999999</v>
      </c>
      <c r="G29" s="1327">
        <v>187004737.72999999</v>
      </c>
      <c r="H29" s="319">
        <v>0.55128199414309031</v>
      </c>
      <c r="I29" s="8"/>
      <c r="J29" s="1292"/>
    </row>
    <row r="30" spans="1:14" ht="20" customHeight="1" thickBot="1">
      <c r="A30" s="777" t="s">
        <v>457</v>
      </c>
      <c r="B30" s="317">
        <v>172263</v>
      </c>
      <c r="C30" s="318">
        <v>100.91666666666663</v>
      </c>
      <c r="D30" s="134">
        <v>172363.91666666666</v>
      </c>
      <c r="E30" s="318">
        <v>47387442</v>
      </c>
      <c r="F30" s="317">
        <v>53270702</v>
      </c>
      <c r="G30" s="1327">
        <v>100658144</v>
      </c>
      <c r="H30" s="319">
        <v>0.52922396423283946</v>
      </c>
      <c r="I30" s="8"/>
      <c r="J30" s="1292"/>
      <c r="K30" s="1266"/>
      <c r="L30" s="1266"/>
      <c r="M30" s="1266"/>
      <c r="N30" s="1266"/>
    </row>
    <row r="31" spans="1:14" ht="20" customHeight="1" thickBot="1">
      <c r="A31" s="777" t="s">
        <v>458</v>
      </c>
      <c r="B31" s="317">
        <v>453674</v>
      </c>
      <c r="C31" s="318">
        <v>3423.6162652680205</v>
      </c>
      <c r="D31" s="134">
        <v>457097.61626526801</v>
      </c>
      <c r="E31" s="318">
        <v>125668337</v>
      </c>
      <c r="F31" s="317">
        <v>137284036.41</v>
      </c>
      <c r="G31" s="1327">
        <v>262952373.41</v>
      </c>
      <c r="H31" s="319">
        <v>0.52208707846855706</v>
      </c>
      <c r="J31" s="1292"/>
    </row>
    <row r="32" spans="1:14" ht="20" customHeight="1" thickBot="1">
      <c r="A32" s="777" t="s">
        <v>459</v>
      </c>
      <c r="B32" s="317">
        <v>68709</v>
      </c>
      <c r="C32" s="318">
        <v>19.999966666666662</v>
      </c>
      <c r="D32" s="134">
        <v>68728.99996666667</v>
      </c>
      <c r="E32" s="318">
        <v>18895437</v>
      </c>
      <c r="F32" s="317">
        <v>22236487</v>
      </c>
      <c r="G32" s="1327">
        <v>41131924</v>
      </c>
      <c r="H32" s="319">
        <v>0.54061383075588687</v>
      </c>
      <c r="J32" s="1292"/>
      <c r="K32" s="9"/>
      <c r="L32" s="9"/>
    </row>
    <row r="33" spans="1:10" s="138" customFormat="1" ht="30" customHeight="1" thickBot="1">
      <c r="A33" s="1268" t="s">
        <v>1925</v>
      </c>
      <c r="B33" s="136">
        <v>7801278</v>
      </c>
      <c r="C33" s="137">
        <v>23723.193566666669</v>
      </c>
      <c r="D33" s="136">
        <v>7825001.1935666688</v>
      </c>
      <c r="E33" s="453">
        <v>2151301721</v>
      </c>
      <c r="F33" s="452">
        <v>1816401448.9400005</v>
      </c>
      <c r="G33" s="453">
        <v>3967703169.9399996</v>
      </c>
      <c r="H33" s="655">
        <v>0.45779670785389637</v>
      </c>
      <c r="J33" s="1297"/>
    </row>
    <row r="34" spans="1:10" ht="20" customHeight="1">
      <c r="A34" s="1274" t="s">
        <v>1856</v>
      </c>
      <c r="B34" s="354"/>
      <c r="C34" s="354"/>
      <c r="D34" s="354"/>
      <c r="E34" s="354"/>
      <c r="F34" s="354"/>
      <c r="G34" s="392"/>
      <c r="H34" s="357"/>
    </row>
    <row r="35" spans="1:10" ht="14.25" customHeight="1">
      <c r="A35" s="1276"/>
      <c r="B35" s="357"/>
      <c r="C35" s="357"/>
      <c r="D35" s="357"/>
      <c r="E35" s="357"/>
      <c r="F35" s="357"/>
      <c r="G35" s="393"/>
      <c r="H35" s="357"/>
    </row>
    <row r="36" spans="1:10" ht="15.75" customHeight="1">
      <c r="A36" s="1276" t="s">
        <v>1926</v>
      </c>
      <c r="B36" s="357"/>
      <c r="C36" s="357"/>
      <c r="D36" s="357"/>
      <c r="E36" s="357"/>
      <c r="F36" s="357"/>
      <c r="G36" s="393"/>
      <c r="H36" s="357"/>
    </row>
    <row r="37" spans="1:10" ht="15.75" customHeight="1">
      <c r="A37" s="1276" t="s">
        <v>1927</v>
      </c>
      <c r="B37" s="357"/>
      <c r="C37" s="357"/>
      <c r="D37" s="357"/>
      <c r="E37" s="357"/>
      <c r="F37" s="357"/>
      <c r="G37" s="393"/>
      <c r="H37" s="357"/>
    </row>
    <row r="38" spans="1:10" ht="13.5" customHeight="1">
      <c r="A38" s="1276"/>
      <c r="B38" s="357"/>
      <c r="C38" s="357"/>
      <c r="D38" s="357"/>
      <c r="E38" s="357"/>
      <c r="F38" s="357"/>
      <c r="G38" s="393"/>
      <c r="H38" s="357"/>
    </row>
    <row r="39" spans="1:10">
      <c r="A39" s="3" t="s">
        <v>1928</v>
      </c>
    </row>
    <row r="40" spans="1:10">
      <c r="A40" s="3" t="s">
        <v>1929</v>
      </c>
    </row>
    <row r="41" spans="1:10">
      <c r="A41" s="3" t="s">
        <v>1930</v>
      </c>
    </row>
    <row r="42" spans="1:10">
      <c r="A42" s="3" t="s">
        <v>1931</v>
      </c>
    </row>
    <row r="43" spans="1:10">
      <c r="A43" s="1304" t="s">
        <v>1932</v>
      </c>
    </row>
    <row r="44" spans="1:10">
      <c r="A44" s="131" t="s">
        <v>1933</v>
      </c>
    </row>
    <row r="45" spans="1:10">
      <c r="A45" s="131"/>
    </row>
    <row r="47" spans="1:10">
      <c r="A47" s="3" t="s">
        <v>395</v>
      </c>
    </row>
  </sheetData>
  <mergeCells count="1">
    <mergeCell ref="A2:G2"/>
  </mergeCells>
  <pageMargins left="0.59055118110236227" right="0.59055118110236227" top="0.78740157480314965" bottom="0.47244094488188981" header="0.47244094488188981" footer="0.51181102362204722"/>
  <pageSetup paperSize="9" scale="77" orientation="portrait" horizontalDpi="1200" verticalDpi="12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DBE6B-FB4E-F742-8F3C-5C0DC81D0F1A}">
  <sheetPr>
    <pageSetUpPr fitToPage="1"/>
  </sheetPr>
  <dimension ref="A1:K45"/>
  <sheetViews>
    <sheetView zoomScaleNormal="100" workbookViewId="0">
      <selection activeCell="B61" sqref="B61"/>
    </sheetView>
  </sheetViews>
  <sheetFormatPr baseColWidth="10" defaultColWidth="11.3984375" defaultRowHeight="13"/>
  <cols>
    <col min="1" max="1" width="10.59765625" style="3" customWidth="1"/>
    <col min="2" max="2" width="17.3984375" style="3" customWidth="1"/>
    <col min="3" max="3" width="19.3984375" style="3" customWidth="1"/>
    <col min="4" max="4" width="18" style="138" customWidth="1"/>
    <col min="5" max="5" width="16" style="181" customWidth="1"/>
    <col min="6" max="6" width="13.59765625" style="181" customWidth="1"/>
    <col min="7" max="7" width="15.3984375" style="181" customWidth="1"/>
    <col min="8" max="8" width="14.796875" style="3" customWidth="1"/>
    <col min="9" max="9" width="11.59765625" style="3" customWidth="1"/>
    <col min="10" max="16384" width="11.3984375" style="3"/>
  </cols>
  <sheetData>
    <row r="1" spans="1:10" s="2" customFormat="1" ht="14" customHeight="1">
      <c r="D1" s="17"/>
      <c r="E1" s="161"/>
      <c r="F1" s="161"/>
      <c r="G1" s="161"/>
    </row>
    <row r="2" spans="1:10" s="2" customFormat="1" ht="25.25" customHeight="1">
      <c r="A2" s="139" t="s">
        <v>1890</v>
      </c>
      <c r="D2" s="17"/>
      <c r="E2" s="161"/>
      <c r="F2" s="161"/>
      <c r="G2" s="442"/>
      <c r="H2" s="442">
        <v>2012</v>
      </c>
    </row>
    <row r="3" spans="1:10" ht="24" customHeight="1">
      <c r="A3" s="109" t="s">
        <v>426</v>
      </c>
      <c r="B3" s="110" t="s">
        <v>1891</v>
      </c>
      <c r="C3" s="111" t="s">
        <v>1891</v>
      </c>
      <c r="D3" s="397" t="s">
        <v>230</v>
      </c>
      <c r="E3" s="155" t="s">
        <v>256</v>
      </c>
      <c r="F3" s="165" t="s">
        <v>1892</v>
      </c>
      <c r="G3" s="155" t="s">
        <v>1892</v>
      </c>
      <c r="H3" s="1305"/>
    </row>
    <row r="4" spans="1:10" ht="15" customHeight="1">
      <c r="A4" s="112"/>
      <c r="B4" s="348" t="s">
        <v>1893</v>
      </c>
      <c r="C4" s="115" t="s">
        <v>1893</v>
      </c>
      <c r="D4" s="1284" t="s">
        <v>1891</v>
      </c>
      <c r="E4" s="156" t="s">
        <v>257</v>
      </c>
      <c r="F4" s="1306" t="s">
        <v>1891</v>
      </c>
      <c r="G4" s="156" t="s">
        <v>1891</v>
      </c>
      <c r="H4" s="1306" t="s">
        <v>1894</v>
      </c>
    </row>
    <row r="5" spans="1:10" ht="15" customHeight="1">
      <c r="A5" s="112"/>
      <c r="B5" s="113" t="s">
        <v>1895</v>
      </c>
      <c r="C5" s="114" t="s">
        <v>1896</v>
      </c>
      <c r="D5" s="1284" t="s">
        <v>1897</v>
      </c>
      <c r="E5" s="156" t="s">
        <v>258</v>
      </c>
      <c r="F5" s="1306" t="s">
        <v>1898</v>
      </c>
      <c r="G5" s="156" t="s">
        <v>1899</v>
      </c>
      <c r="H5" s="1306" t="s">
        <v>1900</v>
      </c>
    </row>
    <row r="6" spans="1:10" s="129" customFormat="1" ht="24" customHeight="1">
      <c r="A6" s="401"/>
      <c r="B6" s="143" t="s">
        <v>1901</v>
      </c>
      <c r="C6" s="780" t="s">
        <v>1901</v>
      </c>
      <c r="D6" s="1307" t="s">
        <v>1901</v>
      </c>
      <c r="E6" s="1287"/>
      <c r="F6" s="1308" t="s">
        <v>1901</v>
      </c>
      <c r="G6" s="1287" t="s">
        <v>1902</v>
      </c>
      <c r="H6" s="1308" t="s">
        <v>1903</v>
      </c>
    </row>
    <row r="7" spans="1:10" ht="30" customHeight="1" thickBot="1">
      <c r="A7" s="775" t="s">
        <v>434</v>
      </c>
      <c r="B7" s="303">
        <v>640941364</v>
      </c>
      <c r="C7" s="304">
        <v>19095108</v>
      </c>
      <c r="D7" s="1309">
        <v>660036472</v>
      </c>
      <c r="E7" s="1259">
        <v>-5.3167932996293993E-2</v>
      </c>
      <c r="F7" s="1310">
        <v>2358.0479014533348</v>
      </c>
      <c r="G7" s="1311">
        <v>1591.738062624197</v>
      </c>
      <c r="H7" s="305">
        <v>0.51985961171211137</v>
      </c>
      <c r="I7" s="306"/>
    </row>
    <row r="8" spans="1:10" ht="20" customHeight="1" thickBot="1">
      <c r="A8" s="777" t="s">
        <v>1904</v>
      </c>
      <c r="B8" s="317">
        <v>346099680.10000002</v>
      </c>
      <c r="C8" s="318">
        <v>37679216.600000001</v>
      </c>
      <c r="D8" s="1312">
        <v>383778896.70000005</v>
      </c>
      <c r="E8" s="1259">
        <v>-0.29697154610825488</v>
      </c>
      <c r="F8" s="1313">
        <v>2496.4638857990362</v>
      </c>
      <c r="G8" s="1311">
        <v>1334.0293401788074</v>
      </c>
      <c r="H8" s="319">
        <v>0.40627899805642814</v>
      </c>
      <c r="I8" s="306"/>
      <c r="J8"/>
    </row>
    <row r="9" spans="1:10" ht="20" customHeight="1" thickBot="1">
      <c r="A9" s="777" t="s">
        <v>436</v>
      </c>
      <c r="B9" s="317">
        <v>167135321.19999999</v>
      </c>
      <c r="C9" s="318">
        <v>4209647.6500000004</v>
      </c>
      <c r="D9" s="1312">
        <v>171344968.84999999</v>
      </c>
      <c r="E9" s="1259">
        <v>1.2241420328598597E-2</v>
      </c>
      <c r="F9" s="1314">
        <v>2787.3660311841327</v>
      </c>
      <c r="G9" s="1315">
        <v>1385.7928314354112</v>
      </c>
      <c r="H9" s="1316">
        <v>0.5247686944722143</v>
      </c>
      <c r="I9" s="306"/>
    </row>
    <row r="10" spans="1:10" ht="20" customHeight="1" thickBot="1">
      <c r="A10" s="777" t="s">
        <v>437</v>
      </c>
      <c r="B10" s="317">
        <v>15135910</v>
      </c>
      <c r="C10" s="318">
        <v>435627</v>
      </c>
      <c r="D10" s="1312">
        <v>15571537</v>
      </c>
      <c r="E10" s="1259">
        <v>7.1753350872107054E-3</v>
      </c>
      <c r="F10" s="1317">
        <v>2087.8971574148563</v>
      </c>
      <c r="G10" s="1318">
        <v>1060.1536628540305</v>
      </c>
      <c r="H10" s="315">
        <v>0.42350281639921455</v>
      </c>
      <c r="I10" s="306"/>
    </row>
    <row r="11" spans="1:10" ht="20" customHeight="1" thickBot="1">
      <c r="A11" s="777" t="s">
        <v>438</v>
      </c>
      <c r="B11" s="317">
        <v>55420084.549999997</v>
      </c>
      <c r="C11" s="318">
        <v>160957.29999999999</v>
      </c>
      <c r="D11" s="1312">
        <v>55581041.849999994</v>
      </c>
      <c r="E11" s="1259">
        <v>4.7266079815168241E-2</v>
      </c>
      <c r="F11" s="1317">
        <v>2860.5785820895521</v>
      </c>
      <c r="G11" s="1318">
        <v>1498.5048084440969</v>
      </c>
      <c r="H11" s="315">
        <v>0.57667042609327823</v>
      </c>
      <c r="I11" s="306"/>
    </row>
    <row r="12" spans="1:10" ht="20" customHeight="1" thickBot="1">
      <c r="A12" s="777" t="s">
        <v>439</v>
      </c>
      <c r="B12" s="317">
        <v>19152244</v>
      </c>
      <c r="C12" s="318">
        <v>3838</v>
      </c>
      <c r="D12" s="1312">
        <v>19156082</v>
      </c>
      <c r="E12" s="1259">
        <v>3.9872332278283976E-2</v>
      </c>
      <c r="F12" s="1317">
        <v>2665.7503478986919</v>
      </c>
      <c r="G12" s="1318">
        <v>1543.6004834810637</v>
      </c>
      <c r="H12" s="315">
        <v>0.63883576269807707</v>
      </c>
      <c r="I12" s="306"/>
    </row>
    <row r="13" spans="1:10" ht="20" customHeight="1" thickBot="1">
      <c r="A13" s="777" t="s">
        <v>440</v>
      </c>
      <c r="B13" s="317">
        <v>17529231</v>
      </c>
      <c r="C13" s="318">
        <v>127384</v>
      </c>
      <c r="D13" s="1312">
        <v>17656615</v>
      </c>
      <c r="E13" s="1259">
        <v>-7.7726721378939692E-3</v>
      </c>
      <c r="F13" s="1317">
        <v>1733.9305705587744</v>
      </c>
      <c r="G13" s="1318">
        <v>928.56245069681825</v>
      </c>
      <c r="H13" s="315">
        <v>0.3973100514026629</v>
      </c>
      <c r="I13" s="306"/>
    </row>
    <row r="14" spans="1:10" ht="20" customHeight="1" thickBot="1">
      <c r="A14" s="777" t="s">
        <v>441</v>
      </c>
      <c r="B14" s="317">
        <v>14415176</v>
      </c>
      <c r="C14" s="318"/>
      <c r="D14" s="1312">
        <v>14415176</v>
      </c>
      <c r="E14" s="1259">
        <v>-0.15475529218459871</v>
      </c>
      <c r="F14" s="1317">
        <v>3333.7594819611472</v>
      </c>
      <c r="G14" s="1318">
        <v>1648.7440143831402</v>
      </c>
      <c r="H14" s="315">
        <v>0.60683495673920484</v>
      </c>
      <c r="I14" s="306"/>
    </row>
    <row r="15" spans="1:10" ht="20" customHeight="1" thickBot="1">
      <c r="A15" s="777" t="s">
        <v>442</v>
      </c>
      <c r="B15" s="317">
        <v>47583371</v>
      </c>
      <c r="C15" s="318">
        <v>2890347</v>
      </c>
      <c r="D15" s="1312">
        <v>50473718</v>
      </c>
      <c r="E15" s="1259">
        <v>8.0657695389078927E-3</v>
      </c>
      <c r="F15" s="1317">
        <v>3053.2767527675278</v>
      </c>
      <c r="G15" s="1318">
        <v>1728.1377067141439</v>
      </c>
      <c r="H15" s="315">
        <v>0.66548531224345231</v>
      </c>
      <c r="I15" s="306"/>
    </row>
    <row r="16" spans="1:10" ht="20" customHeight="1" thickBot="1">
      <c r="A16" s="777" t="s">
        <v>443</v>
      </c>
      <c r="B16" s="317">
        <v>159842036.94999999</v>
      </c>
      <c r="C16" s="318"/>
      <c r="D16" s="1312">
        <v>159842036.94999999</v>
      </c>
      <c r="E16" s="1259">
        <v>6.9284254297627967E-2</v>
      </c>
      <c r="F16" s="1317">
        <v>3266.2657752351497</v>
      </c>
      <c r="G16" s="1318">
        <v>1904.6273006208071</v>
      </c>
      <c r="H16" s="315">
        <v>0.66202867589586945</v>
      </c>
      <c r="I16" s="306"/>
    </row>
    <row r="17" spans="1:11" ht="20" customHeight="1" thickBot="1">
      <c r="A17" s="777" t="s">
        <v>444</v>
      </c>
      <c r="B17" s="317">
        <v>123037791</v>
      </c>
      <c r="C17" s="318">
        <v>2191992</v>
      </c>
      <c r="D17" s="1312">
        <v>125229783</v>
      </c>
      <c r="E17" s="1259">
        <v>1.8967667560044167E-3</v>
      </c>
      <c r="F17" s="1317">
        <v>3099.7471039603961</v>
      </c>
      <c r="G17" s="1318">
        <v>1622.3575981344734</v>
      </c>
      <c r="H17" s="315">
        <v>0.55238052483635303</v>
      </c>
      <c r="I17" s="306"/>
    </row>
    <row r="18" spans="1:11" ht="20" customHeight="1" thickBot="1">
      <c r="A18" s="777" t="s">
        <v>445</v>
      </c>
      <c r="B18" s="317">
        <v>141779268</v>
      </c>
      <c r="C18" s="318">
        <v>127602</v>
      </c>
      <c r="D18" s="1312">
        <v>141906870</v>
      </c>
      <c r="E18" s="1259">
        <v>3.6904668341163495E-2</v>
      </c>
      <c r="F18" s="1317">
        <v>4571.3001320748635</v>
      </c>
      <c r="G18" s="1318">
        <v>2822.5568859893388</v>
      </c>
      <c r="H18" s="315">
        <v>0.65433423904466526</v>
      </c>
      <c r="I18" s="306"/>
    </row>
    <row r="19" spans="1:11" ht="20" customHeight="1" thickBot="1">
      <c r="A19" s="777" t="s">
        <v>446</v>
      </c>
      <c r="B19" s="317">
        <v>112888572.90000001</v>
      </c>
      <c r="C19" s="318">
        <v>5149285.95</v>
      </c>
      <c r="D19" s="614">
        <v>118037858.85000001</v>
      </c>
      <c r="E19" s="1259">
        <v>-5.8625196450955736E-2</v>
      </c>
      <c r="F19" s="1317">
        <v>3642.9189201283875</v>
      </c>
      <c r="G19" s="1318">
        <v>2052.6895320325543</v>
      </c>
      <c r="H19" s="315">
        <v>0.61508864899411098</v>
      </c>
      <c r="I19" s="306"/>
    </row>
    <row r="20" spans="1:11" ht="20" customHeight="1" thickBot="1">
      <c r="A20" s="777" t="s">
        <v>447</v>
      </c>
      <c r="B20" s="317">
        <v>39353583</v>
      </c>
      <c r="C20" s="318">
        <v>2474996</v>
      </c>
      <c r="D20" s="1312">
        <v>41828579</v>
      </c>
      <c r="E20" s="1259">
        <v>-0.14703530604732332</v>
      </c>
      <c r="F20" s="1317">
        <v>3325.5349817141041</v>
      </c>
      <c r="G20" s="1318">
        <v>1922.0042733079079</v>
      </c>
      <c r="H20" s="315">
        <v>0.65188753392727516</v>
      </c>
      <c r="I20" s="306"/>
    </row>
    <row r="21" spans="1:11" ht="20" customHeight="1" thickBot="1">
      <c r="A21" s="777" t="s">
        <v>448</v>
      </c>
      <c r="B21" s="317">
        <v>27043609</v>
      </c>
      <c r="C21" s="318">
        <v>167261</v>
      </c>
      <c r="D21" s="1312">
        <v>27210870</v>
      </c>
      <c r="E21" s="1259">
        <v>7.683261771697493E-2</v>
      </c>
      <c r="F21" s="1317">
        <v>3781.388271261812</v>
      </c>
      <c r="G21" s="1318">
        <v>2023.2634396609412</v>
      </c>
      <c r="H21" s="315">
        <v>0.83186458867345292</v>
      </c>
      <c r="I21" s="306"/>
    </row>
    <row r="22" spans="1:11" ht="20" customHeight="1" thickBot="1">
      <c r="A22" s="777" t="s">
        <v>449</v>
      </c>
      <c r="B22" s="317">
        <v>5733112.2000000002</v>
      </c>
      <c r="C22" s="318">
        <v>26871</v>
      </c>
      <c r="D22" s="1312">
        <v>5759983.2000000002</v>
      </c>
      <c r="E22" s="1259">
        <v>8.9006438485751072E-2</v>
      </c>
      <c r="F22" s="1317">
        <v>2685.3068531468534</v>
      </c>
      <c r="G22" s="1318">
        <v>927.83234536082477</v>
      </c>
      <c r="H22" s="315">
        <v>0.41958359019978031</v>
      </c>
      <c r="I22" s="306"/>
    </row>
    <row r="23" spans="1:11" ht="20" customHeight="1" thickBot="1">
      <c r="A23" s="777" t="s">
        <v>450</v>
      </c>
      <c r="B23" s="317">
        <v>196977263</v>
      </c>
      <c r="C23" s="318">
        <v>2161899</v>
      </c>
      <c r="D23" s="1312">
        <v>199139162</v>
      </c>
      <c r="E23" s="1259">
        <v>2.9470907729686167E-2</v>
      </c>
      <c r="F23" s="1317">
        <v>2844.1138278728326</v>
      </c>
      <c r="G23" s="1318">
        <v>1367.3289938959497</v>
      </c>
      <c r="H23" s="315">
        <v>0.51539991146457675</v>
      </c>
      <c r="I23" s="306"/>
    </row>
    <row r="24" spans="1:11" ht="20" customHeight="1" thickBot="1">
      <c r="A24" s="777" t="s">
        <v>451</v>
      </c>
      <c r="B24" s="317">
        <v>86006211.950000003</v>
      </c>
      <c r="C24" s="318">
        <v>10741178</v>
      </c>
      <c r="D24" s="1312">
        <v>96747389.950000003</v>
      </c>
      <c r="E24" s="1259">
        <v>0.10353546188136196</v>
      </c>
      <c r="F24" s="1317">
        <v>3028.3716765267477</v>
      </c>
      <c r="G24" s="1318">
        <v>1516.9636381454129</v>
      </c>
      <c r="H24" s="315">
        <v>0.56279435266048916</v>
      </c>
      <c r="I24" s="306"/>
    </row>
    <row r="25" spans="1:11" ht="20" customHeight="1" thickBot="1">
      <c r="A25" s="777" t="s">
        <v>452</v>
      </c>
      <c r="B25" s="317">
        <v>243360715.30000001</v>
      </c>
      <c r="C25" s="318">
        <v>17459625.5</v>
      </c>
      <c r="D25" s="1312">
        <v>260820340.80000001</v>
      </c>
      <c r="E25" s="1259">
        <v>0.10815214307000445</v>
      </c>
      <c r="F25" s="1317">
        <v>3470.0629405425543</v>
      </c>
      <c r="G25" s="1318">
        <v>1641.9284910292729</v>
      </c>
      <c r="H25" s="315">
        <v>0.57152445874330127</v>
      </c>
      <c r="I25" s="306"/>
    </row>
    <row r="26" spans="1:11" ht="20" customHeight="1" thickBot="1">
      <c r="A26" s="777" t="s">
        <v>453</v>
      </c>
      <c r="B26" s="317">
        <v>118944531</v>
      </c>
      <c r="C26" s="318">
        <v>6637548</v>
      </c>
      <c r="D26" s="1312">
        <v>125582079</v>
      </c>
      <c r="E26" s="1259">
        <v>1.2502244592756699E-2</v>
      </c>
      <c r="F26" s="1317">
        <v>1997.2975221070042</v>
      </c>
      <c r="G26" s="1318">
        <v>1300.560055923778</v>
      </c>
      <c r="H26" s="315">
        <v>0.48878863113687221</v>
      </c>
      <c r="I26" s="306"/>
    </row>
    <row r="27" spans="1:11" ht="20" customHeight="1" thickBot="1">
      <c r="A27" s="777" t="s">
        <v>454</v>
      </c>
      <c r="B27" s="317">
        <v>264378415.05000001</v>
      </c>
      <c r="C27" s="318">
        <v>1387332.6</v>
      </c>
      <c r="D27" s="1312">
        <v>265765747.65000001</v>
      </c>
      <c r="E27" s="1259">
        <v>-2.7408557948826462E-2</v>
      </c>
      <c r="F27" s="1317">
        <v>3956.0837114276783</v>
      </c>
      <c r="G27" s="1318">
        <v>2039.2850659515204</v>
      </c>
      <c r="H27" s="315">
        <v>0.60134598236427594</v>
      </c>
      <c r="I27" s="306"/>
    </row>
    <row r="28" spans="1:11" ht="20" customHeight="1" thickBot="1">
      <c r="A28" s="777" t="s">
        <v>455</v>
      </c>
      <c r="B28" s="317">
        <v>418207684</v>
      </c>
      <c r="C28" s="318">
        <v>1863099</v>
      </c>
      <c r="D28" s="1312">
        <v>420070783</v>
      </c>
      <c r="E28" s="1259">
        <v>5.7103135697214744E-2</v>
      </c>
      <c r="F28" s="1319">
        <v>4231.0870349106581</v>
      </c>
      <c r="G28" s="1320">
        <v>2349.4023065005958</v>
      </c>
      <c r="H28" s="505">
        <v>0.69808640766622032</v>
      </c>
      <c r="I28" s="306"/>
    </row>
    <row r="29" spans="1:11" ht="20" customHeight="1" thickBot="1">
      <c r="A29" s="777" t="s">
        <v>456</v>
      </c>
      <c r="B29" s="317">
        <v>179895555</v>
      </c>
      <c r="C29" s="318">
        <v>7109182.7300000004</v>
      </c>
      <c r="D29" s="1312">
        <v>187004737.72999999</v>
      </c>
      <c r="E29" s="1259">
        <v>4.8568562599998054E-2</v>
      </c>
      <c r="F29" s="1313">
        <v>3397.5534189059063</v>
      </c>
      <c r="G29" s="1311">
        <v>2027.723127710791</v>
      </c>
      <c r="H29" s="319">
        <v>0.71653714005580849</v>
      </c>
      <c r="I29" s="306"/>
    </row>
    <row r="30" spans="1:11" ht="20" customHeight="1" thickBot="1">
      <c r="A30" s="777" t="s">
        <v>457</v>
      </c>
      <c r="B30" s="317">
        <v>98454716</v>
      </c>
      <c r="C30" s="318">
        <v>2203428</v>
      </c>
      <c r="D30" s="1312">
        <v>100658144</v>
      </c>
      <c r="E30" s="1259">
        <v>6.7461287085750762E-2</v>
      </c>
      <c r="F30" s="1313">
        <v>3469.0565205403914</v>
      </c>
      <c r="G30" s="1311">
        <v>2101.8175440061809</v>
      </c>
      <c r="H30" s="319">
        <v>0.66937151641559234</v>
      </c>
      <c r="I30" s="306"/>
    </row>
    <row r="31" spans="1:11" ht="20" customHeight="1" thickBot="1">
      <c r="A31" s="777" t="s">
        <v>458</v>
      </c>
      <c r="B31" s="317">
        <v>260024160.96000001</v>
      </c>
      <c r="C31" s="318">
        <v>2928212.45</v>
      </c>
      <c r="D31" s="1312">
        <v>262952373.41</v>
      </c>
      <c r="E31" s="1259">
        <v>5.7414650457979173E-2</v>
      </c>
      <c r="F31" s="1313">
        <v>3346.0886099128334</v>
      </c>
      <c r="G31" s="1311">
        <v>2310.7550719275891</v>
      </c>
      <c r="H31" s="319">
        <v>0.60529139358635964</v>
      </c>
      <c r="I31" s="306"/>
    </row>
    <row r="32" spans="1:11" ht="20" customHeight="1" thickBot="1">
      <c r="A32" s="777" t="s">
        <v>459</v>
      </c>
      <c r="B32" s="317">
        <v>41950572.799999997</v>
      </c>
      <c r="C32" s="318">
        <v>-818649</v>
      </c>
      <c r="D32" s="1312">
        <v>41131924</v>
      </c>
      <c r="E32" s="1259">
        <v>9.8824148729184699E-2</v>
      </c>
      <c r="F32" s="1313">
        <v>2982.51932419694</v>
      </c>
      <c r="G32" s="1311">
        <v>1812.4580946505685</v>
      </c>
      <c r="H32" s="319">
        <v>0.57950029627466471</v>
      </c>
      <c r="I32" s="9"/>
      <c r="J32" s="9"/>
      <c r="K32" s="9"/>
    </row>
    <row r="33" spans="1:9" ht="30" customHeight="1" thickBot="1">
      <c r="A33" s="1268" t="s">
        <v>1905</v>
      </c>
      <c r="B33" s="452">
        <v>3841290179.9600005</v>
      </c>
      <c r="C33" s="453">
        <v>126412989.78</v>
      </c>
      <c r="D33" s="452">
        <v>3967703169.9399996</v>
      </c>
      <c r="E33" s="1321">
        <v>-2.5217628369493136E-2</v>
      </c>
      <c r="F33" s="1043">
        <v>3010.8075749359764</v>
      </c>
      <c r="G33" s="1322">
        <v>1719.0990492779542</v>
      </c>
      <c r="H33" s="655">
        <v>0.55901487135490191</v>
      </c>
      <c r="I33" s="306"/>
    </row>
    <row r="34" spans="1:9" ht="20" customHeight="1">
      <c r="A34" s="1274" t="s">
        <v>1856</v>
      </c>
      <c r="B34" s="354"/>
      <c r="C34" s="354"/>
      <c r="D34" s="392"/>
      <c r="E34" s="1275"/>
      <c r="F34" s="1275"/>
      <c r="G34" s="1275"/>
    </row>
    <row r="35" spans="1:9" ht="8.25" customHeight="1">
      <c r="A35" s="1276"/>
      <c r="B35" s="357"/>
      <c r="C35" s="357"/>
      <c r="D35" s="393"/>
      <c r="E35" s="1277"/>
      <c r="F35" s="1277"/>
      <c r="G35" s="1277"/>
    </row>
    <row r="36" spans="1:9" ht="14.25" customHeight="1">
      <c r="A36" s="1276" t="s">
        <v>1906</v>
      </c>
      <c r="B36" s="357"/>
      <c r="C36" s="357"/>
      <c r="D36" s="393"/>
      <c r="E36" s="1277"/>
      <c r="F36" s="1277"/>
      <c r="G36" s="1277"/>
    </row>
    <row r="37" spans="1:9" ht="12.75" customHeight="1">
      <c r="A37" s="1276"/>
      <c r="B37" s="357"/>
      <c r="C37" s="357"/>
      <c r="D37" s="393"/>
      <c r="E37" s="1277"/>
      <c r="F37" s="1277"/>
      <c r="G37" s="1277"/>
    </row>
    <row r="38" spans="1:9" ht="12.75" customHeight="1">
      <c r="A38" s="1276" t="s">
        <v>1907</v>
      </c>
      <c r="B38" s="357"/>
      <c r="C38" s="357"/>
      <c r="D38" s="393"/>
      <c r="E38" s="1277"/>
      <c r="F38" s="1277"/>
      <c r="G38" s="1277"/>
    </row>
    <row r="39" spans="1:9" ht="14.25" customHeight="1">
      <c r="A39" s="131" t="s">
        <v>1908</v>
      </c>
      <c r="B39" s="357"/>
      <c r="C39" s="357"/>
      <c r="D39" s="393"/>
      <c r="E39" s="1277"/>
      <c r="F39" s="1277"/>
      <c r="G39" s="1277"/>
    </row>
    <row r="40" spans="1:9" ht="13.5" customHeight="1">
      <c r="A40" s="3" t="s">
        <v>1909</v>
      </c>
      <c r="B40" s="357"/>
      <c r="C40" s="357"/>
      <c r="D40" s="393"/>
      <c r="E40" s="1277"/>
      <c r="F40" s="1277"/>
      <c r="G40" s="1277"/>
    </row>
    <row r="41" spans="1:9" ht="14.25" customHeight="1">
      <c r="A41" s="1304" t="s">
        <v>1887</v>
      </c>
      <c r="B41" s="357"/>
      <c r="C41" s="357"/>
      <c r="D41" s="393"/>
      <c r="E41" s="1277"/>
      <c r="F41" s="1277"/>
      <c r="G41" s="1277"/>
    </row>
    <row r="42" spans="1:9" ht="14.25" customHeight="1">
      <c r="A42" s="131" t="s">
        <v>1910</v>
      </c>
      <c r="B42" s="357"/>
      <c r="C42" s="357"/>
      <c r="D42" s="393"/>
      <c r="E42" s="1277"/>
      <c r="F42" s="1277"/>
      <c r="G42" s="1277"/>
    </row>
    <row r="45" spans="1:9">
      <c r="A45" s="3" t="s">
        <v>395</v>
      </c>
    </row>
  </sheetData>
  <pageMargins left="0.59055118110236227" right="0.59055118110236227" top="0.78740157480314965" bottom="0.47244094488188981" header="0.47244094488188981" footer="0.51181102362204722"/>
  <pageSetup paperSize="9" scale="72"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6359-9391-A749-ADA3-824C9CF6F8EA}">
  <sheetPr>
    <pageSetUpPr fitToPage="1"/>
  </sheetPr>
  <dimension ref="A1:M44"/>
  <sheetViews>
    <sheetView zoomScaleNormal="100" workbookViewId="0">
      <selection activeCell="C37" sqref="C37"/>
    </sheetView>
  </sheetViews>
  <sheetFormatPr baseColWidth="10" defaultColWidth="11.3984375" defaultRowHeight="13"/>
  <cols>
    <col min="1" max="1" width="10.59765625" style="3" customWidth="1"/>
    <col min="2" max="3" width="19.3984375" style="3" customWidth="1"/>
    <col min="4" max="4" width="19" style="181" customWidth="1"/>
    <col min="5" max="5" width="7.59765625" style="181" customWidth="1"/>
    <col min="6" max="6" width="16.796875" style="181" customWidth="1"/>
    <col min="7" max="7" width="14.59765625" style="181" customWidth="1"/>
    <col min="8" max="8" width="18.59765625" style="181" customWidth="1"/>
    <col min="9" max="9" width="13" style="3" customWidth="1"/>
    <col min="10" max="16384" width="11.3984375" style="3"/>
  </cols>
  <sheetData>
    <row r="1" spans="1:13" s="2" customFormat="1" ht="14" customHeight="1">
      <c r="D1" s="161"/>
      <c r="E1" s="161"/>
      <c r="F1" s="161"/>
      <c r="G1" s="161"/>
      <c r="H1" s="161"/>
      <c r="K1" s="1281"/>
    </row>
    <row r="2" spans="1:13" s="2" customFormat="1" ht="25.25" customHeight="1">
      <c r="A2" s="2054" t="s">
        <v>1874</v>
      </c>
      <c r="B2" s="2055"/>
      <c r="C2" s="2055"/>
      <c r="D2" s="2055"/>
      <c r="E2" s="2064"/>
      <c r="F2" s="2055"/>
      <c r="G2" s="2055"/>
      <c r="H2" s="2055"/>
      <c r="K2" s="1027"/>
    </row>
    <row r="3" spans="1:13" s="266" customFormat="1" ht="24" customHeight="1">
      <c r="A3" s="1072" t="s">
        <v>426</v>
      </c>
      <c r="B3" s="2065" t="s">
        <v>1875</v>
      </c>
      <c r="C3" s="2065"/>
      <c r="D3" s="2065"/>
      <c r="E3" s="1298"/>
      <c r="F3" s="2066" t="s">
        <v>1876</v>
      </c>
      <c r="G3" s="2066"/>
      <c r="H3" s="2066"/>
      <c r="K3" s="1299"/>
    </row>
    <row r="4" spans="1:13" ht="15" customHeight="1">
      <c r="A4" s="112"/>
      <c r="B4" s="1300">
        <v>2012</v>
      </c>
      <c r="C4" s="1301">
        <v>2013</v>
      </c>
      <c r="D4" s="1300">
        <v>2014</v>
      </c>
      <c r="E4" s="1285"/>
      <c r="F4" s="114" t="s">
        <v>1829</v>
      </c>
      <c r="G4" s="226" t="s">
        <v>1877</v>
      </c>
      <c r="H4" s="114" t="s">
        <v>1878</v>
      </c>
      <c r="K4" s="1285"/>
    </row>
    <row r="5" spans="1:13" ht="15" customHeight="1">
      <c r="A5" s="112"/>
      <c r="B5" s="1300"/>
      <c r="C5" s="1301"/>
      <c r="D5" s="1300"/>
      <c r="E5" s="1302"/>
      <c r="F5" s="114" t="s">
        <v>1879</v>
      </c>
      <c r="G5" s="226" t="s">
        <v>1880</v>
      </c>
      <c r="H5" s="114" t="s">
        <v>1881</v>
      </c>
      <c r="K5" s="1285"/>
    </row>
    <row r="6" spans="1:13" ht="24" customHeight="1">
      <c r="A6" s="116"/>
      <c r="B6" s="117"/>
      <c r="C6" s="118"/>
      <c r="D6" s="169"/>
      <c r="E6" s="1289"/>
      <c r="F6" s="118" t="s">
        <v>1882</v>
      </c>
      <c r="G6" s="117"/>
      <c r="H6" s="118" t="s">
        <v>1883</v>
      </c>
      <c r="K6" s="1031"/>
    </row>
    <row r="7" spans="1:13" ht="30" customHeight="1" thickBot="1">
      <c r="A7" s="775" t="s">
        <v>434</v>
      </c>
      <c r="B7" s="132">
        <v>376506253</v>
      </c>
      <c r="C7" s="133">
        <v>380455554</v>
      </c>
      <c r="D7" s="132">
        <v>392163398</v>
      </c>
      <c r="E7" s="1303"/>
      <c r="F7" s="133">
        <v>1400485.5</v>
      </c>
      <c r="G7" s="132">
        <v>3033.788963049737</v>
      </c>
      <c r="H7" s="133">
        <v>1403519.2889630497</v>
      </c>
      <c r="J7" s="8"/>
      <c r="K7" s="1292"/>
    </row>
    <row r="8" spans="1:13" ht="20" customHeight="1" thickBot="1">
      <c r="A8" s="777" t="s">
        <v>435</v>
      </c>
      <c r="B8" s="132">
        <v>269361821</v>
      </c>
      <c r="C8" s="133">
        <v>269836339</v>
      </c>
      <c r="D8" s="132">
        <v>276361947</v>
      </c>
      <c r="E8" s="1303"/>
      <c r="F8" s="133">
        <v>988831.5</v>
      </c>
      <c r="G8" s="132">
        <v>244.2911111140445</v>
      </c>
      <c r="H8" s="133">
        <v>989075.79111111409</v>
      </c>
      <c r="J8" s="8"/>
      <c r="K8" s="1292"/>
    </row>
    <row r="9" spans="1:13" ht="20" customHeight="1" thickBot="1">
      <c r="A9" s="777" t="s">
        <v>436</v>
      </c>
      <c r="B9" s="132">
        <v>102246581</v>
      </c>
      <c r="C9" s="133">
        <v>104316310</v>
      </c>
      <c r="D9" s="132">
        <v>107333335</v>
      </c>
      <c r="E9" s="1303"/>
      <c r="F9" s="133">
        <v>384024</v>
      </c>
      <c r="G9" s="132">
        <v>112.83333336673334</v>
      </c>
      <c r="H9" s="133">
        <v>384136.83333336673</v>
      </c>
      <c r="J9" s="8"/>
      <c r="K9" s="1292"/>
    </row>
    <row r="10" spans="1:13" ht="20" customHeight="1" thickBot="1">
      <c r="A10" s="777" t="s">
        <v>437</v>
      </c>
      <c r="B10" s="132">
        <v>9561103</v>
      </c>
      <c r="C10" s="133">
        <v>9723021</v>
      </c>
      <c r="D10" s="132">
        <v>9932062</v>
      </c>
      <c r="E10" s="1303"/>
      <c r="F10" s="133">
        <v>35537.5</v>
      </c>
      <c r="G10" s="132">
        <v>8.5</v>
      </c>
      <c r="H10" s="133">
        <v>35546</v>
      </c>
      <c r="J10" s="8"/>
      <c r="K10" s="1292"/>
    </row>
    <row r="11" spans="1:13" ht="20" customHeight="1" thickBot="1">
      <c r="A11" s="777" t="s">
        <v>438</v>
      </c>
      <c r="B11" s="132">
        <v>39514487</v>
      </c>
      <c r="C11" s="133">
        <v>40477804</v>
      </c>
      <c r="D11" s="132">
        <v>41606913</v>
      </c>
      <c r="E11" s="1303"/>
      <c r="F11" s="133">
        <v>148867</v>
      </c>
      <c r="G11" s="132">
        <v>40.586666666700005</v>
      </c>
      <c r="H11" s="133">
        <v>148907.5866666667</v>
      </c>
      <c r="J11" s="8"/>
      <c r="K11" s="1292"/>
    </row>
    <row r="12" spans="1:13" ht="20" customHeight="1" thickBot="1">
      <c r="A12" s="777" t="s">
        <v>439</v>
      </c>
      <c r="B12" s="132">
        <v>9534835</v>
      </c>
      <c r="C12" s="133">
        <v>9834847</v>
      </c>
      <c r="D12" s="132">
        <v>10065412</v>
      </c>
      <c r="E12" s="1303"/>
      <c r="F12" s="133">
        <v>36000</v>
      </c>
      <c r="G12" s="132">
        <v>23.250000000300002</v>
      </c>
      <c r="H12" s="133">
        <v>36023.250000000298</v>
      </c>
      <c r="J12" s="8"/>
      <c r="K12" s="1292"/>
    </row>
    <row r="13" spans="1:13" ht="20" customHeight="1" thickBot="1">
      <c r="A13" s="777" t="s">
        <v>440</v>
      </c>
      <c r="B13" s="132">
        <v>11043943</v>
      </c>
      <c r="C13" s="133">
        <v>11306608</v>
      </c>
      <c r="D13" s="132">
        <v>11583610</v>
      </c>
      <c r="E13" s="1303"/>
      <c r="F13" s="133">
        <v>41447.5</v>
      </c>
      <c r="G13" s="132">
        <v>9.2500000000333333</v>
      </c>
      <c r="H13" s="133">
        <v>41456.750000000036</v>
      </c>
      <c r="J13" s="8"/>
      <c r="K13" s="1292"/>
    </row>
    <row r="14" spans="1:13" ht="20" customHeight="1" thickBot="1">
      <c r="A14" s="777" t="s">
        <v>441</v>
      </c>
      <c r="B14" s="132">
        <v>10519040</v>
      </c>
      <c r="C14" s="133">
        <v>10729701</v>
      </c>
      <c r="D14" s="132">
        <v>10986739</v>
      </c>
      <c r="E14" s="1303"/>
      <c r="F14" s="133">
        <v>39293</v>
      </c>
      <c r="G14" s="132">
        <v>27.601075268817169</v>
      </c>
      <c r="H14" s="133">
        <v>39320.601075268816</v>
      </c>
      <c r="J14" s="8"/>
      <c r="K14" s="1292"/>
    </row>
    <row r="15" spans="1:13" ht="20" customHeight="1" thickBot="1">
      <c r="A15" s="777" t="s">
        <v>442</v>
      </c>
      <c r="B15" s="132">
        <v>30588373</v>
      </c>
      <c r="C15" s="133">
        <v>31363774</v>
      </c>
      <c r="D15" s="132">
        <v>32404670</v>
      </c>
      <c r="E15" s="1303"/>
      <c r="F15" s="133">
        <v>115839.5</v>
      </c>
      <c r="G15" s="132">
        <v>134.04277777741115</v>
      </c>
      <c r="H15" s="133">
        <v>115973.54277777742</v>
      </c>
      <c r="J15" s="8"/>
      <c r="K15" s="1292"/>
    </row>
    <row r="16" spans="1:13" ht="20" customHeight="1" thickBot="1">
      <c r="A16" s="777" t="s">
        <v>443</v>
      </c>
      <c r="B16" s="132">
        <v>75325252</v>
      </c>
      <c r="C16" s="133">
        <v>77353042</v>
      </c>
      <c r="D16" s="132">
        <v>80500386</v>
      </c>
      <c r="E16" s="1303"/>
      <c r="F16" s="133">
        <v>288031.5</v>
      </c>
      <c r="G16" s="132">
        <v>72.500000000033367</v>
      </c>
      <c r="H16" s="133">
        <v>288104.00000000006</v>
      </c>
      <c r="J16" s="8"/>
      <c r="K16" s="1292"/>
      <c r="M16" s="3" t="s">
        <v>626</v>
      </c>
    </row>
    <row r="17" spans="1:13" ht="20" customHeight="1" thickBot="1">
      <c r="A17" s="777" t="s">
        <v>444</v>
      </c>
      <c r="B17" s="132">
        <v>69356452</v>
      </c>
      <c r="C17" s="133">
        <v>70388287</v>
      </c>
      <c r="D17" s="132">
        <v>72185573</v>
      </c>
      <c r="E17" s="1303"/>
      <c r="F17" s="133">
        <v>258136.5</v>
      </c>
      <c r="G17" s="132">
        <v>209.4966666666667</v>
      </c>
      <c r="H17" s="133">
        <v>258345.99666666667</v>
      </c>
      <c r="J17" s="8"/>
      <c r="K17" s="1292"/>
    </row>
    <row r="18" spans="1:13" ht="20" customHeight="1" thickBot="1">
      <c r="A18" s="777" t="s">
        <v>445</v>
      </c>
      <c r="B18" s="132">
        <v>54009026</v>
      </c>
      <c r="C18" s="133">
        <v>52253432</v>
      </c>
      <c r="D18" s="132">
        <v>53597665</v>
      </c>
      <c r="E18" s="1303"/>
      <c r="F18" s="133">
        <v>186840</v>
      </c>
      <c r="G18" s="132">
        <v>4981.4630300744939</v>
      </c>
      <c r="H18" s="133">
        <v>191821.46303007449</v>
      </c>
      <c r="J18" s="8"/>
      <c r="K18" s="1292"/>
    </row>
    <row r="19" spans="1:13" ht="20" customHeight="1" thickBot="1">
      <c r="A19" s="777" t="s">
        <v>446</v>
      </c>
      <c r="B19" s="132">
        <v>75117036</v>
      </c>
      <c r="C19" s="133">
        <v>76071244</v>
      </c>
      <c r="D19" s="132">
        <v>77745078</v>
      </c>
      <c r="E19" s="1303"/>
      <c r="F19" s="133">
        <v>275948.5</v>
      </c>
      <c r="G19" s="132">
        <v>2294.4911956989249</v>
      </c>
      <c r="H19" s="133">
        <v>278242.99119569891</v>
      </c>
      <c r="J19" s="8"/>
      <c r="K19" s="1292"/>
    </row>
    <row r="20" spans="1:13" ht="20" customHeight="1" thickBot="1">
      <c r="A20" s="777" t="s">
        <v>447</v>
      </c>
      <c r="B20" s="132">
        <v>21303527</v>
      </c>
      <c r="C20" s="133">
        <v>21582712</v>
      </c>
      <c r="D20" s="132">
        <v>22232602</v>
      </c>
      <c r="E20" s="1303"/>
      <c r="F20" s="133">
        <v>77547</v>
      </c>
      <c r="G20" s="132">
        <v>2021.5833333333337</v>
      </c>
      <c r="H20" s="133">
        <v>79568.583333333328</v>
      </c>
      <c r="J20" s="8"/>
      <c r="K20" s="1292"/>
    </row>
    <row r="21" spans="1:13" ht="20" customHeight="1" thickBot="1">
      <c r="A21" s="777" t="s">
        <v>448</v>
      </c>
      <c r="B21" s="132">
        <v>14494731</v>
      </c>
      <c r="C21" s="133">
        <v>14609173</v>
      </c>
      <c r="D21" s="132">
        <v>14924590</v>
      </c>
      <c r="E21" s="1303"/>
      <c r="F21" s="133">
        <v>53375.5</v>
      </c>
      <c r="G21" s="132">
        <v>38.333333332999999</v>
      </c>
      <c r="H21" s="133">
        <v>53413.833333333001</v>
      </c>
      <c r="J21" s="8"/>
      <c r="K21" s="1292"/>
    </row>
    <row r="22" spans="1:13" ht="20" customHeight="1" thickBot="1">
      <c r="A22" s="777" t="s">
        <v>449</v>
      </c>
      <c r="B22" s="132">
        <v>4267895</v>
      </c>
      <c r="C22" s="133">
        <v>4321479</v>
      </c>
      <c r="D22" s="132">
        <v>4398657</v>
      </c>
      <c r="E22" s="1303"/>
      <c r="F22" s="133">
        <v>15730</v>
      </c>
      <c r="G22" s="132">
        <v>12.41666663333333</v>
      </c>
      <c r="H22" s="133">
        <v>15742.416666633333</v>
      </c>
      <c r="J22" s="8"/>
      <c r="K22" s="1292"/>
    </row>
    <row r="23" spans="1:13" ht="20" customHeight="1" thickBot="1">
      <c r="A23" s="777" t="s">
        <v>450</v>
      </c>
      <c r="B23" s="132">
        <v>130529439</v>
      </c>
      <c r="C23" s="133">
        <v>132232540</v>
      </c>
      <c r="D23" s="132">
        <v>135695043</v>
      </c>
      <c r="E23" s="1303"/>
      <c r="F23" s="133">
        <v>485108</v>
      </c>
      <c r="G23" s="132">
        <v>532.96222221885546</v>
      </c>
      <c r="H23" s="133">
        <v>485640.96222221886</v>
      </c>
      <c r="J23" s="8"/>
      <c r="K23" s="1292"/>
    </row>
    <row r="24" spans="1:13" ht="20" customHeight="1" thickBot="1">
      <c r="A24" s="777" t="s">
        <v>451</v>
      </c>
      <c r="B24" s="132">
        <v>53557056</v>
      </c>
      <c r="C24" s="133">
        <v>53015149</v>
      </c>
      <c r="D24" s="132">
        <v>54125876</v>
      </c>
      <c r="E24" s="1303"/>
      <c r="F24" s="133">
        <v>193654</v>
      </c>
      <c r="G24" s="132">
        <v>57.884341935483874</v>
      </c>
      <c r="H24" s="133">
        <v>193711.88434193548</v>
      </c>
      <c r="J24" s="8"/>
      <c r="K24" s="1292"/>
    </row>
    <row r="25" spans="1:13" ht="20" customHeight="1" thickBot="1">
      <c r="A25" s="777" t="s">
        <v>452</v>
      </c>
      <c r="B25" s="132">
        <v>165058508</v>
      </c>
      <c r="C25" s="133">
        <v>169856944</v>
      </c>
      <c r="D25" s="132">
        <v>175146043</v>
      </c>
      <c r="E25" s="1303"/>
      <c r="F25" s="133">
        <v>622819</v>
      </c>
      <c r="G25" s="132">
        <v>4013.7195160956649</v>
      </c>
      <c r="H25" s="133">
        <v>626832.71951609571</v>
      </c>
      <c r="J25" s="8"/>
      <c r="K25" s="1292"/>
    </row>
    <row r="26" spans="1:13" ht="20" customHeight="1" thickBot="1">
      <c r="A26" s="777" t="s">
        <v>453</v>
      </c>
      <c r="B26" s="132">
        <v>67533118</v>
      </c>
      <c r="C26" s="133">
        <v>69172102</v>
      </c>
      <c r="D26" s="132">
        <v>71492913</v>
      </c>
      <c r="E26" s="1303"/>
      <c r="F26" s="133">
        <v>254093</v>
      </c>
      <c r="G26" s="132">
        <v>1774.026012903259</v>
      </c>
      <c r="H26" s="133">
        <v>255867.02601290325</v>
      </c>
      <c r="J26" s="8"/>
      <c r="K26" s="1292"/>
    </row>
    <row r="27" spans="1:13" ht="20" customHeight="1" thickBot="1">
      <c r="A27" s="777" t="s">
        <v>454</v>
      </c>
      <c r="B27" s="132">
        <v>91889481</v>
      </c>
      <c r="C27" s="133">
        <v>92246783</v>
      </c>
      <c r="D27" s="132">
        <v>94941540</v>
      </c>
      <c r="E27" s="1303"/>
      <c r="F27" s="133">
        <v>339297.5</v>
      </c>
      <c r="G27" s="132">
        <v>490.15831107451118</v>
      </c>
      <c r="H27" s="133">
        <v>339787.65831107448</v>
      </c>
      <c r="J27" s="8"/>
      <c r="K27" s="1292"/>
    </row>
    <row r="28" spans="1:13" ht="20" customHeight="1" thickBot="1">
      <c r="A28" s="777" t="s">
        <v>455</v>
      </c>
      <c r="B28" s="132">
        <v>194120155</v>
      </c>
      <c r="C28" s="133">
        <v>197713721</v>
      </c>
      <c r="D28" s="132">
        <v>204148390</v>
      </c>
      <c r="E28" s="1303"/>
      <c r="F28" s="133">
        <v>730150</v>
      </c>
      <c r="G28" s="132">
        <v>479.64252684868643</v>
      </c>
      <c r="H28" s="133">
        <v>730629.64252684871</v>
      </c>
      <c r="J28" s="8"/>
      <c r="K28" s="1292"/>
    </row>
    <row r="29" spans="1:13" ht="20" customHeight="1" thickBot="1">
      <c r="A29" s="777" t="s">
        <v>456</v>
      </c>
      <c r="B29" s="132">
        <v>83912393</v>
      </c>
      <c r="C29" s="133">
        <v>86468622</v>
      </c>
      <c r="D29" s="132">
        <v>89249080</v>
      </c>
      <c r="E29" s="1303"/>
      <c r="F29" s="133">
        <v>319377</v>
      </c>
      <c r="G29" s="132">
        <v>37.829999999966667</v>
      </c>
      <c r="H29" s="133">
        <v>319414.82999999996</v>
      </c>
      <c r="J29" s="8"/>
      <c r="K29" s="1292"/>
    </row>
    <row r="30" spans="1:13" ht="20" customHeight="1" thickBot="1">
      <c r="A30" s="777" t="s">
        <v>457</v>
      </c>
      <c r="B30" s="132">
        <v>47387442</v>
      </c>
      <c r="C30" s="133">
        <v>47433636</v>
      </c>
      <c r="D30" s="132">
        <v>48606681</v>
      </c>
      <c r="E30" s="1303"/>
      <c r="F30" s="133">
        <v>173868.5</v>
      </c>
      <c r="G30" s="132">
        <v>90.656525806351638</v>
      </c>
      <c r="H30" s="133">
        <v>173959.15652580635</v>
      </c>
      <c r="J30" s="8"/>
      <c r="K30" s="1292"/>
    </row>
    <row r="31" spans="1:13" ht="20" customHeight="1" thickBot="1">
      <c r="A31" s="777" t="s">
        <v>458</v>
      </c>
      <c r="B31" s="132">
        <v>125668337</v>
      </c>
      <c r="C31" s="133">
        <v>127335189</v>
      </c>
      <c r="D31" s="132">
        <v>130474097</v>
      </c>
      <c r="E31" s="1303"/>
      <c r="F31" s="133">
        <v>461817.5</v>
      </c>
      <c r="G31" s="132">
        <v>5138.1438550174016</v>
      </c>
      <c r="H31" s="133">
        <v>466955.64385501738</v>
      </c>
      <c r="K31" s="1292"/>
    </row>
    <row r="32" spans="1:13" ht="20" customHeight="1" thickBot="1">
      <c r="A32" s="777" t="s">
        <v>459</v>
      </c>
      <c r="B32" s="132">
        <v>18895437</v>
      </c>
      <c r="C32" s="133">
        <v>19339638</v>
      </c>
      <c r="D32" s="132">
        <v>19771890</v>
      </c>
      <c r="E32" s="1303"/>
      <c r="F32" s="133">
        <v>70742</v>
      </c>
      <c r="G32" s="132">
        <v>19.903333333333336</v>
      </c>
      <c r="H32" s="133">
        <v>70761.903333333335</v>
      </c>
      <c r="K32" s="1292"/>
      <c r="L32" s="9"/>
      <c r="M32" s="9"/>
    </row>
    <row r="33" spans="1:11" s="138" customFormat="1" ht="30" customHeight="1" thickBot="1">
      <c r="A33" s="1268" t="s">
        <v>462</v>
      </c>
      <c r="B33" s="136">
        <v>2151301721</v>
      </c>
      <c r="C33" s="137">
        <v>2179437651</v>
      </c>
      <c r="D33" s="136">
        <v>2241674190</v>
      </c>
      <c r="E33" s="190"/>
      <c r="F33" s="137">
        <v>7996861</v>
      </c>
      <c r="G33" s="136">
        <v>25899.354798217075</v>
      </c>
      <c r="H33" s="137">
        <v>8022760.3547982173</v>
      </c>
      <c r="I33" s="271"/>
      <c r="K33" s="1297"/>
    </row>
    <row r="34" spans="1:11" ht="20" customHeight="1">
      <c r="A34" s="1274" t="s">
        <v>1884</v>
      </c>
      <c r="B34" s="354"/>
      <c r="C34" s="354"/>
      <c r="D34" s="1275"/>
      <c r="E34" s="1277"/>
      <c r="F34" s="1275"/>
      <c r="G34" s="1275"/>
      <c r="H34" s="1275"/>
      <c r="I34" s="357"/>
    </row>
    <row r="35" spans="1:11" ht="14.25" customHeight="1">
      <c r="A35" s="1276"/>
      <c r="B35" s="357"/>
      <c r="C35" s="357"/>
      <c r="D35" s="1277"/>
      <c r="E35" s="1277"/>
      <c r="F35" s="1277"/>
      <c r="G35" s="1277"/>
      <c r="H35" s="1277"/>
      <c r="I35" s="357"/>
    </row>
    <row r="36" spans="1:11" ht="15.75" customHeight="1">
      <c r="A36" s="1276" t="s">
        <v>1885</v>
      </c>
      <c r="B36" s="357"/>
      <c r="C36" s="357"/>
      <c r="D36" s="1277"/>
      <c r="E36" s="1277"/>
      <c r="F36" s="1277"/>
      <c r="G36" s="1277"/>
      <c r="H36" s="1277"/>
      <c r="I36" s="357"/>
    </row>
    <row r="37" spans="1:11" ht="15.75" customHeight="1">
      <c r="A37" s="1276"/>
      <c r="B37" s="357"/>
      <c r="C37" s="357"/>
      <c r="D37" s="1277"/>
      <c r="E37" s="1277"/>
      <c r="F37" s="1277"/>
      <c r="G37" s="1277"/>
      <c r="H37" s="1277"/>
      <c r="I37" s="357"/>
    </row>
    <row r="38" spans="1:11" ht="15.75" customHeight="1">
      <c r="A38" s="3" t="s">
        <v>1886</v>
      </c>
      <c r="B38" s="357"/>
      <c r="C38" s="357"/>
      <c r="D38" s="1277"/>
      <c r="E38" s="1277"/>
      <c r="F38" s="1277"/>
      <c r="G38" s="1277"/>
      <c r="H38" s="1277"/>
      <c r="I38" s="357"/>
    </row>
    <row r="39" spans="1:11" ht="15.75" customHeight="1">
      <c r="A39" s="1304" t="s">
        <v>1887</v>
      </c>
      <c r="B39" s="357"/>
      <c r="C39" s="357"/>
      <c r="D39" s="1277"/>
      <c r="E39" s="1277"/>
      <c r="F39" s="1277"/>
      <c r="G39" s="1277"/>
      <c r="H39" s="1277"/>
      <c r="I39" s="357"/>
    </row>
    <row r="40" spans="1:11" ht="15.75" customHeight="1">
      <c r="A40" s="3" t="s">
        <v>1888</v>
      </c>
      <c r="B40" s="357"/>
      <c r="C40" s="357"/>
      <c r="D40" s="1277"/>
      <c r="E40" s="1277"/>
      <c r="F40" s="1277"/>
      <c r="G40" s="1277"/>
      <c r="H40" s="1277"/>
      <c r="I40" s="357"/>
    </row>
    <row r="41" spans="1:11" ht="15.75" customHeight="1">
      <c r="A41" s="3" t="s">
        <v>1889</v>
      </c>
      <c r="B41" s="357"/>
      <c r="C41" s="357"/>
      <c r="D41" s="1277"/>
      <c r="E41" s="1277"/>
      <c r="F41" s="1277"/>
      <c r="G41" s="1277"/>
      <c r="H41" s="1277"/>
      <c r="I41" s="357"/>
    </row>
    <row r="42" spans="1:11" ht="15.75" customHeight="1">
      <c r="B42" s="357"/>
      <c r="C42" s="357"/>
      <c r="D42" s="1277"/>
      <c r="E42" s="1277"/>
      <c r="F42" s="1277"/>
      <c r="G42" s="1277"/>
      <c r="H42" s="1277"/>
      <c r="I42" s="357"/>
    </row>
    <row r="44" spans="1:11">
      <c r="A44" s="3" t="s">
        <v>395</v>
      </c>
    </row>
  </sheetData>
  <mergeCells count="3">
    <mergeCell ref="A2:H2"/>
    <mergeCell ref="B3:D3"/>
    <mergeCell ref="F3:H3"/>
  </mergeCells>
  <pageMargins left="0.59055118110236227" right="0.59055118110236227" top="0.78740157480314965" bottom="0.47244094488188981" header="0.47244094488188981" footer="0.51181102362204722"/>
  <pageSetup paperSize="9" scale="72" orientation="portrait" horizontalDpi="1200" verticalDpi="12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3ABCE-1ADC-9F49-BDA2-794430F9F640}">
  <dimension ref="A1:M55"/>
  <sheetViews>
    <sheetView zoomScaleNormal="100" workbookViewId="0">
      <selection activeCell="C53" sqref="C53"/>
    </sheetView>
  </sheetViews>
  <sheetFormatPr baseColWidth="10" defaultColWidth="11.3984375" defaultRowHeight="13"/>
  <cols>
    <col min="1" max="1" width="10.59765625" style="3" customWidth="1"/>
    <col min="2" max="3" width="14.59765625" style="3" customWidth="1"/>
    <col min="4" max="4" width="14.59765625" style="181" customWidth="1"/>
    <col min="5" max="5" width="18.59765625" style="3" customWidth="1"/>
    <col min="6" max="6" width="18.59765625" style="283" customWidth="1"/>
    <col min="7" max="7" width="17.796875" style="3" customWidth="1"/>
    <col min="8" max="12" width="11.3984375" style="3"/>
    <col min="13" max="13" width="17.59765625" style="3" customWidth="1"/>
    <col min="14" max="16384" width="11.3984375" style="3"/>
  </cols>
  <sheetData>
    <row r="1" spans="1:12" s="2" customFormat="1" ht="14" customHeight="1">
      <c r="D1" s="161"/>
      <c r="F1" s="327"/>
      <c r="I1" s="1281"/>
    </row>
    <row r="2" spans="1:12" s="2" customFormat="1" ht="25.25" customHeight="1">
      <c r="A2" s="2054" t="s">
        <v>1862</v>
      </c>
      <c r="B2" s="2055"/>
      <c r="C2" s="2055"/>
      <c r="D2" s="2055"/>
      <c r="E2" s="2055"/>
      <c r="F2" s="2055"/>
      <c r="G2" s="442">
        <v>2012</v>
      </c>
      <c r="I2" s="1027"/>
    </row>
    <row r="3" spans="1:12" ht="24" customHeight="1">
      <c r="A3" s="109" t="s">
        <v>426</v>
      </c>
      <c r="B3" s="344" t="s">
        <v>1863</v>
      </c>
      <c r="C3" s="1282"/>
      <c r="D3" s="1282"/>
      <c r="E3" s="155" t="s">
        <v>256</v>
      </c>
      <c r="F3" s="397" t="s">
        <v>1864</v>
      </c>
      <c r="G3" s="155" t="s">
        <v>256</v>
      </c>
      <c r="I3" s="1030"/>
    </row>
    <row r="4" spans="1:12" ht="15" customHeight="1">
      <c r="A4" s="112"/>
      <c r="B4" s="113" t="s">
        <v>482</v>
      </c>
      <c r="C4" s="115" t="s">
        <v>483</v>
      </c>
      <c r="D4" s="113" t="s">
        <v>230</v>
      </c>
      <c r="E4" s="1283" t="s">
        <v>257</v>
      </c>
      <c r="F4" s="1284" t="s">
        <v>262</v>
      </c>
      <c r="G4" s="1283" t="s">
        <v>257</v>
      </c>
      <c r="I4" s="1285"/>
    </row>
    <row r="5" spans="1:12" s="129" customFormat="1" ht="24" customHeight="1">
      <c r="A5" s="401"/>
      <c r="B5" s="1286"/>
      <c r="C5" s="780"/>
      <c r="D5" s="143"/>
      <c r="E5" s="1287" t="s">
        <v>258</v>
      </c>
      <c r="F5" s="1288"/>
      <c r="G5" s="1287" t="s">
        <v>258</v>
      </c>
      <c r="I5" s="1289"/>
      <c r="J5" s="1290"/>
    </row>
    <row r="6" spans="1:12" ht="30" customHeight="1" thickBot="1">
      <c r="A6" s="775" t="s">
        <v>434</v>
      </c>
      <c r="B6" s="320">
        <v>9018</v>
      </c>
      <c r="C6" s="321">
        <v>6122</v>
      </c>
      <c r="D6" s="320">
        <v>15140</v>
      </c>
      <c r="E6" s="681">
        <v>0.33875674241754355</v>
      </c>
      <c r="F6" s="1291">
        <v>31805236</v>
      </c>
      <c r="G6" s="1259">
        <v>0.2372934638750919</v>
      </c>
      <c r="H6" s="8"/>
      <c r="I6" s="1292"/>
      <c r="L6" s="8"/>
    </row>
    <row r="7" spans="1:12" ht="20" customHeight="1" thickBot="1">
      <c r="A7" s="777" t="s">
        <v>435</v>
      </c>
      <c r="B7" s="134">
        <v>9198</v>
      </c>
      <c r="C7" s="135">
        <v>10225</v>
      </c>
      <c r="D7" s="134">
        <v>19423</v>
      </c>
      <c r="E7" s="159">
        <v>-8.948996812300769E-2</v>
      </c>
      <c r="F7" s="1293">
        <v>26517904.469999999</v>
      </c>
      <c r="G7" s="1262">
        <v>6.0273323838099253E-2</v>
      </c>
      <c r="H7" s="8"/>
      <c r="I7" s="1292"/>
      <c r="L7" s="8"/>
    </row>
    <row r="8" spans="1:12" ht="20" customHeight="1" thickBot="1">
      <c r="A8" s="777" t="s">
        <v>436</v>
      </c>
      <c r="B8" s="134">
        <v>1851</v>
      </c>
      <c r="C8" s="135">
        <v>1513</v>
      </c>
      <c r="D8" s="134">
        <v>3364</v>
      </c>
      <c r="E8" s="159">
        <v>-0.12509752925877762</v>
      </c>
      <c r="F8" s="1293">
        <v>3915073.05</v>
      </c>
      <c r="G8" s="1262">
        <v>-5.9748889191492842E-2</v>
      </c>
      <c r="H8" s="8"/>
      <c r="I8" s="1292"/>
      <c r="L8" s="8"/>
    </row>
    <row r="9" spans="1:12" ht="20" customHeight="1" thickBot="1">
      <c r="A9" s="777" t="s">
        <v>437</v>
      </c>
      <c r="B9" s="134"/>
      <c r="C9" s="135"/>
      <c r="D9" s="134"/>
      <c r="E9" s="159">
        <v>-1</v>
      </c>
      <c r="F9" s="1293"/>
      <c r="G9" s="1262">
        <v>-1</v>
      </c>
      <c r="H9" s="8"/>
      <c r="I9" s="1292"/>
      <c r="L9" s="8"/>
    </row>
    <row r="10" spans="1:12" ht="20" customHeight="1" thickBot="1">
      <c r="A10" s="777" t="s">
        <v>438</v>
      </c>
      <c r="B10" s="134">
        <v>118</v>
      </c>
      <c r="C10" s="135">
        <v>53</v>
      </c>
      <c r="D10" s="134">
        <v>171</v>
      </c>
      <c r="E10" s="159">
        <v>-0.69947275922671348</v>
      </c>
      <c r="F10" s="614">
        <v>375435.3</v>
      </c>
      <c r="G10" s="1262">
        <v>-0.70760872083639093</v>
      </c>
      <c r="H10" s="8"/>
      <c r="I10" s="1292"/>
      <c r="L10" s="8"/>
    </row>
    <row r="11" spans="1:12" ht="20" customHeight="1" thickBot="1">
      <c r="A11" s="777" t="s">
        <v>439</v>
      </c>
      <c r="B11" s="134"/>
      <c r="C11" s="135"/>
      <c r="D11" s="134"/>
      <c r="E11" s="159"/>
      <c r="F11" s="1293"/>
      <c r="G11" s="1262"/>
      <c r="H11" s="8"/>
      <c r="I11" s="1292"/>
      <c r="L11" s="8"/>
    </row>
    <row r="12" spans="1:12" ht="20" customHeight="1" thickBot="1">
      <c r="A12" s="777" t="s">
        <v>440</v>
      </c>
      <c r="B12" s="134"/>
      <c r="C12" s="135"/>
      <c r="D12" s="134"/>
      <c r="E12" s="159"/>
      <c r="F12" s="1293"/>
      <c r="G12" s="1262"/>
      <c r="H12" s="8"/>
      <c r="I12" s="1292"/>
      <c r="L12" s="8"/>
    </row>
    <row r="13" spans="1:12" ht="20" customHeight="1" thickBot="1">
      <c r="A13" s="777" t="s">
        <v>441</v>
      </c>
      <c r="B13" s="134" t="s">
        <v>29</v>
      </c>
      <c r="C13" s="135" t="s">
        <v>29</v>
      </c>
      <c r="D13" s="134">
        <v>132</v>
      </c>
      <c r="E13" s="159">
        <v>-0.57827476038338654</v>
      </c>
      <c r="F13" s="614">
        <v>255753</v>
      </c>
      <c r="G13" s="1262">
        <v>-0.71521835230556297</v>
      </c>
      <c r="H13" s="8"/>
      <c r="I13" s="1292"/>
      <c r="L13" s="8"/>
    </row>
    <row r="14" spans="1:12" ht="20" customHeight="1" thickBot="1">
      <c r="A14" s="777" t="s">
        <v>442</v>
      </c>
      <c r="B14" s="134"/>
      <c r="C14" s="135"/>
      <c r="D14" s="134"/>
      <c r="E14" s="159"/>
      <c r="F14" s="1293"/>
      <c r="G14" s="1262"/>
      <c r="H14" s="8"/>
      <c r="I14" s="1292"/>
      <c r="L14" s="8"/>
    </row>
    <row r="15" spans="1:12" ht="20" customHeight="1" thickBot="1">
      <c r="A15" s="777" t="s">
        <v>443</v>
      </c>
      <c r="B15" s="134">
        <v>5236</v>
      </c>
      <c r="C15" s="135">
        <v>3906</v>
      </c>
      <c r="D15" s="134">
        <v>9142</v>
      </c>
      <c r="E15" s="159">
        <v>0.43291536050156743</v>
      </c>
      <c r="F15" s="614">
        <v>10999750</v>
      </c>
      <c r="G15" s="1262">
        <v>0.81876579055278509</v>
      </c>
      <c r="H15" s="8"/>
      <c r="I15" s="1292"/>
      <c r="L15" s="8"/>
    </row>
    <row r="16" spans="1:12" ht="20" customHeight="1" thickBot="1">
      <c r="A16" s="777" t="s">
        <v>444</v>
      </c>
      <c r="B16" s="134" t="s">
        <v>29</v>
      </c>
      <c r="C16" s="135" t="s">
        <v>29</v>
      </c>
      <c r="D16" s="134" t="s">
        <v>29</v>
      </c>
      <c r="E16" s="159" t="s">
        <v>29</v>
      </c>
      <c r="F16" s="134" t="s">
        <v>29</v>
      </c>
      <c r="G16" s="1262" t="s">
        <v>29</v>
      </c>
      <c r="H16" s="8"/>
      <c r="I16" s="1292"/>
      <c r="L16" s="8"/>
    </row>
    <row r="17" spans="1:13" ht="20" customHeight="1" thickBot="1">
      <c r="A17" s="777" t="s">
        <v>445</v>
      </c>
      <c r="B17" s="134" t="s">
        <v>29</v>
      </c>
      <c r="C17" s="135" t="s">
        <v>29</v>
      </c>
      <c r="D17" s="134" t="s">
        <v>29</v>
      </c>
      <c r="E17" s="159" t="s">
        <v>29</v>
      </c>
      <c r="F17" s="614">
        <v>13533165</v>
      </c>
      <c r="G17" s="1262">
        <v>1.0775717101217175</v>
      </c>
      <c r="H17" s="8"/>
      <c r="I17" s="1292"/>
      <c r="L17" s="8"/>
    </row>
    <row r="18" spans="1:13" ht="20" customHeight="1" thickBot="1">
      <c r="A18" s="777" t="s">
        <v>446</v>
      </c>
      <c r="B18" s="134" t="s">
        <v>29</v>
      </c>
      <c r="C18" s="135" t="s">
        <v>29</v>
      </c>
      <c r="D18" s="134" t="s">
        <v>29</v>
      </c>
      <c r="E18" s="159" t="s">
        <v>29</v>
      </c>
      <c r="F18" s="614">
        <v>815866.05</v>
      </c>
      <c r="G18" s="1262">
        <v>-0.57754399364140752</v>
      </c>
      <c r="H18" s="8"/>
      <c r="I18" s="1292"/>
      <c r="L18" s="8"/>
    </row>
    <row r="19" spans="1:13" ht="20" customHeight="1" thickBot="1">
      <c r="A19" s="777" t="s">
        <v>447</v>
      </c>
      <c r="B19" s="134"/>
      <c r="C19" s="135"/>
      <c r="D19" s="134"/>
      <c r="E19" s="159"/>
      <c r="F19" s="614"/>
      <c r="G19" s="1262"/>
      <c r="H19" s="8"/>
      <c r="I19" s="1292"/>
      <c r="L19" s="8"/>
    </row>
    <row r="20" spans="1:13" ht="20" customHeight="1" thickBot="1">
      <c r="A20" s="777" t="s">
        <v>448</v>
      </c>
      <c r="B20" s="134">
        <v>174</v>
      </c>
      <c r="C20" s="135">
        <v>160</v>
      </c>
      <c r="D20" s="134">
        <v>334</v>
      </c>
      <c r="E20" s="159">
        <v>-0.38715596330275232</v>
      </c>
      <c r="F20" s="614">
        <v>267047</v>
      </c>
      <c r="G20" s="1262">
        <v>-0.5256461267918362</v>
      </c>
      <c r="H20" s="8"/>
      <c r="I20" s="1292"/>
      <c r="L20" s="8"/>
    </row>
    <row r="21" spans="1:13" ht="20" customHeight="1" thickBot="1">
      <c r="A21" s="777" t="s">
        <v>449</v>
      </c>
      <c r="B21" s="134">
        <v>5</v>
      </c>
      <c r="C21" s="135">
        <v>4</v>
      </c>
      <c r="D21" s="134">
        <v>9</v>
      </c>
      <c r="E21" s="159">
        <v>-0.30769230769230771</v>
      </c>
      <c r="F21" s="614">
        <v>15299</v>
      </c>
      <c r="G21" s="1262">
        <v>0.15516460283902145</v>
      </c>
      <c r="H21" s="8"/>
      <c r="I21" s="1292"/>
      <c r="L21" s="8"/>
    </row>
    <row r="22" spans="1:13" ht="20" customHeight="1" thickBot="1">
      <c r="A22" s="777" t="s">
        <v>450</v>
      </c>
      <c r="B22" s="134">
        <v>2390</v>
      </c>
      <c r="C22" s="135">
        <v>2390</v>
      </c>
      <c r="D22" s="134">
        <v>4780</v>
      </c>
      <c r="E22" s="159">
        <v>-5.1210797935688765E-2</v>
      </c>
      <c r="F22" s="614">
        <v>6463500</v>
      </c>
      <c r="G22" s="1262">
        <v>-0.11026860293656099</v>
      </c>
      <c r="H22" s="8"/>
      <c r="I22" s="1292"/>
      <c r="L22" s="8"/>
    </row>
    <row r="23" spans="1:13" ht="20" customHeight="1" thickBot="1">
      <c r="A23" s="777" t="s">
        <v>451</v>
      </c>
      <c r="B23" s="134"/>
      <c r="C23" s="135"/>
      <c r="D23" s="134"/>
      <c r="E23" s="159"/>
      <c r="F23" s="614"/>
      <c r="G23" s="1262"/>
      <c r="H23" s="8"/>
      <c r="I23" s="1292"/>
      <c r="L23" s="8"/>
    </row>
    <row r="24" spans="1:13" ht="20" customHeight="1" thickBot="1">
      <c r="A24" s="777" t="s">
        <v>452</v>
      </c>
      <c r="B24" s="134">
        <v>143</v>
      </c>
      <c r="C24" s="135">
        <v>113</v>
      </c>
      <c r="D24" s="134">
        <v>256</v>
      </c>
      <c r="E24" s="159">
        <v>-0.7142857142857143</v>
      </c>
      <c r="F24" s="614">
        <v>8000000</v>
      </c>
      <c r="G24" s="1262">
        <v>3.7467349880055942</v>
      </c>
      <c r="H24" s="8"/>
      <c r="I24" s="1292"/>
      <c r="L24" s="8"/>
    </row>
    <row r="25" spans="1:13" ht="20" customHeight="1" thickBot="1">
      <c r="A25" s="777" t="s">
        <v>453</v>
      </c>
      <c r="B25" s="134" t="s">
        <v>29</v>
      </c>
      <c r="C25" s="135" t="s">
        <v>29</v>
      </c>
      <c r="D25" s="134" t="s">
        <v>29</v>
      </c>
      <c r="E25" s="159" t="s">
        <v>29</v>
      </c>
      <c r="F25" s="614">
        <v>1320733.5</v>
      </c>
      <c r="G25" s="1262">
        <v>-0.15265028254967075</v>
      </c>
      <c r="H25" s="8"/>
      <c r="I25" s="1292"/>
      <c r="L25" s="8"/>
    </row>
    <row r="26" spans="1:13" ht="20" customHeight="1" thickBot="1">
      <c r="A26" s="777" t="s">
        <v>454</v>
      </c>
      <c r="B26" s="134" t="s">
        <v>29</v>
      </c>
      <c r="C26" s="135" t="s">
        <v>29</v>
      </c>
      <c r="D26" s="134" t="s">
        <v>29</v>
      </c>
      <c r="E26" s="159" t="s">
        <v>29</v>
      </c>
      <c r="F26" s="614">
        <v>7149966.7000000002</v>
      </c>
      <c r="G26" s="1262">
        <v>-0.31211684639702081</v>
      </c>
      <c r="H26" s="8"/>
      <c r="I26" s="1292"/>
      <c r="L26" s="8"/>
    </row>
    <row r="27" spans="1:13" ht="20" customHeight="1" thickBot="1">
      <c r="A27" s="777" t="s">
        <v>455</v>
      </c>
      <c r="B27" s="134">
        <v>6600</v>
      </c>
      <c r="C27" s="135">
        <v>5717</v>
      </c>
      <c r="D27" s="134">
        <v>12317</v>
      </c>
      <c r="E27" s="159" t="s">
        <v>29</v>
      </c>
      <c r="F27" s="614">
        <v>37378937</v>
      </c>
      <c r="G27" s="1262">
        <v>2.81523151125057E-2</v>
      </c>
      <c r="H27" s="8"/>
      <c r="I27" s="1292"/>
      <c r="L27" s="8"/>
    </row>
    <row r="28" spans="1:13" ht="20" customHeight="1" thickBot="1">
      <c r="A28" s="777" t="s">
        <v>456</v>
      </c>
      <c r="B28" s="134" t="s">
        <v>29</v>
      </c>
      <c r="C28" s="135" t="s">
        <v>29</v>
      </c>
      <c r="D28" s="134" t="s">
        <v>29</v>
      </c>
      <c r="E28" s="159" t="s">
        <v>29</v>
      </c>
      <c r="F28" s="614">
        <v>9823970.6500000004</v>
      </c>
      <c r="G28" s="1262">
        <v>-6.4343744304161218E-2</v>
      </c>
      <c r="H28" s="8"/>
      <c r="I28" s="1292"/>
      <c r="L28" s="8"/>
    </row>
    <row r="29" spans="1:13" ht="20" customHeight="1" thickBot="1">
      <c r="A29" s="777" t="s">
        <v>457</v>
      </c>
      <c r="B29" s="134" t="s">
        <v>29</v>
      </c>
      <c r="C29" s="135" t="s">
        <v>29</v>
      </c>
      <c r="D29" s="134" t="s">
        <v>29</v>
      </c>
      <c r="E29" s="159" t="s">
        <v>29</v>
      </c>
      <c r="F29" s="614">
        <v>10470082</v>
      </c>
      <c r="G29" s="1262">
        <v>4.0221896370269995E-2</v>
      </c>
      <c r="H29" s="8"/>
      <c r="I29" s="1292"/>
      <c r="J29" s="1265"/>
      <c r="K29" s="1265"/>
      <c r="L29" s="1266"/>
      <c r="M29" s="1266"/>
    </row>
    <row r="30" spans="1:13" ht="20" customHeight="1" thickBot="1">
      <c r="A30" s="777" t="s">
        <v>458</v>
      </c>
      <c r="B30" s="134">
        <v>11197</v>
      </c>
      <c r="C30" s="135">
        <v>8852</v>
      </c>
      <c r="D30" s="134">
        <v>20049</v>
      </c>
      <c r="E30" s="159">
        <v>-0.17632800624460787</v>
      </c>
      <c r="F30" s="614">
        <v>31610993.900000002</v>
      </c>
      <c r="G30" s="1262">
        <v>-0.17907394495399775</v>
      </c>
      <c r="I30" s="1292"/>
      <c r="L30" s="8"/>
    </row>
    <row r="31" spans="1:13" ht="20" customHeight="1" thickBot="1">
      <c r="A31" s="777" t="s">
        <v>459</v>
      </c>
      <c r="B31" s="134" t="s">
        <v>29</v>
      </c>
      <c r="C31" s="135" t="s">
        <v>29</v>
      </c>
      <c r="D31" s="134" t="s">
        <v>29</v>
      </c>
      <c r="E31" s="159" t="s">
        <v>29</v>
      </c>
      <c r="F31" s="614">
        <v>2118798.15</v>
      </c>
      <c r="G31" s="1262">
        <v>-0.40605456529445244</v>
      </c>
      <c r="I31" s="1292"/>
      <c r="J31" s="1267"/>
      <c r="K31" s="1267"/>
      <c r="L31" s="8"/>
    </row>
    <row r="32" spans="1:13" s="138" customFormat="1" ht="30" customHeight="1" thickBot="1">
      <c r="A32" s="1268" t="s">
        <v>1865</v>
      </c>
      <c r="B32" s="1294">
        <v>45930</v>
      </c>
      <c r="C32" s="1110">
        <v>39055</v>
      </c>
      <c r="D32" s="1294">
        <v>85117</v>
      </c>
      <c r="E32" s="1295">
        <v>-3.1495704613984182E-2</v>
      </c>
      <c r="F32" s="1294">
        <v>202837510.77000001</v>
      </c>
      <c r="G32" s="1296">
        <v>4.3554731964389727E-2</v>
      </c>
      <c r="I32" s="1297"/>
    </row>
    <row r="33" spans="1:9" ht="20" customHeight="1">
      <c r="A33" s="1274" t="s">
        <v>1866</v>
      </c>
      <c r="B33" s="354"/>
      <c r="C33" s="354"/>
      <c r="D33" s="1275"/>
      <c r="E33" s="354"/>
      <c r="F33" s="354"/>
      <c r="G33" s="357"/>
    </row>
    <row r="34" spans="1:9" ht="14.25" customHeight="1">
      <c r="A34" s="1276"/>
      <c r="B34" s="357"/>
      <c r="C34" s="357"/>
      <c r="D34" s="1277"/>
      <c r="E34" s="357"/>
      <c r="F34" s="357"/>
      <c r="G34" s="357"/>
    </row>
    <row r="35" spans="1:9" ht="15.75" customHeight="1">
      <c r="A35" s="1276" t="s">
        <v>1857</v>
      </c>
      <c r="B35" s="357"/>
      <c r="C35" s="357"/>
      <c r="D35" s="1277"/>
      <c r="E35" s="357"/>
      <c r="F35" s="357"/>
      <c r="G35" s="357"/>
    </row>
    <row r="36" spans="1:9" ht="15.75" customHeight="1">
      <c r="A36" s="1276"/>
      <c r="B36" s="357"/>
      <c r="C36" s="357"/>
      <c r="D36" s="1277"/>
      <c r="E36" s="357"/>
      <c r="F36" s="357"/>
      <c r="G36" s="357"/>
    </row>
    <row r="37" spans="1:9">
      <c r="A37" s="60" t="s">
        <v>1867</v>
      </c>
    </row>
    <row r="38" spans="1:9" ht="12.75" customHeight="1">
      <c r="A38" s="1276" t="s">
        <v>1868</v>
      </c>
      <c r="B38" s="357"/>
      <c r="C38" s="357"/>
      <c r="D38" s="1277"/>
      <c r="E38" s="357"/>
      <c r="F38" s="357"/>
      <c r="G38" s="357"/>
    </row>
    <row r="39" spans="1:9" s="4" customFormat="1" ht="12.75" customHeight="1">
      <c r="A39" s="60" t="s">
        <v>1869</v>
      </c>
      <c r="B39" s="1278"/>
      <c r="C39" s="1279"/>
      <c r="D39" s="1279"/>
      <c r="E39" s="1280"/>
      <c r="F39" s="1280"/>
      <c r="G39" s="1280"/>
      <c r="H39" s="1280"/>
      <c r="I39" s="1280"/>
    </row>
    <row r="40" spans="1:9" s="4" customFormat="1" ht="12.75" customHeight="1">
      <c r="A40" s="60" t="s">
        <v>1870</v>
      </c>
      <c r="B40" s="1278"/>
      <c r="C40" s="1279"/>
      <c r="D40" s="1279"/>
      <c r="E40" s="1280"/>
      <c r="F40" s="1280"/>
      <c r="G40" s="1280"/>
      <c r="H40" s="1280"/>
      <c r="I40" s="1280"/>
    </row>
    <row r="41" spans="1:9" ht="12.75" customHeight="1">
      <c r="A41" s="1278" t="s">
        <v>1871</v>
      </c>
      <c r="B41" s="60"/>
      <c r="C41" s="60"/>
      <c r="D41" s="60"/>
      <c r="E41" s="60"/>
      <c r="F41" s="60"/>
    </row>
    <row r="42" spans="1:9" ht="12.75" customHeight="1">
      <c r="A42" s="3" t="s">
        <v>1872</v>
      </c>
    </row>
    <row r="43" spans="1:9" ht="12.75" customHeight="1">
      <c r="A43" s="1278" t="s">
        <v>1873</v>
      </c>
    </row>
    <row r="46" spans="1:9">
      <c r="A46" s="3" t="s">
        <v>395</v>
      </c>
    </row>
    <row r="48" spans="1:9">
      <c r="A48" s="60"/>
    </row>
    <row r="50" spans="1:10">
      <c r="A50" s="1278"/>
    </row>
    <row r="51" spans="1:10" ht="20" customHeight="1">
      <c r="A51" s="60"/>
    </row>
    <row r="52" spans="1:10" ht="11.25" customHeight="1"/>
    <row r="53" spans="1:10" ht="14.25" customHeight="1"/>
    <row r="54" spans="1:10" ht="13.5" customHeight="1"/>
    <row r="55" spans="1:10" s="4" customFormat="1">
      <c r="A55" s="3"/>
      <c r="B55" s="3"/>
      <c r="C55" s="3"/>
      <c r="D55" s="181"/>
      <c r="E55" s="3"/>
      <c r="F55" s="283"/>
      <c r="G55" s="3"/>
      <c r="H55" s="3"/>
      <c r="I55" s="3"/>
      <c r="J55" s="3"/>
    </row>
  </sheetData>
  <mergeCells count="1">
    <mergeCell ref="A2:F2"/>
  </mergeCells>
  <pageMargins left="0.59055118110236227" right="0.59055118110236227" top="0.78740157480314965" bottom="0.47244094488188981" header="0.47244094488188981" footer="0.51181102362204722"/>
  <pageSetup paperSize="9" scale="82" orientation="portrait" horizontalDpi="1200" verticalDpi="12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0E47-071F-134A-B39B-64D7DA8CEB4E}">
  <dimension ref="A1:N52"/>
  <sheetViews>
    <sheetView zoomScaleNormal="100" workbookViewId="0">
      <selection activeCell="B71" sqref="B71"/>
    </sheetView>
  </sheetViews>
  <sheetFormatPr baseColWidth="10" defaultColWidth="11.3984375" defaultRowHeight="13"/>
  <cols>
    <col min="1" max="1" width="10.59765625" style="3" customWidth="1"/>
    <col min="2" max="3" width="12.59765625" style="3" customWidth="1"/>
    <col min="4" max="4" width="12.59765625" style="181" customWidth="1"/>
    <col min="5" max="5" width="12.59765625" style="3" customWidth="1"/>
    <col min="6" max="6" width="12.59765625" style="283" customWidth="1"/>
    <col min="7" max="8" width="12.59765625" style="3" customWidth="1"/>
    <col min="9" max="9" width="17.59765625" style="283" customWidth="1"/>
    <col min="10" max="13" width="11.3984375" style="3"/>
    <col min="14" max="14" width="17.59765625" style="3" customWidth="1"/>
    <col min="15" max="16384" width="11.3984375" style="3"/>
  </cols>
  <sheetData>
    <row r="1" spans="1:13" s="2" customFormat="1" ht="14" customHeight="1">
      <c r="D1" s="161"/>
      <c r="F1" s="327"/>
      <c r="I1" s="327"/>
    </row>
    <row r="2" spans="1:13" s="2" customFormat="1" ht="25.25" customHeight="1">
      <c r="A2" s="2054" t="s">
        <v>1853</v>
      </c>
      <c r="B2" s="2055"/>
      <c r="C2" s="2055"/>
      <c r="D2" s="2055"/>
      <c r="E2" s="2055"/>
      <c r="F2" s="2055"/>
      <c r="G2" s="2060"/>
      <c r="H2" s="2060"/>
      <c r="I2" s="2060"/>
    </row>
    <row r="3" spans="1:13" ht="24" customHeight="1">
      <c r="A3" s="109" t="s">
        <v>426</v>
      </c>
      <c r="B3" s="1248" t="s">
        <v>1854</v>
      </c>
      <c r="C3" s="1249"/>
      <c r="D3" s="1249"/>
      <c r="E3" s="1249"/>
      <c r="F3" s="1249"/>
      <c r="G3" s="1249"/>
      <c r="H3" s="1249"/>
      <c r="I3" s="1250" t="s">
        <v>256</v>
      </c>
    </row>
    <row r="4" spans="1:13" ht="15" customHeight="1">
      <c r="A4" s="112"/>
      <c r="B4" s="113">
        <v>2006</v>
      </c>
      <c r="C4" s="1251">
        <v>2007</v>
      </c>
      <c r="D4" s="113">
        <v>2008</v>
      </c>
      <c r="E4" s="1251">
        <v>2009</v>
      </c>
      <c r="F4" s="1252">
        <v>2010</v>
      </c>
      <c r="G4" s="114">
        <v>2011</v>
      </c>
      <c r="H4" s="1252">
        <v>2012</v>
      </c>
      <c r="I4" s="1253" t="s">
        <v>257</v>
      </c>
    </row>
    <row r="5" spans="1:13" ht="24" customHeight="1">
      <c r="A5" s="112"/>
      <c r="B5" s="1254"/>
      <c r="C5" s="167"/>
      <c r="D5" s="349"/>
      <c r="E5" s="118"/>
      <c r="F5" s="1255"/>
      <c r="G5" s="170"/>
      <c r="H5" s="1255"/>
      <c r="I5" s="1256" t="s">
        <v>258</v>
      </c>
      <c r="K5" s="8"/>
    </row>
    <row r="6" spans="1:13" ht="30" customHeight="1" thickBot="1">
      <c r="A6" s="775" t="s">
        <v>434</v>
      </c>
      <c r="B6" s="1257">
        <v>25</v>
      </c>
      <c r="C6" s="1258">
        <v>22.7</v>
      </c>
      <c r="D6" s="1257">
        <v>19.999206000000001</v>
      </c>
      <c r="E6" s="1258">
        <v>21.769221000000002</v>
      </c>
      <c r="F6" s="1257">
        <v>25.350891000000001</v>
      </c>
      <c r="G6" s="1258">
        <v>25.705490999999999</v>
      </c>
      <c r="H6" s="1257">
        <v>31.805236000000001</v>
      </c>
      <c r="I6" s="1259">
        <v>0.23729346387509209</v>
      </c>
      <c r="M6" s="8"/>
    </row>
    <row r="7" spans="1:13" ht="20" customHeight="1" thickBot="1">
      <c r="A7" s="777" t="s">
        <v>435</v>
      </c>
      <c r="B7" s="124">
        <v>24</v>
      </c>
      <c r="C7" s="125">
        <v>17.5</v>
      </c>
      <c r="D7" s="124">
        <v>18</v>
      </c>
      <c r="E7" s="125">
        <v>22.212717000000001</v>
      </c>
      <c r="F7" s="1260">
        <v>21.585070999999999</v>
      </c>
      <c r="G7" s="125">
        <v>25.010442000000001</v>
      </c>
      <c r="H7" s="1257">
        <v>26.517904469999998</v>
      </c>
      <c r="I7" s="1261">
        <v>6.0273323838099246E-2</v>
      </c>
      <c r="M7" s="8"/>
    </row>
    <row r="8" spans="1:13" ht="20" customHeight="1" thickBot="1">
      <c r="A8" s="777" t="s">
        <v>436</v>
      </c>
      <c r="B8" s="124">
        <v>4.3871370000000001</v>
      </c>
      <c r="C8" s="125">
        <v>3.408461</v>
      </c>
      <c r="D8" s="124">
        <v>2.9657990000000001</v>
      </c>
      <c r="E8" s="125">
        <v>3.402968</v>
      </c>
      <c r="F8" s="1260">
        <v>4.1737330000000004</v>
      </c>
      <c r="G8" s="125">
        <v>4.1638590000000004</v>
      </c>
      <c r="H8" s="1257">
        <v>3.9150730499999997</v>
      </c>
      <c r="I8" s="1261">
        <v>-5.9748889191492904E-2</v>
      </c>
      <c r="M8" s="8"/>
    </row>
    <row r="9" spans="1:13" ht="20" customHeight="1" thickBot="1">
      <c r="A9" s="777" t="s">
        <v>437</v>
      </c>
      <c r="B9" s="124">
        <v>4.6311999999999999E-2</v>
      </c>
      <c r="C9" s="125">
        <v>0.1</v>
      </c>
      <c r="D9" s="124">
        <v>0.2</v>
      </c>
      <c r="E9" s="125">
        <v>0.2</v>
      </c>
      <c r="F9" s="124">
        <v>0.2</v>
      </c>
      <c r="G9" s="125">
        <v>0.2</v>
      </c>
      <c r="H9" s="1257"/>
      <c r="I9" s="1262">
        <v>-1</v>
      </c>
      <c r="M9" s="8"/>
    </row>
    <row r="10" spans="1:13" ht="20" customHeight="1" thickBot="1">
      <c r="A10" s="777" t="s">
        <v>438</v>
      </c>
      <c r="B10" s="124">
        <v>1.0262389999999999</v>
      </c>
      <c r="C10" s="125">
        <v>0.91249199999999997</v>
      </c>
      <c r="D10" s="124">
        <v>0.99322334999999995</v>
      </c>
      <c r="E10" s="125">
        <v>1.3670640000000001</v>
      </c>
      <c r="F10" s="124">
        <v>1.1250089999999999</v>
      </c>
      <c r="G10" s="125">
        <v>1.2840167499999999</v>
      </c>
      <c r="H10" s="1257">
        <v>0.37543529999999997</v>
      </c>
      <c r="I10" s="1262">
        <v>-0.70760872083639104</v>
      </c>
      <c r="M10" s="8"/>
    </row>
    <row r="11" spans="1:13" ht="20" customHeight="1" thickBot="1">
      <c r="A11" s="777" t="s">
        <v>439</v>
      </c>
      <c r="B11" s="124"/>
      <c r="C11" s="125"/>
      <c r="D11" s="124"/>
      <c r="E11" s="125"/>
      <c r="F11" s="124"/>
      <c r="G11" s="125"/>
      <c r="H11" s="1257"/>
      <c r="I11" s="1262"/>
      <c r="M11" s="8"/>
    </row>
    <row r="12" spans="1:13" ht="20" customHeight="1" thickBot="1">
      <c r="A12" s="777" t="s">
        <v>440</v>
      </c>
      <c r="B12" s="124"/>
      <c r="C12" s="125"/>
      <c r="D12" s="124"/>
      <c r="E12" s="125"/>
      <c r="F12" s="124"/>
      <c r="G12" s="125"/>
      <c r="H12" s="1257"/>
      <c r="I12" s="1262"/>
      <c r="M12" s="8"/>
    </row>
    <row r="13" spans="1:13" ht="20" customHeight="1" thickBot="1">
      <c r="A13" s="777" t="s">
        <v>441</v>
      </c>
      <c r="B13" s="124">
        <v>0.89154529000000005</v>
      </c>
      <c r="C13" s="125">
        <v>0.51370519999999997</v>
      </c>
      <c r="D13" s="124">
        <v>0.53300000000000003</v>
      </c>
      <c r="E13" s="125">
        <v>0.65900000000000003</v>
      </c>
      <c r="F13" s="124">
        <v>0.56399999999999995</v>
      </c>
      <c r="G13" s="125">
        <v>0.89806699999999995</v>
      </c>
      <c r="H13" s="1257">
        <v>0.25575300000000001</v>
      </c>
      <c r="I13" s="1262">
        <v>-0.71521835230556285</v>
      </c>
      <c r="M13" s="8"/>
    </row>
    <row r="14" spans="1:13" ht="20" customHeight="1" thickBot="1">
      <c r="A14" s="777" t="s">
        <v>442</v>
      </c>
      <c r="B14" s="124"/>
      <c r="C14" s="125"/>
      <c r="D14" s="124"/>
      <c r="E14" s="125"/>
      <c r="F14" s="124"/>
      <c r="G14" s="125"/>
      <c r="H14" s="1257"/>
      <c r="I14" s="1262"/>
      <c r="M14" s="8"/>
    </row>
    <row r="15" spans="1:13" ht="20" customHeight="1" thickBot="1">
      <c r="A15" s="777" t="s">
        <v>443</v>
      </c>
      <c r="B15" s="124">
        <v>5.3168E-2</v>
      </c>
      <c r="C15" s="125">
        <v>1.5</v>
      </c>
      <c r="D15" s="124">
        <v>1.7</v>
      </c>
      <c r="E15" s="125">
        <v>2.7172239999999999</v>
      </c>
      <c r="F15" s="124">
        <v>4.9711879999999997</v>
      </c>
      <c r="G15" s="125">
        <v>6.0479200000000004</v>
      </c>
      <c r="H15" s="1257">
        <v>10.999750000000001</v>
      </c>
      <c r="I15" s="1262">
        <v>0.81876579055278498</v>
      </c>
      <c r="M15" s="8"/>
    </row>
    <row r="16" spans="1:13" ht="20" customHeight="1" thickBot="1">
      <c r="A16" s="777" t="s">
        <v>444</v>
      </c>
      <c r="B16" s="124" t="s">
        <v>29</v>
      </c>
      <c r="C16" s="125" t="s">
        <v>29</v>
      </c>
      <c r="D16" s="124">
        <v>1.2098249999999999</v>
      </c>
      <c r="E16" s="125">
        <v>1.4096569999999999</v>
      </c>
      <c r="F16" s="124">
        <v>1.694097</v>
      </c>
      <c r="G16" s="125">
        <v>2.1436999999999999</v>
      </c>
      <c r="H16" s="1257"/>
      <c r="I16" s="1262" t="s">
        <v>29</v>
      </c>
      <c r="M16" s="8"/>
    </row>
    <row r="17" spans="1:14" ht="20" customHeight="1" thickBot="1">
      <c r="A17" s="777" t="s">
        <v>445</v>
      </c>
      <c r="B17" s="124" t="s">
        <v>29</v>
      </c>
      <c r="C17" s="125" t="s">
        <v>29</v>
      </c>
      <c r="D17" s="124">
        <v>0.12</v>
      </c>
      <c r="E17" s="125">
        <v>7.1796300000000004</v>
      </c>
      <c r="F17" s="124">
        <v>6.5059279999999999</v>
      </c>
      <c r="G17" s="125">
        <v>6.5139339999999999</v>
      </c>
      <c r="H17" s="1257">
        <v>13.533165</v>
      </c>
      <c r="I17" s="1262">
        <v>1.0775717101217177</v>
      </c>
      <c r="M17" s="8"/>
    </row>
    <row r="18" spans="1:14" ht="20" customHeight="1" thickBot="1">
      <c r="A18" s="777" t="s">
        <v>446</v>
      </c>
      <c r="B18" s="124" t="s">
        <v>29</v>
      </c>
      <c r="C18" s="125" t="s">
        <v>29</v>
      </c>
      <c r="D18" s="124">
        <v>0.61089000000000004</v>
      </c>
      <c r="E18" s="125">
        <v>1.3597999999999999</v>
      </c>
      <c r="F18" s="124">
        <v>1.5519860000000001</v>
      </c>
      <c r="G18" s="125">
        <v>1.9312450000000001</v>
      </c>
      <c r="H18" s="1257">
        <v>0.81586605000000001</v>
      </c>
      <c r="I18" s="1262">
        <v>-0.57754399364140752</v>
      </c>
      <c r="M18" s="8"/>
    </row>
    <row r="19" spans="1:14" ht="20" customHeight="1" thickBot="1">
      <c r="A19" s="777" t="s">
        <v>447</v>
      </c>
      <c r="B19" s="124">
        <v>1.927427</v>
      </c>
      <c r="C19" s="125">
        <v>1.151972</v>
      </c>
      <c r="D19" s="124">
        <v>1.107064</v>
      </c>
      <c r="E19" s="125" t="s">
        <v>29</v>
      </c>
      <c r="F19" s="124" t="s">
        <v>29</v>
      </c>
      <c r="G19" s="125" t="s">
        <v>29</v>
      </c>
      <c r="H19" s="1257" t="s">
        <v>29</v>
      </c>
      <c r="I19" s="1262" t="s">
        <v>29</v>
      </c>
      <c r="M19" s="8"/>
    </row>
    <row r="20" spans="1:14" ht="20" customHeight="1" thickBot="1">
      <c r="A20" s="777" t="s">
        <v>448</v>
      </c>
      <c r="B20" s="124" t="s">
        <v>29</v>
      </c>
      <c r="C20" s="125" t="s">
        <v>29</v>
      </c>
      <c r="D20" s="124" t="s">
        <v>29</v>
      </c>
      <c r="E20" s="125" t="s">
        <v>29</v>
      </c>
      <c r="F20" s="124">
        <v>0.4</v>
      </c>
      <c r="G20" s="125">
        <v>0.56296999999999997</v>
      </c>
      <c r="H20" s="1257">
        <v>0.26704699999999998</v>
      </c>
      <c r="I20" s="1262">
        <v>-0.5256461267918362</v>
      </c>
      <c r="M20" s="8"/>
    </row>
    <row r="21" spans="1:14" ht="20" customHeight="1" thickBot="1">
      <c r="A21" s="777" t="s">
        <v>449</v>
      </c>
      <c r="B21" s="1263">
        <v>0</v>
      </c>
      <c r="C21" s="1264">
        <v>0</v>
      </c>
      <c r="D21" s="1263">
        <v>2.8000000000000001E-2</v>
      </c>
      <c r="E21" s="1264">
        <v>3.4000000000000002E-2</v>
      </c>
      <c r="F21" s="1263">
        <v>2.64E-2</v>
      </c>
      <c r="G21" s="1264">
        <v>1.3244000000000001E-2</v>
      </c>
      <c r="H21" s="1257">
        <v>1.5299E-2</v>
      </c>
      <c r="I21" s="1262">
        <v>0.15516460283902145</v>
      </c>
      <c r="M21" s="8"/>
    </row>
    <row r="22" spans="1:14" ht="20" customHeight="1" thickBot="1">
      <c r="A22" s="777" t="s">
        <v>450</v>
      </c>
      <c r="B22" s="124">
        <v>23.094132999999999</v>
      </c>
      <c r="C22" s="125">
        <v>22.373737999999999</v>
      </c>
      <c r="D22" s="124">
        <v>5.9842589999999998</v>
      </c>
      <c r="E22" s="125">
        <v>6.5513050000000002</v>
      </c>
      <c r="F22" s="124">
        <v>6.8167559999999998</v>
      </c>
      <c r="G22" s="125">
        <v>7.2645520000000001</v>
      </c>
      <c r="H22" s="1257">
        <v>6.4634999999999998</v>
      </c>
      <c r="I22" s="1262">
        <v>-0.11026860293656104</v>
      </c>
      <c r="M22" s="8"/>
    </row>
    <row r="23" spans="1:14" ht="20" customHeight="1" thickBot="1">
      <c r="A23" s="777" t="s">
        <v>451</v>
      </c>
      <c r="B23" s="124"/>
      <c r="C23" s="125"/>
      <c r="D23" s="124"/>
      <c r="E23" s="125"/>
      <c r="F23" s="124"/>
      <c r="G23" s="125"/>
      <c r="H23" s="1257"/>
      <c r="I23" s="1262"/>
      <c r="M23" s="8"/>
    </row>
    <row r="24" spans="1:14" ht="20" customHeight="1" thickBot="1">
      <c r="A24" s="777" t="s">
        <v>452</v>
      </c>
      <c r="B24" s="124" t="s">
        <v>29</v>
      </c>
      <c r="C24" s="125">
        <v>1.138943</v>
      </c>
      <c r="D24" s="124">
        <v>1.0154110000000001</v>
      </c>
      <c r="E24" s="125">
        <v>1.8120700000000001</v>
      </c>
      <c r="F24" s="124">
        <v>2.3859006000000003</v>
      </c>
      <c r="G24" s="125">
        <v>1.6853689999999999</v>
      </c>
      <c r="H24" s="1257">
        <v>8</v>
      </c>
      <c r="I24" s="1262">
        <v>3.7467349880055947</v>
      </c>
      <c r="M24" s="8"/>
    </row>
    <row r="25" spans="1:14" ht="20" customHeight="1" thickBot="1">
      <c r="A25" s="777" t="s">
        <v>453</v>
      </c>
      <c r="B25" s="124"/>
      <c r="C25" s="125">
        <v>1.5</v>
      </c>
      <c r="D25" s="124">
        <v>1.5</v>
      </c>
      <c r="E25" s="125">
        <v>1.5</v>
      </c>
      <c r="F25" s="124">
        <v>1.5598399999999999</v>
      </c>
      <c r="G25" s="125">
        <v>1.558664</v>
      </c>
      <c r="H25" s="1257">
        <v>1.3207335</v>
      </c>
      <c r="I25" s="1262">
        <v>-0.15265028254967072</v>
      </c>
      <c r="M25" s="8"/>
    </row>
    <row r="26" spans="1:14" ht="20" customHeight="1" thickBot="1">
      <c r="A26" s="777" t="s">
        <v>454</v>
      </c>
      <c r="B26" s="124">
        <v>9.2542790000000004</v>
      </c>
      <c r="C26" s="125">
        <v>3.7897050000000001</v>
      </c>
      <c r="D26" s="124">
        <v>1.0537611999999998</v>
      </c>
      <c r="E26" s="125">
        <v>4.0948779999999996</v>
      </c>
      <c r="F26" s="124">
        <v>9.4327760000000005</v>
      </c>
      <c r="G26" s="125">
        <v>10.394158750000001</v>
      </c>
      <c r="H26" s="1257">
        <v>7.1499667000000002</v>
      </c>
      <c r="I26" s="1262">
        <v>-0.31211684639702086</v>
      </c>
      <c r="M26" s="8"/>
    </row>
    <row r="27" spans="1:14" ht="20" customHeight="1" thickBot="1">
      <c r="A27" s="777" t="s">
        <v>455</v>
      </c>
      <c r="B27" s="124">
        <v>39.175820000000002</v>
      </c>
      <c r="C27" s="125">
        <v>29.680482999999999</v>
      </c>
      <c r="D27" s="124">
        <v>26.5</v>
      </c>
      <c r="E27" s="125">
        <v>18</v>
      </c>
      <c r="F27" s="124">
        <v>34.5</v>
      </c>
      <c r="G27" s="125">
        <v>36.355446999999998</v>
      </c>
      <c r="H27" s="1257">
        <v>37.378937000000001</v>
      </c>
      <c r="I27" s="1262">
        <v>2.8152315112505821E-2</v>
      </c>
      <c r="M27" s="8"/>
    </row>
    <row r="28" spans="1:14" ht="20" customHeight="1" thickBot="1">
      <c r="A28" s="777" t="s">
        <v>456</v>
      </c>
      <c r="B28" s="124">
        <v>6.9</v>
      </c>
      <c r="C28" s="125">
        <v>8.4</v>
      </c>
      <c r="D28" s="124">
        <v>7.4222669999999997</v>
      </c>
      <c r="E28" s="125">
        <v>8.632009</v>
      </c>
      <c r="F28" s="124">
        <v>8.0148510000000002</v>
      </c>
      <c r="G28" s="125">
        <v>10.49955108</v>
      </c>
      <c r="H28" s="1257">
        <v>9.8239706499999997</v>
      </c>
      <c r="I28" s="1262">
        <v>-6.4343744304161232E-2</v>
      </c>
      <c r="M28" s="8"/>
    </row>
    <row r="29" spans="1:14" ht="20" customHeight="1" thickBot="1">
      <c r="A29" s="777" t="s">
        <v>457</v>
      </c>
      <c r="B29" s="124">
        <v>6.1390690000000001</v>
      </c>
      <c r="C29" s="125">
        <v>18</v>
      </c>
      <c r="D29" s="124">
        <v>17.2</v>
      </c>
      <c r="E29" s="125">
        <v>8.34</v>
      </c>
      <c r="F29" s="124">
        <v>11.774749999999999</v>
      </c>
      <c r="G29" s="125">
        <v>10.065239</v>
      </c>
      <c r="H29" s="1257">
        <v>10.470082</v>
      </c>
      <c r="I29" s="1262">
        <v>4.022189637026985E-2</v>
      </c>
      <c r="J29" s="1265"/>
      <c r="K29" s="1265"/>
      <c r="L29" s="1265"/>
      <c r="M29" s="1266"/>
      <c r="N29" s="1266"/>
    </row>
    <row r="30" spans="1:14" ht="20" customHeight="1" thickBot="1">
      <c r="A30" s="777" t="s">
        <v>458</v>
      </c>
      <c r="B30" s="124">
        <v>27.244868</v>
      </c>
      <c r="C30" s="125">
        <v>40.257382999999997</v>
      </c>
      <c r="D30" s="124">
        <v>33.362901999999998</v>
      </c>
      <c r="E30" s="125">
        <v>34.860502950000004</v>
      </c>
      <c r="F30" s="124">
        <v>38.994125950000011</v>
      </c>
      <c r="G30" s="125">
        <v>38.506505799999999</v>
      </c>
      <c r="H30" s="1257">
        <v>31.610993900000004</v>
      </c>
      <c r="I30" s="1262">
        <v>-0.17907394495399775</v>
      </c>
      <c r="M30" s="8"/>
    </row>
    <row r="31" spans="1:14" ht="20" customHeight="1" thickBot="1">
      <c r="A31" s="777" t="s">
        <v>459</v>
      </c>
      <c r="B31" s="124">
        <v>1.911</v>
      </c>
      <c r="C31" s="125">
        <v>3.7389999999999999</v>
      </c>
      <c r="D31" s="124">
        <v>2.3620000000000001</v>
      </c>
      <c r="E31" s="125">
        <v>3.0790000000000002</v>
      </c>
      <c r="F31" s="124">
        <v>3.0049999999999999</v>
      </c>
      <c r="G31" s="125">
        <v>3.5673279500000001</v>
      </c>
      <c r="H31" s="1257">
        <v>2.1187981499999999</v>
      </c>
      <c r="I31" s="1262">
        <v>-0.40605456529445239</v>
      </c>
      <c r="J31" s="1267"/>
      <c r="K31" s="1267"/>
      <c r="L31" s="1267"/>
      <c r="M31" s="8"/>
    </row>
    <row r="32" spans="1:14" s="138" customFormat="1" ht="30" customHeight="1" thickBot="1">
      <c r="A32" s="1268" t="s">
        <v>1855</v>
      </c>
      <c r="B32" s="1269">
        <v>171.05099729</v>
      </c>
      <c r="C32" s="1270">
        <v>176.63382419999999</v>
      </c>
      <c r="D32" s="1269">
        <v>143.86760755</v>
      </c>
      <c r="E32" s="1270">
        <v>149.18104595</v>
      </c>
      <c r="F32" s="1269">
        <v>184.63230255000002</v>
      </c>
      <c r="G32" s="1271">
        <v>194.37170332999997</v>
      </c>
      <c r="H32" s="1272">
        <v>202.83751077000002</v>
      </c>
      <c r="I32" s="1273">
        <v>4.3554731964389859E-2</v>
      </c>
    </row>
    <row r="33" spans="1:9" ht="20" customHeight="1">
      <c r="A33" s="1274" t="s">
        <v>1856</v>
      </c>
      <c r="B33" s="354"/>
      <c r="C33" s="354"/>
      <c r="D33" s="1275"/>
      <c r="E33" s="354"/>
      <c r="F33" s="354"/>
      <c r="G33" s="357"/>
      <c r="H33" s="357"/>
      <c r="I33" s="354"/>
    </row>
    <row r="34" spans="1:9" ht="14.25" customHeight="1">
      <c r="A34" s="1276"/>
      <c r="B34" s="357"/>
      <c r="C34" s="357"/>
      <c r="D34" s="1277"/>
      <c r="E34" s="357"/>
      <c r="F34" s="357"/>
      <c r="G34" s="357"/>
      <c r="H34" s="357"/>
      <c r="I34" s="357"/>
    </row>
    <row r="35" spans="1:9" ht="15.75" customHeight="1">
      <c r="A35" s="1276" t="s">
        <v>1857</v>
      </c>
      <c r="B35" s="357"/>
      <c r="C35" s="357"/>
      <c r="D35" s="1277"/>
      <c r="E35" s="357"/>
      <c r="F35" s="357"/>
      <c r="G35" s="357"/>
      <c r="H35" s="357"/>
      <c r="I35" s="357"/>
    </row>
    <row r="36" spans="1:9" ht="15.75" customHeight="1">
      <c r="A36" s="1276"/>
      <c r="B36" s="357"/>
      <c r="C36" s="357"/>
      <c r="D36" s="1277"/>
      <c r="E36" s="357"/>
      <c r="F36" s="357"/>
      <c r="G36" s="357"/>
      <c r="H36" s="357"/>
      <c r="I36" s="357"/>
    </row>
    <row r="37" spans="1:9" ht="13.5" customHeight="1">
      <c r="A37" s="1276" t="s">
        <v>1858</v>
      </c>
      <c r="B37" s="357"/>
      <c r="C37" s="357"/>
      <c r="D37" s="1277"/>
      <c r="E37" s="357"/>
      <c r="F37" s="357"/>
      <c r="G37" s="1277"/>
      <c r="H37" s="1277"/>
      <c r="I37" s="357"/>
    </row>
    <row r="38" spans="1:9" s="4" customFormat="1" ht="14">
      <c r="A38" s="60" t="s">
        <v>1859</v>
      </c>
      <c r="B38" s="1278"/>
      <c r="C38" s="1279"/>
      <c r="D38" s="1279"/>
      <c r="E38" s="1280"/>
      <c r="F38" s="1280"/>
      <c r="G38" s="1280"/>
      <c r="H38" s="1280"/>
      <c r="I38" s="1278"/>
    </row>
    <row r="39" spans="1:9" s="4" customFormat="1" ht="14">
      <c r="A39" s="60" t="s">
        <v>1860</v>
      </c>
      <c r="B39" s="1278"/>
      <c r="C39" s="1279"/>
      <c r="D39" s="1279"/>
      <c r="E39" s="1280"/>
      <c r="F39" s="1280"/>
      <c r="G39" s="1280"/>
      <c r="H39" s="1280"/>
      <c r="I39" s="1278"/>
    </row>
    <row r="40" spans="1:9">
      <c r="A40" s="1278" t="s">
        <v>1861</v>
      </c>
      <c r="F40" s="3"/>
      <c r="G40" s="181"/>
      <c r="H40" s="181"/>
      <c r="I40" s="3"/>
    </row>
    <row r="43" spans="1:9">
      <c r="A43" s="3" t="s">
        <v>395</v>
      </c>
    </row>
    <row r="47" spans="1:9">
      <c r="A47" s="1278"/>
    </row>
    <row r="48" spans="1:9" ht="20" customHeight="1">
      <c r="A48" s="60"/>
    </row>
    <row r="49" spans="1:11" ht="11.25" customHeight="1"/>
    <row r="50" spans="1:11" ht="14.25" customHeight="1"/>
    <row r="51" spans="1:11" ht="13.5" customHeight="1"/>
    <row r="52" spans="1:11" s="4" customFormat="1">
      <c r="A52" s="3"/>
      <c r="B52" s="3"/>
      <c r="C52" s="3"/>
      <c r="D52" s="181"/>
      <c r="E52" s="3"/>
      <c r="F52" s="283"/>
      <c r="G52" s="3"/>
      <c r="H52" s="3"/>
      <c r="I52" s="283"/>
      <c r="K52" s="3"/>
    </row>
  </sheetData>
  <mergeCells count="1">
    <mergeCell ref="A2:I2"/>
  </mergeCells>
  <pageMargins left="0.59055118110236227" right="0.59055118110236227" top="0.78740157480314965" bottom="0.47244094488188981" header="0.47244094488188981" footer="0.51181102362204722"/>
  <pageSetup paperSize="9" scale="75" orientation="portrait" horizontalDpi="1200" verticalDpi="12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E674D-BEF9-FF41-843C-0B79559E92C0}">
  <sheetPr>
    <pageSetUpPr fitToPage="1"/>
  </sheetPr>
  <dimension ref="A1:B11"/>
  <sheetViews>
    <sheetView workbookViewId="0">
      <selection activeCell="B14" sqref="B14"/>
    </sheetView>
  </sheetViews>
  <sheetFormatPr baseColWidth="10" defaultColWidth="11.59765625" defaultRowHeight="13"/>
  <cols>
    <col min="1" max="1" width="5.59765625" style="758" customWidth="1"/>
    <col min="2" max="16384" width="11.59765625" style="758"/>
  </cols>
  <sheetData>
    <row r="1" spans="1:2" ht="16">
      <c r="A1" s="757" t="s">
        <v>1496</v>
      </c>
    </row>
    <row r="2" spans="1:2" ht="16">
      <c r="A2" s="757"/>
    </row>
    <row r="3" spans="1:2">
      <c r="A3" s="758">
        <v>5.01</v>
      </c>
      <c r="B3" s="1001" t="s">
        <v>1497</v>
      </c>
    </row>
    <row r="4" spans="1:2">
      <c r="A4" s="758">
        <v>5.0199999999999996</v>
      </c>
      <c r="B4" s="1001" t="s">
        <v>1498</v>
      </c>
    </row>
    <row r="5" spans="1:2">
      <c r="A5" s="758">
        <v>5.03</v>
      </c>
      <c r="B5" s="758" t="s">
        <v>1499</v>
      </c>
    </row>
    <row r="6" spans="1:2">
      <c r="A6" s="758">
        <v>5.04</v>
      </c>
      <c r="B6" s="758" t="s">
        <v>1500</v>
      </c>
    </row>
    <row r="7" spans="1:2">
      <c r="A7" s="758">
        <v>5.05</v>
      </c>
      <c r="B7" s="758" t="s">
        <v>1501</v>
      </c>
    </row>
    <row r="8" spans="1:2">
      <c r="A8" s="758">
        <v>5.0599999999999996</v>
      </c>
      <c r="B8" s="1001" t="s">
        <v>1502</v>
      </c>
    </row>
    <row r="11" spans="1:2">
      <c r="A11" s="761" t="s">
        <v>395</v>
      </c>
    </row>
  </sheetData>
  <pageMargins left="0.54" right="0.51" top="0.78" bottom="0.984251969" header="0.36" footer="0.4921259845"/>
  <pageSetup paperSize="9" orientation="portrait"/>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06F0-2B9B-814B-96DD-268F807CB7D9}">
  <dimension ref="A1:AF83"/>
  <sheetViews>
    <sheetView topLeftCell="U1" zoomScaleNormal="100" workbookViewId="0">
      <selection activeCell="AH6" sqref="AH6"/>
    </sheetView>
  </sheetViews>
  <sheetFormatPr baseColWidth="10" defaultColWidth="11.3984375" defaultRowHeight="13"/>
  <cols>
    <col min="1" max="1" width="7.59765625" style="181" customWidth="1"/>
    <col min="2" max="2" width="43.796875" style="181" customWidth="1"/>
    <col min="3" max="4" width="14.3984375" style="181" customWidth="1"/>
    <col min="5" max="7" width="14.3984375" style="3" customWidth="1"/>
    <col min="8" max="9" width="14.3984375" style="8" customWidth="1"/>
    <col min="10" max="15" width="14.3984375" style="3" customWidth="1"/>
    <col min="16" max="16" width="14.3984375" style="3" hidden="1" customWidth="1"/>
    <col min="17" max="17" width="2.796875" style="3" customWidth="1"/>
    <col min="18" max="18" width="14.3984375" style="3" customWidth="1"/>
    <col min="19" max="19" width="14.3984375" style="882" customWidth="1"/>
    <col min="20" max="26" width="14.3984375" style="3" customWidth="1"/>
    <col min="27" max="30" width="14.3984375" style="3" hidden="1" customWidth="1"/>
    <col min="31" max="31" width="14.3984375" style="3" customWidth="1"/>
    <col min="32" max="32" width="14.796875" style="3" customWidth="1"/>
    <col min="33" max="16384" width="11.3984375" style="3"/>
  </cols>
  <sheetData>
    <row r="1" spans="1:32" s="2" customFormat="1" ht="9" customHeight="1">
      <c r="A1" s="161"/>
      <c r="B1" s="161"/>
      <c r="C1" s="161"/>
      <c r="D1" s="161"/>
      <c r="H1" s="502"/>
      <c r="I1" s="502"/>
      <c r="S1" s="839"/>
    </row>
    <row r="2" spans="1:32" s="2" customFormat="1" ht="21" customHeight="1">
      <c r="A2" s="2067" t="s">
        <v>1447</v>
      </c>
      <c r="B2" s="2062"/>
      <c r="C2" s="840"/>
      <c r="D2" s="840"/>
      <c r="E2" s="841"/>
      <c r="F2" s="841"/>
      <c r="G2" s="841"/>
      <c r="H2" s="274"/>
      <c r="I2" s="502"/>
      <c r="J2" s="17"/>
      <c r="O2" s="843">
        <v>2012</v>
      </c>
      <c r="P2" s="843"/>
      <c r="V2" s="843"/>
      <c r="AD2" s="843"/>
      <c r="AF2" s="843">
        <v>2012</v>
      </c>
    </row>
    <row r="3" spans="1:32" s="2" customFormat="1" ht="8.5" customHeight="1" thickBot="1">
      <c r="A3" s="161"/>
      <c r="B3" s="161"/>
      <c r="C3" s="161"/>
      <c r="D3" s="161"/>
      <c r="H3" s="502"/>
      <c r="I3" s="502"/>
      <c r="S3" s="844"/>
      <c r="U3" s="343"/>
      <c r="W3" s="343"/>
      <c r="X3" s="343"/>
      <c r="Y3" s="343"/>
      <c r="Z3" s="2025"/>
      <c r="AA3" s="2025"/>
      <c r="AB3" s="2025"/>
      <c r="AC3" s="2025"/>
      <c r="AD3" s="2025"/>
      <c r="AE3" s="2025"/>
      <c r="AF3" s="343"/>
    </row>
    <row r="4" spans="1:32" ht="18" customHeight="1" thickTop="1">
      <c r="A4" s="959" t="s">
        <v>1156</v>
      </c>
      <c r="B4" s="959" t="s">
        <v>1448</v>
      </c>
      <c r="C4" s="960" t="s">
        <v>1449</v>
      </c>
      <c r="D4" s="961" t="s">
        <v>1235</v>
      </c>
      <c r="E4" s="960" t="s">
        <v>1450</v>
      </c>
      <c r="F4" s="961" t="s">
        <v>1451</v>
      </c>
      <c r="G4" s="960" t="s">
        <v>1452</v>
      </c>
      <c r="H4" s="962" t="s">
        <v>1453</v>
      </c>
      <c r="I4" s="963" t="s">
        <v>1236</v>
      </c>
      <c r="J4" s="961" t="s">
        <v>1454</v>
      </c>
      <c r="K4" s="960" t="s">
        <v>1237</v>
      </c>
      <c r="L4" s="961" t="s">
        <v>1237</v>
      </c>
      <c r="M4" s="960" t="s">
        <v>1455</v>
      </c>
      <c r="N4" s="962" t="s">
        <v>1453</v>
      </c>
      <c r="O4" s="963" t="s">
        <v>1236</v>
      </c>
      <c r="P4" s="962"/>
      <c r="Q4" s="961"/>
      <c r="R4" s="963" t="s">
        <v>1456</v>
      </c>
      <c r="S4" s="964" t="s">
        <v>1457</v>
      </c>
      <c r="T4" s="963" t="s">
        <v>1235</v>
      </c>
      <c r="U4" s="961" t="s">
        <v>1450</v>
      </c>
      <c r="V4" s="963" t="s">
        <v>1451</v>
      </c>
      <c r="W4" s="965" t="s">
        <v>1452</v>
      </c>
      <c r="X4" s="966" t="s">
        <v>1458</v>
      </c>
      <c r="Y4" s="965" t="s">
        <v>1237</v>
      </c>
      <c r="Z4" s="966" t="s">
        <v>1237</v>
      </c>
      <c r="AA4" s="965" t="s">
        <v>1459</v>
      </c>
      <c r="AB4" s="966"/>
      <c r="AC4" s="965"/>
      <c r="AD4" s="966"/>
      <c r="AE4" s="969" t="s">
        <v>1236</v>
      </c>
      <c r="AF4" s="966" t="s">
        <v>1455</v>
      </c>
    </row>
    <row r="5" spans="1:32" ht="15" customHeight="1">
      <c r="A5" s="967" t="s">
        <v>1160</v>
      </c>
      <c r="B5" s="967"/>
      <c r="C5" s="968" t="s">
        <v>1460</v>
      </c>
      <c r="D5" s="964" t="s">
        <v>1461</v>
      </c>
      <c r="E5" s="968" t="s">
        <v>1462</v>
      </c>
      <c r="F5" s="964" t="s">
        <v>1463</v>
      </c>
      <c r="G5" s="968" t="s">
        <v>1462</v>
      </c>
      <c r="H5" s="969" t="s">
        <v>1464</v>
      </c>
      <c r="I5" s="970" t="s">
        <v>1239</v>
      </c>
      <c r="J5" s="964" t="s">
        <v>1465</v>
      </c>
      <c r="K5" s="968" t="s">
        <v>1240</v>
      </c>
      <c r="L5" s="964" t="s">
        <v>1466</v>
      </c>
      <c r="M5" s="968" t="s">
        <v>1450</v>
      </c>
      <c r="N5" s="969" t="s">
        <v>1467</v>
      </c>
      <c r="O5" s="970" t="s">
        <v>1239</v>
      </c>
      <c r="P5" s="969"/>
      <c r="Q5" s="964"/>
      <c r="R5" s="970" t="s">
        <v>230</v>
      </c>
      <c r="S5" s="964" t="s">
        <v>230</v>
      </c>
      <c r="T5" s="970" t="s">
        <v>640</v>
      </c>
      <c r="U5" s="964" t="s">
        <v>1462</v>
      </c>
      <c r="V5" s="970" t="s">
        <v>1463</v>
      </c>
      <c r="W5" s="965" t="s">
        <v>1462</v>
      </c>
      <c r="X5" s="966" t="s">
        <v>1469</v>
      </c>
      <c r="Y5" s="965" t="s">
        <v>1240</v>
      </c>
      <c r="Z5" s="966" t="s">
        <v>935</v>
      </c>
      <c r="AA5" s="965" t="s">
        <v>1470</v>
      </c>
      <c r="AB5" s="966"/>
      <c r="AC5" s="965"/>
      <c r="AD5" s="966"/>
      <c r="AE5" s="969" t="s">
        <v>765</v>
      </c>
      <c r="AF5" s="966" t="s">
        <v>1471</v>
      </c>
    </row>
    <row r="6" spans="1:32" ht="15" customHeight="1">
      <c r="A6" s="967"/>
      <c r="B6" s="967"/>
      <c r="C6" s="968" t="s">
        <v>1472</v>
      </c>
      <c r="D6" s="964" t="s">
        <v>1473</v>
      </c>
      <c r="E6" s="968" t="s">
        <v>1474</v>
      </c>
      <c r="F6" s="964" t="s">
        <v>1474</v>
      </c>
      <c r="G6" s="968" t="s">
        <v>1474</v>
      </c>
      <c r="H6" s="969" t="s">
        <v>1475</v>
      </c>
      <c r="I6" s="970" t="s">
        <v>1242</v>
      </c>
      <c r="J6" s="964" t="s">
        <v>1476</v>
      </c>
      <c r="K6" s="968" t="s">
        <v>1477</v>
      </c>
      <c r="L6" s="964" t="s">
        <v>1478</v>
      </c>
      <c r="M6" s="968" t="s">
        <v>1479</v>
      </c>
      <c r="N6" s="969" t="s">
        <v>1480</v>
      </c>
      <c r="O6" s="970" t="s">
        <v>1242</v>
      </c>
      <c r="P6" s="969"/>
      <c r="Q6" s="964"/>
      <c r="R6" s="970" t="s">
        <v>640</v>
      </c>
      <c r="S6" s="964" t="s">
        <v>640</v>
      </c>
      <c r="T6" s="970"/>
      <c r="U6" s="964" t="s">
        <v>640</v>
      </c>
      <c r="V6" s="970" t="s">
        <v>640</v>
      </c>
      <c r="W6" s="965" t="s">
        <v>640</v>
      </c>
      <c r="X6" s="966" t="s">
        <v>640</v>
      </c>
      <c r="Y6" s="965" t="s">
        <v>1243</v>
      </c>
      <c r="Z6" s="966" t="s">
        <v>1481</v>
      </c>
      <c r="AA6" s="965" t="s">
        <v>1482</v>
      </c>
      <c r="AB6" s="966"/>
      <c r="AC6" s="965"/>
      <c r="AD6" s="966"/>
      <c r="AE6" s="969" t="s">
        <v>1483</v>
      </c>
      <c r="AF6" s="2022" t="s">
        <v>1484</v>
      </c>
    </row>
    <row r="7" spans="1:32" ht="15" customHeight="1">
      <c r="A7" s="967"/>
      <c r="B7" s="967"/>
      <c r="C7" s="968" t="s">
        <v>1485</v>
      </c>
      <c r="D7" s="964" t="s">
        <v>262</v>
      </c>
      <c r="E7" s="968" t="s">
        <v>1473</v>
      </c>
      <c r="F7" s="964" t="s">
        <v>1473</v>
      </c>
      <c r="G7" s="968" t="s">
        <v>1473</v>
      </c>
      <c r="H7" s="969" t="s">
        <v>1473</v>
      </c>
      <c r="I7" s="970" t="s">
        <v>1486</v>
      </c>
      <c r="J7" s="964" t="s">
        <v>1487</v>
      </c>
      <c r="K7" s="968" t="s">
        <v>1476</v>
      </c>
      <c r="L7" s="964" t="s">
        <v>1473</v>
      </c>
      <c r="M7" s="968" t="s">
        <v>1235</v>
      </c>
      <c r="N7" s="969" t="s">
        <v>1488</v>
      </c>
      <c r="O7" s="970" t="s">
        <v>1489</v>
      </c>
      <c r="P7" s="969"/>
      <c r="Q7" s="964"/>
      <c r="R7" s="970"/>
      <c r="S7" s="964"/>
      <c r="T7" s="970"/>
      <c r="U7" s="964"/>
      <c r="V7" s="970"/>
      <c r="W7" s="965"/>
      <c r="X7" s="966"/>
      <c r="Y7" s="965" t="s">
        <v>1481</v>
      </c>
      <c r="Z7" s="966"/>
      <c r="AA7" s="965" t="s">
        <v>1235</v>
      </c>
      <c r="AB7" s="966"/>
      <c r="AC7" s="965"/>
      <c r="AD7" s="966"/>
      <c r="AE7" s="969" t="s">
        <v>1476</v>
      </c>
      <c r="AF7" s="966" t="s">
        <v>1490</v>
      </c>
    </row>
    <row r="8" spans="1:32" ht="15" customHeight="1">
      <c r="A8" s="967"/>
      <c r="B8" s="967"/>
      <c r="C8" s="971"/>
      <c r="D8" s="964"/>
      <c r="E8" s="968" t="s">
        <v>262</v>
      </c>
      <c r="F8" s="964" t="s">
        <v>262</v>
      </c>
      <c r="G8" s="968" t="s">
        <v>262</v>
      </c>
      <c r="H8" s="969" t="s">
        <v>262</v>
      </c>
      <c r="I8" s="970" t="s">
        <v>1476</v>
      </c>
      <c r="J8" s="964" t="s">
        <v>262</v>
      </c>
      <c r="K8" s="968" t="s">
        <v>1491</v>
      </c>
      <c r="L8" s="964" t="s">
        <v>262</v>
      </c>
      <c r="M8" s="968" t="s">
        <v>487</v>
      </c>
      <c r="N8" s="969"/>
      <c r="O8" s="970" t="s">
        <v>1492</v>
      </c>
      <c r="P8" s="969"/>
      <c r="Q8" s="964"/>
      <c r="R8" s="970"/>
      <c r="S8" s="964"/>
      <c r="T8" s="970"/>
      <c r="U8" s="964"/>
      <c r="V8" s="970"/>
      <c r="W8" s="965"/>
      <c r="X8" s="966"/>
      <c r="Y8" s="965"/>
      <c r="Z8" s="966"/>
      <c r="AA8" s="965" t="s">
        <v>640</v>
      </c>
      <c r="AB8" s="966"/>
      <c r="AC8" s="965"/>
      <c r="AD8" s="966"/>
      <c r="AE8" s="969" t="s">
        <v>1493</v>
      </c>
      <c r="AF8" s="966" t="s">
        <v>1494</v>
      </c>
    </row>
    <row r="9" spans="1:32" ht="15" customHeight="1">
      <c r="A9" s="967"/>
      <c r="B9" s="967"/>
      <c r="C9" s="968"/>
      <c r="D9" s="964"/>
      <c r="E9" s="968"/>
      <c r="F9" s="964"/>
      <c r="G9" s="968"/>
      <c r="H9" s="969"/>
      <c r="I9" s="970" t="s">
        <v>1493</v>
      </c>
      <c r="J9" s="964"/>
      <c r="K9" s="968" t="s">
        <v>262</v>
      </c>
      <c r="L9" s="964"/>
      <c r="M9" s="972"/>
      <c r="N9" s="969"/>
      <c r="O9" s="970" t="s">
        <v>1457</v>
      </c>
      <c r="P9" s="969"/>
      <c r="Q9" s="964"/>
      <c r="R9" s="970"/>
      <c r="S9" s="964"/>
      <c r="T9" s="970"/>
      <c r="U9" s="964"/>
      <c r="V9" s="970"/>
      <c r="W9" s="965"/>
      <c r="X9" s="966"/>
      <c r="Y9" s="965"/>
      <c r="Z9" s="966"/>
      <c r="AA9" s="965"/>
      <c r="AB9" s="966"/>
      <c r="AC9" s="965"/>
      <c r="AD9" s="966"/>
      <c r="AE9" s="969"/>
      <c r="AF9" s="966" t="s">
        <v>487</v>
      </c>
    </row>
    <row r="10" spans="1:32" ht="33.5" customHeight="1" thickBot="1">
      <c r="A10" s="973">
        <v>0</v>
      </c>
      <c r="B10" s="973"/>
      <c r="C10" s="974">
        <v>1</v>
      </c>
      <c r="D10" s="973" t="s">
        <v>329</v>
      </c>
      <c r="E10" s="974" t="s">
        <v>1342</v>
      </c>
      <c r="F10" s="973" t="s">
        <v>348</v>
      </c>
      <c r="G10" s="974" t="s">
        <v>347</v>
      </c>
      <c r="H10" s="975" t="s">
        <v>1333</v>
      </c>
      <c r="I10" s="976" t="s">
        <v>333</v>
      </c>
      <c r="J10" s="973">
        <v>7</v>
      </c>
      <c r="K10" s="974" t="s">
        <v>341</v>
      </c>
      <c r="L10" s="973" t="s">
        <v>343</v>
      </c>
      <c r="M10" s="974">
        <v>15</v>
      </c>
      <c r="N10" s="975" t="s">
        <v>1336</v>
      </c>
      <c r="O10" s="976" t="s">
        <v>349</v>
      </c>
      <c r="P10" s="975"/>
      <c r="Q10" s="973"/>
      <c r="R10" s="976">
        <v>2</v>
      </c>
      <c r="S10" s="973">
        <v>14</v>
      </c>
      <c r="T10" s="976" t="s">
        <v>327</v>
      </c>
      <c r="U10" s="973" t="s">
        <v>1339</v>
      </c>
      <c r="V10" s="976" t="s">
        <v>362</v>
      </c>
      <c r="W10" s="973" t="s">
        <v>360</v>
      </c>
      <c r="X10" s="974" t="s">
        <v>1331</v>
      </c>
      <c r="Y10" s="973" t="s">
        <v>353</v>
      </c>
      <c r="Z10" s="2026" t="s">
        <v>355</v>
      </c>
      <c r="AA10" s="2027">
        <v>10</v>
      </c>
      <c r="AB10" s="2026"/>
      <c r="AC10" s="2027"/>
      <c r="AD10" s="2026"/>
      <c r="AE10" s="2027">
        <v>11</v>
      </c>
      <c r="AF10" s="974" t="s">
        <v>1349</v>
      </c>
    </row>
    <row r="11" spans="1:32" ht="15" thickTop="1" thickBot="1">
      <c r="A11" s="977">
        <v>8</v>
      </c>
      <c r="B11" s="978" t="s">
        <v>1357</v>
      </c>
      <c r="C11" s="979">
        <v>843546.58</v>
      </c>
      <c r="D11" s="980">
        <v>3117.4412660057251</v>
      </c>
      <c r="E11" s="981">
        <v>3090.7680529272011</v>
      </c>
      <c r="F11" s="980">
        <v>485.42339425998262</v>
      </c>
      <c r="G11" s="981">
        <v>3576.1914471871837</v>
      </c>
      <c r="H11" s="980">
        <v>-246.52120751885451</v>
      </c>
      <c r="I11" s="979">
        <v>158.20408556454578</v>
      </c>
      <c r="J11" s="980">
        <v>80.992276146742213</v>
      </c>
      <c r="K11" s="979">
        <v>763.08767679432719</v>
      </c>
      <c r="L11" s="980">
        <v>601.23112619341066</v>
      </c>
      <c r="M11" s="982">
        <v>0.99144387630670605</v>
      </c>
      <c r="N11" s="983">
        <v>-7.7993270640343351E-2</v>
      </c>
      <c r="O11" s="982">
        <v>5.1368153011236324E-2</v>
      </c>
      <c r="P11" s="983"/>
      <c r="Q11" s="980"/>
      <c r="R11" s="984">
        <v>2666.2828702100001</v>
      </c>
      <c r="S11" s="985">
        <v>2597.9621126500001</v>
      </c>
      <c r="T11" s="984">
        <v>2629.70691829</v>
      </c>
      <c r="U11" s="985">
        <v>2607.2068206199997</v>
      </c>
      <c r="V11" s="984">
        <v>409.47724408000005</v>
      </c>
      <c r="W11" s="985">
        <v>3016.6840646999999</v>
      </c>
      <c r="X11" s="984">
        <v>-207.9521215</v>
      </c>
      <c r="Y11" s="985">
        <v>643.70000000000005</v>
      </c>
      <c r="Z11" s="984">
        <v>507.16646029000003</v>
      </c>
      <c r="AA11" s="2019"/>
      <c r="AB11" s="984"/>
      <c r="AC11" s="985"/>
      <c r="AD11" s="984"/>
      <c r="AE11" s="980">
        <v>147.15469998112016</v>
      </c>
      <c r="AF11" s="982">
        <v>4.7029087514994787E-2</v>
      </c>
    </row>
    <row r="12" spans="1:32" ht="14" thickBot="1">
      <c r="A12" s="977">
        <v>32</v>
      </c>
      <c r="B12" s="978" t="s">
        <v>1358</v>
      </c>
      <c r="C12" s="979">
        <v>39136.160000000003</v>
      </c>
      <c r="D12" s="980">
        <v>2959.8440674813264</v>
      </c>
      <c r="E12" s="981">
        <v>2714.0730654208287</v>
      </c>
      <c r="F12" s="980">
        <v>453.67921788954254</v>
      </c>
      <c r="G12" s="981">
        <v>3167.7522833103708</v>
      </c>
      <c r="H12" s="980">
        <v>9.5197114382197938</v>
      </c>
      <c r="I12" s="979">
        <v>132.62617282840216</v>
      </c>
      <c r="J12" s="980">
        <v>109.90114870748687</v>
      </c>
      <c r="K12" s="979">
        <v>548.59751186626374</v>
      </c>
      <c r="L12" s="980">
        <v>845.53874038740628</v>
      </c>
      <c r="M12" s="982">
        <v>0.91696488177850666</v>
      </c>
      <c r="N12" s="983">
        <v>3.1802083263781956E-3</v>
      </c>
      <c r="O12" s="982">
        <v>4.5994495896950635E-2</v>
      </c>
      <c r="P12" s="983"/>
      <c r="Q12" s="980"/>
      <c r="R12" s="984">
        <v>117.15111457</v>
      </c>
      <c r="S12" s="985">
        <v>112.85000560999998</v>
      </c>
      <c r="T12" s="986">
        <v>115.83693100000001</v>
      </c>
      <c r="U12" s="987">
        <v>106.21839774000001</v>
      </c>
      <c r="V12" s="986">
        <v>17.755262460000001</v>
      </c>
      <c r="W12" s="985">
        <v>123.97366020000001</v>
      </c>
      <c r="X12" s="984">
        <v>0.37256494999999995</v>
      </c>
      <c r="Y12" s="987">
        <v>21.47</v>
      </c>
      <c r="Z12" s="984">
        <v>33.091139429999998</v>
      </c>
      <c r="AA12" s="2019"/>
      <c r="AB12" s="986"/>
      <c r="AC12" s="987"/>
      <c r="AD12" s="986"/>
      <c r="AE12" s="2020">
        <v>128.4831700401879</v>
      </c>
      <c r="AF12" s="2023">
        <v>4.4953082042232376E-2</v>
      </c>
    </row>
    <row r="13" spans="1:32" ht="14" thickBot="1">
      <c r="A13" s="977">
        <v>57</v>
      </c>
      <c r="B13" s="978" t="s">
        <v>1359</v>
      </c>
      <c r="C13" s="979">
        <v>7482.72</v>
      </c>
      <c r="D13" s="980">
        <v>3755.1376945816492</v>
      </c>
      <c r="E13" s="981">
        <v>3257.7452985010796</v>
      </c>
      <c r="F13" s="980">
        <v>492.6680939551394</v>
      </c>
      <c r="G13" s="981">
        <v>3750.4133924562188</v>
      </c>
      <c r="H13" s="980">
        <v>-7.7274346761605379</v>
      </c>
      <c r="I13" s="979">
        <v>202.15730376119913</v>
      </c>
      <c r="J13" s="980">
        <v>665.85623543310442</v>
      </c>
      <c r="K13" s="979">
        <v>872.95966440011114</v>
      </c>
      <c r="L13" s="980">
        <v>2015.2640109478907</v>
      </c>
      <c r="M13" s="982">
        <v>0.86754349998982316</v>
      </c>
      <c r="N13" s="983">
        <v>-2.0483353789919026E-3</v>
      </c>
      <c r="O13" s="982">
        <v>6.5071658429900037E-2</v>
      </c>
      <c r="P13" s="983"/>
      <c r="Q13" s="980"/>
      <c r="R13" s="984">
        <v>28.228888000000005</v>
      </c>
      <c r="S13" s="985">
        <v>23.246472219999998</v>
      </c>
      <c r="T13" s="986">
        <v>28.098643929999998</v>
      </c>
      <c r="U13" s="987">
        <v>24.376795899999998</v>
      </c>
      <c r="V13" s="986">
        <v>3.6864974000000004</v>
      </c>
      <c r="W13" s="985">
        <v>28.063293299999998</v>
      </c>
      <c r="X13" s="984">
        <v>-5.7822229999999981E-2</v>
      </c>
      <c r="Y13" s="987">
        <v>6.5321127400000005</v>
      </c>
      <c r="Z13" s="984">
        <v>15.07965632</v>
      </c>
      <c r="AA13" s="2019"/>
      <c r="AB13" s="986"/>
      <c r="AC13" s="987"/>
      <c r="AD13" s="986"/>
      <c r="AE13" s="2020">
        <v>202.15730376119913</v>
      </c>
      <c r="AF13" s="2023">
        <v>5.3724302311380687E-2</v>
      </c>
    </row>
    <row r="14" spans="1:32" ht="14" thickBot="1">
      <c r="A14" s="977">
        <v>62</v>
      </c>
      <c r="B14" s="978" t="s">
        <v>1414</v>
      </c>
      <c r="C14" s="979">
        <v>51671.67</v>
      </c>
      <c r="D14" s="980">
        <v>3666.6551110115074</v>
      </c>
      <c r="E14" s="981">
        <v>4020.867208859323</v>
      </c>
      <c r="F14" s="980">
        <v>564.90663839585602</v>
      </c>
      <c r="G14" s="981">
        <v>4585.77384725518</v>
      </c>
      <c r="H14" s="980">
        <v>-811.24656509069666</v>
      </c>
      <c r="I14" s="979">
        <v>240.43763071718024</v>
      </c>
      <c r="J14" s="980">
        <v>132.58909785574957</v>
      </c>
      <c r="K14" s="979">
        <v>1578.6290050234491</v>
      </c>
      <c r="L14" s="980">
        <v>2636.1558112985322</v>
      </c>
      <c r="M14" s="982">
        <v>1.0966036038633862</v>
      </c>
      <c r="N14" s="983">
        <v>-0.21253633326143595</v>
      </c>
      <c r="O14" s="982">
        <v>6.52584783130431E-2</v>
      </c>
      <c r="P14" s="983"/>
      <c r="Q14" s="980"/>
      <c r="R14" s="984">
        <v>197.22964142999999</v>
      </c>
      <c r="S14" s="985">
        <v>190.37854131999998</v>
      </c>
      <c r="T14" s="986">
        <v>189.46219289999996</v>
      </c>
      <c r="U14" s="987">
        <v>207.76492353000003</v>
      </c>
      <c r="V14" s="986">
        <v>29.1896694</v>
      </c>
      <c r="W14" s="985">
        <v>236.95459293000005</v>
      </c>
      <c r="X14" s="984">
        <v>-41.918464799999995</v>
      </c>
      <c r="Y14" s="987">
        <v>81.570397</v>
      </c>
      <c r="Z14" s="984">
        <v>136.21457315000001</v>
      </c>
      <c r="AA14" s="2019"/>
      <c r="AB14" s="986"/>
      <c r="AC14" s="987"/>
      <c r="AD14" s="986"/>
      <c r="AE14" s="2020">
        <v>238.89770371269205</v>
      </c>
      <c r="AF14" s="2023">
        <v>5.3694263096564797E-2</v>
      </c>
    </row>
    <row r="15" spans="1:32" ht="14" thickBot="1">
      <c r="A15" s="977">
        <v>134</v>
      </c>
      <c r="B15" s="978" t="s">
        <v>1360</v>
      </c>
      <c r="C15" s="979">
        <v>3595.97</v>
      </c>
      <c r="D15" s="980">
        <v>2625.1550902816202</v>
      </c>
      <c r="E15" s="981">
        <v>2401.5388337500035</v>
      </c>
      <c r="F15" s="980">
        <v>413.59100604287579</v>
      </c>
      <c r="G15" s="981">
        <v>2815.1298397928795</v>
      </c>
      <c r="H15" s="980">
        <v>-26.6731924904824</v>
      </c>
      <c r="I15" s="979">
        <v>124.17230955764369</v>
      </c>
      <c r="J15" s="980">
        <v>126.24034961359524</v>
      </c>
      <c r="K15" s="979">
        <v>603.45331023340009</v>
      </c>
      <c r="L15" s="980">
        <v>1558.6001468310358</v>
      </c>
      <c r="M15" s="982">
        <v>0.91481788738522585</v>
      </c>
      <c r="N15" s="983">
        <v>-1.0634505174548361E-2</v>
      </c>
      <c r="O15" s="982">
        <v>5.2130878749680545E-2</v>
      </c>
      <c r="P15" s="983"/>
      <c r="Q15" s="980"/>
      <c r="R15" s="984">
        <v>9.0193195100000008</v>
      </c>
      <c r="S15" s="985">
        <v>8.5653629999999996</v>
      </c>
      <c r="T15" s="986">
        <v>9.4399789499999986</v>
      </c>
      <c r="U15" s="987">
        <v>8.6358616000000001</v>
      </c>
      <c r="V15" s="986">
        <v>1.4872608500000002</v>
      </c>
      <c r="W15" s="985">
        <v>10.12312245</v>
      </c>
      <c r="X15" s="984">
        <v>-9.5916000000000001E-2</v>
      </c>
      <c r="Y15" s="987">
        <v>2.17</v>
      </c>
      <c r="Z15" s="984">
        <v>5.6046793700000004</v>
      </c>
      <c r="AA15" s="2019"/>
      <c r="AB15" s="986"/>
      <c r="AC15" s="987"/>
      <c r="AD15" s="986"/>
      <c r="AE15" s="2020">
        <v>124.17230955764369</v>
      </c>
      <c r="AF15" s="2023">
        <v>4.6825169776015627E-2</v>
      </c>
    </row>
    <row r="16" spans="1:32" ht="14" thickBot="1">
      <c r="A16" s="977">
        <v>182</v>
      </c>
      <c r="B16" s="978" t="s">
        <v>1361</v>
      </c>
      <c r="C16" s="979">
        <v>56638.92</v>
      </c>
      <c r="D16" s="980">
        <v>2756.8240902192347</v>
      </c>
      <c r="E16" s="981">
        <v>2660.2606149622911</v>
      </c>
      <c r="F16" s="980">
        <v>461.48824783382167</v>
      </c>
      <c r="G16" s="981">
        <v>3121.7488627961129</v>
      </c>
      <c r="H16" s="980">
        <v>13.892090456527082</v>
      </c>
      <c r="I16" s="979">
        <v>104.23570488279083</v>
      </c>
      <c r="J16" s="980">
        <v>-97.564716982597858</v>
      </c>
      <c r="K16" s="979">
        <v>600.29393215831089</v>
      </c>
      <c r="L16" s="980">
        <v>417.17348936031976</v>
      </c>
      <c r="M16" s="982">
        <v>0.96497292823305802</v>
      </c>
      <c r="N16" s="983">
        <v>5.0052162773572776E-3</v>
      </c>
      <c r="O16" s="982">
        <v>3.6280034875211073E-2</v>
      </c>
      <c r="P16" s="983"/>
      <c r="Q16" s="980"/>
      <c r="R16" s="984">
        <v>157.20259752999999</v>
      </c>
      <c r="S16" s="985">
        <v>162.72855774000001</v>
      </c>
      <c r="T16" s="986">
        <v>156.1435391</v>
      </c>
      <c r="U16" s="987">
        <v>150.67428815</v>
      </c>
      <c r="V16" s="986">
        <v>26.13819595</v>
      </c>
      <c r="W16" s="985">
        <v>176.81248410000001</v>
      </c>
      <c r="X16" s="984">
        <v>0.78683300000000089</v>
      </c>
      <c r="Y16" s="987">
        <v>34</v>
      </c>
      <c r="Z16" s="984">
        <v>23.628255890000002</v>
      </c>
      <c r="AA16" s="2019"/>
      <c r="AB16" s="986"/>
      <c r="AC16" s="987"/>
      <c r="AD16" s="986"/>
      <c r="AE16" s="2020">
        <v>103.44119820787543</v>
      </c>
      <c r="AF16" s="2023">
        <v>3.8001563615798102E-2</v>
      </c>
    </row>
    <row r="17" spans="1:32" ht="14" thickBot="1">
      <c r="A17" s="977">
        <v>194</v>
      </c>
      <c r="B17" s="978" t="s">
        <v>1362</v>
      </c>
      <c r="C17" s="979">
        <v>19470.5</v>
      </c>
      <c r="D17" s="980">
        <v>2825.8083151434216</v>
      </c>
      <c r="E17" s="981">
        <v>2104.9526668549865</v>
      </c>
      <c r="F17" s="980">
        <v>405.81711306848825</v>
      </c>
      <c r="G17" s="981">
        <v>2510.7697799234747</v>
      </c>
      <c r="H17" s="980">
        <v>448.44404098508005</v>
      </c>
      <c r="I17" s="979">
        <v>90.40863511466064</v>
      </c>
      <c r="J17" s="980">
        <v>73.82576718625613</v>
      </c>
      <c r="K17" s="979">
        <v>627.19349785573047</v>
      </c>
      <c r="L17" s="980">
        <v>519.75260419609151</v>
      </c>
      <c r="M17" s="982">
        <v>0.74490284977031473</v>
      </c>
      <c r="N17" s="983">
        <v>0.15929796776047095</v>
      </c>
      <c r="O17" s="982">
        <v>3.2980187523945548E-2</v>
      </c>
      <c r="P17" s="983"/>
      <c r="Q17" s="980"/>
      <c r="R17" s="984">
        <v>54.81193403000001</v>
      </c>
      <c r="S17" s="985">
        <v>53.374509429999996</v>
      </c>
      <c r="T17" s="986">
        <v>55.019900799999995</v>
      </c>
      <c r="U17" s="987">
        <v>40.984480900000008</v>
      </c>
      <c r="V17" s="986">
        <v>7.9014621000000007</v>
      </c>
      <c r="W17" s="985">
        <v>48.885943000000012</v>
      </c>
      <c r="X17" s="984">
        <v>8.7314297000000014</v>
      </c>
      <c r="Y17" s="987">
        <v>12.211771000000001</v>
      </c>
      <c r="Z17" s="984">
        <v>10.119843080000001</v>
      </c>
      <c r="AA17" s="2019"/>
      <c r="AB17" s="986"/>
      <c r="AC17" s="987"/>
      <c r="AD17" s="986"/>
      <c r="AE17" s="2020">
        <v>88.853204591561592</v>
      </c>
      <c r="AF17" s="2023">
        <v>3.8028936540096703E-2</v>
      </c>
    </row>
    <row r="18" spans="1:32" ht="14" thickBot="1">
      <c r="A18" s="977">
        <v>246</v>
      </c>
      <c r="B18" s="978" t="s">
        <v>1363</v>
      </c>
      <c r="C18" s="979">
        <v>3558.59</v>
      </c>
      <c r="D18" s="980">
        <v>3207.7872415760175</v>
      </c>
      <c r="E18" s="981">
        <v>2897.7593850373319</v>
      </c>
      <c r="F18" s="980">
        <v>434.32097544252071</v>
      </c>
      <c r="G18" s="981">
        <v>3332.080360479853</v>
      </c>
      <c r="H18" s="980">
        <v>-238.27667699847413</v>
      </c>
      <c r="I18" s="979">
        <v>244.87828044253479</v>
      </c>
      <c r="J18" s="980">
        <v>193.24288271478315</v>
      </c>
      <c r="K18" s="979">
        <v>871.13154367319646</v>
      </c>
      <c r="L18" s="980">
        <v>1190.1137107674667</v>
      </c>
      <c r="M18" s="982">
        <v>0.90335149023587802</v>
      </c>
      <c r="N18" s="983">
        <v>-7.4898643116992583E-2</v>
      </c>
      <c r="O18" s="982">
        <v>8.1951748003280672E-2</v>
      </c>
      <c r="P18" s="983"/>
      <c r="Q18" s="980"/>
      <c r="R18" s="984">
        <v>11.321019509999998</v>
      </c>
      <c r="S18" s="985">
        <v>10.63334732</v>
      </c>
      <c r="T18" s="986">
        <v>11.415199600000001</v>
      </c>
      <c r="U18" s="987">
        <v>10.31193757</v>
      </c>
      <c r="V18" s="986">
        <v>1.54557028</v>
      </c>
      <c r="W18" s="985">
        <v>11.857507849999999</v>
      </c>
      <c r="X18" s="984">
        <v>-0.84792900000000004</v>
      </c>
      <c r="Y18" s="987">
        <v>3.1</v>
      </c>
      <c r="Z18" s="984">
        <v>4.2351267500000001</v>
      </c>
      <c r="AA18" s="2019"/>
      <c r="AB18" s="986"/>
      <c r="AC18" s="987"/>
      <c r="AD18" s="986"/>
      <c r="AE18" s="2020">
        <v>195.90756451291099</v>
      </c>
      <c r="AF18" s="2023">
        <v>7.1060283914824135E-2</v>
      </c>
    </row>
    <row r="19" spans="1:32" ht="14" thickBot="1">
      <c r="A19" s="977">
        <v>290</v>
      </c>
      <c r="B19" s="978" t="s">
        <v>1503</v>
      </c>
      <c r="C19" s="979">
        <v>541690.25</v>
      </c>
      <c r="D19" s="980">
        <v>2946.399235540976</v>
      </c>
      <c r="E19" s="981">
        <v>2830.8023547774765</v>
      </c>
      <c r="F19" s="980">
        <v>444.22843067601826</v>
      </c>
      <c r="G19" s="981">
        <v>3275.0307854534949</v>
      </c>
      <c r="H19" s="980">
        <v>-180.80844726298838</v>
      </c>
      <c r="I19" s="979">
        <v>152.5031118983589</v>
      </c>
      <c r="J19" s="980">
        <v>78.022704340718704</v>
      </c>
      <c r="K19" s="979">
        <v>766.68596815246349</v>
      </c>
      <c r="L19" s="980">
        <v>1144.5226553182376</v>
      </c>
      <c r="M19" s="982">
        <v>0.96076672863300028</v>
      </c>
      <c r="N19" s="983">
        <v>-5.9783710716472746E-2</v>
      </c>
      <c r="O19" s="982">
        <v>5.1759946240964909E-2</v>
      </c>
      <c r="P19" s="983"/>
      <c r="Q19" s="980"/>
      <c r="R19" s="984">
        <v>1638.27523963</v>
      </c>
      <c r="S19" s="985">
        <v>1596.0111014300001</v>
      </c>
      <c r="T19" s="986">
        <v>1596.0357385</v>
      </c>
      <c r="U19" s="987">
        <v>1533.4180352599999</v>
      </c>
      <c r="V19" s="986">
        <v>240.63420966999999</v>
      </c>
      <c r="W19" s="985">
        <v>1774.0522449299999</v>
      </c>
      <c r="X19" s="984">
        <v>-97.942172999999997</v>
      </c>
      <c r="Y19" s="987">
        <v>415.30631375999997</v>
      </c>
      <c r="Z19" s="984">
        <v>619.97676329000001</v>
      </c>
      <c r="AA19" s="2019"/>
      <c r="AB19" s="986"/>
      <c r="AC19" s="987"/>
      <c r="AD19" s="986"/>
      <c r="AE19" s="2020">
        <v>147.09429348229915</v>
      </c>
      <c r="AF19" s="2023">
        <v>4.8766544267894368E-2</v>
      </c>
    </row>
    <row r="20" spans="1:32" ht="14" thickBot="1">
      <c r="A20" s="977">
        <v>294</v>
      </c>
      <c r="B20" s="978" t="s">
        <v>1365</v>
      </c>
      <c r="C20" s="979">
        <v>7563.34</v>
      </c>
      <c r="D20" s="980">
        <v>2617.0784997104452</v>
      </c>
      <c r="E20" s="981">
        <v>2184.5810250497802</v>
      </c>
      <c r="F20" s="980">
        <v>385.17371954718413</v>
      </c>
      <c r="G20" s="981">
        <v>2569.754744596964</v>
      </c>
      <c r="H20" s="980">
        <v>245.69343702649888</v>
      </c>
      <c r="I20" s="979">
        <v>125.33181768901041</v>
      </c>
      <c r="J20" s="980">
        <v>-90.222578913548759</v>
      </c>
      <c r="K20" s="979">
        <v>596.16518628013546</v>
      </c>
      <c r="L20" s="980">
        <v>396.0417421403771</v>
      </c>
      <c r="M20" s="982">
        <v>0.8347403508498058</v>
      </c>
      <c r="N20" s="983">
        <v>9.3414850052486814E-2</v>
      </c>
      <c r="O20" s="982">
        <v>4.6071859047653471E-2</v>
      </c>
      <c r="P20" s="983"/>
      <c r="Q20" s="980"/>
      <c r="R20" s="984">
        <v>19.892586660000003</v>
      </c>
      <c r="S20" s="985">
        <v>20.574970699999998</v>
      </c>
      <c r="T20" s="986">
        <v>19.793854499999998</v>
      </c>
      <c r="U20" s="987">
        <v>16.522729050000002</v>
      </c>
      <c r="V20" s="986">
        <v>2.9131997999999997</v>
      </c>
      <c r="W20" s="985">
        <v>19.435928850000003</v>
      </c>
      <c r="X20" s="984">
        <v>1.858263</v>
      </c>
      <c r="Y20" s="987">
        <v>4.5090000000000003</v>
      </c>
      <c r="Z20" s="984">
        <v>2.9953983499999999</v>
      </c>
      <c r="AA20" s="2019"/>
      <c r="AB20" s="986"/>
      <c r="AC20" s="987"/>
      <c r="AD20" s="986"/>
      <c r="AE20" s="2020">
        <v>121.06323661239611</v>
      </c>
      <c r="AF20" s="2023">
        <v>5.2851736169392573E-2</v>
      </c>
    </row>
    <row r="21" spans="1:32" ht="14" thickBot="1">
      <c r="A21" s="977">
        <v>312</v>
      </c>
      <c r="B21" s="978" t="s">
        <v>1366</v>
      </c>
      <c r="C21" s="979">
        <v>172291.08</v>
      </c>
      <c r="D21" s="980">
        <v>2938.8428634842844</v>
      </c>
      <c r="E21" s="981">
        <v>2604.924903367023</v>
      </c>
      <c r="F21" s="980">
        <v>448.28704033894263</v>
      </c>
      <c r="G21" s="981">
        <v>3053.2119437059655</v>
      </c>
      <c r="H21" s="980">
        <v>145.85549640759115</v>
      </c>
      <c r="I21" s="979">
        <v>107.14503896545311</v>
      </c>
      <c r="J21" s="980">
        <v>39.088927645006336</v>
      </c>
      <c r="K21" s="979">
        <v>623.97310412123477</v>
      </c>
      <c r="L21" s="980">
        <v>681.5950436900157</v>
      </c>
      <c r="M21" s="982">
        <v>0.88637774265978653</v>
      </c>
      <c r="N21" s="983">
        <v>4.8649872731551982E-2</v>
      </c>
      <c r="O21" s="982">
        <v>3.6210170222882553E-2</v>
      </c>
      <c r="P21" s="983"/>
      <c r="Q21" s="980"/>
      <c r="R21" s="984">
        <v>516.53991241999995</v>
      </c>
      <c r="S21" s="985">
        <v>509.80523886999998</v>
      </c>
      <c r="T21" s="986">
        <v>506.33641090000003</v>
      </c>
      <c r="U21" s="987">
        <v>448.80532492000003</v>
      </c>
      <c r="V21" s="986">
        <v>77.235858329999999</v>
      </c>
      <c r="W21" s="985">
        <v>526.04118325000002</v>
      </c>
      <c r="X21" s="984">
        <v>25.129601000000005</v>
      </c>
      <c r="Y21" s="987">
        <v>107.505</v>
      </c>
      <c r="Z21" s="984">
        <v>117.4327462</v>
      </c>
      <c r="AA21" s="2019"/>
      <c r="AB21" s="986"/>
      <c r="AC21" s="987"/>
      <c r="AD21" s="986"/>
      <c r="AE21" s="2020">
        <v>104.77087357047152</v>
      </c>
      <c r="AF21" s="2023">
        <v>3.8362163835204695E-2</v>
      </c>
    </row>
    <row r="22" spans="1:32" ht="14" thickBot="1">
      <c r="A22" s="977">
        <v>343</v>
      </c>
      <c r="B22" s="978" t="s">
        <v>1367</v>
      </c>
      <c r="C22" s="979">
        <v>212233.28</v>
      </c>
      <c r="D22" s="980">
        <v>2909.0480889707783</v>
      </c>
      <c r="E22" s="981">
        <v>2404.935518736741</v>
      </c>
      <c r="F22" s="980">
        <v>459.76748660718999</v>
      </c>
      <c r="G22" s="981">
        <v>2864.7030053439307</v>
      </c>
      <c r="H22" s="980">
        <v>219.89236560825898</v>
      </c>
      <c r="I22" s="979">
        <v>122.99764871937145</v>
      </c>
      <c r="J22" s="980">
        <v>92.412844300384947</v>
      </c>
      <c r="K22" s="979">
        <v>664.27847696647757</v>
      </c>
      <c r="L22" s="980">
        <v>573.46797486237779</v>
      </c>
      <c r="M22" s="982">
        <v>0.82670875323604831</v>
      </c>
      <c r="N22" s="983">
        <v>7.4619722928571511E-2</v>
      </c>
      <c r="O22" s="982">
        <v>4.309013781562452E-2</v>
      </c>
      <c r="P22" s="983"/>
      <c r="Q22" s="980"/>
      <c r="R22" s="984">
        <v>625.41746563000004</v>
      </c>
      <c r="S22" s="985">
        <v>605.80438456000002</v>
      </c>
      <c r="T22" s="986">
        <v>617.39681760000008</v>
      </c>
      <c r="U22" s="987">
        <v>510.40735332999998</v>
      </c>
      <c r="V22" s="986">
        <v>97.577961720000005</v>
      </c>
      <c r="W22" s="985">
        <v>607.98531504999994</v>
      </c>
      <c r="X22" s="984">
        <v>46.668478</v>
      </c>
      <c r="Y22" s="987">
        <v>140.982</v>
      </c>
      <c r="Z22" s="984">
        <v>121.70898928</v>
      </c>
      <c r="AA22" s="2019"/>
      <c r="AB22" s="986"/>
      <c r="AC22" s="987"/>
      <c r="AD22" s="986"/>
      <c r="AE22" s="2020">
        <v>122.99764871937145</v>
      </c>
      <c r="AF22" s="2023">
        <v>4.5738388316752164E-2</v>
      </c>
    </row>
    <row r="23" spans="1:32" ht="14" thickBot="1">
      <c r="A23" s="977">
        <v>360</v>
      </c>
      <c r="B23" s="978" t="s">
        <v>1368</v>
      </c>
      <c r="C23" s="979">
        <v>20461.330000000002</v>
      </c>
      <c r="D23" s="980">
        <v>2429.2535724706067</v>
      </c>
      <c r="E23" s="981">
        <v>1999.1708432443054</v>
      </c>
      <c r="F23" s="980">
        <v>397.42655047350297</v>
      </c>
      <c r="G23" s="981">
        <v>2396.5973937178082</v>
      </c>
      <c r="H23" s="980">
        <v>279.87814086376591</v>
      </c>
      <c r="I23" s="979">
        <v>66.922712257707587</v>
      </c>
      <c r="J23" s="980">
        <v>72.437364531044665</v>
      </c>
      <c r="K23" s="979">
        <v>425.19230177119465</v>
      </c>
      <c r="L23" s="980">
        <v>1344.8033177706432</v>
      </c>
      <c r="M23" s="982">
        <v>0.82295683987040624</v>
      </c>
      <c r="N23" s="983">
        <v>0.11319207931789661</v>
      </c>
      <c r="O23" s="982">
        <v>2.7882634993835163E-2</v>
      </c>
      <c r="P23" s="983"/>
      <c r="Q23" s="980"/>
      <c r="R23" s="984">
        <v>50.5925771</v>
      </c>
      <c r="S23" s="985">
        <v>49.110412279999998</v>
      </c>
      <c r="T23" s="986">
        <v>49.705759</v>
      </c>
      <c r="U23" s="987">
        <v>40.905694350000005</v>
      </c>
      <c r="V23" s="986">
        <v>8.1318758000000013</v>
      </c>
      <c r="W23" s="985">
        <v>49.037570150000008</v>
      </c>
      <c r="X23" s="984">
        <v>5.7266789999999999</v>
      </c>
      <c r="Y23" s="987">
        <v>8.6999999999999993</v>
      </c>
      <c r="Z23" s="984">
        <v>27.516464469999999</v>
      </c>
      <c r="AA23" s="2019"/>
      <c r="AB23" s="986"/>
      <c r="AC23" s="987"/>
      <c r="AD23" s="986"/>
      <c r="AE23" s="2020">
        <v>65.083648032654764</v>
      </c>
      <c r="AF23" s="2023">
        <v>3.1135887790285748E-2</v>
      </c>
    </row>
    <row r="24" spans="1:32" ht="14" thickBot="1">
      <c r="A24" s="977">
        <v>376</v>
      </c>
      <c r="B24" s="978" t="s">
        <v>1369</v>
      </c>
      <c r="C24" s="979">
        <v>373943</v>
      </c>
      <c r="D24" s="980">
        <v>3227.4751182666878</v>
      </c>
      <c r="E24" s="981">
        <v>2909.7184986214475</v>
      </c>
      <c r="F24" s="980">
        <v>480.89639180302879</v>
      </c>
      <c r="G24" s="981">
        <v>3390.614890424476</v>
      </c>
      <c r="H24" s="980">
        <v>20.774647473010592</v>
      </c>
      <c r="I24" s="979">
        <v>162.8782886964056</v>
      </c>
      <c r="J24" s="980">
        <v>57.325640672508904</v>
      </c>
      <c r="K24" s="979">
        <v>677.91080458786496</v>
      </c>
      <c r="L24" s="980">
        <v>701.9133356420632</v>
      </c>
      <c r="M24" s="982">
        <v>0.90154637665622306</v>
      </c>
      <c r="N24" s="983">
        <v>6.3869389561375337E-3</v>
      </c>
      <c r="O24" s="982">
        <v>5.0973519442764736E-2</v>
      </c>
      <c r="P24" s="983"/>
      <c r="Q24" s="980"/>
      <c r="R24" s="984">
        <v>1216.3156800699999</v>
      </c>
      <c r="S24" s="985">
        <v>1194.8791563900002</v>
      </c>
      <c r="T24" s="986">
        <v>1206.8917281500001</v>
      </c>
      <c r="U24" s="987">
        <v>1088.0688645299999</v>
      </c>
      <c r="V24" s="986">
        <v>179.82783943999999</v>
      </c>
      <c r="W24" s="985">
        <v>1267.8967039699999</v>
      </c>
      <c r="X24" s="984">
        <v>7.7685339999999998</v>
      </c>
      <c r="Y24" s="987">
        <v>253.5</v>
      </c>
      <c r="Z24" s="984">
        <v>262.47557847000002</v>
      </c>
      <c r="AA24" s="2019"/>
      <c r="AB24" s="986"/>
      <c r="AC24" s="987"/>
      <c r="AD24" s="986"/>
      <c r="AE24" s="2020">
        <v>162.26959394881038</v>
      </c>
      <c r="AF24" s="2023">
        <v>5.0793109671416321E-2</v>
      </c>
    </row>
    <row r="25" spans="1:32" ht="14" thickBot="1">
      <c r="A25" s="977">
        <v>455</v>
      </c>
      <c r="B25" s="978" t="s">
        <v>1370</v>
      </c>
      <c r="C25" s="979">
        <v>151412.03</v>
      </c>
      <c r="D25" s="980">
        <v>2773.7476298944016</v>
      </c>
      <c r="E25" s="981">
        <v>2246.4674425143103</v>
      </c>
      <c r="F25" s="980">
        <v>395.9111894873875</v>
      </c>
      <c r="G25" s="981">
        <v>2642.378632001698</v>
      </c>
      <c r="H25" s="980">
        <v>196.80560355739237</v>
      </c>
      <c r="I25" s="979">
        <v>179.42492165252656</v>
      </c>
      <c r="J25" s="980">
        <v>47.826429973893092</v>
      </c>
      <c r="K25" s="979">
        <v>612.13101759483709</v>
      </c>
      <c r="L25" s="980">
        <v>528.25032495766675</v>
      </c>
      <c r="M25" s="982">
        <v>0.80990333017421445</v>
      </c>
      <c r="N25" s="983">
        <v>6.9692525349058926E-2</v>
      </c>
      <c r="O25" s="982">
        <v>6.4632330478933991E-2</v>
      </c>
      <c r="P25" s="983"/>
      <c r="Q25" s="980"/>
      <c r="R25" s="984">
        <v>427.57434604000008</v>
      </c>
      <c r="S25" s="985">
        <v>420.33284918999999</v>
      </c>
      <c r="T25" s="986">
        <v>419.97875935000002</v>
      </c>
      <c r="U25" s="987">
        <v>340.14219580000002</v>
      </c>
      <c r="V25" s="986">
        <v>59.945716900000001</v>
      </c>
      <c r="W25" s="985">
        <v>400.0879127</v>
      </c>
      <c r="X25" s="984">
        <v>29.798735949999998</v>
      </c>
      <c r="Y25" s="987">
        <v>92.683999999999997</v>
      </c>
      <c r="Z25" s="984">
        <v>79.983454049999992</v>
      </c>
      <c r="AA25" s="2019"/>
      <c r="AB25" s="986"/>
      <c r="AC25" s="987"/>
      <c r="AD25" s="986"/>
      <c r="AE25" s="2020">
        <v>168.18616724179711</v>
      </c>
      <c r="AF25" s="2023">
        <v>6.9627069533873015E-2</v>
      </c>
    </row>
    <row r="26" spans="1:32" ht="14" thickBot="1">
      <c r="A26" s="977">
        <v>509</v>
      </c>
      <c r="B26" s="978" t="s">
        <v>1371</v>
      </c>
      <c r="C26" s="979">
        <v>139627.08000000002</v>
      </c>
      <c r="D26" s="980">
        <v>3901.8261805661191</v>
      </c>
      <c r="E26" s="981">
        <v>3719.9848147651587</v>
      </c>
      <c r="F26" s="980">
        <v>490.46443777238619</v>
      </c>
      <c r="G26" s="981">
        <v>4210.4492525375445</v>
      </c>
      <c r="H26" s="980">
        <v>-195.47111964240744</v>
      </c>
      <c r="I26" s="979">
        <v>348.65885034622221</v>
      </c>
      <c r="J26" s="980">
        <v>89.095856548743967</v>
      </c>
      <c r="K26" s="979">
        <v>911.63562383457418</v>
      </c>
      <c r="L26" s="980">
        <v>928.48146548649424</v>
      </c>
      <c r="M26" s="982">
        <v>0.95339583123752147</v>
      </c>
      <c r="N26" s="983">
        <v>-4.9983440067524629E-2</v>
      </c>
      <c r="O26" s="982">
        <v>9.123321777480467E-2</v>
      </c>
      <c r="P26" s="983"/>
      <c r="Q26" s="980"/>
      <c r="R26" s="984">
        <v>546.04208160000007</v>
      </c>
      <c r="S26" s="985">
        <v>533.60188730999994</v>
      </c>
      <c r="T26" s="986">
        <v>544.80059626000002</v>
      </c>
      <c r="U26" s="987">
        <v>519.41061733000004</v>
      </c>
      <c r="V26" s="986">
        <v>68.482117289999991</v>
      </c>
      <c r="W26" s="985">
        <v>587.89273462000006</v>
      </c>
      <c r="X26" s="984">
        <v>-27.293061659999996</v>
      </c>
      <c r="Y26" s="987">
        <v>127.28902018000001</v>
      </c>
      <c r="Z26" s="984">
        <v>129.64115586</v>
      </c>
      <c r="AA26" s="2019"/>
      <c r="AB26" s="986"/>
      <c r="AC26" s="987"/>
      <c r="AD26" s="986"/>
      <c r="AE26" s="2020">
        <v>348.65885034622221</v>
      </c>
      <c r="AF26" s="2023">
        <v>8.509483808472422E-2</v>
      </c>
    </row>
    <row r="27" spans="1:32" ht="14" thickBot="1">
      <c r="A27" s="977">
        <v>558</v>
      </c>
      <c r="B27" s="978" t="s">
        <v>1372</v>
      </c>
      <c r="C27" s="979">
        <v>3647.63</v>
      </c>
      <c r="D27" s="980">
        <v>2138.2904516083049</v>
      </c>
      <c r="E27" s="981">
        <v>1452.2543267820477</v>
      </c>
      <c r="F27" s="980">
        <v>359.69384230308441</v>
      </c>
      <c r="G27" s="981">
        <v>1811.9481690851321</v>
      </c>
      <c r="H27" s="980">
        <v>432.49699119702382</v>
      </c>
      <c r="I27" s="979">
        <v>163.57789030137377</v>
      </c>
      <c r="J27" s="980">
        <v>38.517618289135676</v>
      </c>
      <c r="K27" s="979">
        <v>558.17064779048314</v>
      </c>
      <c r="L27" s="980">
        <v>1358.4570721262846</v>
      </c>
      <c r="M27" s="982">
        <v>0.67916607198509515</v>
      </c>
      <c r="N27" s="983">
        <v>0.19751927804287386</v>
      </c>
      <c r="O27" s="982">
        <v>7.604288496101308E-2</v>
      </c>
      <c r="P27" s="983"/>
      <c r="Q27" s="980"/>
      <c r="R27" s="984">
        <v>7.9870127900000005</v>
      </c>
      <c r="S27" s="985">
        <v>7.8465147699999997</v>
      </c>
      <c r="T27" s="986">
        <v>7.7996924000000005</v>
      </c>
      <c r="U27" s="987">
        <v>5.2972864500000005</v>
      </c>
      <c r="V27" s="986">
        <v>1.3120300499999997</v>
      </c>
      <c r="W27" s="985">
        <v>6.6093165000000003</v>
      </c>
      <c r="X27" s="984">
        <v>1.5775889999999999</v>
      </c>
      <c r="Y27" s="987">
        <v>2.036</v>
      </c>
      <c r="Z27" s="984">
        <v>4.9551487699999992</v>
      </c>
      <c r="AA27" s="2019"/>
      <c r="AB27" s="986"/>
      <c r="AC27" s="987"/>
      <c r="AD27" s="986"/>
      <c r="AE27" s="2020">
        <v>163.57789030137377</v>
      </c>
      <c r="AF27" s="2023">
        <v>9.589548447555532E-2</v>
      </c>
    </row>
    <row r="28" spans="1:32" ht="14" thickBot="1">
      <c r="A28" s="977">
        <v>762</v>
      </c>
      <c r="B28" s="978" t="s">
        <v>1373</v>
      </c>
      <c r="C28" s="979">
        <v>20631.420000000002</v>
      </c>
      <c r="D28" s="980">
        <v>3124.6012150399729</v>
      </c>
      <c r="E28" s="981">
        <v>3033.1623378322961</v>
      </c>
      <c r="F28" s="980">
        <v>483.22376404532503</v>
      </c>
      <c r="G28" s="981">
        <v>3516.3861018776211</v>
      </c>
      <c r="H28" s="980">
        <v>-243.88471564245216</v>
      </c>
      <c r="I28" s="979">
        <v>169.66276097331155</v>
      </c>
      <c r="J28" s="980">
        <v>45.939056545792781</v>
      </c>
      <c r="K28" s="979">
        <v>576.16005102896452</v>
      </c>
      <c r="L28" s="980">
        <v>527.74880740152651</v>
      </c>
      <c r="M28" s="982">
        <v>0.97073582485741083</v>
      </c>
      <c r="N28" s="983">
        <v>-8.0014516347463302E-2</v>
      </c>
      <c r="O28" s="982">
        <v>5.6515318087192394E-2</v>
      </c>
      <c r="P28" s="983"/>
      <c r="Q28" s="980"/>
      <c r="R28" s="984">
        <v>62.884689300000005</v>
      </c>
      <c r="S28" s="985">
        <v>61.936901329999998</v>
      </c>
      <c r="T28" s="986">
        <v>64.464960000000005</v>
      </c>
      <c r="U28" s="987">
        <v>62.578446120000002</v>
      </c>
      <c r="V28" s="986">
        <v>9.9695924300000005</v>
      </c>
      <c r="W28" s="985">
        <v>72.548038550000001</v>
      </c>
      <c r="X28" s="984">
        <v>-5.0316880000000008</v>
      </c>
      <c r="Y28" s="987">
        <v>11.887</v>
      </c>
      <c r="Z28" s="984">
        <v>10.888207300000001</v>
      </c>
      <c r="AA28" s="2019"/>
      <c r="AB28" s="986"/>
      <c r="AC28" s="987"/>
      <c r="AD28" s="986"/>
      <c r="AE28" s="2020">
        <v>168.29256008553941</v>
      </c>
      <c r="AF28" s="2023">
        <v>5.036766204896672E-2</v>
      </c>
    </row>
    <row r="29" spans="1:32" ht="14" thickBot="1">
      <c r="A29" s="977">
        <v>774</v>
      </c>
      <c r="B29" s="978" t="s">
        <v>1374</v>
      </c>
      <c r="C29" s="979">
        <v>210232.33</v>
      </c>
      <c r="D29" s="980">
        <v>2821.2658229112526</v>
      </c>
      <c r="E29" s="981">
        <v>2008.4579016938069</v>
      </c>
      <c r="F29" s="980">
        <v>432.32308370458526</v>
      </c>
      <c r="G29" s="981">
        <v>2440.7809853983922</v>
      </c>
      <c r="H29" s="980">
        <v>484.66258733849349</v>
      </c>
      <c r="I29" s="979">
        <v>108.81097208026947</v>
      </c>
      <c r="J29" s="980">
        <v>141.48641024908014</v>
      </c>
      <c r="K29" s="979">
        <v>588.63353700165908</v>
      </c>
      <c r="L29" s="980">
        <v>626.51947019756676</v>
      </c>
      <c r="M29" s="982">
        <v>0.71189956131864507</v>
      </c>
      <c r="N29" s="983">
        <v>0.17011186273355555</v>
      </c>
      <c r="O29" s="982">
        <v>4.0187310975184208E-2</v>
      </c>
      <c r="P29" s="983"/>
      <c r="Q29" s="980"/>
      <c r="R29" s="984">
        <v>598.9690746</v>
      </c>
      <c r="S29" s="985">
        <v>569.22405692000007</v>
      </c>
      <c r="T29" s="986">
        <v>593.12128749999999</v>
      </c>
      <c r="U29" s="987">
        <v>422.24278437999999</v>
      </c>
      <c r="V29" s="986">
        <v>90.888289200000003</v>
      </c>
      <c r="W29" s="985">
        <v>513.13107358000002</v>
      </c>
      <c r="X29" s="984">
        <v>101.891745</v>
      </c>
      <c r="Y29" s="987">
        <v>123.74979999999999</v>
      </c>
      <c r="Z29" s="984">
        <v>131.71464801000002</v>
      </c>
      <c r="AA29" s="2019"/>
      <c r="AB29" s="986"/>
      <c r="AC29" s="987"/>
      <c r="AD29" s="986"/>
      <c r="AE29" s="2020">
        <v>108.81097208026947</v>
      </c>
      <c r="AF29" s="2023">
        <v>4.65680139544946E-2</v>
      </c>
    </row>
    <row r="30" spans="1:32" ht="14" thickBot="1">
      <c r="A30" s="977">
        <v>780</v>
      </c>
      <c r="B30" s="978" t="s">
        <v>1375</v>
      </c>
      <c r="C30" s="979">
        <v>6124.4</v>
      </c>
      <c r="D30" s="980">
        <v>2271.3935405917309</v>
      </c>
      <c r="E30" s="981">
        <v>1536.5198713343345</v>
      </c>
      <c r="F30" s="980">
        <v>399.37050160015679</v>
      </c>
      <c r="G30" s="981">
        <v>1935.8903729344913</v>
      </c>
      <c r="H30" s="980">
        <v>429.59734831167128</v>
      </c>
      <c r="I30" s="979">
        <v>109.67577558617985</v>
      </c>
      <c r="J30" s="980">
        <v>125.52163313957284</v>
      </c>
      <c r="K30" s="979">
        <v>440.85951276859777</v>
      </c>
      <c r="L30" s="980">
        <v>663.16870387303243</v>
      </c>
      <c r="M30" s="982">
        <v>0.67646572197878529</v>
      </c>
      <c r="N30" s="983">
        <v>0.18683660169409338</v>
      </c>
      <c r="O30" s="982">
        <v>5.045349403154141E-2</v>
      </c>
      <c r="P30" s="983"/>
      <c r="Q30" s="980"/>
      <c r="R30" s="984">
        <v>14.0819624</v>
      </c>
      <c r="S30" s="985">
        <v>13.31321711</v>
      </c>
      <c r="T30" s="986">
        <v>13.910922599999999</v>
      </c>
      <c r="U30" s="987">
        <v>9.4102622999999994</v>
      </c>
      <c r="V30" s="986">
        <v>2.4459047000000003</v>
      </c>
      <c r="W30" s="985">
        <v>11.856166999999999</v>
      </c>
      <c r="X30" s="984">
        <v>2.6310259999999999</v>
      </c>
      <c r="Y30" s="987">
        <v>2.7</v>
      </c>
      <c r="Z30" s="984">
        <v>4.0615104100000003</v>
      </c>
      <c r="AA30" s="2019"/>
      <c r="AB30" s="986"/>
      <c r="AC30" s="987"/>
      <c r="AD30" s="986"/>
      <c r="AE30" s="2020">
        <v>106.88801678531773</v>
      </c>
      <c r="AF30" s="2023">
        <v>5.9548269263390234E-2</v>
      </c>
    </row>
    <row r="31" spans="1:32" ht="14" thickBot="1">
      <c r="A31" s="977">
        <v>820</v>
      </c>
      <c r="B31" s="978" t="s">
        <v>1376</v>
      </c>
      <c r="C31" s="979">
        <v>2559.42</v>
      </c>
      <c r="D31" s="980">
        <v>2505.7057458330405</v>
      </c>
      <c r="E31" s="981">
        <v>2092.8783669737677</v>
      </c>
      <c r="F31" s="980">
        <v>393.76907658766442</v>
      </c>
      <c r="G31" s="981">
        <v>2486.6474435614318</v>
      </c>
      <c r="H31" s="980">
        <v>-78.687749568261538</v>
      </c>
      <c r="I31" s="979">
        <v>97.671585749896465</v>
      </c>
      <c r="J31" s="980">
        <v>474.0451703901665</v>
      </c>
      <c r="K31" s="979">
        <v>355.67394175242822</v>
      </c>
      <c r="L31" s="980">
        <v>1733.5074821639275</v>
      </c>
      <c r="M31" s="982">
        <v>0.83524506836215706</v>
      </c>
      <c r="N31" s="983">
        <v>-3.0450627603091501E-2</v>
      </c>
      <c r="O31" s="982">
        <v>4.6288444509894687E-2</v>
      </c>
      <c r="P31" s="983"/>
      <c r="Q31" s="980"/>
      <c r="R31" s="984">
        <v>6.6138209899999989</v>
      </c>
      <c r="S31" s="985">
        <v>5.4005402999999994</v>
      </c>
      <c r="T31" s="986">
        <v>6.4131534000000006</v>
      </c>
      <c r="U31" s="987">
        <v>5.3565547499999999</v>
      </c>
      <c r="V31" s="986">
        <v>1.0078204500000001</v>
      </c>
      <c r="W31" s="985">
        <v>6.3643751999999996</v>
      </c>
      <c r="X31" s="984">
        <v>-0.20139499999999994</v>
      </c>
      <c r="Y31" s="987">
        <v>0.91031899999999999</v>
      </c>
      <c r="Z31" s="984">
        <v>4.4367737199999997</v>
      </c>
      <c r="AA31" s="2019"/>
      <c r="AB31" s="986"/>
      <c r="AC31" s="987"/>
      <c r="AD31" s="986"/>
      <c r="AE31" s="2020">
        <v>97.671585749896465</v>
      </c>
      <c r="AF31" s="2023">
        <v>3.7792846145021784E-2</v>
      </c>
    </row>
    <row r="32" spans="1:32" ht="14" thickBot="1">
      <c r="A32" s="977">
        <v>829</v>
      </c>
      <c r="B32" s="978" t="s">
        <v>1377</v>
      </c>
      <c r="C32" s="979">
        <v>14978.33</v>
      </c>
      <c r="D32" s="980">
        <v>2097.7283181769931</v>
      </c>
      <c r="E32" s="981">
        <v>1940.0996806720109</v>
      </c>
      <c r="F32" s="980">
        <v>363.12767845280484</v>
      </c>
      <c r="G32" s="981">
        <v>2303.2273591248154</v>
      </c>
      <c r="H32" s="980">
        <v>-8.333105226016519</v>
      </c>
      <c r="I32" s="979">
        <v>63.662559177157931</v>
      </c>
      <c r="J32" s="980">
        <v>24.836350914955144</v>
      </c>
      <c r="K32" s="979">
        <v>409.92553909547991</v>
      </c>
      <c r="L32" s="980">
        <v>510.97039256045235</v>
      </c>
      <c r="M32" s="982">
        <v>0.92485745835668198</v>
      </c>
      <c r="N32" s="983">
        <v>-3.9348435840928196E-3</v>
      </c>
      <c r="O32" s="982">
        <v>3.0417815721019769E-2</v>
      </c>
      <c r="P32" s="983"/>
      <c r="Q32" s="980"/>
      <c r="R32" s="984">
        <v>31.720701810000001</v>
      </c>
      <c r="S32" s="985">
        <v>31.34869475</v>
      </c>
      <c r="T32" s="986">
        <v>31.420466999999999</v>
      </c>
      <c r="U32" s="987">
        <v>29.059453250000001</v>
      </c>
      <c r="V32" s="986">
        <v>5.4390461999999999</v>
      </c>
      <c r="W32" s="985">
        <v>34.498499449999997</v>
      </c>
      <c r="X32" s="984">
        <v>-0.124816</v>
      </c>
      <c r="Y32" s="987">
        <v>6.14</v>
      </c>
      <c r="Z32" s="984">
        <v>7.6534831600000004</v>
      </c>
      <c r="AA32" s="2019"/>
      <c r="AB32" s="986"/>
      <c r="AC32" s="987"/>
      <c r="AD32" s="986"/>
      <c r="AE32" s="2020">
        <v>61.471059857807909</v>
      </c>
      <c r="AF32" s="2023">
        <v>3.0228253777276302E-2</v>
      </c>
    </row>
    <row r="33" spans="1:32" ht="14" thickBot="1">
      <c r="A33" s="977">
        <v>881</v>
      </c>
      <c r="B33" s="978" t="s">
        <v>1378</v>
      </c>
      <c r="C33" s="979">
        <v>178520.89</v>
      </c>
      <c r="D33" s="980">
        <v>2793.7562357548181</v>
      </c>
      <c r="E33" s="981">
        <v>2525.4549458049414</v>
      </c>
      <c r="F33" s="980">
        <v>472.89427343769131</v>
      </c>
      <c r="G33" s="981">
        <v>2998.3492192426329</v>
      </c>
      <c r="H33" s="980">
        <v>179.36855457084042</v>
      </c>
      <c r="I33" s="979">
        <v>191.49692627008525</v>
      </c>
      <c r="J33" s="980">
        <v>9.8370642225680189</v>
      </c>
      <c r="K33" s="979">
        <v>478.93554642260631</v>
      </c>
      <c r="L33" s="980">
        <v>144.69258510866712</v>
      </c>
      <c r="M33" s="982">
        <v>0.90396395844557753</v>
      </c>
      <c r="N33" s="983">
        <v>6.2335403530553085E-2</v>
      </c>
      <c r="O33" s="982">
        <v>6.6778631760681897E-2</v>
      </c>
      <c r="P33" s="983"/>
      <c r="Q33" s="980"/>
      <c r="R33" s="984">
        <v>513.68936730000007</v>
      </c>
      <c r="S33" s="985">
        <v>511.93324584000004</v>
      </c>
      <c r="T33" s="986">
        <v>498.74384965000002</v>
      </c>
      <c r="U33" s="987">
        <v>450.84646457999992</v>
      </c>
      <c r="V33" s="986">
        <v>84.42150657000002</v>
      </c>
      <c r="W33" s="985">
        <v>535.26797114999999</v>
      </c>
      <c r="X33" s="984">
        <v>32.021034</v>
      </c>
      <c r="Y33" s="987">
        <v>85.5</v>
      </c>
      <c r="Z33" s="984">
        <v>25.83064907</v>
      </c>
      <c r="AA33" s="2019"/>
      <c r="AB33" s="986"/>
      <c r="AC33" s="987"/>
      <c r="AD33" s="986"/>
      <c r="AE33" s="2020">
        <v>183.50707555849627</v>
      </c>
      <c r="AF33" s="2023">
        <v>7.3247333457202496E-2</v>
      </c>
    </row>
    <row r="34" spans="1:32" ht="14" thickBot="1">
      <c r="A34" s="977">
        <v>901</v>
      </c>
      <c r="B34" s="978" t="s">
        <v>1379</v>
      </c>
      <c r="C34" s="979">
        <v>2462.33</v>
      </c>
      <c r="D34" s="980">
        <v>2319.8943480362095</v>
      </c>
      <c r="E34" s="981">
        <v>1845.7799726275521</v>
      </c>
      <c r="F34" s="980">
        <v>366.15989733301387</v>
      </c>
      <c r="G34" s="981">
        <v>2211.9398699605658</v>
      </c>
      <c r="H34" s="980">
        <v>189.40131907583469</v>
      </c>
      <c r="I34" s="979">
        <v>121.36387892768234</v>
      </c>
      <c r="J34" s="980">
        <v>371.22539220981758</v>
      </c>
      <c r="K34" s="979">
        <v>285.10760133694515</v>
      </c>
      <c r="L34" s="980">
        <v>2641.0998647622378</v>
      </c>
      <c r="M34" s="982">
        <v>0.79563104853891509</v>
      </c>
      <c r="N34" s="983">
        <v>7.4206077784504651E-2</v>
      </c>
      <c r="O34" s="982">
        <v>5.5642305533341076E-2</v>
      </c>
      <c r="P34" s="983"/>
      <c r="Q34" s="980"/>
      <c r="R34" s="984">
        <v>6.2847756400000003</v>
      </c>
      <c r="S34" s="985">
        <v>5.370696220000001</v>
      </c>
      <c r="T34" s="986">
        <v>5.7123454499999999</v>
      </c>
      <c r="U34" s="987">
        <v>4.5449194000000004</v>
      </c>
      <c r="V34" s="986">
        <v>0.90160649999999998</v>
      </c>
      <c r="W34" s="985">
        <v>5.4465259000000001</v>
      </c>
      <c r="X34" s="984">
        <v>0.46636855000000005</v>
      </c>
      <c r="Y34" s="987">
        <v>0.70202900000000001</v>
      </c>
      <c r="Z34" s="984">
        <v>6.50325943</v>
      </c>
      <c r="AA34" s="2019"/>
      <c r="AB34" s="986"/>
      <c r="AC34" s="987"/>
      <c r="AD34" s="986"/>
      <c r="AE34" s="2020">
        <v>114.6277387677525</v>
      </c>
      <c r="AF34" s="2023">
        <v>5.6965161245753869E-2</v>
      </c>
    </row>
    <row r="35" spans="1:32" ht="14" thickBot="1">
      <c r="A35" s="977">
        <v>923</v>
      </c>
      <c r="B35" s="978" t="s">
        <v>1380</v>
      </c>
      <c r="C35" s="979">
        <v>14847.12</v>
      </c>
      <c r="D35" s="980">
        <v>2746.7728455080846</v>
      </c>
      <c r="E35" s="981">
        <v>2792.9492622138164</v>
      </c>
      <c r="F35" s="980">
        <v>454.94514761111913</v>
      </c>
      <c r="G35" s="981">
        <v>3247.8944098249358</v>
      </c>
      <c r="H35" s="980">
        <v>-257.9245671887881</v>
      </c>
      <c r="I35" s="979">
        <v>160.78433527849171</v>
      </c>
      <c r="J35" s="980">
        <v>48.001291833028908</v>
      </c>
      <c r="K35" s="979">
        <v>754.35505337062</v>
      </c>
      <c r="L35" s="980">
        <v>1698.1447539994288</v>
      </c>
      <c r="M35" s="982">
        <v>1.0168111523241705</v>
      </c>
      <c r="N35" s="983">
        <v>-9.2081984106885797E-2</v>
      </c>
      <c r="O35" s="982">
        <v>5.8402670748189417E-2</v>
      </c>
      <c r="P35" s="983"/>
      <c r="Q35" s="980"/>
      <c r="R35" s="984">
        <v>41.587255500000005</v>
      </c>
      <c r="S35" s="985">
        <v>40.874574559999999</v>
      </c>
      <c r="T35" s="986">
        <v>40.781666049999998</v>
      </c>
      <c r="U35" s="987">
        <v>41.467252850000001</v>
      </c>
      <c r="V35" s="986">
        <v>6.7546251999999996</v>
      </c>
      <c r="W35" s="985">
        <v>48.221878050000001</v>
      </c>
      <c r="X35" s="984">
        <v>-3.8294369999999995</v>
      </c>
      <c r="Y35" s="987">
        <v>11.2</v>
      </c>
      <c r="Z35" s="984">
        <v>25.212558940000001</v>
      </c>
      <c r="AA35" s="2019"/>
      <c r="AB35" s="986"/>
      <c r="AC35" s="987"/>
      <c r="AD35" s="986"/>
      <c r="AE35" s="2020">
        <v>155.89633275679051</v>
      </c>
      <c r="AF35" s="2023">
        <v>5.3510990690466685E-2</v>
      </c>
    </row>
    <row r="36" spans="1:32" ht="14" thickBot="1">
      <c r="A36" s="977">
        <v>941</v>
      </c>
      <c r="B36" s="978" t="s">
        <v>1381</v>
      </c>
      <c r="C36" s="979">
        <v>34763.26</v>
      </c>
      <c r="D36" s="980">
        <v>2786.6933069568272</v>
      </c>
      <c r="E36" s="981">
        <v>2363.1309258682877</v>
      </c>
      <c r="F36" s="980">
        <v>399.54961531225774</v>
      </c>
      <c r="G36" s="981">
        <v>2762.6805411805453</v>
      </c>
      <c r="H36" s="980">
        <v>147.51660373624335</v>
      </c>
      <c r="I36" s="979">
        <v>66.558297179263391</v>
      </c>
      <c r="J36" s="980">
        <v>154.92203464232065</v>
      </c>
      <c r="K36" s="979">
        <v>648.48210438261538</v>
      </c>
      <c r="L36" s="980">
        <v>878.66470089398979</v>
      </c>
      <c r="M36" s="982">
        <v>0.84800538328665764</v>
      </c>
      <c r="N36" s="983">
        <v>5.2551443739459212E-2</v>
      </c>
      <c r="O36" s="982">
        <v>2.5095812800919378E-2</v>
      </c>
      <c r="P36" s="983"/>
      <c r="Q36" s="980"/>
      <c r="R36" s="984">
        <v>97.583580680000011</v>
      </c>
      <c r="S36" s="985">
        <v>92.197985709999998</v>
      </c>
      <c r="T36" s="986">
        <v>96.874543970000005</v>
      </c>
      <c r="U36" s="987">
        <v>82.15013479000001</v>
      </c>
      <c r="V36" s="986">
        <v>13.889647159999999</v>
      </c>
      <c r="W36" s="985">
        <v>96.039781950000005</v>
      </c>
      <c r="X36" s="984">
        <v>5.1281580499999997</v>
      </c>
      <c r="Y36" s="987">
        <v>22.543351999999999</v>
      </c>
      <c r="Z36" s="984">
        <v>30.54524945</v>
      </c>
      <c r="AA36" s="2019"/>
      <c r="AB36" s="986"/>
      <c r="AC36" s="987"/>
      <c r="AD36" s="986"/>
      <c r="AE36" s="2020">
        <v>66.558297179263391</v>
      </c>
      <c r="AF36" s="2023">
        <v>2.5219340977829331E-2</v>
      </c>
    </row>
    <row r="37" spans="1:32" ht="14" thickBot="1">
      <c r="A37" s="977">
        <v>966</v>
      </c>
      <c r="B37" s="978" t="s">
        <v>1382</v>
      </c>
      <c r="C37" s="979">
        <v>4232.38</v>
      </c>
      <c r="D37" s="980">
        <v>2783.0979023622644</v>
      </c>
      <c r="E37" s="981">
        <v>2542.2612100047727</v>
      </c>
      <c r="F37" s="980">
        <v>420.00522164833967</v>
      </c>
      <c r="G37" s="981">
        <v>2962.2664316531122</v>
      </c>
      <c r="H37" s="980">
        <v>-55.033574490003254</v>
      </c>
      <c r="I37" s="979">
        <v>94.311626082724146</v>
      </c>
      <c r="J37" s="980">
        <v>357.80355969927086</v>
      </c>
      <c r="K37" s="979">
        <v>419.38578294009511</v>
      </c>
      <c r="L37" s="980">
        <v>585.58330301154433</v>
      </c>
      <c r="M37" s="982">
        <v>0.91346452736963657</v>
      </c>
      <c r="N37" s="983">
        <v>-1.949163255251608E-2</v>
      </c>
      <c r="O37" s="982">
        <v>3.8250323670237223E-2</v>
      </c>
      <c r="P37" s="983"/>
      <c r="Q37" s="980"/>
      <c r="R37" s="984">
        <v>11.94989693</v>
      </c>
      <c r="S37" s="985">
        <v>10.43553627</v>
      </c>
      <c r="T37" s="986">
        <v>11.779127900000001</v>
      </c>
      <c r="U37" s="987">
        <v>10.7598155</v>
      </c>
      <c r="V37" s="986">
        <v>1.7776216999999999</v>
      </c>
      <c r="W37" s="985">
        <v>12.537437199999999</v>
      </c>
      <c r="X37" s="984">
        <v>-0.23292299999999996</v>
      </c>
      <c r="Y37" s="987">
        <v>1.7749999999999999</v>
      </c>
      <c r="Z37" s="984">
        <v>2.47841106</v>
      </c>
      <c r="AA37" s="2019"/>
      <c r="AB37" s="986"/>
      <c r="AC37" s="987"/>
      <c r="AD37" s="986"/>
      <c r="AE37" s="2020">
        <v>94.311626082724146</v>
      </c>
      <c r="AF37" s="2023">
        <v>3.3230182199777393E-2</v>
      </c>
    </row>
    <row r="38" spans="1:32" ht="14" thickBot="1">
      <c r="A38" s="977">
        <v>994</v>
      </c>
      <c r="B38" s="978" t="s">
        <v>1383</v>
      </c>
      <c r="C38" s="979">
        <v>183487.42</v>
      </c>
      <c r="D38" s="980">
        <v>3055.7139099781334</v>
      </c>
      <c r="E38" s="981">
        <v>2444.2836336136834</v>
      </c>
      <c r="F38" s="980">
        <v>454.25166373803717</v>
      </c>
      <c r="G38" s="981">
        <v>2898.5352973517206</v>
      </c>
      <c r="H38" s="980">
        <v>375.90165271275816</v>
      </c>
      <c r="I38" s="979">
        <v>166.7728615945442</v>
      </c>
      <c r="J38" s="980">
        <v>170.59663872324325</v>
      </c>
      <c r="K38" s="979">
        <v>519.53697970138774</v>
      </c>
      <c r="L38" s="980">
        <v>989.33848631148669</v>
      </c>
      <c r="M38" s="982">
        <v>0.79990591580976067</v>
      </c>
      <c r="N38" s="983">
        <v>0.11919053590717836</v>
      </c>
      <c r="O38" s="982">
        <v>5.5904182825551846E-2</v>
      </c>
      <c r="P38" s="983"/>
      <c r="Q38" s="980"/>
      <c r="R38" s="984">
        <v>578.68037848000006</v>
      </c>
      <c r="S38" s="985">
        <v>547.37804138000001</v>
      </c>
      <c r="T38" s="986">
        <v>560.68506160000004</v>
      </c>
      <c r="U38" s="987">
        <v>448.49529768000008</v>
      </c>
      <c r="V38" s="986">
        <v>83.349465809999998</v>
      </c>
      <c r="W38" s="985">
        <v>531.8447634900001</v>
      </c>
      <c r="X38" s="984">
        <v>68.973224430000002</v>
      </c>
      <c r="Y38" s="987">
        <v>95.328500000000005</v>
      </c>
      <c r="Z38" s="984">
        <v>181.53116636000001</v>
      </c>
      <c r="AA38" s="2019"/>
      <c r="AB38" s="986"/>
      <c r="AC38" s="987"/>
      <c r="AD38" s="986"/>
      <c r="AE38" s="2020">
        <v>166.7728615945442</v>
      </c>
      <c r="AF38" s="2023">
        <v>6.2233039326690817E-2</v>
      </c>
    </row>
    <row r="39" spans="1:32" ht="14" thickBot="1">
      <c r="A39" s="977">
        <v>1003</v>
      </c>
      <c r="B39" s="978" t="s">
        <v>1416</v>
      </c>
      <c r="C39" s="979">
        <v>172.08</v>
      </c>
      <c r="D39" s="980">
        <v>2449.5911785216176</v>
      </c>
      <c r="E39" s="981">
        <v>2165.4349721059971</v>
      </c>
      <c r="F39" s="980">
        <v>374.3453626220363</v>
      </c>
      <c r="G39" s="981">
        <v>2539.7803347280337</v>
      </c>
      <c r="H39" s="980">
        <v>-620.09472338447233</v>
      </c>
      <c r="I39" s="979">
        <v>429.93288005578802</v>
      </c>
      <c r="J39" s="980">
        <v>1710.514760576476</v>
      </c>
      <c r="K39" s="979">
        <v>726.4063226406322</v>
      </c>
      <c r="L39" s="980">
        <v>9909.2233263598318</v>
      </c>
      <c r="M39" s="982">
        <v>0.88399851823963738</v>
      </c>
      <c r="N39" s="983">
        <v>-0.25348641545912726</v>
      </c>
      <c r="O39" s="982">
        <v>0.58434692978905323</v>
      </c>
      <c r="P39" s="983"/>
      <c r="Q39" s="980"/>
      <c r="R39" s="984">
        <v>0.42095313000000001</v>
      </c>
      <c r="S39" s="985">
        <v>0.12660775000000002</v>
      </c>
      <c r="T39" s="986">
        <v>0.42152564999999997</v>
      </c>
      <c r="U39" s="987">
        <v>0.37262805000000004</v>
      </c>
      <c r="V39" s="986">
        <v>6.4417350000000012E-2</v>
      </c>
      <c r="W39" s="985">
        <v>0.43704540000000003</v>
      </c>
      <c r="X39" s="984">
        <v>-0.10670590000000001</v>
      </c>
      <c r="Y39" s="987">
        <v>0.125</v>
      </c>
      <c r="Z39" s="984">
        <v>1.70517915</v>
      </c>
      <c r="AA39" s="2019"/>
      <c r="AB39" s="986"/>
      <c r="AC39" s="987"/>
      <c r="AD39" s="986"/>
      <c r="AE39" s="2020">
        <v>429.93288005578802</v>
      </c>
      <c r="AF39" s="2023">
        <v>0.1400576129918783</v>
      </c>
    </row>
    <row r="40" spans="1:32" ht="14" thickBot="1">
      <c r="A40" s="977">
        <v>1040</v>
      </c>
      <c r="B40" s="978" t="s">
        <v>1384</v>
      </c>
      <c r="C40" s="979">
        <v>4207.42</v>
      </c>
      <c r="D40" s="980">
        <v>2382.205817341744</v>
      </c>
      <c r="E40" s="981">
        <v>1611.2870714119342</v>
      </c>
      <c r="F40" s="980">
        <v>361.21723051181004</v>
      </c>
      <c r="G40" s="981">
        <v>1972.5043019237442</v>
      </c>
      <c r="H40" s="980">
        <v>558.58194570544413</v>
      </c>
      <c r="I40" s="979">
        <v>75.707766279572752</v>
      </c>
      <c r="J40" s="980">
        <v>77.191112368149618</v>
      </c>
      <c r="K40" s="979">
        <v>449.20640202309249</v>
      </c>
      <c r="L40" s="980">
        <v>910.08367360520219</v>
      </c>
      <c r="M40" s="982">
        <v>0.67638449192015548</v>
      </c>
      <c r="N40" s="983">
        <v>0.23282401390646934</v>
      </c>
      <c r="O40" s="982">
        <v>3.2604994279812546E-2</v>
      </c>
      <c r="P40" s="983"/>
      <c r="Q40" s="980"/>
      <c r="R40" s="984">
        <v>10.09427168</v>
      </c>
      <c r="S40" s="985">
        <v>9.7694962699999994</v>
      </c>
      <c r="T40" s="986">
        <v>10.0229404</v>
      </c>
      <c r="U40" s="987">
        <v>6.7793614500000006</v>
      </c>
      <c r="V40" s="986">
        <v>1.5197925999999999</v>
      </c>
      <c r="W40" s="985">
        <v>8.2991540500000003</v>
      </c>
      <c r="X40" s="984">
        <v>2.3501888499999999</v>
      </c>
      <c r="Y40" s="987">
        <v>1.89</v>
      </c>
      <c r="Z40" s="984">
        <v>3.8291042499999999</v>
      </c>
      <c r="AA40" s="2019"/>
      <c r="AB40" s="986"/>
      <c r="AC40" s="987"/>
      <c r="AD40" s="986"/>
      <c r="AE40" s="2020">
        <v>75.707766279572752</v>
      </c>
      <c r="AF40" s="2023">
        <v>4.1515011651849974E-2</v>
      </c>
    </row>
    <row r="41" spans="1:32" ht="14" thickBot="1">
      <c r="A41" s="977">
        <v>1060</v>
      </c>
      <c r="B41" s="978" t="s">
        <v>1385</v>
      </c>
      <c r="C41" s="979">
        <v>176090.22</v>
      </c>
      <c r="D41" s="980">
        <v>3773.434151766066</v>
      </c>
      <c r="E41" s="981">
        <v>4323.9629242328165</v>
      </c>
      <c r="F41" s="980">
        <v>566.11241033147667</v>
      </c>
      <c r="G41" s="981">
        <v>4890.0753345642934</v>
      </c>
      <c r="H41" s="980">
        <v>-934.11669086448967</v>
      </c>
      <c r="I41" s="979">
        <v>211.61156320890507</v>
      </c>
      <c r="J41" s="980">
        <v>157.9717392027791</v>
      </c>
      <c r="K41" s="979">
        <v>953.41160343828301</v>
      </c>
      <c r="L41" s="980">
        <v>799.36949803345124</v>
      </c>
      <c r="M41" s="982">
        <v>1.1458959532152135</v>
      </c>
      <c r="N41" s="983">
        <v>-0.2441481616511858</v>
      </c>
      <c r="O41" s="982">
        <v>5.7690446175118745E-2</v>
      </c>
      <c r="P41" s="983"/>
      <c r="Q41" s="980"/>
      <c r="R41" s="984">
        <v>673.72538252000015</v>
      </c>
      <c r="S41" s="985">
        <v>645.90810421000003</v>
      </c>
      <c r="T41" s="986">
        <v>664.46484993999991</v>
      </c>
      <c r="U41" s="987">
        <v>761.40758260000007</v>
      </c>
      <c r="V41" s="986">
        <v>99.686858880000017</v>
      </c>
      <c r="W41" s="985">
        <v>861.09444148000011</v>
      </c>
      <c r="X41" s="984">
        <v>-164.48881359999999</v>
      </c>
      <c r="Y41" s="987">
        <v>167.886459</v>
      </c>
      <c r="Z41" s="984">
        <v>140.76115077</v>
      </c>
      <c r="AA41" s="2019"/>
      <c r="AB41" s="986"/>
      <c r="AC41" s="987"/>
      <c r="AD41" s="986"/>
      <c r="AE41" s="2020">
        <v>200.66531264484766</v>
      </c>
      <c r="AF41" s="2023">
        <v>4.4951519438217596E-2</v>
      </c>
    </row>
    <row r="42" spans="1:32" ht="14" thickBot="1">
      <c r="A42" s="977">
        <v>1113</v>
      </c>
      <c r="B42" s="978" t="s">
        <v>1386</v>
      </c>
      <c r="C42" s="979">
        <v>8373.59</v>
      </c>
      <c r="D42" s="980">
        <v>2397.0403017104964</v>
      </c>
      <c r="E42" s="981">
        <v>1801.6210908343971</v>
      </c>
      <c r="F42" s="980">
        <v>371.59311358688444</v>
      </c>
      <c r="G42" s="981">
        <v>2173.2142044212815</v>
      </c>
      <c r="H42" s="980">
        <v>393.10045034447592</v>
      </c>
      <c r="I42" s="979">
        <v>170.91394013798146</v>
      </c>
      <c r="J42" s="980">
        <v>-44.378037377039</v>
      </c>
      <c r="K42" s="979">
        <v>447.83659099621548</v>
      </c>
      <c r="L42" s="980">
        <v>425.22161820676672</v>
      </c>
      <c r="M42" s="982">
        <v>0.75160233624306783</v>
      </c>
      <c r="N42" s="983">
        <v>0.16490928421517015</v>
      </c>
      <c r="O42" s="982">
        <v>7.0389540849838797E-2</v>
      </c>
      <c r="P42" s="983"/>
      <c r="Q42" s="980"/>
      <c r="R42" s="984">
        <v>19.960440770000002</v>
      </c>
      <c r="S42" s="985">
        <v>20.332044259999996</v>
      </c>
      <c r="T42" s="986">
        <v>20.071832699999998</v>
      </c>
      <c r="U42" s="987">
        <v>15.086036349999999</v>
      </c>
      <c r="V42" s="986">
        <v>3.11156838</v>
      </c>
      <c r="W42" s="985">
        <v>18.197604729999998</v>
      </c>
      <c r="X42" s="984">
        <v>3.2916620000000001</v>
      </c>
      <c r="Y42" s="987">
        <v>3.75</v>
      </c>
      <c r="Z42" s="984">
        <v>3.56063149</v>
      </c>
      <c r="AA42" s="2019"/>
      <c r="AB42" s="986"/>
      <c r="AC42" s="987"/>
      <c r="AD42" s="986"/>
      <c r="AE42" s="2020">
        <v>170.38250738333261</v>
      </c>
      <c r="AF42" s="2023">
        <v>8.528895716180053E-2</v>
      </c>
    </row>
    <row r="43" spans="1:32" ht="14" thickBot="1">
      <c r="A43" s="977">
        <v>1142</v>
      </c>
      <c r="B43" s="978" t="s">
        <v>1417</v>
      </c>
      <c r="C43" s="979">
        <v>806.19</v>
      </c>
      <c r="D43" s="980">
        <v>4149.7362284325036</v>
      </c>
      <c r="E43" s="981">
        <v>8979.1864820947903</v>
      </c>
      <c r="F43" s="980">
        <v>732.19954353192179</v>
      </c>
      <c r="G43" s="981">
        <v>9711.3860256267108</v>
      </c>
      <c r="H43" s="980">
        <v>-5693.7372083503878</v>
      </c>
      <c r="I43" s="979">
        <v>358.15136630322871</v>
      </c>
      <c r="J43" s="980">
        <v>1266.3450427318621</v>
      </c>
      <c r="K43" s="979">
        <v>2116.1264714273307</v>
      </c>
      <c r="L43" s="980">
        <v>20990.326498716182</v>
      </c>
      <c r="M43" s="982">
        <v>2.1637969229399756</v>
      </c>
      <c r="N43" s="983">
        <v>-1.0987525411576087</v>
      </c>
      <c r="O43" s="982">
        <v>9.1466495901022654E-2</v>
      </c>
      <c r="P43" s="983"/>
      <c r="Q43" s="980"/>
      <c r="R43" s="984">
        <v>4.1776777100000002</v>
      </c>
      <c r="S43" s="985">
        <v>3.1567630000000002</v>
      </c>
      <c r="T43" s="986">
        <v>3.3454758500000001</v>
      </c>
      <c r="U43" s="987">
        <v>7.2389303499999995</v>
      </c>
      <c r="V43" s="986">
        <v>0.59029195000000012</v>
      </c>
      <c r="W43" s="985">
        <v>7.8292222999999996</v>
      </c>
      <c r="X43" s="984">
        <v>-4.5902339999999997</v>
      </c>
      <c r="Y43" s="987">
        <v>1.706</v>
      </c>
      <c r="Z43" s="984">
        <v>16.92219132</v>
      </c>
      <c r="AA43" s="2019"/>
      <c r="AB43" s="986"/>
      <c r="AC43" s="987"/>
      <c r="AD43" s="986"/>
      <c r="AE43" s="2020">
        <v>340.78573289175006</v>
      </c>
      <c r="AF43" s="2023">
        <v>3.6384653100692686E-2</v>
      </c>
    </row>
    <row r="44" spans="1:32" ht="14" thickBot="1">
      <c r="A44" s="977">
        <v>1147</v>
      </c>
      <c r="B44" s="978" t="s">
        <v>1387</v>
      </c>
      <c r="C44" s="979">
        <v>396</v>
      </c>
      <c r="D44" s="980">
        <v>2496.9641414141415</v>
      </c>
      <c r="E44" s="981">
        <v>2669.9998737373735</v>
      </c>
      <c r="F44" s="980">
        <v>354.05239898989896</v>
      </c>
      <c r="G44" s="981">
        <v>3024.0522727272723</v>
      </c>
      <c r="H44" s="980">
        <v>-425.01262626262627</v>
      </c>
      <c r="I44" s="979">
        <v>232.3959595959596</v>
      </c>
      <c r="J44" s="980">
        <v>106.28977272727273</v>
      </c>
      <c r="K44" s="979">
        <v>1477.2727272727273</v>
      </c>
      <c r="L44" s="980">
        <v>3383.3339646464642</v>
      </c>
      <c r="M44" s="982">
        <v>1.0692984450410385</v>
      </c>
      <c r="N44" s="983">
        <v>-0.16717927328643481</v>
      </c>
      <c r="O44" s="982">
        <v>9.5401935783697767E-2</v>
      </c>
      <c r="P44" s="983"/>
      <c r="Q44" s="980"/>
      <c r="R44" s="984">
        <v>1.0067336499999999</v>
      </c>
      <c r="S44" s="985">
        <v>0.96464289999999997</v>
      </c>
      <c r="T44" s="986">
        <v>0.98879780000000006</v>
      </c>
      <c r="U44" s="987">
        <v>1.0573199499999999</v>
      </c>
      <c r="V44" s="986">
        <v>0.14020474999999999</v>
      </c>
      <c r="W44" s="985">
        <v>1.1975246999999998</v>
      </c>
      <c r="X44" s="984">
        <v>-0.16830500000000001</v>
      </c>
      <c r="Y44" s="987">
        <v>0.58499999999999996</v>
      </c>
      <c r="Z44" s="984">
        <v>1.3398002499999999</v>
      </c>
      <c r="AA44" s="2019"/>
      <c r="AB44" s="986"/>
      <c r="AC44" s="987"/>
      <c r="AD44" s="986"/>
      <c r="AE44" s="2020">
        <v>232.3959595959596</v>
      </c>
      <c r="AF44" s="2023">
        <v>7.9533814973051661E-2</v>
      </c>
    </row>
    <row r="45" spans="1:32" ht="14" thickBot="1">
      <c r="A45" s="977">
        <v>1318</v>
      </c>
      <c r="B45" s="978" t="s">
        <v>1390</v>
      </c>
      <c r="C45" s="979">
        <v>8625.25</v>
      </c>
      <c r="D45" s="980">
        <v>2535.5478507869339</v>
      </c>
      <c r="E45" s="981">
        <v>2014.2446236340975</v>
      </c>
      <c r="F45" s="980">
        <v>430.13670212457606</v>
      </c>
      <c r="G45" s="981">
        <v>2444.3813257586739</v>
      </c>
      <c r="H45" s="980">
        <v>178.01814440161152</v>
      </c>
      <c r="I45" s="979">
        <v>141.85217587896003</v>
      </c>
      <c r="J45" s="980">
        <v>112.87988406133154</v>
      </c>
      <c r="K45" s="979">
        <v>637.66267644416098</v>
      </c>
      <c r="L45" s="980">
        <v>1887.803601055042</v>
      </c>
      <c r="M45" s="982">
        <v>0.7944021340433215</v>
      </c>
      <c r="N45" s="983">
        <v>6.8076473706700724E-2</v>
      </c>
      <c r="O45" s="982">
        <v>5.6693402765288753E-2</v>
      </c>
      <c r="P45" s="983"/>
      <c r="Q45" s="980"/>
      <c r="R45" s="984">
        <v>22.554796339999999</v>
      </c>
      <c r="S45" s="985">
        <v>21.581179120000002</v>
      </c>
      <c r="T45" s="986">
        <v>21.869734100000002</v>
      </c>
      <c r="U45" s="987">
        <v>17.373363440000002</v>
      </c>
      <c r="V45" s="986">
        <v>3.7100365899999996</v>
      </c>
      <c r="W45" s="985">
        <v>21.08340003</v>
      </c>
      <c r="X45" s="984">
        <v>1.5354509999999997</v>
      </c>
      <c r="Y45" s="987">
        <v>5.5</v>
      </c>
      <c r="Z45" s="984">
        <v>16.282778010000001</v>
      </c>
      <c r="AA45" s="2019"/>
      <c r="AB45" s="986"/>
      <c r="AC45" s="987"/>
      <c r="AD45" s="986"/>
      <c r="AE45" s="2020">
        <v>141.85217587896003</v>
      </c>
      <c r="AF45" s="2023">
        <v>6.0169836034199793E-2</v>
      </c>
    </row>
    <row r="46" spans="1:32" ht="14" thickBot="1">
      <c r="A46" s="977">
        <v>1322</v>
      </c>
      <c r="B46" s="978" t="s">
        <v>1391</v>
      </c>
      <c r="C46" s="979">
        <v>8771.76</v>
      </c>
      <c r="D46" s="980">
        <v>2389.0731905569687</v>
      </c>
      <c r="E46" s="981">
        <v>2100.8809976561142</v>
      </c>
      <c r="F46" s="980">
        <v>413.60342736235367</v>
      </c>
      <c r="G46" s="981">
        <v>2514.4844250184678</v>
      </c>
      <c r="H46" s="980">
        <v>72.933470591990655</v>
      </c>
      <c r="I46" s="979">
        <v>152.93735920727426</v>
      </c>
      <c r="J46" s="980">
        <v>24.716055842841111</v>
      </c>
      <c r="K46" s="979">
        <v>560.60733535801251</v>
      </c>
      <c r="L46" s="980">
        <v>585.12702011910949</v>
      </c>
      <c r="M46" s="982">
        <v>0.87937071411626877</v>
      </c>
      <c r="N46" s="983">
        <v>3.0330817812947532E-2</v>
      </c>
      <c r="O46" s="982">
        <v>6.4262540587742667E-2</v>
      </c>
      <c r="P46" s="983"/>
      <c r="Q46" s="980"/>
      <c r="R46" s="984">
        <v>21.092570070000001</v>
      </c>
      <c r="S46" s="985">
        <v>20.875766780000003</v>
      </c>
      <c r="T46" s="986">
        <v>20.956376649999999</v>
      </c>
      <c r="U46" s="987">
        <v>18.428423899999999</v>
      </c>
      <c r="V46" s="986">
        <v>3.6280299999999999</v>
      </c>
      <c r="W46" s="985">
        <v>22.056453899999998</v>
      </c>
      <c r="X46" s="984">
        <v>0.63975490000000002</v>
      </c>
      <c r="Y46" s="987">
        <v>4.9175129999999996</v>
      </c>
      <c r="Z46" s="984">
        <v>5.1325937899999996</v>
      </c>
      <c r="AA46" s="2019"/>
      <c r="AB46" s="986"/>
      <c r="AC46" s="987"/>
      <c r="AD46" s="986"/>
      <c r="AE46" s="2020">
        <v>147.69099473765812</v>
      </c>
      <c r="AF46" s="2023">
        <v>6.603114565540405E-2</v>
      </c>
    </row>
    <row r="47" spans="1:32" ht="14" thickBot="1">
      <c r="A47" s="977">
        <v>1328</v>
      </c>
      <c r="B47" s="978" t="s">
        <v>1392</v>
      </c>
      <c r="C47" s="979">
        <v>6105.85</v>
      </c>
      <c r="D47" s="980">
        <v>3139.5768320545048</v>
      </c>
      <c r="E47" s="981">
        <v>3165.8302513163603</v>
      </c>
      <c r="F47" s="980">
        <v>477.77685498333562</v>
      </c>
      <c r="G47" s="981">
        <v>3643.6071062996957</v>
      </c>
      <c r="H47" s="980">
        <v>-356.75065715666119</v>
      </c>
      <c r="I47" s="979">
        <v>237.37784419859642</v>
      </c>
      <c r="J47" s="980">
        <v>62.094850020881587</v>
      </c>
      <c r="K47" s="979">
        <v>907.28367057821595</v>
      </c>
      <c r="L47" s="980">
        <v>1245.74478246272</v>
      </c>
      <c r="M47" s="982">
        <v>1.0083620884807827</v>
      </c>
      <c r="N47" s="983">
        <v>-0.11165869092347179</v>
      </c>
      <c r="O47" s="982">
        <v>7.576898986899247E-2</v>
      </c>
      <c r="P47" s="983"/>
      <c r="Q47" s="980"/>
      <c r="R47" s="984">
        <v>19.508253069999999</v>
      </c>
      <c r="S47" s="985">
        <v>19.12911222</v>
      </c>
      <c r="T47" s="986">
        <v>19.1697852</v>
      </c>
      <c r="U47" s="987">
        <v>19.330084639999999</v>
      </c>
      <c r="V47" s="986">
        <v>2.9172338099999999</v>
      </c>
      <c r="W47" s="985">
        <v>22.247318449999998</v>
      </c>
      <c r="X47" s="984">
        <v>-2.1782659999999998</v>
      </c>
      <c r="Y47" s="987">
        <v>5.5397379999999998</v>
      </c>
      <c r="Z47" s="984">
        <v>7.6063307800000004</v>
      </c>
      <c r="AA47" s="2019"/>
      <c r="AB47" s="986"/>
      <c r="AC47" s="987"/>
      <c r="AD47" s="986"/>
      <c r="AE47" s="2020">
        <v>234.63544960980039</v>
      </c>
      <c r="AF47" s="2023">
        <v>6.7893481068660735E-2</v>
      </c>
    </row>
    <row r="48" spans="1:32" ht="14" thickBot="1">
      <c r="A48" s="977">
        <v>1331</v>
      </c>
      <c r="B48" s="978" t="s">
        <v>1393</v>
      </c>
      <c r="C48" s="979">
        <v>1677.76</v>
      </c>
      <c r="D48" s="980">
        <v>2352.5434805931714</v>
      </c>
      <c r="E48" s="981">
        <v>1810.8406148674424</v>
      </c>
      <c r="F48" s="980">
        <v>357.68378671562084</v>
      </c>
      <c r="G48" s="981">
        <v>2168.5244015830635</v>
      </c>
      <c r="H48" s="980">
        <v>174.47608716383749</v>
      </c>
      <c r="I48" s="979">
        <v>144.72646266450508</v>
      </c>
      <c r="J48" s="980">
        <v>47.438441731832889</v>
      </c>
      <c r="K48" s="979">
        <v>566.23116536334157</v>
      </c>
      <c r="L48" s="980">
        <v>533.04788527560561</v>
      </c>
      <c r="M48" s="982">
        <v>0.7697373629034292</v>
      </c>
      <c r="N48" s="983">
        <v>8.0806295049687546E-2</v>
      </c>
      <c r="O48" s="982">
        <v>6.8533872026159126E-2</v>
      </c>
      <c r="P48" s="983"/>
      <c r="Q48" s="980"/>
      <c r="R48" s="984">
        <v>3.62260143</v>
      </c>
      <c r="S48" s="985">
        <v>3.5430111100000001</v>
      </c>
      <c r="T48" s="986">
        <v>3.9470033499999997</v>
      </c>
      <c r="U48" s="987">
        <v>3.0381559500000002</v>
      </c>
      <c r="V48" s="986">
        <v>0.60010755000000005</v>
      </c>
      <c r="W48" s="985">
        <v>3.6382635000000003</v>
      </c>
      <c r="X48" s="984">
        <v>0.29272900000000002</v>
      </c>
      <c r="Y48" s="987">
        <v>0.95</v>
      </c>
      <c r="Z48" s="984">
        <v>0.89432642000000007</v>
      </c>
      <c r="AA48" s="2019"/>
      <c r="AB48" s="986"/>
      <c r="AC48" s="987"/>
      <c r="AD48" s="986"/>
      <c r="AE48" s="2020">
        <v>144.72646266450508</v>
      </c>
      <c r="AF48" s="2023">
        <v>6.6447192176471395E-2</v>
      </c>
    </row>
    <row r="49" spans="1:32" ht="14" thickBot="1">
      <c r="A49" s="977">
        <v>1362</v>
      </c>
      <c r="B49" s="978" t="s">
        <v>1394</v>
      </c>
      <c r="C49" s="979">
        <v>971.41</v>
      </c>
      <c r="D49" s="980">
        <v>2611.8843021998955</v>
      </c>
      <c r="E49" s="981">
        <v>2060.0916193986063</v>
      </c>
      <c r="F49" s="980">
        <v>337.45756168867933</v>
      </c>
      <c r="G49" s="981">
        <v>2397.5491810872854</v>
      </c>
      <c r="H49" s="980">
        <v>265.66022585725904</v>
      </c>
      <c r="I49" s="979">
        <v>88.447442377574873</v>
      </c>
      <c r="J49" s="980">
        <v>176.59263338857946</v>
      </c>
      <c r="K49" s="979">
        <v>504.42140805633051</v>
      </c>
      <c r="L49" s="980">
        <v>1511.6752658506707</v>
      </c>
      <c r="M49" s="982">
        <v>0.78873770084818295</v>
      </c>
      <c r="N49" s="983">
        <v>0.10305098315665391</v>
      </c>
      <c r="O49" s="982">
        <v>3.683227814570042E-2</v>
      </c>
      <c r="P49" s="983"/>
      <c r="Q49" s="980"/>
      <c r="R49" s="984">
        <v>2.5042458800000005</v>
      </c>
      <c r="S49" s="985">
        <v>2.3327020300000001</v>
      </c>
      <c r="T49" s="986">
        <v>2.5372105300000003</v>
      </c>
      <c r="U49" s="987">
        <v>2.0011936000000001</v>
      </c>
      <c r="V49" s="986">
        <v>0.32780965000000001</v>
      </c>
      <c r="W49" s="985">
        <v>2.32900325</v>
      </c>
      <c r="X49" s="984">
        <v>0.25806499999999999</v>
      </c>
      <c r="Y49" s="987">
        <v>0.49</v>
      </c>
      <c r="Z49" s="984">
        <v>1.46845647</v>
      </c>
      <c r="AA49" s="2019"/>
      <c r="AB49" s="986"/>
      <c r="AC49" s="987"/>
      <c r="AD49" s="986"/>
      <c r="AE49" s="2020">
        <v>88.447442377574873</v>
      </c>
      <c r="AF49" s="2023">
        <v>3.7697781413721307E-2</v>
      </c>
    </row>
    <row r="50" spans="1:32" ht="14" thickBot="1">
      <c r="A50" s="977">
        <v>1384</v>
      </c>
      <c r="B50" s="978" t="s">
        <v>1395</v>
      </c>
      <c r="C50" s="979">
        <v>628658.11</v>
      </c>
      <c r="D50" s="980">
        <v>2951.9570994319952</v>
      </c>
      <c r="E50" s="981">
        <v>2590.6541412151673</v>
      </c>
      <c r="F50" s="980">
        <v>475.24534825455441</v>
      </c>
      <c r="G50" s="981">
        <v>3065.8994894697212</v>
      </c>
      <c r="H50" s="980">
        <v>102.7368505116398</v>
      </c>
      <c r="I50" s="979">
        <v>150.84469814602409</v>
      </c>
      <c r="J50" s="980">
        <v>110.5243263941986</v>
      </c>
      <c r="K50" s="979">
        <v>474.96322791413604</v>
      </c>
      <c r="L50" s="980">
        <v>543.50789134017532</v>
      </c>
      <c r="M50" s="982">
        <v>0.87760562025567768</v>
      </c>
      <c r="N50" s="983">
        <v>3.4420499754303065E-2</v>
      </c>
      <c r="O50" s="982">
        <v>5.2481716102772392E-2</v>
      </c>
      <c r="P50" s="983"/>
      <c r="Q50" s="980"/>
      <c r="R50" s="984">
        <v>1876.3921131600002</v>
      </c>
      <c r="S50" s="985">
        <v>1806.91009902</v>
      </c>
      <c r="T50" s="986">
        <v>1855.77177093</v>
      </c>
      <c r="U50" s="987">
        <v>1628.63573608</v>
      </c>
      <c r="V50" s="986">
        <v>298.76684241999999</v>
      </c>
      <c r="W50" s="985">
        <v>1927.4025784999999</v>
      </c>
      <c r="X50" s="984">
        <v>64.586354270000001</v>
      </c>
      <c r="Y50" s="987">
        <v>298.58948518</v>
      </c>
      <c r="Z50" s="984">
        <v>341.68064373999999</v>
      </c>
      <c r="AA50" s="2019"/>
      <c r="AB50" s="986"/>
      <c r="AC50" s="987"/>
      <c r="AD50" s="986"/>
      <c r="AE50" s="2020">
        <v>149.36492924588217</v>
      </c>
      <c r="AF50" s="2023">
        <v>5.2942449150143137E-2</v>
      </c>
    </row>
    <row r="51" spans="1:32" ht="14" thickBot="1">
      <c r="A51" s="977">
        <v>1386</v>
      </c>
      <c r="B51" s="978" t="s">
        <v>1396</v>
      </c>
      <c r="C51" s="979">
        <v>13004.67</v>
      </c>
      <c r="D51" s="980">
        <v>3365.6711550543005</v>
      </c>
      <c r="E51" s="981">
        <v>3989.1077120757391</v>
      </c>
      <c r="F51" s="980">
        <v>563.36915815626242</v>
      </c>
      <c r="G51" s="981">
        <v>4552.4768702320016</v>
      </c>
      <c r="H51" s="980">
        <v>-750.45518263823692</v>
      </c>
      <c r="I51" s="979">
        <v>149.40652550199275</v>
      </c>
      <c r="J51" s="980">
        <v>13.248242362166931</v>
      </c>
      <c r="K51" s="979">
        <v>961.1931713761287</v>
      </c>
      <c r="L51" s="980">
        <v>709.15512888831472</v>
      </c>
      <c r="M51" s="982">
        <v>1.185233948386553</v>
      </c>
      <c r="N51" s="983">
        <v>-0.21829046981639508</v>
      </c>
      <c r="O51" s="982">
        <v>4.3627107217314311E-2</v>
      </c>
      <c r="P51" s="983"/>
      <c r="Q51" s="980"/>
      <c r="R51" s="984">
        <v>44.708419970000001</v>
      </c>
      <c r="S51" s="985">
        <v>44.536130949999993</v>
      </c>
      <c r="T51" s="986">
        <v>43.769442700000006</v>
      </c>
      <c r="U51" s="987">
        <v>51.877029390000004</v>
      </c>
      <c r="V51" s="986">
        <v>7.3264299900000003</v>
      </c>
      <c r="W51" s="985">
        <v>59.203459380000005</v>
      </c>
      <c r="X51" s="984">
        <v>-9.7594220000000007</v>
      </c>
      <c r="Y51" s="987">
        <v>12.5</v>
      </c>
      <c r="Z51" s="984">
        <v>9.2223284299999992</v>
      </c>
      <c r="AA51" s="2019"/>
      <c r="AB51" s="986"/>
      <c r="AC51" s="987"/>
      <c r="AD51" s="986"/>
      <c r="AE51" s="2020">
        <v>147.28135046871625</v>
      </c>
      <c r="AF51" s="2023">
        <v>3.6297847355615594E-2</v>
      </c>
    </row>
    <row r="52" spans="1:32" ht="14" thickBot="1">
      <c r="A52" s="977">
        <v>1401</v>
      </c>
      <c r="B52" s="978" t="s">
        <v>1397</v>
      </c>
      <c r="C52" s="979">
        <v>9589.17</v>
      </c>
      <c r="D52" s="980">
        <v>2695.7392245627102</v>
      </c>
      <c r="E52" s="981">
        <v>2322.8146388060695</v>
      </c>
      <c r="F52" s="980">
        <v>426.0327640452719</v>
      </c>
      <c r="G52" s="981">
        <v>2748.8474028513415</v>
      </c>
      <c r="H52" s="980">
        <v>128.30557806358632</v>
      </c>
      <c r="I52" s="979">
        <v>193.5235802472998</v>
      </c>
      <c r="J52" s="980">
        <v>61.577203240739273</v>
      </c>
      <c r="K52" s="979">
        <v>542.88004071259559</v>
      </c>
      <c r="L52" s="980">
        <v>1012.1498065004583</v>
      </c>
      <c r="M52" s="982">
        <v>0.86166147587323294</v>
      </c>
      <c r="N52" s="983">
        <v>4.6556988875061787E-2</v>
      </c>
      <c r="O52" s="982">
        <v>7.1826901084183561E-2</v>
      </c>
      <c r="P52" s="983"/>
      <c r="Q52" s="980"/>
      <c r="R52" s="984">
        <v>26.426623149999998</v>
      </c>
      <c r="S52" s="985">
        <v>25.83614888</v>
      </c>
      <c r="T52" s="986">
        <v>25.849901700000004</v>
      </c>
      <c r="U52" s="987">
        <v>22.273864449999998</v>
      </c>
      <c r="V52" s="986">
        <v>4.0853006000000001</v>
      </c>
      <c r="W52" s="985">
        <v>26.359165049999998</v>
      </c>
      <c r="X52" s="984">
        <v>1.2303440000000001</v>
      </c>
      <c r="Y52" s="987">
        <v>5.2057690000000001</v>
      </c>
      <c r="Z52" s="984">
        <v>9.7056765600000006</v>
      </c>
      <c r="AA52" s="2019"/>
      <c r="AB52" s="986"/>
      <c r="AC52" s="987"/>
      <c r="AD52" s="986"/>
      <c r="AE52" s="2020">
        <v>188.9580109644526</v>
      </c>
      <c r="AF52" s="2023">
        <v>7.5376273311360084E-2</v>
      </c>
    </row>
    <row r="53" spans="1:32" ht="14" thickBot="1">
      <c r="A53" s="977">
        <v>1423</v>
      </c>
      <c r="B53" s="978" t="s">
        <v>1399</v>
      </c>
      <c r="C53" s="979">
        <v>3341.76</v>
      </c>
      <c r="D53" s="980">
        <v>3103.8426009049122</v>
      </c>
      <c r="E53" s="981">
        <v>2980.8204209757728</v>
      </c>
      <c r="F53" s="980">
        <v>466.87139411567551</v>
      </c>
      <c r="G53" s="981">
        <v>3447.6918150914485</v>
      </c>
      <c r="H53" s="980">
        <v>2.3008833668486064</v>
      </c>
      <c r="I53" s="979">
        <v>199.17558412333619</v>
      </c>
      <c r="J53" s="980">
        <v>-193.86610648281143</v>
      </c>
      <c r="K53" s="979">
        <v>718.18442976156268</v>
      </c>
      <c r="L53" s="980">
        <v>471.20315342813365</v>
      </c>
      <c r="M53" s="982">
        <v>0.960364555891696</v>
      </c>
      <c r="N53" s="983">
        <v>7.6583236884420749E-4</v>
      </c>
      <c r="O53" s="982">
        <v>6.2275693106864177E-2</v>
      </c>
      <c r="P53" s="983"/>
      <c r="Q53" s="980"/>
      <c r="R53" s="984">
        <v>10.04005617</v>
      </c>
      <c r="S53" s="985">
        <v>10.68790995</v>
      </c>
      <c r="T53" s="986">
        <v>10.37229705</v>
      </c>
      <c r="U53" s="987">
        <v>9.9611864499999996</v>
      </c>
      <c r="V53" s="986">
        <v>1.5601721499999999</v>
      </c>
      <c r="W53" s="985">
        <v>11.521358599999999</v>
      </c>
      <c r="X53" s="984">
        <v>7.6889999999999997E-3</v>
      </c>
      <c r="Y53" s="987">
        <v>2.4</v>
      </c>
      <c r="Z53" s="984">
        <v>1.5746478500000001</v>
      </c>
      <c r="AA53" s="2019"/>
      <c r="AB53" s="986"/>
      <c r="AC53" s="987"/>
      <c r="AD53" s="986"/>
      <c r="AE53" s="2020">
        <v>198.04653835104853</v>
      </c>
      <c r="AF53" s="2023">
        <v>6.4218250877320915E-2</v>
      </c>
    </row>
    <row r="54" spans="1:32" ht="14" thickBot="1">
      <c r="A54" s="977">
        <v>1479</v>
      </c>
      <c r="B54" s="978" t="s">
        <v>1400</v>
      </c>
      <c r="C54" s="979">
        <v>426590.73</v>
      </c>
      <c r="D54" s="980">
        <v>3205.6564115915039</v>
      </c>
      <c r="E54" s="981">
        <v>2766.3905281298544</v>
      </c>
      <c r="F54" s="980">
        <v>503.30486246149792</v>
      </c>
      <c r="G54" s="981">
        <v>3269.6953905913524</v>
      </c>
      <c r="H54" s="980">
        <v>233.37646835410604</v>
      </c>
      <c r="I54" s="979">
        <v>143.51721252827036</v>
      </c>
      <c r="J54" s="980">
        <v>-77.048166658473789</v>
      </c>
      <c r="K54" s="979">
        <v>799.70326593829179</v>
      </c>
      <c r="L54" s="980">
        <v>457.57218910968834</v>
      </c>
      <c r="M54" s="982">
        <v>0.86297162669296545</v>
      </c>
      <c r="N54" s="983">
        <v>7.1806717282181534E-2</v>
      </c>
      <c r="O54" s="982">
        <v>4.3135662512770283E-2</v>
      </c>
      <c r="P54" s="983"/>
      <c r="Q54" s="980"/>
      <c r="R54" s="984">
        <v>1386.4474211900001</v>
      </c>
      <c r="S54" s="985">
        <v>1419.3154548599998</v>
      </c>
      <c r="T54" s="986">
        <v>1367.5033087500001</v>
      </c>
      <c r="U54" s="987">
        <v>1180.1165548600002</v>
      </c>
      <c r="V54" s="986">
        <v>214.70518869</v>
      </c>
      <c r="W54" s="985">
        <v>1394.8217435500001</v>
      </c>
      <c r="X54" s="984">
        <v>99.556237999999993</v>
      </c>
      <c r="Y54" s="987">
        <v>341.14600000000002</v>
      </c>
      <c r="Z54" s="984">
        <v>195.19605418</v>
      </c>
      <c r="AA54" s="2019"/>
      <c r="AB54" s="986"/>
      <c r="AC54" s="987"/>
      <c r="AD54" s="986"/>
      <c r="AE54" s="2020">
        <v>143.51721252827036</v>
      </c>
      <c r="AF54" s="2023">
        <v>4.8285227256202483E-2</v>
      </c>
    </row>
    <row r="55" spans="1:32" ht="14" thickBot="1">
      <c r="A55" s="977">
        <v>1507</v>
      </c>
      <c r="B55" s="978" t="s">
        <v>1402</v>
      </c>
      <c r="C55" s="979">
        <v>10953.42</v>
      </c>
      <c r="D55" s="980">
        <v>2375.4761891719663</v>
      </c>
      <c r="E55" s="981">
        <v>1875.8070073091328</v>
      </c>
      <c r="F55" s="980">
        <v>362.07601370165662</v>
      </c>
      <c r="G55" s="981">
        <v>2237.8830210107894</v>
      </c>
      <c r="H55" s="980">
        <v>304.88203684328732</v>
      </c>
      <c r="I55" s="979">
        <v>122.74260185403278</v>
      </c>
      <c r="J55" s="980">
        <v>116.01724301633645</v>
      </c>
      <c r="K55" s="979">
        <v>465.60800188434297</v>
      </c>
      <c r="L55" s="980">
        <v>839.28269070299507</v>
      </c>
      <c r="M55" s="982">
        <v>0.78965515034818934</v>
      </c>
      <c r="N55" s="983">
        <v>0.12720989335777849</v>
      </c>
      <c r="O55" s="982">
        <v>5.3818713507463076E-2</v>
      </c>
      <c r="P55" s="983"/>
      <c r="Q55" s="980"/>
      <c r="R55" s="984">
        <v>26.251896860000002</v>
      </c>
      <c r="S55" s="985">
        <v>24.981111259999999</v>
      </c>
      <c r="T55" s="988">
        <v>26.0195884</v>
      </c>
      <c r="U55" s="989">
        <v>20.546501990000003</v>
      </c>
      <c r="V55" s="988">
        <v>3.96597065</v>
      </c>
      <c r="W55" s="985">
        <v>24.512472640000002</v>
      </c>
      <c r="X55" s="984">
        <v>3.3395010000000003</v>
      </c>
      <c r="Y55" s="989">
        <v>5.0999999999999996</v>
      </c>
      <c r="Z55" s="984">
        <v>9.1930158100000003</v>
      </c>
      <c r="AA55" s="2019"/>
      <c r="AB55" s="988"/>
      <c r="AC55" s="989"/>
      <c r="AD55" s="988"/>
      <c r="AE55" s="2021">
        <v>122.74260185403278</v>
      </c>
      <c r="AF55" s="2024">
        <v>5.9278928087375886E-2</v>
      </c>
    </row>
    <row r="56" spans="1:32" ht="14" thickBot="1">
      <c r="A56" s="977">
        <v>1509</v>
      </c>
      <c r="B56" s="978" t="s">
        <v>1403</v>
      </c>
      <c r="C56" s="979">
        <v>323502.99</v>
      </c>
      <c r="D56" s="980">
        <v>3195.4228347626708</v>
      </c>
      <c r="E56" s="981">
        <v>2626.648645287637</v>
      </c>
      <c r="F56" s="980">
        <v>488.54778757995405</v>
      </c>
      <c r="G56" s="981">
        <v>3115.1964328675908</v>
      </c>
      <c r="H56" s="980">
        <v>143.90595171933342</v>
      </c>
      <c r="I56" s="979">
        <v>175.65956147731433</v>
      </c>
      <c r="J56" s="980">
        <v>122.69127722745313</v>
      </c>
      <c r="K56" s="979">
        <v>712.66455682527078</v>
      </c>
      <c r="L56" s="980">
        <v>483.8600469195045</v>
      </c>
      <c r="M56" s="982">
        <v>0.82200346593026785</v>
      </c>
      <c r="N56" s="983">
        <v>4.4721966032206871E-2</v>
      </c>
      <c r="O56" s="982">
        <v>5.6754082932991473E-2</v>
      </c>
      <c r="P56" s="983"/>
      <c r="Q56" s="980"/>
      <c r="R56" s="984">
        <v>1040.9650959100002</v>
      </c>
      <c r="S56" s="985">
        <v>1001.2741008800001</v>
      </c>
      <c r="T56" s="986">
        <v>1033.7288413599999</v>
      </c>
      <c r="U56" s="987">
        <v>849.72869042999992</v>
      </c>
      <c r="V56" s="986">
        <v>158.04667003999998</v>
      </c>
      <c r="W56" s="985">
        <v>1007.7753604699999</v>
      </c>
      <c r="X56" s="984">
        <v>46.554005659999994</v>
      </c>
      <c r="Y56" s="987">
        <v>230.549115</v>
      </c>
      <c r="Z56" s="984">
        <v>156.53017191999999</v>
      </c>
      <c r="AA56" s="2019"/>
      <c r="AB56" s="986"/>
      <c r="AC56" s="987"/>
      <c r="AD56" s="986"/>
      <c r="AE56" s="2020">
        <v>167.30759836253756</v>
      </c>
      <c r="AF56" s="2023">
        <v>5.7564669706865787E-2</v>
      </c>
    </row>
    <row r="57" spans="1:32" ht="14" thickBot="1">
      <c r="A57" s="977">
        <v>1529</v>
      </c>
      <c r="B57" s="978" t="s">
        <v>1225</v>
      </c>
      <c r="C57" s="979">
        <v>174792.17</v>
      </c>
      <c r="D57" s="980">
        <v>3761.7658472916719</v>
      </c>
      <c r="E57" s="981">
        <v>3614.6459945545607</v>
      </c>
      <c r="F57" s="980">
        <v>548.62725046550986</v>
      </c>
      <c r="G57" s="981">
        <v>4163.2732450200701</v>
      </c>
      <c r="H57" s="980">
        <v>-111.1175060072771</v>
      </c>
      <c r="I57" s="979">
        <v>153.73792441617948</v>
      </c>
      <c r="J57" s="980">
        <v>214.70164367202489</v>
      </c>
      <c r="K57" s="979">
        <v>1002.5460522630962</v>
      </c>
      <c r="L57" s="980">
        <v>812.0498208243539</v>
      </c>
      <c r="M57" s="982">
        <v>0.96089074687010845</v>
      </c>
      <c r="N57" s="983">
        <v>-2.9480701423136971E-2</v>
      </c>
      <c r="O57" s="982">
        <v>4.3252127804218235E-2</v>
      </c>
      <c r="P57" s="983"/>
      <c r="Q57" s="980"/>
      <c r="R57" s="984">
        <v>658.81980625999984</v>
      </c>
      <c r="S57" s="985">
        <v>621.29164007000008</v>
      </c>
      <c r="T57" s="986">
        <v>657.52721548</v>
      </c>
      <c r="U57" s="987">
        <v>631.81181716999993</v>
      </c>
      <c r="V57" s="986">
        <v>95.895747629999988</v>
      </c>
      <c r="W57" s="985">
        <v>727.70756479999989</v>
      </c>
      <c r="X57" s="984">
        <v>-19.422470000000001</v>
      </c>
      <c r="Y57" s="987">
        <v>175.2372</v>
      </c>
      <c r="Z57" s="984">
        <v>141.93995033000002</v>
      </c>
      <c r="AA57" s="2019"/>
      <c r="AB57" s="986"/>
      <c r="AC57" s="987"/>
      <c r="AD57" s="986"/>
      <c r="AE57" s="2020">
        <v>153.73792441617948</v>
      </c>
      <c r="AF57" s="2023">
        <v>3.9695986269564366E-2</v>
      </c>
    </row>
    <row r="58" spans="1:32" ht="14" thickBot="1">
      <c r="A58" s="977">
        <v>1535</v>
      </c>
      <c r="B58" s="978" t="s">
        <v>1406</v>
      </c>
      <c r="C58" s="979">
        <v>307037.47000000003</v>
      </c>
      <c r="D58" s="980">
        <v>2960.81642022389</v>
      </c>
      <c r="E58" s="981">
        <v>2481.26176306755</v>
      </c>
      <c r="F58" s="980">
        <v>450.31070373918857</v>
      </c>
      <c r="G58" s="981">
        <v>2931.5724668067387</v>
      </c>
      <c r="H58" s="980">
        <v>236.26029096709269</v>
      </c>
      <c r="I58" s="979">
        <v>131.11294478162549</v>
      </c>
      <c r="J58" s="980">
        <v>-10.233999257484768</v>
      </c>
      <c r="K58" s="979">
        <v>695.05197525240158</v>
      </c>
      <c r="L58" s="980">
        <v>429.02644081193091</v>
      </c>
      <c r="M58" s="982">
        <v>0.83803296486714396</v>
      </c>
      <c r="N58" s="983">
        <v>7.9041318682439313E-2</v>
      </c>
      <c r="O58" s="982">
        <v>4.3714409387545186E-2</v>
      </c>
      <c r="P58" s="983"/>
      <c r="Q58" s="980"/>
      <c r="R58" s="984">
        <v>917.75748695999994</v>
      </c>
      <c r="S58" s="985">
        <v>920.89970821999998</v>
      </c>
      <c r="T58" s="986">
        <v>909.08158279999998</v>
      </c>
      <c r="U58" s="987">
        <v>761.8403341400001</v>
      </c>
      <c r="V58" s="986">
        <v>138.26225919000001</v>
      </c>
      <c r="W58" s="985">
        <v>900.1025933300001</v>
      </c>
      <c r="X58" s="984">
        <v>72.540762000000001</v>
      </c>
      <c r="Y58" s="987">
        <v>213.40700000000001</v>
      </c>
      <c r="Z58" s="984">
        <v>131.72719295000002</v>
      </c>
      <c r="AA58" s="2019"/>
      <c r="AB58" s="986"/>
      <c r="AC58" s="987"/>
      <c r="AD58" s="986"/>
      <c r="AE58" s="2020">
        <v>131.11294478162549</v>
      </c>
      <c r="AF58" s="2023">
        <v>4.8122680745575394E-2</v>
      </c>
    </row>
    <row r="59" spans="1:32" ht="14" thickBot="1">
      <c r="A59" s="977">
        <v>1542</v>
      </c>
      <c r="B59" s="978" t="s">
        <v>1418</v>
      </c>
      <c r="C59" s="979">
        <v>655217.17000000004</v>
      </c>
      <c r="D59" s="980">
        <v>2671.6358194337308</v>
      </c>
      <c r="E59" s="981">
        <v>1633.9022799723025</v>
      </c>
      <c r="F59" s="980">
        <v>347.64557746556</v>
      </c>
      <c r="G59" s="981">
        <v>1981.5478574378626</v>
      </c>
      <c r="H59" s="980">
        <v>687.35030081705565</v>
      </c>
      <c r="I59" s="979">
        <v>118.34934591228736</v>
      </c>
      <c r="J59" s="980">
        <v>213.67461214424526</v>
      </c>
      <c r="K59" s="979">
        <v>570.60077805958599</v>
      </c>
      <c r="L59" s="980">
        <v>1202.7680128406892</v>
      </c>
      <c r="M59" s="982">
        <v>0.61157372875716942</v>
      </c>
      <c r="N59" s="983">
        <v>0.25445970827988051</v>
      </c>
      <c r="O59" s="982">
        <v>4.7576860043590914E-2</v>
      </c>
      <c r="P59" s="983"/>
      <c r="Q59" s="980"/>
      <c r="R59" s="984">
        <v>1769.88224165</v>
      </c>
      <c r="S59" s="985">
        <v>1629.8789669800001</v>
      </c>
      <c r="T59" s="986">
        <v>1750.5016608800001</v>
      </c>
      <c r="U59" s="987">
        <v>1070.5608279399999</v>
      </c>
      <c r="V59" s="986">
        <v>227.78335143000001</v>
      </c>
      <c r="W59" s="985">
        <v>1298.3441793699999</v>
      </c>
      <c r="X59" s="984">
        <v>450.36371889999998</v>
      </c>
      <c r="Y59" s="987">
        <v>373.86742700000002</v>
      </c>
      <c r="Z59" s="984">
        <v>788.07425353999997</v>
      </c>
      <c r="AA59" s="2019"/>
      <c r="AB59" s="986"/>
      <c r="AC59" s="987"/>
      <c r="AD59" s="986"/>
      <c r="AE59" s="2020">
        <v>117.89823395501065</v>
      </c>
      <c r="AF59" s="2023">
        <v>5.9643304757267722E-2</v>
      </c>
    </row>
    <row r="60" spans="1:32" ht="14" thickBot="1">
      <c r="A60" s="977">
        <v>1555</v>
      </c>
      <c r="B60" s="978" t="s">
        <v>1227</v>
      </c>
      <c r="C60" s="979">
        <v>445447.5</v>
      </c>
      <c r="D60" s="980">
        <v>3401.4983253020837</v>
      </c>
      <c r="E60" s="981">
        <v>3817.2095840026041</v>
      </c>
      <c r="F60" s="980">
        <v>531.47401891356446</v>
      </c>
      <c r="G60" s="981">
        <v>4348.6836029161686</v>
      </c>
      <c r="H60" s="980">
        <v>-655.15515909282226</v>
      </c>
      <c r="I60" s="979">
        <v>129.80593347139674</v>
      </c>
      <c r="J60" s="980">
        <v>171.61263001812782</v>
      </c>
      <c r="K60" s="979">
        <v>913.31244481111685</v>
      </c>
      <c r="L60" s="980">
        <v>1448.1592947766012</v>
      </c>
      <c r="M60" s="982">
        <v>1.1222141594509241</v>
      </c>
      <c r="N60" s="983">
        <v>-0.18719438774259312</v>
      </c>
      <c r="O60" s="982">
        <v>3.9001224602004468E-2</v>
      </c>
      <c r="P60" s="983"/>
      <c r="Q60" s="980"/>
      <c r="R60" s="984">
        <v>1559.0062888599998</v>
      </c>
      <c r="S60" s="985">
        <v>1482.5618718400001</v>
      </c>
      <c r="T60" s="986">
        <v>1515.1889252599999</v>
      </c>
      <c r="U60" s="987">
        <v>1700.36646617</v>
      </c>
      <c r="V60" s="986">
        <v>236.74377304000001</v>
      </c>
      <c r="W60" s="985">
        <v>1937.1102392099999</v>
      </c>
      <c r="X60" s="984">
        <v>-291.83722772999994</v>
      </c>
      <c r="Y60" s="987">
        <v>406.83274525999997</v>
      </c>
      <c r="Z60" s="984">
        <v>645.07893746000002</v>
      </c>
      <c r="AA60" s="2019"/>
      <c r="AB60" s="986"/>
      <c r="AC60" s="987"/>
      <c r="AD60" s="986"/>
      <c r="AE60" s="2020">
        <v>128.80729751541989</v>
      </c>
      <c r="AF60" s="2023">
        <v>3.1998279855731553E-2</v>
      </c>
    </row>
    <row r="61" spans="1:32" ht="14" thickBot="1">
      <c r="A61" s="977">
        <v>1560</v>
      </c>
      <c r="B61" s="978" t="s">
        <v>1229</v>
      </c>
      <c r="C61" s="979">
        <v>107074</v>
      </c>
      <c r="D61" s="980">
        <v>2338.1593468068818</v>
      </c>
      <c r="E61" s="981">
        <v>1558.3964129480544</v>
      </c>
      <c r="F61" s="980">
        <v>342.47909557875857</v>
      </c>
      <c r="G61" s="981">
        <v>1900.8755085268128</v>
      </c>
      <c r="H61" s="980">
        <v>389.19911463100283</v>
      </c>
      <c r="I61" s="979">
        <v>168.44442637801896</v>
      </c>
      <c r="J61" s="980">
        <v>181.71577423090571</v>
      </c>
      <c r="K61" s="979">
        <v>437.43068345256546</v>
      </c>
      <c r="L61" s="980">
        <v>1146.9417455217886</v>
      </c>
      <c r="M61" s="982">
        <v>0.66650564901673004</v>
      </c>
      <c r="N61" s="983">
        <v>0.16526570504649263</v>
      </c>
      <c r="O61" s="982">
        <v>7.7507205216527222E-2</v>
      </c>
      <c r="P61" s="983"/>
      <c r="Q61" s="980"/>
      <c r="R61" s="984">
        <v>252.15821992999997</v>
      </c>
      <c r="S61" s="985">
        <v>232.70118513</v>
      </c>
      <c r="T61" s="986">
        <v>250.35607390000004</v>
      </c>
      <c r="U61" s="987">
        <v>166.86373751999997</v>
      </c>
      <c r="V61" s="986">
        <v>36.670606679999999</v>
      </c>
      <c r="W61" s="985">
        <v>203.53434419999996</v>
      </c>
      <c r="X61" s="984">
        <v>41.673105999999997</v>
      </c>
      <c r="Y61" s="987">
        <v>46.837452999999996</v>
      </c>
      <c r="Z61" s="984">
        <v>122.80764045999999</v>
      </c>
      <c r="AA61" s="2019"/>
      <c r="AB61" s="986"/>
      <c r="AC61" s="987"/>
      <c r="AD61" s="986"/>
      <c r="AE61" s="2020">
        <v>165.98357276276221</v>
      </c>
      <c r="AF61" s="2023">
        <v>8.6427841675333961E-2</v>
      </c>
    </row>
    <row r="62" spans="1:32" ht="14" thickBot="1">
      <c r="A62" s="977">
        <v>1562</v>
      </c>
      <c r="B62" s="978" t="s">
        <v>1408</v>
      </c>
      <c r="C62" s="979">
        <v>579116.07999999996</v>
      </c>
      <c r="D62" s="980">
        <v>3751.3536169639769</v>
      </c>
      <c r="E62" s="981">
        <v>4539.6675916510549</v>
      </c>
      <c r="F62" s="980">
        <v>581.35209144943803</v>
      </c>
      <c r="G62" s="981">
        <v>5121.0196831004941</v>
      </c>
      <c r="H62" s="980">
        <v>-1055.9964385723845</v>
      </c>
      <c r="I62" s="979">
        <v>229.29086893943614</v>
      </c>
      <c r="J62" s="980">
        <v>310.85357735188433</v>
      </c>
      <c r="K62" s="979">
        <v>881.43244097107447</v>
      </c>
      <c r="L62" s="980">
        <v>1388.573118208011</v>
      </c>
      <c r="M62" s="982">
        <v>1.2101412063960719</v>
      </c>
      <c r="N62" s="983">
        <v>-0.2629451451030399</v>
      </c>
      <c r="O62" s="982">
        <v>6.1883873621598501E-2</v>
      </c>
      <c r="P62" s="983"/>
      <c r="Q62" s="980"/>
      <c r="R62" s="984">
        <v>2325.7494172799998</v>
      </c>
      <c r="S62" s="985">
        <v>2145.7291121100002</v>
      </c>
      <c r="T62" s="986">
        <v>2172.4692013499998</v>
      </c>
      <c r="U62" s="987">
        <v>2628.9945001799997</v>
      </c>
      <c r="V62" s="986">
        <v>336.67034430000001</v>
      </c>
      <c r="W62" s="985">
        <v>2965.6648444799998</v>
      </c>
      <c r="X62" s="984">
        <v>-611.54451800000004</v>
      </c>
      <c r="Y62" s="987">
        <v>510.45170000000002</v>
      </c>
      <c r="Z62" s="984">
        <v>804.14502100999994</v>
      </c>
      <c r="AA62" s="2019"/>
      <c r="AB62" s="986"/>
      <c r="AC62" s="987"/>
      <c r="AD62" s="986"/>
      <c r="AE62" s="2020">
        <v>213.09398756463472</v>
      </c>
      <c r="AF62" s="2023">
        <v>4.7695896136245454E-2</v>
      </c>
    </row>
    <row r="63" spans="1:32" ht="14" thickBot="1">
      <c r="A63" s="977">
        <v>1563</v>
      </c>
      <c r="B63" s="978" t="s">
        <v>1223</v>
      </c>
      <c r="C63" s="979">
        <v>39410.89</v>
      </c>
      <c r="D63" s="980">
        <v>3089.4573657179526</v>
      </c>
      <c r="E63" s="981">
        <v>2951.9520297562431</v>
      </c>
      <c r="F63" s="980">
        <v>493.02413114750766</v>
      </c>
      <c r="G63" s="981">
        <v>3444.97616090375</v>
      </c>
      <c r="H63" s="980">
        <v>-154.50556939972685</v>
      </c>
      <c r="I63" s="979">
        <v>209.24893195763912</v>
      </c>
      <c r="J63" s="980">
        <v>95.763238536353768</v>
      </c>
      <c r="K63" s="979">
        <v>644.73296593910982</v>
      </c>
      <c r="L63" s="980">
        <v>1008.2604130482717</v>
      </c>
      <c r="M63" s="982">
        <v>0.95549207524676261</v>
      </c>
      <c r="N63" s="983">
        <v>-5.0059170056040027E-2</v>
      </c>
      <c r="O63" s="982">
        <v>6.99666424882191E-2</v>
      </c>
      <c r="P63" s="983"/>
      <c r="Q63" s="980"/>
      <c r="R63" s="984">
        <v>121.64009098000001</v>
      </c>
      <c r="S63" s="985">
        <v>117.86597651</v>
      </c>
      <c r="T63" s="986">
        <v>121.7582644</v>
      </c>
      <c r="U63" s="987">
        <v>116.33905673000001</v>
      </c>
      <c r="V63" s="986">
        <v>19.430519799999999</v>
      </c>
      <c r="W63" s="985">
        <v>135.76957652999999</v>
      </c>
      <c r="X63" s="984">
        <v>-6.0892020000000011</v>
      </c>
      <c r="Y63" s="987">
        <v>25.409500000000001</v>
      </c>
      <c r="Z63" s="984">
        <v>39.736440229999999</v>
      </c>
      <c r="AA63" s="2019"/>
      <c r="AB63" s="986"/>
      <c r="AC63" s="987"/>
      <c r="AD63" s="986"/>
      <c r="AE63" s="2020">
        <v>200.79674805618444</v>
      </c>
      <c r="AF63" s="2023">
        <v>6.4504106903443492E-2</v>
      </c>
    </row>
    <row r="64" spans="1:32" ht="14" thickBot="1">
      <c r="A64" s="977">
        <v>1565</v>
      </c>
      <c r="B64" s="978" t="s">
        <v>1409</v>
      </c>
      <c r="C64" s="979">
        <v>203063.25</v>
      </c>
      <c r="D64" s="980">
        <v>2874.6512621067573</v>
      </c>
      <c r="E64" s="981">
        <v>2102.2798493080363</v>
      </c>
      <c r="F64" s="980">
        <v>449.66935996542946</v>
      </c>
      <c r="G64" s="981">
        <v>2551.9492092734658</v>
      </c>
      <c r="H64" s="980">
        <v>624.62983109942343</v>
      </c>
      <c r="I64" s="979">
        <v>146.4262526084853</v>
      </c>
      <c r="J64" s="980">
        <v>93.692352505931026</v>
      </c>
      <c r="K64" s="979">
        <v>447.40000960291928</v>
      </c>
      <c r="L64" s="980">
        <v>426.66923389633524</v>
      </c>
      <c r="M64" s="982">
        <v>0.73131648246171255</v>
      </c>
      <c r="N64" s="983">
        <v>0.20535729992719232</v>
      </c>
      <c r="O64" s="982">
        <v>4.9670011984571889E-2</v>
      </c>
      <c r="P64" s="983"/>
      <c r="Q64" s="980"/>
      <c r="R64" s="984">
        <v>617.65208052000014</v>
      </c>
      <c r="S64" s="985">
        <v>598.62660691999997</v>
      </c>
      <c r="T64" s="986">
        <v>583.73602789999995</v>
      </c>
      <c r="U64" s="987">
        <v>426.89577861000004</v>
      </c>
      <c r="V64" s="986">
        <v>91.31132165999999</v>
      </c>
      <c r="W64" s="985">
        <v>518.20710027000007</v>
      </c>
      <c r="X64" s="984">
        <v>126.83936355</v>
      </c>
      <c r="Y64" s="987">
        <v>90.850499999999997</v>
      </c>
      <c r="Z64" s="984">
        <v>86.640841309999999</v>
      </c>
      <c r="AA64" s="2019"/>
      <c r="AB64" s="986"/>
      <c r="AC64" s="987"/>
      <c r="AD64" s="986"/>
      <c r="AE64" s="2020">
        <v>146.4262526084853</v>
      </c>
      <c r="AF64" s="2023">
        <v>6.5077714634446976E-2</v>
      </c>
    </row>
    <row r="65" spans="1:32" ht="14" thickBot="1">
      <c r="A65" s="977">
        <v>1566</v>
      </c>
      <c r="B65" s="978" t="s">
        <v>1410</v>
      </c>
      <c r="C65" s="979">
        <v>199470.75</v>
      </c>
      <c r="D65" s="980">
        <v>2478.9002903934538</v>
      </c>
      <c r="E65" s="981">
        <v>1814.1309855204333</v>
      </c>
      <c r="F65" s="980">
        <v>378.89878170107642</v>
      </c>
      <c r="G65" s="981">
        <v>2193.0297672215097</v>
      </c>
      <c r="H65" s="980">
        <v>489.13311565730817</v>
      </c>
      <c r="I65" s="979">
        <v>124.64810725382041</v>
      </c>
      <c r="J65" s="980">
        <v>74.631532593124547</v>
      </c>
      <c r="K65" s="979">
        <v>390.44521565191889</v>
      </c>
      <c r="L65" s="980">
        <v>386.42464150758946</v>
      </c>
      <c r="M65" s="982">
        <v>0.73182894550086663</v>
      </c>
      <c r="N65" s="983">
        <v>0.18908460516324291</v>
      </c>
      <c r="O65" s="982">
        <v>4.9616787940997865E-2</v>
      </c>
      <c r="P65" s="983"/>
      <c r="Q65" s="980"/>
      <c r="R65" s="984">
        <v>516.00049272000001</v>
      </c>
      <c r="S65" s="985">
        <v>501.11368494000004</v>
      </c>
      <c r="T65" s="986">
        <v>494.46810009999996</v>
      </c>
      <c r="U65" s="987">
        <v>361.86606827999998</v>
      </c>
      <c r="V65" s="986">
        <v>75.579224159999995</v>
      </c>
      <c r="W65" s="985">
        <v>437.44529244</v>
      </c>
      <c r="X65" s="984">
        <v>97.567749429999992</v>
      </c>
      <c r="Y65" s="987">
        <v>77.882400000000004</v>
      </c>
      <c r="Z65" s="984">
        <v>77.080413059999998</v>
      </c>
      <c r="AA65" s="2019"/>
      <c r="AB65" s="986"/>
      <c r="AC65" s="987"/>
      <c r="AD65" s="986"/>
      <c r="AE65" s="2020">
        <v>124.64810725382041</v>
      </c>
      <c r="AF65" s="2023">
        <v>6.2644569091531765E-2</v>
      </c>
    </row>
    <row r="66" spans="1:32" ht="14" thickBot="1">
      <c r="A66" s="977">
        <v>1568</v>
      </c>
      <c r="B66" s="978" t="s">
        <v>1419</v>
      </c>
      <c r="C66" s="979">
        <v>60254.080000000002</v>
      </c>
      <c r="D66" s="980">
        <v>2810.0798538455815</v>
      </c>
      <c r="E66" s="981">
        <v>1735.2578610444309</v>
      </c>
      <c r="F66" s="980">
        <v>397.67111156622087</v>
      </c>
      <c r="G66" s="981">
        <v>2132.9289726106517</v>
      </c>
      <c r="H66" s="980">
        <v>641.42861363081136</v>
      </c>
      <c r="I66" s="979">
        <v>84.883763555928496</v>
      </c>
      <c r="J66" s="980">
        <v>225.51540443402337</v>
      </c>
      <c r="K66" s="979">
        <v>429.84641040075627</v>
      </c>
      <c r="L66" s="980">
        <v>874.08341244277563</v>
      </c>
      <c r="M66" s="982">
        <v>0.61751193962325956</v>
      </c>
      <c r="N66" s="983">
        <v>0.23044955968684694</v>
      </c>
      <c r="O66" s="982">
        <v>3.318540609381887E-2</v>
      </c>
      <c r="P66" s="983"/>
      <c r="Q66" s="980"/>
      <c r="R66" s="984">
        <v>167.70997980000001</v>
      </c>
      <c r="S66" s="985">
        <v>154.12175657999998</v>
      </c>
      <c r="T66" s="986">
        <v>169.31877631999998</v>
      </c>
      <c r="U66" s="987">
        <v>104.55636598000002</v>
      </c>
      <c r="V66" s="986">
        <v>23.961306969999999</v>
      </c>
      <c r="W66" s="985">
        <v>128.51767295000002</v>
      </c>
      <c r="X66" s="984">
        <v>38.648690999999999</v>
      </c>
      <c r="Y66" s="987">
        <v>25.9</v>
      </c>
      <c r="Z66" s="984">
        <v>52.667091859999999</v>
      </c>
      <c r="AA66" s="2019"/>
      <c r="AB66" s="986"/>
      <c r="AC66" s="987"/>
      <c r="AD66" s="986"/>
      <c r="AE66" s="2020">
        <v>84.230727280210743</v>
      </c>
      <c r="AF66" s="2023">
        <v>3.9141269920156506E-2</v>
      </c>
    </row>
    <row r="67" spans="1:32" ht="14" thickBot="1">
      <c r="A67" s="977">
        <v>1569</v>
      </c>
      <c r="B67" s="978" t="s">
        <v>1411</v>
      </c>
      <c r="C67" s="979">
        <v>136346.14000000001</v>
      </c>
      <c r="D67" s="980">
        <v>2882.6058016750599</v>
      </c>
      <c r="E67" s="981">
        <v>2054.0201262756682</v>
      </c>
      <c r="F67" s="980">
        <v>419.35673243114911</v>
      </c>
      <c r="G67" s="981">
        <v>2473.3768587068171</v>
      </c>
      <c r="H67" s="980">
        <v>369.19618699876651</v>
      </c>
      <c r="I67" s="979">
        <v>142.71731102912045</v>
      </c>
      <c r="J67" s="980">
        <v>180.21501386104509</v>
      </c>
      <c r="K67" s="979">
        <v>603.16338988401139</v>
      </c>
      <c r="L67" s="980">
        <v>594.15025874586547</v>
      </c>
      <c r="M67" s="982">
        <v>0.71255671694065592</v>
      </c>
      <c r="N67" s="983">
        <v>0.12852875529496219</v>
      </c>
      <c r="O67" s="982">
        <v>5.3010141908361251E-2</v>
      </c>
      <c r="P67" s="983"/>
      <c r="Q67" s="980"/>
      <c r="R67" s="984">
        <v>391.65146261999996</v>
      </c>
      <c r="S67" s="985">
        <v>367.07984112999998</v>
      </c>
      <c r="T67" s="986">
        <v>393.03217419999999</v>
      </c>
      <c r="U67" s="987">
        <v>280.05771569999996</v>
      </c>
      <c r="V67" s="986">
        <v>57.177671750000002</v>
      </c>
      <c r="W67" s="985">
        <v>337.23538744999996</v>
      </c>
      <c r="X67" s="984">
        <v>50.338475000000003</v>
      </c>
      <c r="Y67" s="987">
        <v>82.239000000000004</v>
      </c>
      <c r="Z67" s="984">
        <v>81.010094359999997</v>
      </c>
      <c r="AA67" s="2019"/>
      <c r="AB67" s="986"/>
      <c r="AC67" s="987"/>
      <c r="AD67" s="986"/>
      <c r="AE67" s="2020">
        <v>142.71731102912045</v>
      </c>
      <c r="AF67" s="2023">
        <v>5.6782352624007638E-2</v>
      </c>
    </row>
    <row r="68" spans="1:32" ht="14" thickBot="1">
      <c r="A68" s="977">
        <v>1570</v>
      </c>
      <c r="B68" s="978" t="s">
        <v>1420</v>
      </c>
      <c r="C68" s="979">
        <v>10203.42</v>
      </c>
      <c r="D68" s="980">
        <v>3092.0075758912208</v>
      </c>
      <c r="E68" s="981">
        <v>2005.6106256529674</v>
      </c>
      <c r="F68" s="980">
        <v>387.74935756834475</v>
      </c>
      <c r="G68" s="981">
        <v>2393.3599832213122</v>
      </c>
      <c r="H68" s="980">
        <v>816.0179626046953</v>
      </c>
      <c r="I68" s="979">
        <v>93.510565085040113</v>
      </c>
      <c r="J68" s="980">
        <v>19.34882323769877</v>
      </c>
      <c r="K68" s="979">
        <v>441.02859629418373</v>
      </c>
      <c r="L68" s="980">
        <v>2052.6217140919416</v>
      </c>
      <c r="M68" s="982">
        <v>0.64864350310489871</v>
      </c>
      <c r="N68" s="983">
        <v>0.26619823934242787</v>
      </c>
      <c r="O68" s="982">
        <v>3.0698421998154569E-2</v>
      </c>
      <c r="P68" s="983"/>
      <c r="Q68" s="980"/>
      <c r="R68" s="984">
        <v>31.278095680000003</v>
      </c>
      <c r="S68" s="985">
        <v>31.080671510000002</v>
      </c>
      <c r="T68" s="986">
        <v>31.549051940000002</v>
      </c>
      <c r="U68" s="987">
        <v>20.46408757</v>
      </c>
      <c r="V68" s="986">
        <v>3.9563695500000002</v>
      </c>
      <c r="W68" s="985">
        <v>24.420457120000002</v>
      </c>
      <c r="X68" s="984">
        <v>8.326174</v>
      </c>
      <c r="Y68" s="987">
        <v>4.5</v>
      </c>
      <c r="Z68" s="984">
        <v>20.94376145</v>
      </c>
      <c r="AA68" s="2019"/>
      <c r="AB68" s="986"/>
      <c r="AC68" s="987"/>
      <c r="AD68" s="986"/>
      <c r="AE68" s="2020">
        <v>92.79116021882858</v>
      </c>
      <c r="AF68" s="2023">
        <v>4.1085673036095713E-2</v>
      </c>
    </row>
    <row r="69" spans="1:32" ht="14" thickBot="1">
      <c r="A69" s="977">
        <v>1574</v>
      </c>
      <c r="B69" s="978" t="s">
        <v>1412</v>
      </c>
      <c r="C69" s="979">
        <v>2460.5</v>
      </c>
      <c r="D69" s="980">
        <v>3339.9341190814876</v>
      </c>
      <c r="E69" s="981">
        <v>2661.2467262751475</v>
      </c>
      <c r="F69" s="980">
        <v>452.05526519000199</v>
      </c>
      <c r="G69" s="981">
        <v>3113.3019914651495</v>
      </c>
      <c r="H69" s="980">
        <v>691.06523064417809</v>
      </c>
      <c r="I69" s="979">
        <v>140.06444218654744</v>
      </c>
      <c r="J69" s="980">
        <v>-16.735086364560065</v>
      </c>
      <c r="K69" s="979">
        <v>578.82544198333665</v>
      </c>
      <c r="L69" s="980">
        <v>3928.041312741313</v>
      </c>
      <c r="M69" s="982">
        <v>0.79679617363441124</v>
      </c>
      <c r="N69" s="983">
        <v>0.19102352079401747</v>
      </c>
      <c r="O69" s="982">
        <v>3.8538191477699865E-2</v>
      </c>
      <c r="P69" s="983"/>
      <c r="Q69" s="980"/>
      <c r="R69" s="984">
        <v>8.9013436300000013</v>
      </c>
      <c r="S69" s="985">
        <v>8.9425203100000008</v>
      </c>
      <c r="T69" s="986">
        <v>8.2179079000000002</v>
      </c>
      <c r="U69" s="987">
        <v>6.5479975700000006</v>
      </c>
      <c r="V69" s="986">
        <v>1.1122819799999999</v>
      </c>
      <c r="W69" s="985">
        <v>7.6602795500000003</v>
      </c>
      <c r="X69" s="984">
        <v>1.700366</v>
      </c>
      <c r="Y69" s="987">
        <v>1.4241999999999999</v>
      </c>
      <c r="Z69" s="984">
        <v>9.6649456499999999</v>
      </c>
      <c r="AA69" s="2019"/>
      <c r="AB69" s="986"/>
      <c r="AC69" s="987"/>
      <c r="AD69" s="986"/>
      <c r="AE69" s="2020">
        <v>140.06444218654744</v>
      </c>
      <c r="AF69" s="2023">
        <v>5.2877076248639077E-2</v>
      </c>
    </row>
    <row r="70" spans="1:32" ht="14" thickBot="1">
      <c r="A70" s="977">
        <v>1575</v>
      </c>
      <c r="B70" s="978" t="s">
        <v>1413</v>
      </c>
      <c r="C70" s="979">
        <v>35082.1</v>
      </c>
      <c r="D70" s="980">
        <v>2608.5281394215285</v>
      </c>
      <c r="E70" s="981">
        <v>1196.9811576273942</v>
      </c>
      <c r="F70" s="980">
        <v>322.31355705616261</v>
      </c>
      <c r="G70" s="981">
        <v>1519.2947146835568</v>
      </c>
      <c r="H70" s="980">
        <v>1126.5913956120073</v>
      </c>
      <c r="I70" s="979">
        <v>168.74626091368535</v>
      </c>
      <c r="J70" s="980">
        <v>101.63842814426731</v>
      </c>
      <c r="K70" s="979">
        <v>463.72035881546435</v>
      </c>
      <c r="L70" s="980">
        <v>599.77442826968752</v>
      </c>
      <c r="M70" s="982">
        <v>0.45887224275557886</v>
      </c>
      <c r="N70" s="983">
        <v>0.45538649858257957</v>
      </c>
      <c r="O70" s="982">
        <v>7.1132368288932615E-2</v>
      </c>
      <c r="P70" s="983"/>
      <c r="Q70" s="980"/>
      <c r="R70" s="984">
        <v>86.790434329999997</v>
      </c>
      <c r="S70" s="985">
        <v>83.224744829999992</v>
      </c>
      <c r="T70" s="986">
        <v>91.51264504000001</v>
      </c>
      <c r="U70" s="987">
        <v>41.99261267</v>
      </c>
      <c r="V70" s="986">
        <v>11.307436440000002</v>
      </c>
      <c r="W70" s="985">
        <v>53.300049110000003</v>
      </c>
      <c r="X70" s="984">
        <v>39.523192000000002</v>
      </c>
      <c r="Y70" s="987">
        <v>16.268284000000001</v>
      </c>
      <c r="Z70" s="984">
        <v>21.041346470000001</v>
      </c>
      <c r="AA70" s="2019"/>
      <c r="AB70" s="986"/>
      <c r="AC70" s="987"/>
      <c r="AD70" s="986"/>
      <c r="AE70" s="2020">
        <v>131.63837769118726</v>
      </c>
      <c r="AF70" s="2023">
        <v>0.11386873401890284</v>
      </c>
    </row>
    <row r="71" spans="1:32" ht="14" thickBot="1">
      <c r="A71" s="977">
        <v>1577</v>
      </c>
      <c r="B71" s="978" t="s">
        <v>1421</v>
      </c>
      <c r="C71" s="979">
        <v>45734.06</v>
      </c>
      <c r="D71" s="980">
        <v>1992.0015148447351</v>
      </c>
      <c r="E71" s="981">
        <v>776.62218093036131</v>
      </c>
      <c r="F71" s="980">
        <v>230.3527355760674</v>
      </c>
      <c r="G71" s="981">
        <v>1006.9749165064286</v>
      </c>
      <c r="H71" s="980">
        <v>944.89411174079021</v>
      </c>
      <c r="I71" s="979">
        <v>99.963296064246236</v>
      </c>
      <c r="J71" s="980">
        <v>230.79975405638598</v>
      </c>
      <c r="K71" s="979">
        <v>371.71421037187605</v>
      </c>
      <c r="L71" s="980">
        <v>565.23683814644926</v>
      </c>
      <c r="M71" s="982">
        <v>0.38987027627380821</v>
      </c>
      <c r="N71" s="983">
        <v>0.43629654070846813</v>
      </c>
      <c r="O71" s="982">
        <v>5.1662871860080367E-2</v>
      </c>
      <c r="P71" s="983"/>
      <c r="Q71" s="980"/>
      <c r="R71" s="984">
        <v>99.046955380000014</v>
      </c>
      <c r="S71" s="985">
        <v>88.491545579999993</v>
      </c>
      <c r="T71" s="986">
        <v>91.102316800000011</v>
      </c>
      <c r="U71" s="987">
        <v>35.518085419999998</v>
      </c>
      <c r="V71" s="986">
        <v>10.534965830000001</v>
      </c>
      <c r="W71" s="985">
        <v>46.053051249999996</v>
      </c>
      <c r="X71" s="984">
        <v>43.213844000000002</v>
      </c>
      <c r="Y71" s="987">
        <v>17</v>
      </c>
      <c r="Z71" s="984">
        <v>25.850575469999999</v>
      </c>
      <c r="AA71" s="2019"/>
      <c r="AB71" s="986"/>
      <c r="AC71" s="987"/>
      <c r="AD71" s="986"/>
      <c r="AE71" s="2020">
        <v>99.963296064246236</v>
      </c>
      <c r="AF71" s="2023">
        <v>9.5466134388816834E-2</v>
      </c>
    </row>
    <row r="72" spans="1:32" ht="14" thickBot="1">
      <c r="A72" s="977"/>
      <c r="B72" s="978"/>
      <c r="C72" s="979"/>
      <c r="D72" s="980"/>
      <c r="E72" s="981"/>
      <c r="F72" s="980"/>
      <c r="G72" s="981"/>
      <c r="H72" s="980"/>
      <c r="I72" s="979"/>
      <c r="J72" s="980"/>
      <c r="K72" s="979"/>
      <c r="L72" s="980"/>
      <c r="M72" s="982"/>
      <c r="N72" s="983"/>
      <c r="O72" s="982"/>
      <c r="P72" s="983"/>
      <c r="Q72" s="980"/>
      <c r="R72" s="984"/>
      <c r="S72" s="985"/>
      <c r="T72" s="986"/>
      <c r="U72" s="987"/>
      <c r="V72" s="986"/>
      <c r="W72" s="985"/>
      <c r="X72" s="984"/>
      <c r="Y72" s="987"/>
      <c r="Z72" s="984" t="s">
        <v>397</v>
      </c>
      <c r="AA72" s="985" t="s">
        <v>397</v>
      </c>
      <c r="AB72" s="986"/>
      <c r="AC72" s="987"/>
      <c r="AD72" s="986"/>
      <c r="AE72" s="2020" t="s">
        <v>397</v>
      </c>
      <c r="AF72" s="2023" t="s">
        <v>397</v>
      </c>
    </row>
    <row r="73" spans="1:32" ht="14" thickBot="1">
      <c r="A73" s="977"/>
      <c r="B73" s="978"/>
      <c r="C73" s="979"/>
      <c r="D73" s="980"/>
      <c r="E73" s="981"/>
      <c r="F73" s="980"/>
      <c r="G73" s="981"/>
      <c r="H73" s="980"/>
      <c r="I73" s="979"/>
      <c r="J73" s="980"/>
      <c r="K73" s="979"/>
      <c r="L73" s="980"/>
      <c r="M73" s="982"/>
      <c r="N73" s="983"/>
      <c r="O73" s="982"/>
      <c r="P73" s="983"/>
      <c r="Q73" s="980"/>
      <c r="R73" s="984"/>
      <c r="S73" s="985"/>
      <c r="T73" s="986"/>
      <c r="U73" s="987"/>
      <c r="V73" s="986"/>
      <c r="W73" s="985"/>
      <c r="X73" s="984"/>
      <c r="Y73" s="987"/>
      <c r="Z73" s="984" t="s">
        <v>397</v>
      </c>
      <c r="AA73" s="985" t="s">
        <v>397</v>
      </c>
      <c r="AB73" s="986"/>
      <c r="AC73" s="987"/>
      <c r="AD73" s="986"/>
      <c r="AE73" s="2020" t="s">
        <v>397</v>
      </c>
      <c r="AF73" s="2023" t="s">
        <v>397</v>
      </c>
    </row>
    <row r="74" spans="1:32" ht="14" thickBot="1">
      <c r="A74" s="977"/>
      <c r="B74" s="978"/>
      <c r="C74" s="979"/>
      <c r="D74" s="980"/>
      <c r="E74" s="981"/>
      <c r="F74" s="980"/>
      <c r="G74" s="981"/>
      <c r="H74" s="980"/>
      <c r="I74" s="979"/>
      <c r="J74" s="980"/>
      <c r="K74" s="979"/>
      <c r="L74" s="980"/>
      <c r="M74" s="982"/>
      <c r="N74" s="983"/>
      <c r="O74" s="982"/>
      <c r="P74" s="983"/>
      <c r="Q74" s="980"/>
      <c r="R74" s="984"/>
      <c r="S74" s="985"/>
      <c r="T74" s="986"/>
      <c r="U74" s="987"/>
      <c r="V74" s="986"/>
      <c r="W74" s="985"/>
      <c r="X74" s="984"/>
      <c r="Y74" s="987"/>
      <c r="Z74" s="984"/>
      <c r="AA74" s="985"/>
      <c r="AB74" s="986"/>
      <c r="AC74" s="987"/>
      <c r="AD74" s="986"/>
      <c r="AE74" s="2020"/>
      <c r="AF74" s="2023"/>
    </row>
    <row r="75" spans="1:32" ht="14" thickBot="1">
      <c r="A75" s="977"/>
      <c r="B75" s="978"/>
      <c r="C75" s="979"/>
      <c r="D75" s="980"/>
      <c r="E75" s="981"/>
      <c r="F75" s="980"/>
      <c r="G75" s="981"/>
      <c r="H75" s="980"/>
      <c r="I75" s="979"/>
      <c r="J75" s="980"/>
      <c r="K75" s="979"/>
      <c r="L75" s="980"/>
      <c r="M75" s="982"/>
      <c r="N75" s="983"/>
      <c r="O75" s="982"/>
      <c r="P75" s="983"/>
      <c r="Q75" s="980"/>
      <c r="R75" s="984"/>
      <c r="S75" s="985"/>
      <c r="T75" s="986"/>
      <c r="U75" s="987"/>
      <c r="V75" s="986"/>
      <c r="W75" s="985"/>
      <c r="X75" s="984"/>
      <c r="Y75" s="987"/>
      <c r="Z75" s="984"/>
      <c r="AA75" s="985"/>
      <c r="AB75" s="986"/>
      <c r="AC75" s="987"/>
      <c r="AD75" s="986"/>
      <c r="AE75" s="2020"/>
      <c r="AF75" s="2023"/>
    </row>
    <row r="76" spans="1:32" ht="14" thickBot="1">
      <c r="A76" s="977"/>
      <c r="B76" s="978"/>
      <c r="C76" s="979"/>
      <c r="D76" s="980"/>
      <c r="E76" s="981"/>
      <c r="F76" s="980"/>
      <c r="G76" s="981"/>
      <c r="H76" s="980"/>
      <c r="I76" s="979"/>
      <c r="J76" s="980"/>
      <c r="K76" s="979"/>
      <c r="L76" s="980"/>
      <c r="M76" s="982"/>
      <c r="N76" s="983"/>
      <c r="O76" s="982"/>
      <c r="P76" s="983"/>
      <c r="Q76" s="980"/>
      <c r="R76" s="984"/>
      <c r="S76" s="985"/>
      <c r="T76" s="986"/>
      <c r="U76" s="987"/>
      <c r="V76" s="986"/>
      <c r="W76" s="985"/>
      <c r="X76" s="984"/>
      <c r="Y76" s="987"/>
      <c r="Z76" s="984"/>
      <c r="AA76" s="985"/>
      <c r="AB76" s="986"/>
      <c r="AC76" s="987"/>
      <c r="AD76" s="986"/>
      <c r="AE76" s="2020"/>
      <c r="AF76" s="2023"/>
    </row>
    <row r="77" spans="1:32" s="138" customFormat="1" ht="14" thickBot="1">
      <c r="A77" s="990" t="s">
        <v>1422</v>
      </c>
      <c r="B77" s="991">
        <v>61</v>
      </c>
      <c r="C77" s="992">
        <v>7953357.3899999978</v>
      </c>
      <c r="D77" s="993">
        <v>3075.2296740031193</v>
      </c>
      <c r="E77" s="994">
        <v>2790.7699855306023</v>
      </c>
      <c r="F77" s="993">
        <v>465.87082941333824</v>
      </c>
      <c r="G77" s="994">
        <v>3256.6408149439412</v>
      </c>
      <c r="H77" s="995">
        <v>4.80234634219046</v>
      </c>
      <c r="I77" s="992">
        <v>156.14366875446049</v>
      </c>
      <c r="J77" s="993">
        <v>115.15697836885464</v>
      </c>
      <c r="K77" s="992">
        <v>688.5946191737778</v>
      </c>
      <c r="L77" s="993">
        <v>817.72949684208777</v>
      </c>
      <c r="M77" s="996">
        <v>0.90749969315227474</v>
      </c>
      <c r="N77" s="997" t="s">
        <v>29</v>
      </c>
      <c r="O77" s="996">
        <v>5.1632586182701674E-2</v>
      </c>
      <c r="P77" s="997"/>
      <c r="Q77" s="993"/>
      <c r="R77" s="998">
        <v>24967.873739620009</v>
      </c>
      <c r="S77" s="999">
        <v>24051.989133290001</v>
      </c>
      <c r="T77" s="998">
        <v>24458.400653679993</v>
      </c>
      <c r="U77" s="999">
        <v>22195.991088210001</v>
      </c>
      <c r="V77" s="998">
        <v>3705.237203900002</v>
      </c>
      <c r="W77" s="999">
        <v>25901.228292110009</v>
      </c>
      <c r="X77" s="998">
        <v>38.194776769999955</v>
      </c>
      <c r="Y77" s="999">
        <v>5476.6391031200001</v>
      </c>
      <c r="Z77" s="998">
        <v>6503.6949367299985</v>
      </c>
      <c r="AA77" s="999"/>
      <c r="AB77" s="998"/>
      <c r="AC77" s="999"/>
      <c r="AD77" s="998"/>
      <c r="AE77" s="993">
        <v>151.80270045553686</v>
      </c>
      <c r="AF77" s="996">
        <v>5.0854051274163113E-2</v>
      </c>
    </row>
    <row r="78" spans="1:32" ht="15.75" customHeight="1" thickBot="1">
      <c r="A78" s="873" t="s">
        <v>396</v>
      </c>
      <c r="C78" s="1000"/>
      <c r="D78" s="834"/>
      <c r="E78" s="834"/>
      <c r="F78" s="834"/>
      <c r="G78" s="834"/>
      <c r="H78" s="874"/>
      <c r="I78" s="834"/>
      <c r="J78" s="875"/>
      <c r="K78" s="876"/>
      <c r="L78" s="877"/>
      <c r="M78" s="877"/>
      <c r="N78" s="834"/>
      <c r="O78" s="877"/>
      <c r="P78" s="834"/>
      <c r="Q78" s="877"/>
      <c r="R78" s="874"/>
    </row>
    <row r="79" spans="1:32" ht="10.25" customHeight="1"/>
    <row r="80" spans="1:32">
      <c r="A80" s="742" t="s">
        <v>1495</v>
      </c>
    </row>
    <row r="81" spans="1:2" ht="11.5" customHeight="1"/>
    <row r="82" spans="1:2" ht="7.5" customHeight="1"/>
    <row r="83" spans="1:2" ht="24.75" customHeight="1">
      <c r="A83" s="2068" t="s">
        <v>395</v>
      </c>
      <c r="B83" s="2062"/>
    </row>
  </sheetData>
  <sheetProtection password="CE1E" sheet="1"/>
  <mergeCells count="2">
    <mergeCell ref="A2:B2"/>
    <mergeCell ref="A83:B83"/>
  </mergeCells>
  <pageMargins left="0.35433070866141736" right="0.23622047244094491" top="0.23622047244094491" bottom="0.23622047244094491" header="0.15748031496062992" footer="0.15748031496062992"/>
  <pageSetup paperSize="9" scale="49" fitToHeight="2" pageOrder="overThenDown" orientation="landscape"/>
  <headerFooter alignWithMargins="0">
    <oddFooter>&amp;R&amp;P/&amp;N</oddFooter>
  </headerFooter>
  <colBreaks count="1" manualBreakCount="1">
    <brk id="17" max="1048575"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4F4A-2F51-8744-9F4A-35A15D41010B}">
  <sheetPr>
    <pageSetUpPr fitToPage="1"/>
  </sheetPr>
  <dimension ref="A1:K97"/>
  <sheetViews>
    <sheetView topLeftCell="A69" zoomScale="115" zoomScaleNormal="115" workbookViewId="0">
      <selection activeCell="K77" sqref="K77"/>
    </sheetView>
  </sheetViews>
  <sheetFormatPr baseColWidth="10" defaultColWidth="11.3984375" defaultRowHeight="13"/>
  <cols>
    <col min="1" max="1" width="14" style="947" customWidth="1"/>
    <col min="2" max="2" width="11.796875" style="3" customWidth="1"/>
    <col min="3" max="3" width="12.796875" style="181" customWidth="1"/>
    <col min="4" max="4" width="12.19921875" style="3" customWidth="1"/>
    <col min="5" max="5" width="12.3984375" style="181" customWidth="1"/>
    <col min="6" max="6" width="11.59765625" style="3" customWidth="1"/>
    <col min="7" max="7" width="11.19921875" style="181" customWidth="1"/>
    <col min="8" max="8" width="11.3984375" style="3"/>
    <col min="9" max="9" width="11.59765625" style="3" customWidth="1"/>
    <col min="10" max="10" width="10.796875" style="3" customWidth="1"/>
    <col min="11" max="11" width="18" style="3" customWidth="1"/>
    <col min="12" max="16384" width="11.3984375" style="3"/>
  </cols>
  <sheetData>
    <row r="1" spans="1:11" s="2" customFormat="1" ht="21" customHeight="1">
      <c r="A1" s="2069" t="s">
        <v>1260</v>
      </c>
      <c r="B1" s="2070"/>
      <c r="C1" s="2070"/>
      <c r="D1" s="2070"/>
      <c r="E1" s="2070"/>
      <c r="F1" s="2070"/>
      <c r="G1" s="2070"/>
      <c r="H1" s="2070"/>
      <c r="I1" s="924"/>
      <c r="K1" s="925">
        <v>2012</v>
      </c>
    </row>
    <row r="2" spans="1:11" s="2" customFormat="1" ht="9.75" customHeight="1">
      <c r="A2" s="926"/>
      <c r="B2" s="23"/>
      <c r="C2"/>
      <c r="D2"/>
      <c r="E2"/>
      <c r="F2"/>
      <c r="G2"/>
      <c r="H2"/>
      <c r="I2"/>
      <c r="J2"/>
    </row>
    <row r="3" spans="1:11" s="2" customFormat="1" ht="13.5" customHeight="1">
      <c r="A3" s="927" t="s">
        <v>1261</v>
      </c>
      <c r="B3" s="23"/>
      <c r="C3"/>
      <c r="D3"/>
      <c r="E3"/>
      <c r="F3"/>
      <c r="G3"/>
      <c r="H3"/>
      <c r="I3"/>
      <c r="J3"/>
    </row>
    <row r="4" spans="1:11" s="2" customFormat="1" ht="13.5" customHeight="1">
      <c r="A4" s="928" t="s">
        <v>1262</v>
      </c>
      <c r="B4" s="23"/>
      <c r="C4"/>
      <c r="D4"/>
      <c r="E4"/>
      <c r="F4"/>
      <c r="G4"/>
      <c r="H4"/>
      <c r="I4"/>
      <c r="J4"/>
    </row>
    <row r="5" spans="1:11" s="2" customFormat="1" ht="10.5" customHeight="1">
      <c r="A5" s="926"/>
      <c r="B5" s="23"/>
      <c r="C5"/>
      <c r="D5"/>
      <c r="E5"/>
      <c r="F5"/>
      <c r="G5"/>
      <c r="H5"/>
      <c r="I5"/>
      <c r="J5"/>
    </row>
    <row r="6" spans="1:11" ht="14.25" customHeight="1">
      <c r="A6" s="927" t="s">
        <v>1263</v>
      </c>
      <c r="B6"/>
      <c r="C6"/>
      <c r="D6"/>
      <c r="E6"/>
      <c r="F6"/>
      <c r="G6"/>
      <c r="H6"/>
      <c r="I6"/>
      <c r="J6"/>
    </row>
    <row r="7" spans="1:11" ht="15" customHeight="1">
      <c r="A7" s="929" t="s">
        <v>1264</v>
      </c>
      <c r="B7"/>
      <c r="C7"/>
      <c r="D7"/>
      <c r="E7"/>
      <c r="F7"/>
      <c r="G7"/>
      <c r="H7"/>
      <c r="I7"/>
      <c r="J7"/>
    </row>
    <row r="8" spans="1:11" ht="11.25" customHeight="1">
      <c r="A8" s="929"/>
      <c r="B8"/>
      <c r="C8"/>
      <c r="D8"/>
      <c r="E8"/>
      <c r="F8"/>
      <c r="G8"/>
      <c r="H8"/>
      <c r="I8"/>
      <c r="J8"/>
    </row>
    <row r="9" spans="1:11" ht="13.5" customHeight="1">
      <c r="A9" s="927" t="s">
        <v>1265</v>
      </c>
      <c r="B9"/>
      <c r="C9"/>
      <c r="D9"/>
      <c r="E9"/>
      <c r="F9"/>
      <c r="G9"/>
      <c r="H9"/>
      <c r="I9"/>
      <c r="J9"/>
    </row>
    <row r="10" spans="1:11" ht="17.25" customHeight="1">
      <c r="A10" s="929" t="s">
        <v>1266</v>
      </c>
      <c r="B10" s="702"/>
      <c r="C10" s="702"/>
      <c r="D10" s="702"/>
      <c r="E10" s="702"/>
      <c r="F10" s="702"/>
      <c r="G10" s="702"/>
      <c r="H10" s="702"/>
      <c r="I10" s="702"/>
      <c r="J10" s="702"/>
    </row>
    <row r="11" spans="1:11" ht="8.25" customHeight="1">
      <c r="A11" s="929"/>
      <c r="B11"/>
      <c r="C11"/>
      <c r="D11"/>
      <c r="E11"/>
      <c r="F11"/>
      <c r="G11"/>
      <c r="H11"/>
      <c r="I11"/>
      <c r="J11"/>
    </row>
    <row r="12" spans="1:11" ht="15.75" customHeight="1">
      <c r="A12" s="927" t="s">
        <v>1267</v>
      </c>
      <c r="B12"/>
      <c r="C12"/>
      <c r="D12"/>
      <c r="E12"/>
      <c r="F12"/>
      <c r="G12"/>
      <c r="H12"/>
      <c r="I12"/>
      <c r="J12"/>
      <c r="K12" s="9"/>
    </row>
    <row r="13" spans="1:11" ht="14.25" customHeight="1">
      <c r="A13" s="929" t="s">
        <v>1268</v>
      </c>
      <c r="B13"/>
      <c r="C13"/>
      <c r="D13"/>
      <c r="E13"/>
      <c r="F13"/>
      <c r="G13"/>
      <c r="H13"/>
      <c r="I13"/>
      <c r="J13"/>
    </row>
    <row r="14" spans="1:11" ht="9.75" customHeight="1">
      <c r="A14" s="929"/>
      <c r="B14"/>
      <c r="C14"/>
      <c r="D14"/>
      <c r="E14"/>
      <c r="F14"/>
      <c r="G14"/>
      <c r="H14"/>
      <c r="I14"/>
      <c r="J14"/>
    </row>
    <row r="15" spans="1:11" ht="16.5" customHeight="1">
      <c r="A15" s="927" t="s">
        <v>1269</v>
      </c>
      <c r="B15"/>
      <c r="C15"/>
      <c r="D15"/>
      <c r="E15"/>
      <c r="F15"/>
      <c r="G15"/>
      <c r="H15"/>
      <c r="I15"/>
      <c r="J15"/>
    </row>
    <row r="16" spans="1:11" ht="15.75" customHeight="1">
      <c r="A16" s="929" t="s">
        <v>1270</v>
      </c>
      <c r="B16" s="702"/>
      <c r="C16" s="702"/>
      <c r="D16" s="702"/>
      <c r="E16" s="702"/>
      <c r="F16" s="702"/>
      <c r="G16" s="702"/>
      <c r="H16" s="702"/>
      <c r="I16" s="702"/>
      <c r="J16" s="702"/>
    </row>
    <row r="17" spans="1:10" ht="14.5" customHeight="1">
      <c r="A17" s="929" t="s">
        <v>1271</v>
      </c>
      <c r="B17" s="702"/>
      <c r="C17" s="702"/>
      <c r="D17" s="702"/>
      <c r="E17" s="702"/>
      <c r="F17" s="702"/>
      <c r="G17" s="702"/>
      <c r="H17" s="702"/>
      <c r="I17" s="702"/>
      <c r="J17" s="702"/>
    </row>
    <row r="18" spans="1:10" ht="15.75" customHeight="1">
      <c r="A18" s="929" t="s">
        <v>1272</v>
      </c>
      <c r="B18" s="702"/>
      <c r="C18" s="702"/>
      <c r="D18" s="702"/>
      <c r="E18" s="702"/>
      <c r="F18" s="702"/>
      <c r="G18" s="702"/>
      <c r="H18" s="702"/>
      <c r="I18" s="702"/>
      <c r="J18" s="702"/>
    </row>
    <row r="19" spans="1:10" ht="15.75" customHeight="1">
      <c r="A19" s="929" t="s">
        <v>1273</v>
      </c>
      <c r="B19" s="702"/>
      <c r="C19" s="702"/>
      <c r="D19" s="702"/>
      <c r="E19" s="702"/>
      <c r="F19" s="702"/>
      <c r="G19" s="702"/>
      <c r="H19" s="702"/>
      <c r="I19" s="702"/>
      <c r="J19" s="702"/>
    </row>
    <row r="20" spans="1:10" ht="12" customHeight="1">
      <c r="A20" s="929"/>
      <c r="B20"/>
      <c r="C20"/>
      <c r="D20"/>
      <c r="E20"/>
      <c r="F20"/>
      <c r="G20"/>
      <c r="H20"/>
      <c r="I20"/>
      <c r="J20"/>
    </row>
    <row r="21" spans="1:10" ht="14.25" customHeight="1">
      <c r="A21" s="927" t="s">
        <v>1274</v>
      </c>
      <c r="B21"/>
      <c r="C21"/>
      <c r="D21"/>
      <c r="E21"/>
      <c r="F21"/>
      <c r="G21"/>
      <c r="H21"/>
      <c r="I21"/>
      <c r="J21"/>
    </row>
    <row r="22" spans="1:10" ht="17.25" customHeight="1">
      <c r="A22" s="929" t="s">
        <v>1275</v>
      </c>
      <c r="B22" s="702"/>
      <c r="C22" s="702"/>
      <c r="D22" s="702"/>
      <c r="E22" s="702"/>
      <c r="F22" s="702"/>
      <c r="G22" s="702"/>
      <c r="H22" s="702"/>
      <c r="I22" s="702"/>
      <c r="J22" s="702"/>
    </row>
    <row r="23" spans="1:10" ht="13.5" customHeight="1">
      <c r="A23" s="929" t="s">
        <v>1276</v>
      </c>
      <c r="B23" s="702"/>
      <c r="C23" s="702"/>
      <c r="D23" s="702"/>
      <c r="E23" s="702"/>
      <c r="F23" s="702"/>
      <c r="G23" s="702"/>
      <c r="H23" s="702"/>
      <c r="I23" s="702"/>
      <c r="J23" s="702"/>
    </row>
    <row r="24" spans="1:10" ht="13.5" customHeight="1">
      <c r="A24" s="929"/>
      <c r="B24"/>
      <c r="C24"/>
      <c r="D24"/>
      <c r="E24"/>
      <c r="F24"/>
      <c r="G24"/>
      <c r="H24"/>
      <c r="I24"/>
      <c r="J24"/>
    </row>
    <row r="25" spans="1:10" ht="15.75" customHeight="1">
      <c r="A25" s="927" t="s">
        <v>1277</v>
      </c>
      <c r="B25"/>
      <c r="C25"/>
      <c r="D25"/>
      <c r="E25"/>
      <c r="F25"/>
      <c r="G25"/>
      <c r="H25"/>
      <c r="I25"/>
      <c r="J25"/>
    </row>
    <row r="26" spans="1:10" ht="15.75" customHeight="1">
      <c r="A26" s="929" t="s">
        <v>1278</v>
      </c>
      <c r="B26" s="702"/>
      <c r="C26" s="702"/>
      <c r="D26" s="702"/>
      <c r="E26" s="702"/>
      <c r="F26" s="702"/>
      <c r="G26" s="702"/>
      <c r="H26" s="702"/>
      <c r="I26" s="702"/>
      <c r="J26" s="702"/>
    </row>
    <row r="27" spans="1:10" ht="14.25" customHeight="1">
      <c r="A27" s="929" t="s">
        <v>1279</v>
      </c>
      <c r="B27" s="702"/>
      <c r="C27" s="702"/>
      <c r="D27" s="702"/>
      <c r="E27" s="702"/>
      <c r="F27" s="702"/>
      <c r="G27" s="702"/>
      <c r="H27" s="702"/>
      <c r="I27" s="702"/>
      <c r="J27" s="702"/>
    </row>
    <row r="28" spans="1:10" ht="9.75" customHeight="1">
      <c r="A28" s="929"/>
      <c r="B28"/>
      <c r="C28"/>
      <c r="D28"/>
      <c r="E28"/>
      <c r="F28"/>
      <c r="G28"/>
      <c r="H28"/>
      <c r="I28"/>
      <c r="J28"/>
    </row>
    <row r="29" spans="1:10">
      <c r="A29" s="927" t="s">
        <v>1280</v>
      </c>
      <c r="B29"/>
      <c r="C29"/>
      <c r="D29"/>
      <c r="E29"/>
      <c r="F29"/>
      <c r="G29"/>
      <c r="H29"/>
      <c r="I29"/>
      <c r="J29"/>
    </row>
    <row r="30" spans="1:10" ht="18" customHeight="1">
      <c r="A30" s="929" t="s">
        <v>1281</v>
      </c>
      <c r="B30" s="702"/>
      <c r="C30" s="702"/>
      <c r="D30" s="702"/>
      <c r="E30" s="702"/>
      <c r="F30" s="702"/>
      <c r="G30" s="702"/>
      <c r="H30" s="702"/>
      <c r="I30" s="702"/>
      <c r="J30" s="702"/>
    </row>
    <row r="31" spans="1:10" ht="10.5" customHeight="1">
      <c r="A31" s="929"/>
      <c r="B31"/>
      <c r="C31"/>
      <c r="D31"/>
      <c r="E31"/>
      <c r="F31"/>
      <c r="G31"/>
      <c r="H31"/>
      <c r="I31"/>
      <c r="J31"/>
    </row>
    <row r="32" spans="1:10">
      <c r="A32" s="927" t="s">
        <v>1282</v>
      </c>
      <c r="B32"/>
      <c r="C32"/>
      <c r="D32"/>
      <c r="E32"/>
      <c r="F32"/>
      <c r="G32"/>
      <c r="H32"/>
      <c r="I32"/>
      <c r="J32"/>
    </row>
    <row r="33" spans="1:11" ht="17.25" customHeight="1">
      <c r="A33" s="929" t="s">
        <v>1283</v>
      </c>
      <c r="B33" s="702"/>
      <c r="C33" s="702"/>
      <c r="D33" s="702"/>
      <c r="E33" s="702"/>
      <c r="F33" s="702"/>
      <c r="G33" s="702"/>
      <c r="H33" s="702"/>
      <c r="I33" s="702"/>
      <c r="J33" s="702"/>
    </row>
    <row r="34" spans="1:11" ht="14.25" customHeight="1">
      <c r="A34" s="929" t="s">
        <v>1284</v>
      </c>
      <c r="B34" s="702"/>
      <c r="C34" s="702"/>
      <c r="D34" s="702"/>
      <c r="E34" s="702"/>
      <c r="F34" s="702"/>
      <c r="G34" s="702"/>
      <c r="H34" s="702"/>
      <c r="I34" s="702"/>
      <c r="J34" s="702"/>
    </row>
    <row r="35" spans="1:11" ht="14.25" customHeight="1">
      <c r="A35" s="929" t="s">
        <v>1285</v>
      </c>
      <c r="B35" s="702"/>
      <c r="C35" s="702"/>
      <c r="D35" s="702"/>
      <c r="E35" s="702"/>
      <c r="F35" s="702"/>
      <c r="G35" s="702"/>
      <c r="H35" s="702"/>
      <c r="I35" s="702"/>
      <c r="J35" s="702"/>
      <c r="K35" s="4"/>
    </row>
    <row r="36" spans="1:11" ht="10.5" customHeight="1">
      <c r="A36" s="929"/>
      <c r="B36"/>
      <c r="C36"/>
      <c r="D36"/>
      <c r="E36"/>
      <c r="F36"/>
      <c r="G36"/>
      <c r="H36"/>
      <c r="I36"/>
      <c r="J36"/>
    </row>
    <row r="37" spans="1:11">
      <c r="A37" s="927" t="s">
        <v>1286</v>
      </c>
      <c r="B37"/>
      <c r="C37"/>
      <c r="D37"/>
      <c r="E37"/>
      <c r="F37"/>
      <c r="G37"/>
      <c r="H37"/>
      <c r="I37"/>
      <c r="J37"/>
    </row>
    <row r="38" spans="1:11" ht="16.5" customHeight="1">
      <c r="A38" s="929" t="s">
        <v>1287</v>
      </c>
      <c r="B38" s="702"/>
      <c r="C38" s="702"/>
      <c r="D38" s="702"/>
      <c r="E38" s="702"/>
      <c r="F38" s="702"/>
      <c r="G38" s="702"/>
      <c r="H38" s="702"/>
      <c r="I38" s="702"/>
      <c r="J38" s="702"/>
    </row>
    <row r="39" spans="1:11" ht="13.5" customHeight="1">
      <c r="A39" s="929" t="s">
        <v>1288</v>
      </c>
      <c r="B39" s="702"/>
      <c r="C39" s="702"/>
      <c r="D39" s="702"/>
      <c r="E39" s="702"/>
      <c r="F39" s="702"/>
      <c r="G39" s="702"/>
      <c r="H39" s="702"/>
      <c r="I39" s="702"/>
      <c r="J39" s="702"/>
    </row>
    <row r="40" spans="1:11" ht="9.75" customHeight="1">
      <c r="A40" s="929"/>
      <c r="B40"/>
      <c r="C40"/>
      <c r="D40"/>
      <c r="E40"/>
      <c r="F40"/>
      <c r="G40"/>
      <c r="H40"/>
      <c r="I40"/>
      <c r="J40"/>
    </row>
    <row r="41" spans="1:11" ht="18" customHeight="1">
      <c r="A41" s="930" t="s">
        <v>620</v>
      </c>
      <c r="B41" s="931" t="s">
        <v>1289</v>
      </c>
      <c r="C41" s="931" t="s">
        <v>1290</v>
      </c>
      <c r="D41" s="931" t="s">
        <v>1291</v>
      </c>
      <c r="E41" s="931" t="s">
        <v>1292</v>
      </c>
      <c r="F41" s="931" t="s">
        <v>1293</v>
      </c>
      <c r="G41" s="931" t="s">
        <v>1294</v>
      </c>
      <c r="H41" s="931" t="s">
        <v>1295</v>
      </c>
      <c r="I41" s="932" t="s">
        <v>1296</v>
      </c>
      <c r="J41" s="932" t="s">
        <v>1297</v>
      </c>
    </row>
    <row r="42" spans="1:11" ht="16.5" customHeight="1">
      <c r="A42" s="933" t="s">
        <v>1298</v>
      </c>
      <c r="B42" s="934">
        <v>1.82</v>
      </c>
      <c r="C42" s="934">
        <v>0.96</v>
      </c>
      <c r="D42" s="934">
        <v>0.73</v>
      </c>
      <c r="E42" s="934">
        <v>0.52</v>
      </c>
      <c r="F42" s="934">
        <v>0.42</v>
      </c>
      <c r="G42" s="934">
        <v>0.34</v>
      </c>
      <c r="H42" s="934">
        <v>0.24</v>
      </c>
      <c r="I42" s="934">
        <v>0.2</v>
      </c>
      <c r="J42" s="934">
        <v>0.15</v>
      </c>
    </row>
    <row r="43" spans="1:11" ht="12.75" customHeight="1">
      <c r="A43" s="929"/>
      <c r="B43"/>
      <c r="C43"/>
      <c r="D43"/>
      <c r="E43"/>
      <c r="F43"/>
      <c r="G43"/>
      <c r="H43"/>
      <c r="I43"/>
      <c r="J43"/>
    </row>
    <row r="44" spans="1:11" ht="16.5" customHeight="1">
      <c r="A44" s="930" t="s">
        <v>620</v>
      </c>
      <c r="B44" s="935" t="s">
        <v>1299</v>
      </c>
      <c r="C44" s="935" t="s">
        <v>1300</v>
      </c>
      <c r="D44" s="935" t="s">
        <v>1301</v>
      </c>
      <c r="E44" s="935" t="s">
        <v>1302</v>
      </c>
      <c r="G44" s="3"/>
    </row>
    <row r="45" spans="1:11" ht="15.75" customHeight="1">
      <c r="A45" s="936" t="s">
        <v>1303</v>
      </c>
      <c r="B45" s="937" t="s">
        <v>1304</v>
      </c>
      <c r="C45" s="938">
        <v>0.2</v>
      </c>
      <c r="D45" s="938">
        <v>0.2</v>
      </c>
      <c r="E45" s="938">
        <v>0.15</v>
      </c>
      <c r="G45" s="3"/>
    </row>
    <row r="46" spans="1:11" ht="14.25" customHeight="1">
      <c r="A46" s="939">
        <v>2007</v>
      </c>
      <c r="B46" s="940" t="s">
        <v>1304</v>
      </c>
      <c r="C46" s="941">
        <v>0.18</v>
      </c>
      <c r="D46" s="941">
        <v>0.16</v>
      </c>
      <c r="E46" s="941">
        <v>0.13</v>
      </c>
      <c r="F46"/>
      <c r="G46"/>
      <c r="H46"/>
      <c r="I46"/>
      <c r="J46"/>
    </row>
    <row r="47" spans="1:11" ht="14.25" customHeight="1">
      <c r="A47" s="939">
        <v>2008</v>
      </c>
      <c r="B47" s="940" t="s">
        <v>1304</v>
      </c>
      <c r="C47" s="941">
        <v>0.16</v>
      </c>
      <c r="D47" s="941">
        <v>0.12</v>
      </c>
      <c r="E47" s="941">
        <v>0.11</v>
      </c>
      <c r="G47" s="3"/>
    </row>
    <row r="48" spans="1:11" ht="14.25" customHeight="1">
      <c r="A48" s="939" t="s">
        <v>1305</v>
      </c>
      <c r="B48" s="940" t="s">
        <v>1304</v>
      </c>
      <c r="C48" s="941">
        <v>0.15</v>
      </c>
      <c r="D48" s="941">
        <v>0.1</v>
      </c>
      <c r="E48" s="941">
        <v>0.1</v>
      </c>
      <c r="G48" s="3"/>
    </row>
    <row r="49" spans="1:10" ht="9" customHeight="1">
      <c r="A49" s="942"/>
      <c r="C49" s="3"/>
      <c r="E49" s="3"/>
      <c r="G49" s="3"/>
    </row>
    <row r="50" spans="1:10" ht="15" customHeight="1">
      <c r="A50" s="942" t="s">
        <v>1306</v>
      </c>
      <c r="C50" s="3"/>
      <c r="E50" s="3"/>
      <c r="G50" s="3"/>
    </row>
    <row r="51" spans="1:10" ht="15" customHeight="1">
      <c r="A51" s="929" t="s">
        <v>1307</v>
      </c>
      <c r="C51" s="3"/>
      <c r="E51" s="3"/>
      <c r="G51" s="3"/>
    </row>
    <row r="52" spans="1:10" ht="12.5" customHeight="1">
      <c r="A52" s="929"/>
      <c r="C52" s="3"/>
      <c r="E52" s="3"/>
      <c r="G52" s="3"/>
    </row>
    <row r="53" spans="1:10" ht="14">
      <c r="A53" s="943" t="s">
        <v>1308</v>
      </c>
      <c r="B53" t="s">
        <v>1309</v>
      </c>
      <c r="C53"/>
      <c r="D53"/>
      <c r="E53"/>
      <c r="F53"/>
      <c r="G53"/>
      <c r="H53"/>
      <c r="I53"/>
      <c r="J53" s="944"/>
    </row>
    <row r="54" spans="1:10">
      <c r="A54" s="945"/>
      <c r="B54" s="4" t="s">
        <v>1310</v>
      </c>
      <c r="C54"/>
      <c r="D54"/>
      <c r="E54"/>
      <c r="F54"/>
      <c r="G54"/>
      <c r="H54"/>
      <c r="I54"/>
      <c r="J54" s="944"/>
    </row>
    <row r="55" spans="1:10" ht="11.5" customHeight="1">
      <c r="A55" s="942"/>
      <c r="C55" s="3"/>
      <c r="E55" s="3"/>
      <c r="G55" s="3"/>
    </row>
    <row r="56" spans="1:10" ht="15" customHeight="1">
      <c r="A56" s="927" t="s">
        <v>1311</v>
      </c>
      <c r="C56" s="3"/>
      <c r="E56" s="3"/>
      <c r="G56" s="3"/>
    </row>
    <row r="57" spans="1:10" ht="11.25" customHeight="1">
      <c r="A57" s="942"/>
      <c r="C57" s="3"/>
      <c r="E57" s="3"/>
      <c r="G57" s="3"/>
    </row>
    <row r="58" spans="1:10" ht="17.25" customHeight="1">
      <c r="A58" s="927" t="s">
        <v>1312</v>
      </c>
      <c r="C58" s="3"/>
      <c r="E58" s="3"/>
      <c r="G58" s="3"/>
    </row>
    <row r="59" spans="1:10" ht="16.5" customHeight="1">
      <c r="A59" s="929" t="s">
        <v>1313</v>
      </c>
      <c r="C59" s="3"/>
      <c r="E59" s="3"/>
      <c r="G59" s="3"/>
    </row>
    <row r="60" spans="1:10" ht="16.5" customHeight="1">
      <c r="A60" s="927" t="s">
        <v>1314</v>
      </c>
      <c r="C60" s="3"/>
      <c r="E60" s="3"/>
      <c r="G60" s="3"/>
    </row>
    <row r="61" spans="1:10" ht="10.5" customHeight="1">
      <c r="A61" s="946"/>
      <c r="C61" s="3"/>
      <c r="E61" s="3"/>
      <c r="G61" s="3"/>
    </row>
    <row r="62" spans="1:10" ht="17.25" customHeight="1">
      <c r="A62" s="927" t="s">
        <v>1315</v>
      </c>
      <c r="C62" s="3"/>
      <c r="E62" s="3"/>
      <c r="G62" s="3"/>
    </row>
    <row r="63" spans="1:10" ht="17.25" customHeight="1">
      <c r="A63" s="929" t="s">
        <v>1316</v>
      </c>
      <c r="C63" s="3"/>
      <c r="E63" s="3"/>
      <c r="G63" s="3"/>
    </row>
    <row r="64" spans="1:10" ht="16.5" customHeight="1">
      <c r="A64" s="336" t="s">
        <v>1317</v>
      </c>
      <c r="C64" s="3"/>
      <c r="E64" s="3"/>
      <c r="G64" s="3"/>
    </row>
    <row r="65" spans="1:10" ht="10.5" customHeight="1">
      <c r="A65" s="336"/>
      <c r="C65" s="3"/>
      <c r="E65" s="3"/>
      <c r="G65" s="3"/>
    </row>
    <row r="66" spans="1:10" ht="14.25" customHeight="1">
      <c r="A66" s="927" t="s">
        <v>1318</v>
      </c>
      <c r="C66" s="3"/>
      <c r="E66" s="3"/>
      <c r="G66" s="3"/>
    </row>
    <row r="67" spans="1:10" ht="17.25" customHeight="1">
      <c r="A67" s="947" t="s">
        <v>1319</v>
      </c>
      <c r="C67" s="3"/>
      <c r="E67" s="3"/>
      <c r="G67" s="3"/>
    </row>
    <row r="68" spans="1:10" ht="13.75" customHeight="1">
      <c r="A68" s="942"/>
      <c r="C68" s="3"/>
      <c r="E68" s="3"/>
      <c r="G68" s="3"/>
    </row>
    <row r="69" spans="1:10" ht="15" customHeight="1">
      <c r="A69" s="927" t="s">
        <v>1320</v>
      </c>
      <c r="C69" s="3"/>
      <c r="E69" s="3"/>
      <c r="G69" s="3"/>
    </row>
    <row r="70" spans="1:10" ht="15" customHeight="1">
      <c r="A70" s="927"/>
      <c r="C70" s="3"/>
      <c r="E70" s="3"/>
      <c r="G70" s="3"/>
    </row>
    <row r="71" spans="1:10" ht="14.25" customHeight="1">
      <c r="A71" s="2028" t="s">
        <v>2591</v>
      </c>
      <c r="C71" s="3"/>
      <c r="E71" s="3"/>
      <c r="G71" s="3"/>
    </row>
    <row r="72" spans="1:10" ht="16.5" customHeight="1">
      <c r="A72" s="2029" t="s">
        <v>2592</v>
      </c>
      <c r="C72" s="3"/>
      <c r="E72" s="3"/>
      <c r="G72" s="3"/>
    </row>
    <row r="73" spans="1:10" ht="15" customHeight="1">
      <c r="A73" s="927"/>
      <c r="C73" s="3"/>
      <c r="E73" s="3"/>
      <c r="G73" s="3"/>
    </row>
    <row r="74" spans="1:10" ht="11.25" customHeight="1">
      <c r="A74" s="942"/>
      <c r="C74" s="3"/>
      <c r="E74" s="3"/>
      <c r="G74" s="3"/>
    </row>
    <row r="75" spans="1:10" ht="15" customHeight="1">
      <c r="B75" s="948" t="s">
        <v>1321</v>
      </c>
      <c r="C75" s="3"/>
      <c r="E75" s="3"/>
      <c r="G75" s="3"/>
    </row>
    <row r="76" spans="1:10">
      <c r="A76" s="949">
        <v>0</v>
      </c>
      <c r="B76" s="950" t="s">
        <v>1322</v>
      </c>
      <c r="C76" s="131"/>
      <c r="D76" s="131"/>
      <c r="E76" s="131"/>
      <c r="G76" s="949">
        <v>7</v>
      </c>
      <c r="H76" s="950" t="s">
        <v>1352</v>
      </c>
    </row>
    <row r="77" spans="1:10">
      <c r="A77" s="949">
        <v>1</v>
      </c>
      <c r="B77" s="950" t="s">
        <v>1323</v>
      </c>
      <c r="C77" s="131"/>
      <c r="D77" s="131"/>
      <c r="E77" s="131"/>
      <c r="G77" s="949"/>
      <c r="H77" s="950" t="s">
        <v>1353</v>
      </c>
      <c r="I77" s="131"/>
      <c r="J77" s="131"/>
    </row>
    <row r="78" spans="1:10">
      <c r="A78" s="949">
        <v>2</v>
      </c>
      <c r="B78" s="950" t="s">
        <v>1325</v>
      </c>
      <c r="C78" s="131"/>
      <c r="D78" s="131"/>
      <c r="E78" s="131"/>
      <c r="G78" s="949" t="s">
        <v>353</v>
      </c>
      <c r="H78" s="950" t="s">
        <v>1324</v>
      </c>
      <c r="I78" s="131"/>
      <c r="J78" s="131"/>
    </row>
    <row r="79" spans="1:10">
      <c r="A79" s="949" t="s">
        <v>327</v>
      </c>
      <c r="B79" s="950" t="s">
        <v>1327</v>
      </c>
      <c r="C79" s="131"/>
      <c r="D79" s="131"/>
      <c r="E79" s="131"/>
      <c r="G79" s="951" t="s">
        <v>341</v>
      </c>
      <c r="H79" s="952" t="s">
        <v>1326</v>
      </c>
      <c r="I79" s="131"/>
      <c r="J79" s="131"/>
    </row>
    <row r="80" spans="1:10">
      <c r="A80" s="949" t="s">
        <v>329</v>
      </c>
      <c r="B80" s="952" t="s">
        <v>1329</v>
      </c>
      <c r="C80" s="131"/>
      <c r="D80" s="131"/>
      <c r="E80" s="131"/>
      <c r="G80" s="949" t="s">
        <v>355</v>
      </c>
      <c r="H80" s="950" t="s">
        <v>1328</v>
      </c>
      <c r="I80" s="131"/>
      <c r="J80" s="131"/>
    </row>
    <row r="81" spans="1:10">
      <c r="A81" s="949" t="s">
        <v>1331</v>
      </c>
      <c r="B81" s="950" t="s">
        <v>1332</v>
      </c>
      <c r="C81" s="131"/>
      <c r="D81" s="131"/>
      <c r="E81" s="131"/>
      <c r="G81" s="953" t="s">
        <v>343</v>
      </c>
      <c r="H81" s="952" t="s">
        <v>1330</v>
      </c>
      <c r="I81" s="131"/>
      <c r="J81" s="131"/>
    </row>
    <row r="82" spans="1:10">
      <c r="A82" s="949" t="s">
        <v>1333</v>
      </c>
      <c r="B82" s="950" t="s">
        <v>1334</v>
      </c>
      <c r="C82" s="131"/>
      <c r="D82" s="131"/>
      <c r="E82" s="131"/>
      <c r="G82" s="954">
        <v>11</v>
      </c>
      <c r="H82" s="950" t="s">
        <v>1335</v>
      </c>
      <c r="I82" s="131"/>
      <c r="J82" s="131"/>
    </row>
    <row r="83" spans="1:10">
      <c r="A83" s="949" t="s">
        <v>1336</v>
      </c>
      <c r="B83" s="950" t="s">
        <v>1337</v>
      </c>
      <c r="C83" s="131"/>
      <c r="D83" s="131"/>
      <c r="E83" s="131"/>
      <c r="G83" s="954" t="s">
        <v>360</v>
      </c>
      <c r="H83" s="952" t="s">
        <v>1338</v>
      </c>
      <c r="I83" s="131"/>
      <c r="J83" s="131"/>
    </row>
    <row r="84" spans="1:10">
      <c r="A84" s="949" t="s">
        <v>1339</v>
      </c>
      <c r="B84" s="950" t="s">
        <v>1340</v>
      </c>
      <c r="C84" s="131"/>
      <c r="D84" s="131"/>
      <c r="E84" s="131"/>
      <c r="G84" s="954" t="s">
        <v>347</v>
      </c>
      <c r="H84" s="952" t="s">
        <v>1341</v>
      </c>
      <c r="I84" s="131"/>
      <c r="J84" s="131"/>
    </row>
    <row r="85" spans="1:10">
      <c r="A85" s="953" t="s">
        <v>1342</v>
      </c>
      <c r="B85" s="952" t="s">
        <v>1343</v>
      </c>
      <c r="C85" s="131"/>
      <c r="D85" s="131"/>
      <c r="E85" s="131"/>
      <c r="G85" s="954" t="s">
        <v>362</v>
      </c>
      <c r="H85" s="952" t="s">
        <v>1344</v>
      </c>
      <c r="I85" s="131"/>
      <c r="J85" s="131"/>
    </row>
    <row r="86" spans="1:10">
      <c r="A86" s="956" t="s">
        <v>349</v>
      </c>
      <c r="B86" s="950" t="s">
        <v>1345</v>
      </c>
      <c r="C86" s="131"/>
      <c r="D86" s="131"/>
      <c r="E86" s="131"/>
      <c r="G86" s="954" t="s">
        <v>348</v>
      </c>
      <c r="H86" s="952" t="s">
        <v>1346</v>
      </c>
      <c r="I86" s="131"/>
      <c r="J86" s="131"/>
    </row>
    <row r="87" spans="1:10">
      <c r="A87" s="951" t="s">
        <v>333</v>
      </c>
      <c r="B87" s="950" t="s">
        <v>1347</v>
      </c>
      <c r="C87" s="131"/>
      <c r="D87" s="131"/>
      <c r="E87" s="131"/>
      <c r="G87" s="954">
        <v>14</v>
      </c>
      <c r="H87" s="955" t="s">
        <v>1348</v>
      </c>
      <c r="I87" s="131"/>
      <c r="J87" s="131"/>
    </row>
    <row r="88" spans="1:10">
      <c r="A88" s="956" t="s">
        <v>1349</v>
      </c>
      <c r="B88" s="950" t="s">
        <v>1350</v>
      </c>
      <c r="C88" s="131"/>
      <c r="D88" s="131"/>
      <c r="E88" s="131"/>
      <c r="G88" s="954">
        <v>15</v>
      </c>
      <c r="H88" s="952" t="s">
        <v>1351</v>
      </c>
      <c r="I88" s="131"/>
      <c r="J88" s="131"/>
    </row>
    <row r="89" spans="1:10">
      <c r="E89" s="131"/>
      <c r="G89" s="3"/>
    </row>
    <row r="90" spans="1:10" ht="6.75" customHeight="1">
      <c r="E90" s="131"/>
      <c r="G90" s="3"/>
    </row>
    <row r="91" spans="1:10">
      <c r="A91" s="957" t="s">
        <v>396</v>
      </c>
      <c r="B91" s="955"/>
      <c r="C91" s="131"/>
      <c r="D91" s="131"/>
      <c r="E91" s="131"/>
      <c r="G91" s="3"/>
    </row>
    <row r="92" spans="1:10">
      <c r="A92" s="957"/>
      <c r="B92" s="955"/>
      <c r="C92" s="131"/>
      <c r="D92" s="131"/>
      <c r="E92" s="131"/>
      <c r="G92" s="3"/>
    </row>
    <row r="93" spans="1:10">
      <c r="A93" s="957" t="s">
        <v>1354</v>
      </c>
      <c r="B93" s="955"/>
      <c r="C93" s="131"/>
      <c r="D93" s="131"/>
      <c r="E93" s="131"/>
      <c r="G93" s="3"/>
    </row>
    <row r="94" spans="1:10">
      <c r="A94" s="954"/>
      <c r="B94" s="955"/>
      <c r="C94" s="131"/>
      <c r="D94" s="131"/>
      <c r="E94" s="131"/>
      <c r="G94" s="3"/>
    </row>
    <row r="95" spans="1:10" ht="7.5" customHeight="1">
      <c r="A95" s="954"/>
      <c r="B95" s="955"/>
      <c r="C95" s="131"/>
      <c r="D95" s="131"/>
      <c r="E95" s="131"/>
      <c r="G95" s="3"/>
    </row>
    <row r="96" spans="1:10">
      <c r="A96" s="958" t="s">
        <v>395</v>
      </c>
      <c r="B96" s="955"/>
      <c r="C96" s="131"/>
      <c r="D96" s="131"/>
      <c r="E96" s="131"/>
      <c r="G96" s="3"/>
    </row>
    <row r="97" spans="3:7">
      <c r="C97" s="3"/>
      <c r="E97" s="3"/>
      <c r="G97" s="3"/>
    </row>
  </sheetData>
  <mergeCells count="1">
    <mergeCell ref="A1:H1"/>
  </mergeCells>
  <pageMargins left="0.51181102362204722" right="0.51181102362204722" top="0.3" bottom="0.25" header="0.23622047244094491" footer="0.3"/>
  <pageSetup paperSize="9" scale="61" orientation="portrait"/>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14AC-9D05-0548-97E5-C6F729B999E3}">
  <dimension ref="A1:I97"/>
  <sheetViews>
    <sheetView topLeftCell="A68" zoomScaleNormal="100" workbookViewId="0">
      <selection activeCell="B93" sqref="B93"/>
    </sheetView>
  </sheetViews>
  <sheetFormatPr baseColWidth="10" defaultColWidth="11.3984375" defaultRowHeight="13"/>
  <cols>
    <col min="1" max="1" width="5.796875" style="3" customWidth="1"/>
    <col min="2" max="2" width="53.796875" style="181" customWidth="1"/>
    <col min="3" max="4" width="13" style="181" customWidth="1"/>
    <col min="5" max="5" width="13" style="3" customWidth="1"/>
    <col min="6" max="7" width="13" style="8" customWidth="1"/>
    <col min="8" max="9" width="13" style="3" customWidth="1"/>
    <col min="10" max="10" width="6.19921875" style="3" customWidth="1"/>
    <col min="11" max="16384" width="11.3984375" style="3"/>
  </cols>
  <sheetData>
    <row r="1" spans="1:9" s="2" customFormat="1" ht="14" customHeight="1">
      <c r="B1" s="161"/>
      <c r="C1" s="161"/>
      <c r="D1" s="161"/>
      <c r="F1" s="502"/>
      <c r="G1" s="502"/>
    </row>
    <row r="2" spans="1:9" s="2" customFormat="1" ht="19.5" customHeight="1">
      <c r="A2" s="164" t="s">
        <v>1232</v>
      </c>
      <c r="C2" s="161"/>
      <c r="D2" s="161"/>
      <c r="F2" s="502"/>
      <c r="G2" s="502"/>
      <c r="H2" s="17"/>
      <c r="I2" s="910">
        <v>2012</v>
      </c>
    </row>
    <row r="3" spans="1:9" s="2" customFormat="1" ht="7.75" customHeight="1" thickBot="1">
      <c r="A3" s="789"/>
      <c r="B3" s="790"/>
      <c r="C3" s="790"/>
      <c r="D3" s="790"/>
      <c r="E3" s="789"/>
      <c r="F3" s="911"/>
      <c r="G3" s="911"/>
      <c r="H3" s="789"/>
      <c r="I3" s="789"/>
    </row>
    <row r="4" spans="1:9" ht="18" customHeight="1">
      <c r="A4" s="792" t="s">
        <v>1156</v>
      </c>
      <c r="B4" s="792" t="s">
        <v>1233</v>
      </c>
      <c r="C4" s="793" t="s">
        <v>1234</v>
      </c>
      <c r="D4" s="794" t="s">
        <v>1235</v>
      </c>
      <c r="E4" s="852" t="s">
        <v>533</v>
      </c>
      <c r="F4" s="851" t="s">
        <v>1236</v>
      </c>
      <c r="G4" s="852" t="s">
        <v>485</v>
      </c>
      <c r="H4" s="851" t="s">
        <v>1237</v>
      </c>
      <c r="I4" s="793" t="s">
        <v>1237</v>
      </c>
    </row>
    <row r="5" spans="1:9" ht="15" customHeight="1">
      <c r="A5" s="792" t="s">
        <v>1160</v>
      </c>
      <c r="B5" s="792"/>
      <c r="C5" s="793" t="s">
        <v>1238</v>
      </c>
      <c r="D5" s="794"/>
      <c r="E5" s="793"/>
      <c r="F5" s="851" t="s">
        <v>1239</v>
      </c>
      <c r="G5" s="852" t="s">
        <v>733</v>
      </c>
      <c r="H5" s="851" t="s">
        <v>1240</v>
      </c>
      <c r="I5" s="793" t="s">
        <v>935</v>
      </c>
    </row>
    <row r="6" spans="1:9" ht="15" customHeight="1">
      <c r="A6" s="792"/>
      <c r="B6" s="792"/>
      <c r="C6" s="793" t="s">
        <v>1241</v>
      </c>
      <c r="D6" s="794"/>
      <c r="E6" s="793"/>
      <c r="F6" s="851" t="s">
        <v>1242</v>
      </c>
      <c r="G6" s="852"/>
      <c r="H6" s="851" t="s">
        <v>1243</v>
      </c>
      <c r="I6" s="793"/>
    </row>
    <row r="7" spans="1:9" ht="15" customHeight="1">
      <c r="A7" s="792"/>
      <c r="B7" s="792"/>
      <c r="C7" s="793" t="s">
        <v>1244</v>
      </c>
      <c r="D7" s="794" t="s">
        <v>1245</v>
      </c>
      <c r="E7" s="793" t="s">
        <v>1245</v>
      </c>
      <c r="F7" s="794" t="s">
        <v>1246</v>
      </c>
      <c r="G7" s="793" t="s">
        <v>1245</v>
      </c>
      <c r="H7" s="794" t="s">
        <v>1245</v>
      </c>
      <c r="I7" s="793" t="s">
        <v>1245</v>
      </c>
    </row>
    <row r="8" spans="1:9" ht="15" customHeight="1">
      <c r="A8" s="792"/>
      <c r="B8" s="792"/>
      <c r="C8" s="793" t="s">
        <v>1247</v>
      </c>
      <c r="D8" s="794" t="s">
        <v>1248</v>
      </c>
      <c r="E8" s="793" t="s">
        <v>1248</v>
      </c>
      <c r="F8" s="794" t="s">
        <v>1249</v>
      </c>
      <c r="G8" s="793" t="s">
        <v>1248</v>
      </c>
      <c r="H8" s="794" t="s">
        <v>1248</v>
      </c>
      <c r="I8" s="793" t="s">
        <v>1248</v>
      </c>
    </row>
    <row r="9" spans="1:9" ht="15" customHeight="1">
      <c r="A9" s="792"/>
      <c r="B9" s="792"/>
      <c r="C9" s="793"/>
      <c r="D9" s="794"/>
      <c r="E9" s="793"/>
      <c r="F9" s="794"/>
      <c r="G9" s="852"/>
      <c r="H9" s="794"/>
      <c r="I9" s="793"/>
    </row>
    <row r="10" spans="1:9" ht="18" customHeight="1">
      <c r="A10" s="797">
        <v>0</v>
      </c>
      <c r="B10" s="797"/>
      <c r="C10" s="798">
        <v>1</v>
      </c>
      <c r="D10" s="799">
        <v>2</v>
      </c>
      <c r="E10" s="798">
        <v>3</v>
      </c>
      <c r="F10" s="890">
        <v>4</v>
      </c>
      <c r="G10" s="889">
        <v>5</v>
      </c>
      <c r="H10" s="799">
        <v>6</v>
      </c>
      <c r="I10" s="798">
        <v>7</v>
      </c>
    </row>
    <row r="11" spans="1:9" ht="3.5" customHeight="1" thickBot="1">
      <c r="A11" s="801"/>
      <c r="B11" s="802"/>
      <c r="C11" s="803" t="s">
        <v>397</v>
      </c>
      <c r="D11" s="804" t="s">
        <v>397</v>
      </c>
      <c r="E11" s="806" t="s">
        <v>397</v>
      </c>
      <c r="F11" s="804" t="s">
        <v>397</v>
      </c>
      <c r="G11" s="912" t="s">
        <v>397</v>
      </c>
      <c r="H11" s="804" t="s">
        <v>397</v>
      </c>
      <c r="I11" s="912" t="s">
        <v>397</v>
      </c>
    </row>
    <row r="12" spans="1:9" ht="16.75" customHeight="1" thickBot="1">
      <c r="A12" s="801">
        <v>8</v>
      </c>
      <c r="B12" s="802" t="s">
        <v>1357</v>
      </c>
      <c r="C12" s="803" t="s">
        <v>397</v>
      </c>
      <c r="D12" s="804">
        <v>758.5</v>
      </c>
      <c r="E12" s="806">
        <v>480.24165000000005</v>
      </c>
      <c r="F12" s="804">
        <v>40</v>
      </c>
      <c r="G12" s="912">
        <v>1162.49647</v>
      </c>
      <c r="H12" s="804">
        <v>1200</v>
      </c>
      <c r="I12" s="912">
        <v>10836.22568</v>
      </c>
    </row>
    <row r="13" spans="1:9" ht="16.5" customHeight="1" thickBot="1">
      <c r="A13" s="808">
        <v>32</v>
      </c>
      <c r="B13" s="809" t="s">
        <v>1358</v>
      </c>
      <c r="C13" s="913" t="s">
        <v>397</v>
      </c>
      <c r="D13" s="811">
        <v>1756.1</v>
      </c>
      <c r="E13" s="810">
        <v>715.40440000000001</v>
      </c>
      <c r="F13" s="811">
        <v>110.84751000000001</v>
      </c>
      <c r="G13" s="914">
        <v>-49.661960000000001</v>
      </c>
      <c r="H13" s="811">
        <v>1357</v>
      </c>
      <c r="I13" s="914">
        <v>5398.8508000000002</v>
      </c>
    </row>
    <row r="14" spans="1:9" ht="16.5" customHeight="1" thickBot="1">
      <c r="A14" s="808">
        <v>57</v>
      </c>
      <c r="B14" s="809" t="s">
        <v>1359</v>
      </c>
      <c r="C14" s="913" t="s">
        <v>397</v>
      </c>
      <c r="D14" s="811">
        <v>17635.5</v>
      </c>
      <c r="E14" s="810">
        <v>16561.654300000002</v>
      </c>
      <c r="F14" s="811">
        <v>2971.58869</v>
      </c>
      <c r="G14" s="914">
        <v>-173.16920999999999</v>
      </c>
      <c r="H14" s="811">
        <v>1978.2310400000001</v>
      </c>
      <c r="I14" s="914">
        <v>38228.483260000001</v>
      </c>
    </row>
    <row r="15" spans="1:9" ht="16.5" customHeight="1" thickBot="1">
      <c r="A15" s="808">
        <v>134</v>
      </c>
      <c r="B15" s="809" t="s">
        <v>1360</v>
      </c>
      <c r="C15" s="913" t="s">
        <v>397</v>
      </c>
      <c r="D15" s="811">
        <v>95.9</v>
      </c>
      <c r="E15" s="810">
        <v>27.605</v>
      </c>
      <c r="F15" s="811">
        <v>4.5341000000000005</v>
      </c>
      <c r="G15" s="914">
        <v>58.2423</v>
      </c>
      <c r="H15" s="811">
        <v>118</v>
      </c>
      <c r="I15" s="914">
        <v>354.45269999999999</v>
      </c>
    </row>
    <row r="16" spans="1:9" ht="16.5" customHeight="1" thickBot="1">
      <c r="A16" s="808">
        <v>182</v>
      </c>
      <c r="B16" s="809" t="s">
        <v>1361</v>
      </c>
      <c r="C16" s="913" t="s">
        <v>397</v>
      </c>
      <c r="D16" s="811">
        <v>2.2000000000000002</v>
      </c>
      <c r="E16" s="810">
        <v>0.505</v>
      </c>
      <c r="F16" s="811">
        <v>20</v>
      </c>
      <c r="G16" s="914">
        <v>-18.994799999999998</v>
      </c>
      <c r="H16" s="811">
        <v>2.5</v>
      </c>
      <c r="I16" s="914">
        <v>336.37862999999999</v>
      </c>
    </row>
    <row r="17" spans="1:9" ht="16.5" customHeight="1" thickBot="1">
      <c r="A17" s="808">
        <v>194</v>
      </c>
      <c r="B17" s="809" t="s">
        <v>1362</v>
      </c>
      <c r="C17" s="913" t="s">
        <v>397</v>
      </c>
      <c r="D17" s="811">
        <v>1285</v>
      </c>
      <c r="E17" s="810">
        <v>741.2790500000001</v>
      </c>
      <c r="F17" s="811">
        <v>192.74716000000004</v>
      </c>
      <c r="G17" s="914">
        <v>52.82667</v>
      </c>
      <c r="H17" s="811">
        <v>570</v>
      </c>
      <c r="I17" s="914">
        <v>2041.8851499999998</v>
      </c>
    </row>
    <row r="18" spans="1:9" ht="16.5" customHeight="1" thickBot="1">
      <c r="A18" s="808">
        <v>246</v>
      </c>
      <c r="B18" s="809" t="s">
        <v>1363</v>
      </c>
      <c r="C18" s="915" t="s">
        <v>397</v>
      </c>
      <c r="D18" s="814">
        <v>21.9</v>
      </c>
      <c r="E18" s="813">
        <v>5.3812499999999996</v>
      </c>
      <c r="F18" s="814">
        <v>17.90673</v>
      </c>
      <c r="G18" s="916">
        <v>2.282E-2</v>
      </c>
      <c r="H18" s="814">
        <v>20</v>
      </c>
      <c r="I18" s="916">
        <v>133.21102999999999</v>
      </c>
    </row>
    <row r="19" spans="1:9" ht="16.5" customHeight="1" thickBot="1">
      <c r="A19" s="808">
        <v>290</v>
      </c>
      <c r="B19" s="809" t="s">
        <v>1364</v>
      </c>
      <c r="C19" s="915" t="s">
        <v>397</v>
      </c>
      <c r="D19" s="814">
        <v>3905.6</v>
      </c>
      <c r="E19" s="813">
        <v>2530.4915499999997</v>
      </c>
      <c r="F19" s="814">
        <v>918.3845399999999</v>
      </c>
      <c r="G19" s="916">
        <v>448.53305999999998</v>
      </c>
      <c r="H19" s="814">
        <v>582.77200000000005</v>
      </c>
      <c r="I19" s="916">
        <v>4249.3247699999993</v>
      </c>
    </row>
    <row r="20" spans="1:9" ht="16.5" customHeight="1" thickBot="1">
      <c r="A20" s="808">
        <v>294</v>
      </c>
      <c r="B20" s="809" t="s">
        <v>1365</v>
      </c>
      <c r="C20" s="915" t="s">
        <v>397</v>
      </c>
      <c r="D20" s="814">
        <v>48.2</v>
      </c>
      <c r="E20" s="813">
        <v>12.018000000000001</v>
      </c>
      <c r="F20" s="814">
        <v>39</v>
      </c>
      <c r="G20" s="916">
        <v>-48.653340000000007</v>
      </c>
      <c r="H20" s="814">
        <v>49</v>
      </c>
      <c r="I20" s="916">
        <v>108.36906</v>
      </c>
    </row>
    <row r="21" spans="1:9" ht="16.5" customHeight="1" thickBot="1">
      <c r="A21" s="808">
        <v>312</v>
      </c>
      <c r="B21" s="809" t="s">
        <v>1366</v>
      </c>
      <c r="C21" s="915" t="s">
        <v>397</v>
      </c>
      <c r="D21" s="814">
        <v>448.4</v>
      </c>
      <c r="E21" s="813">
        <v>347.94130000000001</v>
      </c>
      <c r="F21" s="814">
        <v>16.1813</v>
      </c>
      <c r="G21" s="916">
        <v>-81.872070000000008</v>
      </c>
      <c r="H21" s="814">
        <v>504</v>
      </c>
      <c r="I21" s="916">
        <v>3082.0628700000002</v>
      </c>
    </row>
    <row r="22" spans="1:9" ht="16.5" customHeight="1" thickBot="1">
      <c r="A22" s="808">
        <v>343</v>
      </c>
      <c r="B22" s="809" t="s">
        <v>1367</v>
      </c>
      <c r="C22" s="915" t="s">
        <v>397</v>
      </c>
      <c r="D22" s="814">
        <v>7740.5</v>
      </c>
      <c r="E22" s="813">
        <v>6284.4510899999996</v>
      </c>
      <c r="F22" s="814">
        <v>1376.3935300000001</v>
      </c>
      <c r="G22" s="916">
        <v>-230.71083000000002</v>
      </c>
      <c r="H22" s="814">
        <v>1299</v>
      </c>
      <c r="I22" s="916">
        <v>39951.126400000001</v>
      </c>
    </row>
    <row r="23" spans="1:9" ht="16.5" customHeight="1" thickBot="1">
      <c r="A23" s="808">
        <v>360</v>
      </c>
      <c r="B23" s="809" t="s">
        <v>1368</v>
      </c>
      <c r="C23" s="915" t="s">
        <v>397</v>
      </c>
      <c r="D23" s="814">
        <v>1312.1</v>
      </c>
      <c r="E23" s="813">
        <v>834.32134999999994</v>
      </c>
      <c r="F23" s="814">
        <v>26.085999999999999</v>
      </c>
      <c r="G23" s="916">
        <v>55.40925</v>
      </c>
      <c r="H23" s="814">
        <v>800</v>
      </c>
      <c r="I23" s="916">
        <v>2631.10205</v>
      </c>
    </row>
    <row r="24" spans="1:9" ht="16.5" customHeight="1" thickBot="1">
      <c r="A24" s="808">
        <v>376</v>
      </c>
      <c r="B24" s="809" t="s">
        <v>1369</v>
      </c>
      <c r="C24" s="915" t="s">
        <v>397</v>
      </c>
      <c r="D24" s="814">
        <v>585.9</v>
      </c>
      <c r="E24" s="813">
        <v>306.06</v>
      </c>
      <c r="F24" s="814">
        <v>27.809349999999998</v>
      </c>
      <c r="G24" s="916">
        <v>-148.179</v>
      </c>
      <c r="H24" s="814">
        <v>586</v>
      </c>
      <c r="I24" s="916">
        <v>10406.349</v>
      </c>
    </row>
    <row r="25" spans="1:9" ht="16.5" customHeight="1" thickBot="1">
      <c r="A25" s="808">
        <v>455</v>
      </c>
      <c r="B25" s="809" t="s">
        <v>1370</v>
      </c>
      <c r="C25" s="915" t="s">
        <v>397</v>
      </c>
      <c r="D25" s="814">
        <v>3648</v>
      </c>
      <c r="E25" s="813">
        <v>2253.0581499999998</v>
      </c>
      <c r="F25" s="814">
        <v>517.80352000000005</v>
      </c>
      <c r="G25" s="916">
        <v>336.76643999999999</v>
      </c>
      <c r="H25" s="814">
        <v>1324</v>
      </c>
      <c r="I25" s="916">
        <v>15222.72942</v>
      </c>
    </row>
    <row r="26" spans="1:9" ht="16.5" customHeight="1" thickBot="1">
      <c r="A26" s="808">
        <v>509</v>
      </c>
      <c r="B26" s="809" t="s">
        <v>1371</v>
      </c>
      <c r="C26" s="915" t="s">
        <v>397</v>
      </c>
      <c r="D26" s="814">
        <v>270.5</v>
      </c>
      <c r="E26" s="813">
        <v>209.66725</v>
      </c>
      <c r="F26" s="814">
        <v>168.93507</v>
      </c>
      <c r="G26" s="916">
        <v>159.68042000000003</v>
      </c>
      <c r="H26" s="814">
        <v>344.74610999999999</v>
      </c>
      <c r="I26" s="916">
        <v>4315.75083</v>
      </c>
    </row>
    <row r="27" spans="1:9" ht="16.5" customHeight="1" thickBot="1">
      <c r="A27" s="808">
        <v>558</v>
      </c>
      <c r="B27" s="809" t="s">
        <v>1372</v>
      </c>
      <c r="C27" s="915" t="s">
        <v>397</v>
      </c>
      <c r="D27" s="814">
        <v>9.8000000000000007</v>
      </c>
      <c r="E27" s="813">
        <v>2.7317000000000005</v>
      </c>
      <c r="F27" s="814">
        <v>1.1896900000000001</v>
      </c>
      <c r="G27" s="916">
        <v>6.5486100000000009</v>
      </c>
      <c r="H27" s="814">
        <v>13</v>
      </c>
      <c r="I27" s="916">
        <v>180.38502</v>
      </c>
    </row>
    <row r="28" spans="1:9" ht="16.5" customHeight="1" thickBot="1">
      <c r="A28" s="808">
        <v>762</v>
      </c>
      <c r="B28" s="809" t="s">
        <v>1373</v>
      </c>
      <c r="C28" s="915" t="s">
        <v>397</v>
      </c>
      <c r="D28" s="814">
        <v>167</v>
      </c>
      <c r="E28" s="813">
        <v>74.82419999999999</v>
      </c>
      <c r="F28" s="814">
        <v>59.327690000000004</v>
      </c>
      <c r="G28" s="916">
        <v>20.121010000000002</v>
      </c>
      <c r="H28" s="814">
        <v>177</v>
      </c>
      <c r="I28" s="916">
        <v>1534.2009699999999</v>
      </c>
    </row>
    <row r="29" spans="1:9" ht="16.5" customHeight="1" thickBot="1">
      <c r="A29" s="808">
        <v>774</v>
      </c>
      <c r="B29" s="809" t="s">
        <v>1374</v>
      </c>
      <c r="C29" s="915" t="s">
        <v>397</v>
      </c>
      <c r="D29" s="814">
        <v>4913.1000000000004</v>
      </c>
      <c r="E29" s="813">
        <v>3994.4885800000002</v>
      </c>
      <c r="F29" s="814">
        <v>894.50112000000001</v>
      </c>
      <c r="G29" s="916">
        <v>-404.87747000000002</v>
      </c>
      <c r="H29" s="814">
        <v>1210</v>
      </c>
      <c r="I29" s="916">
        <v>9458.7105700000011</v>
      </c>
    </row>
    <row r="30" spans="1:9" ht="16.5" customHeight="1" thickBot="1">
      <c r="A30" s="808">
        <v>780</v>
      </c>
      <c r="B30" s="809" t="s">
        <v>1375</v>
      </c>
      <c r="C30" s="915" t="s">
        <v>397</v>
      </c>
      <c r="D30" s="814">
        <v>156.19999999999999</v>
      </c>
      <c r="E30" s="813">
        <v>137.49539999999999</v>
      </c>
      <c r="F30" s="814">
        <v>8.1010000000000009</v>
      </c>
      <c r="G30" s="916">
        <v>20.521150000000002</v>
      </c>
      <c r="H30" s="814">
        <v>153</v>
      </c>
      <c r="I30" s="916">
        <v>56.108450000000005</v>
      </c>
    </row>
    <row r="31" spans="1:9" ht="16.5" customHeight="1" thickBot="1">
      <c r="A31" s="808">
        <v>820</v>
      </c>
      <c r="B31" s="809" t="s">
        <v>1376</v>
      </c>
      <c r="C31" s="915" t="s">
        <v>397</v>
      </c>
      <c r="D31" s="814">
        <v>348.6</v>
      </c>
      <c r="E31" s="813">
        <v>360.60745000000003</v>
      </c>
      <c r="F31" s="814">
        <v>44.114550000000001</v>
      </c>
      <c r="G31" s="916">
        <v>73.028100000000009</v>
      </c>
      <c r="H31" s="814">
        <v>166.78</v>
      </c>
      <c r="I31" s="916">
        <v>475.08305999999999</v>
      </c>
    </row>
    <row r="32" spans="1:9" ht="16.5" customHeight="1" thickBot="1">
      <c r="A32" s="808">
        <v>829</v>
      </c>
      <c r="B32" s="809" t="s">
        <v>1377</v>
      </c>
      <c r="C32" s="915" t="s">
        <v>397</v>
      </c>
      <c r="D32" s="814">
        <v>326.2</v>
      </c>
      <c r="E32" s="813">
        <v>219.51870000000002</v>
      </c>
      <c r="F32" s="814">
        <v>154.66645</v>
      </c>
      <c r="G32" s="916">
        <v>-59.203890000000001</v>
      </c>
      <c r="H32" s="814">
        <v>60</v>
      </c>
      <c r="I32" s="916">
        <v>1490.11743</v>
      </c>
    </row>
    <row r="33" spans="1:9" ht="16.5" customHeight="1" thickBot="1">
      <c r="A33" s="808">
        <v>881</v>
      </c>
      <c r="B33" s="809" t="s">
        <v>1378</v>
      </c>
      <c r="C33" s="915" t="s">
        <v>397</v>
      </c>
      <c r="D33" s="814">
        <v>256.5</v>
      </c>
      <c r="E33" s="813">
        <v>106.5158</v>
      </c>
      <c r="F33" s="814">
        <v>72.440489999999997</v>
      </c>
      <c r="G33" s="916">
        <v>106.68705</v>
      </c>
      <c r="H33" s="814">
        <v>305.14325000000002</v>
      </c>
      <c r="I33" s="916">
        <v>5059.0889900000002</v>
      </c>
    </row>
    <row r="34" spans="1:9" ht="16.5" customHeight="1" thickBot="1">
      <c r="A34" s="808">
        <v>901</v>
      </c>
      <c r="B34" s="809" t="s">
        <v>1379</v>
      </c>
      <c r="C34" s="915" t="s">
        <v>397</v>
      </c>
      <c r="D34" s="814">
        <v>281.10000000000002</v>
      </c>
      <c r="E34" s="813">
        <v>114.5295</v>
      </c>
      <c r="F34" s="814">
        <v>24.681399999999996</v>
      </c>
      <c r="G34" s="916">
        <v>76.698999999999998</v>
      </c>
      <c r="H34" s="814">
        <v>90</v>
      </c>
      <c r="I34" s="916">
        <v>1139.1186499999999</v>
      </c>
    </row>
    <row r="35" spans="1:9" ht="16.5" customHeight="1" thickBot="1">
      <c r="A35" s="808">
        <v>923</v>
      </c>
      <c r="B35" s="809" t="s">
        <v>1380</v>
      </c>
      <c r="C35" s="915" t="s">
        <v>397</v>
      </c>
      <c r="D35" s="814">
        <v>89.1</v>
      </c>
      <c r="E35" s="813">
        <v>8.9499999999999993</v>
      </c>
      <c r="F35" s="814">
        <v>0.66091000000000011</v>
      </c>
      <c r="G35" s="916">
        <v>78.560969999999998</v>
      </c>
      <c r="H35" s="814">
        <v>110</v>
      </c>
      <c r="I35" s="916">
        <v>4234.8682099999996</v>
      </c>
    </row>
    <row r="36" spans="1:9" ht="16.5" customHeight="1" thickBot="1">
      <c r="A36" s="808">
        <v>941</v>
      </c>
      <c r="B36" s="809" t="s">
        <v>1381</v>
      </c>
      <c r="C36" s="915" t="s">
        <v>397</v>
      </c>
      <c r="D36" s="814">
        <v>3625.9</v>
      </c>
      <c r="E36" s="813">
        <v>2532.8218999999999</v>
      </c>
      <c r="F36" s="814">
        <v>987.79989999999998</v>
      </c>
      <c r="G36" s="916">
        <v>16.3581</v>
      </c>
      <c r="H36" s="814">
        <v>3511.2484800000002</v>
      </c>
      <c r="I36" s="916">
        <v>4420.6680700000006</v>
      </c>
    </row>
    <row r="37" spans="1:9" ht="16.5" customHeight="1" thickBot="1">
      <c r="A37" s="808">
        <v>966</v>
      </c>
      <c r="B37" s="809" t="s">
        <v>1382</v>
      </c>
      <c r="C37" s="915" t="s">
        <v>397</v>
      </c>
      <c r="D37" s="814">
        <v>985.8</v>
      </c>
      <c r="E37" s="813">
        <v>923.94830000000002</v>
      </c>
      <c r="F37" s="814">
        <v>147.86658000000003</v>
      </c>
      <c r="G37" s="916">
        <v>-113.48521000000001</v>
      </c>
      <c r="H37" s="814">
        <v>160</v>
      </c>
      <c r="I37" s="916">
        <v>708.81260999999995</v>
      </c>
    </row>
    <row r="38" spans="1:9" ht="16.5" customHeight="1" thickBot="1">
      <c r="A38" s="808">
        <v>994</v>
      </c>
      <c r="B38" s="809" t="s">
        <v>1383</v>
      </c>
      <c r="C38" s="915" t="s">
        <v>397</v>
      </c>
      <c r="D38" s="814">
        <v>472.2</v>
      </c>
      <c r="E38" s="813">
        <v>196.86348999999998</v>
      </c>
      <c r="F38" s="814">
        <v>71.083100000000002</v>
      </c>
      <c r="G38" s="916">
        <v>269.29259000000002</v>
      </c>
      <c r="H38" s="814">
        <v>161.29400000000001</v>
      </c>
      <c r="I38" s="916">
        <v>2668.0797900000002</v>
      </c>
    </row>
    <row r="39" spans="1:9" ht="16.5" customHeight="1" thickBot="1">
      <c r="A39" s="808">
        <v>1040</v>
      </c>
      <c r="B39" s="809" t="s">
        <v>1384</v>
      </c>
      <c r="C39" s="915" t="s">
        <v>397</v>
      </c>
      <c r="D39" s="814">
        <v>154.30000000000001</v>
      </c>
      <c r="E39" s="813">
        <v>75.457850000000008</v>
      </c>
      <c r="F39" s="814">
        <v>25.21237</v>
      </c>
      <c r="G39" s="916">
        <v>-3.65381</v>
      </c>
      <c r="H39" s="814">
        <v>0</v>
      </c>
      <c r="I39" s="916">
        <v>705.12532999999996</v>
      </c>
    </row>
    <row r="40" spans="1:9" ht="16.5" customHeight="1" thickBot="1">
      <c r="A40" s="808">
        <v>1060</v>
      </c>
      <c r="B40" s="809" t="s">
        <v>1385</v>
      </c>
      <c r="C40" s="915" t="s">
        <v>397</v>
      </c>
      <c r="D40" s="814">
        <v>3550.6</v>
      </c>
      <c r="E40" s="813">
        <v>1907.6996999999999</v>
      </c>
      <c r="F40" s="814">
        <v>197.72515000000001</v>
      </c>
      <c r="G40" s="916">
        <v>1612.7768100000001</v>
      </c>
      <c r="H40" s="814">
        <v>469.024</v>
      </c>
      <c r="I40" s="916">
        <v>18044.326239999999</v>
      </c>
    </row>
    <row r="41" spans="1:9" ht="16.5" customHeight="1" thickBot="1">
      <c r="A41" s="808">
        <v>1113</v>
      </c>
      <c r="B41" s="809" t="s">
        <v>1386</v>
      </c>
      <c r="C41" s="915" t="s">
        <v>397</v>
      </c>
      <c r="D41" s="814">
        <v>0</v>
      </c>
      <c r="E41" s="813">
        <v>0</v>
      </c>
      <c r="F41" s="814">
        <v>0</v>
      </c>
      <c r="G41" s="916">
        <v>0</v>
      </c>
      <c r="H41" s="814">
        <v>0</v>
      </c>
      <c r="I41" s="916">
        <v>0.22695000000000001</v>
      </c>
    </row>
    <row r="42" spans="1:9" ht="16.5" customHeight="1" thickBot="1">
      <c r="A42" s="808">
        <v>1147</v>
      </c>
      <c r="B42" s="809" t="s">
        <v>1387</v>
      </c>
      <c r="C42" s="915" t="s">
        <v>397</v>
      </c>
      <c r="D42" s="814">
        <v>5.6</v>
      </c>
      <c r="E42" s="813">
        <v>5.8000000000000003E-2</v>
      </c>
      <c r="F42" s="814">
        <v>1</v>
      </c>
      <c r="G42" s="916">
        <v>19.64725</v>
      </c>
      <c r="H42" s="814">
        <v>31</v>
      </c>
      <c r="I42" s="916">
        <v>217.21475000000001</v>
      </c>
    </row>
    <row r="43" spans="1:9" ht="16.5" customHeight="1" thickBot="1">
      <c r="A43" s="808">
        <v>1179</v>
      </c>
      <c r="B43" s="809" t="s">
        <v>1388</v>
      </c>
      <c r="C43" s="915" t="s">
        <v>1389</v>
      </c>
      <c r="D43" s="814">
        <v>1287.5999999999999</v>
      </c>
      <c r="E43" s="813">
        <v>1393.34077</v>
      </c>
      <c r="F43" s="814">
        <v>117.18485</v>
      </c>
      <c r="G43" s="916">
        <v>-40.966700000000003</v>
      </c>
      <c r="H43" s="814">
        <v>70</v>
      </c>
      <c r="I43" s="916">
        <v>2187.4591800000003</v>
      </c>
    </row>
    <row r="44" spans="1:9" ht="16.5" customHeight="1" thickBot="1">
      <c r="A44" s="808">
        <v>1318</v>
      </c>
      <c r="B44" s="809" t="s">
        <v>1390</v>
      </c>
      <c r="C44" s="915" t="s">
        <v>397</v>
      </c>
      <c r="D44" s="814">
        <v>41.3</v>
      </c>
      <c r="E44" s="813">
        <v>0</v>
      </c>
      <c r="F44" s="814">
        <v>6.5608600000000008</v>
      </c>
      <c r="G44" s="916">
        <v>28.010300000000001</v>
      </c>
      <c r="H44" s="814">
        <v>41</v>
      </c>
      <c r="I44" s="916">
        <v>361.70254999999997</v>
      </c>
    </row>
    <row r="45" spans="1:9" ht="16.5" customHeight="1" thickBot="1">
      <c r="A45" s="808">
        <v>1322</v>
      </c>
      <c r="B45" s="809" t="s">
        <v>1391</v>
      </c>
      <c r="C45" s="915" t="s">
        <v>397</v>
      </c>
      <c r="D45" s="814">
        <v>74.8</v>
      </c>
      <c r="E45" s="813">
        <v>54.103000000000002</v>
      </c>
      <c r="F45" s="814">
        <v>8.2075899999999997</v>
      </c>
      <c r="G45" s="916">
        <v>10.960800000000001</v>
      </c>
      <c r="H45" s="814">
        <v>114.55</v>
      </c>
      <c r="I45" s="916">
        <v>247.32151000000002</v>
      </c>
    </row>
    <row r="46" spans="1:9" ht="16.5" customHeight="1" thickBot="1">
      <c r="A46" s="808">
        <v>1328</v>
      </c>
      <c r="B46" s="809" t="s">
        <v>1392</v>
      </c>
      <c r="C46" s="915" t="s">
        <v>397</v>
      </c>
      <c r="D46" s="814">
        <v>39.9</v>
      </c>
      <c r="E46" s="813">
        <v>17.669499999999999</v>
      </c>
      <c r="F46" s="814">
        <v>12.21167</v>
      </c>
      <c r="G46" s="916">
        <v>11.13335</v>
      </c>
      <c r="H46" s="814">
        <v>40</v>
      </c>
      <c r="I46" s="916">
        <v>689.42257999999993</v>
      </c>
    </row>
    <row r="47" spans="1:9" ht="16.5" customHeight="1" thickBot="1">
      <c r="A47" s="808">
        <v>1331</v>
      </c>
      <c r="B47" s="809" t="s">
        <v>1393</v>
      </c>
      <c r="C47" s="915" t="s">
        <v>397</v>
      </c>
      <c r="D47" s="814">
        <v>1.3</v>
      </c>
      <c r="E47" s="813">
        <v>0</v>
      </c>
      <c r="F47" s="814">
        <v>4.9549500000000002</v>
      </c>
      <c r="G47" s="916">
        <v>-3.4342299999999999</v>
      </c>
      <c r="H47" s="814">
        <v>2.8</v>
      </c>
      <c r="I47" s="916">
        <v>667.30919000000006</v>
      </c>
    </row>
    <row r="48" spans="1:9" ht="16.5" customHeight="1" thickBot="1">
      <c r="A48" s="808">
        <v>1362</v>
      </c>
      <c r="B48" s="809" t="s">
        <v>1394</v>
      </c>
      <c r="C48" s="915" t="s">
        <v>397</v>
      </c>
      <c r="D48" s="814">
        <v>18</v>
      </c>
      <c r="E48" s="813" t="s">
        <v>397</v>
      </c>
      <c r="F48" s="814">
        <v>0.60799999999999998</v>
      </c>
      <c r="G48" s="916">
        <v>1.1886000000000001</v>
      </c>
      <c r="H48" s="814">
        <v>1.5</v>
      </c>
      <c r="I48" s="916">
        <v>10.3765</v>
      </c>
    </row>
    <row r="49" spans="1:9" ht="16.5" customHeight="1" thickBot="1">
      <c r="A49" s="808">
        <v>1384</v>
      </c>
      <c r="B49" s="809" t="s">
        <v>1395</v>
      </c>
      <c r="C49" s="915" t="s">
        <v>397</v>
      </c>
      <c r="D49" s="814">
        <v>4087.2</v>
      </c>
      <c r="E49" s="813">
        <v>3266.4122499999999</v>
      </c>
      <c r="F49" s="814">
        <v>1704.04285</v>
      </c>
      <c r="G49" s="916">
        <v>-408.29678000000001</v>
      </c>
      <c r="H49" s="814">
        <v>1113.5889999999999</v>
      </c>
      <c r="I49" s="916">
        <v>4550.9492199999995</v>
      </c>
    </row>
    <row r="50" spans="1:9" ht="16.5" customHeight="1" thickBot="1">
      <c r="A50" s="808">
        <v>1386</v>
      </c>
      <c r="B50" s="809" t="s">
        <v>1396</v>
      </c>
      <c r="C50" s="915" t="s">
        <v>397</v>
      </c>
      <c r="D50" s="814">
        <v>659</v>
      </c>
      <c r="E50" s="813">
        <v>232.29810000000001</v>
      </c>
      <c r="F50" s="814">
        <v>334.23683</v>
      </c>
      <c r="G50" s="916">
        <v>184.47743</v>
      </c>
      <c r="H50" s="814">
        <v>724.9</v>
      </c>
      <c r="I50" s="916">
        <v>517.83907999999997</v>
      </c>
    </row>
    <row r="51" spans="1:9" ht="16.5" customHeight="1" thickBot="1">
      <c r="A51" s="808">
        <v>1401</v>
      </c>
      <c r="B51" s="809" t="s">
        <v>1397</v>
      </c>
      <c r="C51" s="915" t="s">
        <v>397</v>
      </c>
      <c r="D51" s="814">
        <v>9.6999999999999993</v>
      </c>
      <c r="E51" s="813">
        <v>4.46</v>
      </c>
      <c r="F51" s="814">
        <v>5.7016800000000005</v>
      </c>
      <c r="G51" s="916">
        <v>24.38402</v>
      </c>
      <c r="H51" s="814">
        <v>10</v>
      </c>
      <c r="I51" s="916">
        <v>307.59035999999998</v>
      </c>
    </row>
    <row r="52" spans="1:9" ht="16.5" customHeight="1" thickBot="1">
      <c r="A52" s="808">
        <v>1402</v>
      </c>
      <c r="B52" s="809" t="s">
        <v>1398</v>
      </c>
      <c r="C52" s="915" t="s">
        <v>1389</v>
      </c>
      <c r="D52" s="814">
        <v>154.4</v>
      </c>
      <c r="E52" s="813">
        <v>133.7389</v>
      </c>
      <c r="F52" s="814">
        <v>4.4720000000000004</v>
      </c>
      <c r="G52" s="916">
        <v>24.274999999999999</v>
      </c>
      <c r="H52" s="814">
        <v>30.268999999999998</v>
      </c>
      <c r="I52" s="916">
        <v>1389.461</v>
      </c>
    </row>
    <row r="53" spans="1:9" ht="16.5" customHeight="1" thickBot="1">
      <c r="A53" s="808">
        <v>1423</v>
      </c>
      <c r="B53" s="809" t="s">
        <v>1399</v>
      </c>
      <c r="C53" s="915" t="s">
        <v>397</v>
      </c>
      <c r="D53" s="814">
        <v>36.799999999999997</v>
      </c>
      <c r="E53" s="813" t="s">
        <v>397</v>
      </c>
      <c r="F53" s="814">
        <v>10.001529999999999</v>
      </c>
      <c r="G53" s="916">
        <v>6.7864899999999997</v>
      </c>
      <c r="H53" s="814">
        <v>30</v>
      </c>
      <c r="I53" s="916">
        <v>468.40429000000006</v>
      </c>
    </row>
    <row r="54" spans="1:9" ht="16.5" customHeight="1" thickBot="1">
      <c r="A54" s="808">
        <v>1479</v>
      </c>
      <c r="B54" s="809" t="s">
        <v>1400</v>
      </c>
      <c r="C54" s="915" t="s">
        <v>397</v>
      </c>
      <c r="D54" s="814">
        <v>17693.400000000001</v>
      </c>
      <c r="E54" s="813">
        <v>13110.990890000001</v>
      </c>
      <c r="F54" s="814">
        <v>3393.0887200000002</v>
      </c>
      <c r="G54" s="916">
        <v>-652.89599999999996</v>
      </c>
      <c r="H54" s="814">
        <v>2247</v>
      </c>
      <c r="I54" s="916">
        <v>46649.060939999996</v>
      </c>
    </row>
    <row r="55" spans="1:9" ht="16.5" customHeight="1" thickBot="1">
      <c r="A55" s="808">
        <v>1491</v>
      </c>
      <c r="B55" s="809" t="s">
        <v>1401</v>
      </c>
      <c r="C55" s="915" t="s">
        <v>1389</v>
      </c>
      <c r="D55" s="814">
        <v>1396.1</v>
      </c>
      <c r="E55" s="813">
        <v>1169.5550000000001</v>
      </c>
      <c r="F55" s="814">
        <v>168.6782</v>
      </c>
      <c r="G55" s="916">
        <v>7.1947000000000001</v>
      </c>
      <c r="H55" s="814">
        <v>0</v>
      </c>
      <c r="I55" s="916">
        <v>2340</v>
      </c>
    </row>
    <row r="56" spans="1:9" ht="16.5" customHeight="1" thickBot="1">
      <c r="A56" s="808">
        <v>1507</v>
      </c>
      <c r="B56" s="809" t="s">
        <v>1402</v>
      </c>
      <c r="C56" s="915" t="s">
        <v>397</v>
      </c>
      <c r="D56" s="814">
        <v>502.5</v>
      </c>
      <c r="E56" s="813">
        <v>328.48860999999999</v>
      </c>
      <c r="F56" s="814">
        <v>74.715410000000006</v>
      </c>
      <c r="G56" s="916">
        <v>0</v>
      </c>
      <c r="H56" s="814">
        <v>100</v>
      </c>
      <c r="I56" s="916">
        <v>2687.2379500000002</v>
      </c>
    </row>
    <row r="57" spans="1:9" ht="16.5" customHeight="1" thickBot="1">
      <c r="A57" s="808">
        <v>1509</v>
      </c>
      <c r="B57" s="809" t="s">
        <v>1403</v>
      </c>
      <c r="C57" s="915" t="s">
        <v>397</v>
      </c>
      <c r="D57" s="814">
        <v>2512.9</v>
      </c>
      <c r="E57" s="813">
        <v>1134.8549699999999</v>
      </c>
      <c r="F57" s="814">
        <v>137.91685000000001</v>
      </c>
      <c r="G57" s="916">
        <v>-157.94963000000001</v>
      </c>
      <c r="H57" s="814">
        <v>625.21799999999996</v>
      </c>
      <c r="I57" s="916">
        <v>24073.544969999999</v>
      </c>
    </row>
    <row r="58" spans="1:9" ht="16.5" customHeight="1" thickBot="1">
      <c r="A58" s="808">
        <v>1520</v>
      </c>
      <c r="B58" s="809" t="s">
        <v>1404</v>
      </c>
      <c r="C58" s="915" t="s">
        <v>1389</v>
      </c>
      <c r="D58" s="814">
        <v>17160.7</v>
      </c>
      <c r="E58" s="813">
        <v>15090.835449999999</v>
      </c>
      <c r="F58" s="814">
        <v>2758.1280000000002</v>
      </c>
      <c r="G58" s="916">
        <v>-3396.5259999999998</v>
      </c>
      <c r="H58" s="814">
        <v>3500</v>
      </c>
      <c r="I58" s="916">
        <v>20829.758999999998</v>
      </c>
    </row>
    <row r="59" spans="1:9" ht="16.5" customHeight="1" thickBot="1">
      <c r="A59" s="808">
        <v>1522</v>
      </c>
      <c r="B59" s="809" t="s">
        <v>1405</v>
      </c>
      <c r="C59" s="915" t="s">
        <v>1389</v>
      </c>
      <c r="D59" s="814">
        <v>2474.6999999999998</v>
      </c>
      <c r="E59" s="813">
        <v>1745.8706999999999</v>
      </c>
      <c r="F59" s="814">
        <v>432.20307000000003</v>
      </c>
      <c r="G59" s="916">
        <v>-154.0677</v>
      </c>
      <c r="H59" s="814">
        <v>750</v>
      </c>
      <c r="I59" s="916">
        <v>6129.1726799999997</v>
      </c>
    </row>
    <row r="60" spans="1:9" ht="16.5" customHeight="1" thickBot="1">
      <c r="A60" s="808">
        <v>1529</v>
      </c>
      <c r="B60" s="809" t="s">
        <v>1225</v>
      </c>
      <c r="C60" s="915" t="s">
        <v>397</v>
      </c>
      <c r="D60" s="814">
        <v>307.2</v>
      </c>
      <c r="E60" s="813">
        <v>169.7285</v>
      </c>
      <c r="F60" s="814">
        <v>12.55505</v>
      </c>
      <c r="G60" s="916">
        <v>39.985700000000001</v>
      </c>
      <c r="H60" s="814">
        <v>363</v>
      </c>
      <c r="I60" s="916">
        <v>7505.3988200000003</v>
      </c>
    </row>
    <row r="61" spans="1:9" ht="16.5" customHeight="1" thickBot="1">
      <c r="A61" s="808">
        <v>1535</v>
      </c>
      <c r="B61" s="809" t="s">
        <v>1406</v>
      </c>
      <c r="C61" s="915" t="s">
        <v>397</v>
      </c>
      <c r="D61" s="814">
        <v>27649.7</v>
      </c>
      <c r="E61" s="813">
        <v>21656.84086</v>
      </c>
      <c r="F61" s="814">
        <v>4116.5001199999997</v>
      </c>
      <c r="G61" s="916">
        <v>-2922.0060600000002</v>
      </c>
      <c r="H61" s="814">
        <v>5483</v>
      </c>
      <c r="I61" s="916">
        <v>55605.700939999995</v>
      </c>
    </row>
    <row r="62" spans="1:9" ht="16.5" customHeight="1" thickBot="1">
      <c r="A62" s="808">
        <v>1540</v>
      </c>
      <c r="B62" s="809" t="s">
        <v>1407</v>
      </c>
      <c r="C62" s="915" t="s">
        <v>1389</v>
      </c>
      <c r="D62" s="814">
        <v>2219</v>
      </c>
      <c r="E62" s="813">
        <v>2258.7426</v>
      </c>
      <c r="F62" s="814">
        <v>140.70920000000001</v>
      </c>
      <c r="G62" s="916">
        <v>0</v>
      </c>
      <c r="H62" s="814">
        <v>22.19</v>
      </c>
      <c r="I62" s="916">
        <v>2510.4445499999997</v>
      </c>
    </row>
    <row r="63" spans="1:9" ht="16.5" customHeight="1" thickBot="1">
      <c r="A63" s="808">
        <v>1555</v>
      </c>
      <c r="B63" s="809" t="s">
        <v>1227</v>
      </c>
      <c r="C63" s="915" t="s">
        <v>397</v>
      </c>
      <c r="D63" s="814">
        <v>1523.2</v>
      </c>
      <c r="E63" s="813">
        <v>611.10115000000008</v>
      </c>
      <c r="F63" s="814">
        <v>38.170060000000007</v>
      </c>
      <c r="G63" s="916">
        <v>903.69124999999997</v>
      </c>
      <c r="H63" s="814">
        <v>3300</v>
      </c>
      <c r="I63" s="916">
        <v>49665.725740000002</v>
      </c>
    </row>
    <row r="64" spans="1:9" ht="16.5" customHeight="1" thickBot="1">
      <c r="A64" s="808">
        <v>1560</v>
      </c>
      <c r="B64" s="809" t="s">
        <v>1229</v>
      </c>
      <c r="C64" s="915" t="s">
        <v>397</v>
      </c>
      <c r="D64" s="814">
        <v>16770.2</v>
      </c>
      <c r="E64" s="813">
        <v>15739.2186</v>
      </c>
      <c r="F64" s="814">
        <v>2207.0100000000002</v>
      </c>
      <c r="G64" s="916">
        <v>-620.31163000000004</v>
      </c>
      <c r="H64" s="814">
        <v>21866.4002</v>
      </c>
      <c r="I64" s="916">
        <v>6489.6505700000007</v>
      </c>
    </row>
    <row r="65" spans="1:9" ht="16.5" customHeight="1" thickBot="1">
      <c r="A65" s="808">
        <v>1562</v>
      </c>
      <c r="B65" s="809" t="s">
        <v>1408</v>
      </c>
      <c r="C65" s="915" t="s">
        <v>397</v>
      </c>
      <c r="D65" s="814">
        <v>99926.399999999994</v>
      </c>
      <c r="E65" s="813">
        <v>67315.526949999999</v>
      </c>
      <c r="F65" s="814">
        <v>15482.497210000001</v>
      </c>
      <c r="G65" s="916">
        <v>3011.6647499999999</v>
      </c>
      <c r="H65" s="814">
        <v>36107.470999999998</v>
      </c>
      <c r="I65" s="916">
        <v>150102.05040000001</v>
      </c>
    </row>
    <row r="66" spans="1:9" ht="16.5" customHeight="1" thickBot="1">
      <c r="A66" s="808">
        <v>1563</v>
      </c>
      <c r="B66" s="809" t="s">
        <v>1223</v>
      </c>
      <c r="C66" s="915" t="s">
        <v>397</v>
      </c>
      <c r="D66" s="814">
        <v>759.8</v>
      </c>
      <c r="E66" s="813">
        <v>362.91340000000002</v>
      </c>
      <c r="F66" s="814">
        <v>527.67701</v>
      </c>
      <c r="G66" s="916">
        <v>0.29836000000000001</v>
      </c>
      <c r="H66" s="814">
        <v>44.94</v>
      </c>
      <c r="I66" s="916">
        <v>1384.3011799999999</v>
      </c>
    </row>
    <row r="67" spans="1:9" ht="16.5" customHeight="1" thickBot="1">
      <c r="A67" s="808">
        <v>1565</v>
      </c>
      <c r="B67" s="809" t="s">
        <v>1409</v>
      </c>
      <c r="C67" s="915" t="s">
        <v>397</v>
      </c>
      <c r="D67" s="814">
        <v>212.3</v>
      </c>
      <c r="E67" s="813">
        <v>183.97395</v>
      </c>
      <c r="F67" s="814">
        <v>32.686980000000005</v>
      </c>
      <c r="G67" s="916">
        <v>-43.292020000000001</v>
      </c>
      <c r="H67" s="814">
        <v>151.13</v>
      </c>
      <c r="I67" s="916">
        <v>165.77547000000001</v>
      </c>
    </row>
    <row r="68" spans="1:9" ht="16.5" customHeight="1" thickBot="1">
      <c r="A68" s="808">
        <v>1566</v>
      </c>
      <c r="B68" s="809" t="s">
        <v>1410</v>
      </c>
      <c r="C68" s="915" t="s">
        <v>397</v>
      </c>
      <c r="D68" s="814">
        <v>256.5</v>
      </c>
      <c r="E68" s="813">
        <v>288.73775000000001</v>
      </c>
      <c r="F68" s="814">
        <v>40.375150000000005</v>
      </c>
      <c r="G68" s="916">
        <v>-138.53824</v>
      </c>
      <c r="H68" s="814">
        <v>237.166</v>
      </c>
      <c r="I68" s="916">
        <v>313.77897000000002</v>
      </c>
    </row>
    <row r="69" spans="1:9" ht="16.5" customHeight="1" thickBot="1">
      <c r="A69" s="808">
        <v>1569</v>
      </c>
      <c r="B69" s="809" t="s">
        <v>1411</v>
      </c>
      <c r="C69" s="915" t="s">
        <v>397</v>
      </c>
      <c r="D69" s="814">
        <v>8.4</v>
      </c>
      <c r="E69" s="813">
        <v>2.3460000000000001</v>
      </c>
      <c r="F69" s="814">
        <v>0.41776999999999997</v>
      </c>
      <c r="G69" s="916">
        <v>-4.3627600000000006</v>
      </c>
      <c r="H69" s="814">
        <v>11</v>
      </c>
      <c r="I69" s="916">
        <v>0.78098999999999996</v>
      </c>
    </row>
    <row r="70" spans="1:9" ht="16.5" customHeight="1" thickBot="1">
      <c r="A70" s="808">
        <v>1574</v>
      </c>
      <c r="B70" s="809" t="s">
        <v>1412</v>
      </c>
      <c r="C70" s="915" t="s">
        <v>397</v>
      </c>
      <c r="D70" s="814">
        <v>0.7</v>
      </c>
      <c r="E70" s="813" t="s">
        <v>397</v>
      </c>
      <c r="F70" s="814">
        <v>0.10638</v>
      </c>
      <c r="G70" s="916">
        <v>0.62018000000000006</v>
      </c>
      <c r="H70" s="814">
        <v>0</v>
      </c>
      <c r="I70" s="916">
        <v>2.1383100000000002</v>
      </c>
    </row>
    <row r="71" spans="1:9" ht="16.5" customHeight="1" thickBot="1">
      <c r="A71" s="816">
        <v>1575</v>
      </c>
      <c r="B71" s="817" t="s">
        <v>1413</v>
      </c>
      <c r="C71" s="917" t="s">
        <v>397</v>
      </c>
      <c r="D71" s="819">
        <v>30.2</v>
      </c>
      <c r="E71" s="818">
        <v>12.21219</v>
      </c>
      <c r="F71" s="819">
        <v>1.8314900000000003</v>
      </c>
      <c r="G71" s="918">
        <v>2.30281</v>
      </c>
      <c r="H71" s="819">
        <v>12.862</v>
      </c>
      <c r="I71" s="918">
        <v>180.18051</v>
      </c>
    </row>
    <row r="72" spans="1:9" ht="18" customHeight="1" thickBot="1">
      <c r="A72" s="821" t="s">
        <v>397</v>
      </c>
      <c r="B72" s="822" t="s">
        <v>397</v>
      </c>
      <c r="C72" s="919" t="s">
        <v>397</v>
      </c>
      <c r="D72" s="824" t="s">
        <v>397</v>
      </c>
      <c r="E72" s="823" t="s">
        <v>397</v>
      </c>
      <c r="F72" s="824" t="s">
        <v>397</v>
      </c>
      <c r="G72" s="920" t="s">
        <v>397</v>
      </c>
      <c r="H72" s="824" t="s">
        <v>397</v>
      </c>
      <c r="I72" s="920" t="s">
        <v>397</v>
      </c>
    </row>
    <row r="73" spans="1:9" ht="16.5" customHeight="1" thickBot="1">
      <c r="A73" s="826" t="s">
        <v>397</v>
      </c>
      <c r="B73" s="827" t="s">
        <v>397</v>
      </c>
      <c r="C73" s="915" t="s">
        <v>397</v>
      </c>
      <c r="D73" s="814" t="s">
        <v>397</v>
      </c>
      <c r="E73" s="813" t="s">
        <v>397</v>
      </c>
      <c r="F73" s="814" t="s">
        <v>397</v>
      </c>
      <c r="G73" s="916" t="s">
        <v>397</v>
      </c>
      <c r="H73" s="814" t="s">
        <v>397</v>
      </c>
      <c r="I73" s="916" t="s">
        <v>397</v>
      </c>
    </row>
    <row r="74" spans="1:9" ht="14" thickBot="1">
      <c r="A74" s="808" t="s">
        <v>397</v>
      </c>
      <c r="B74" s="809" t="s">
        <v>397</v>
      </c>
      <c r="C74" s="915" t="s">
        <v>397</v>
      </c>
      <c r="D74" s="814" t="s">
        <v>397</v>
      </c>
      <c r="E74" s="813" t="s">
        <v>397</v>
      </c>
      <c r="F74" s="814" t="s">
        <v>397</v>
      </c>
      <c r="G74" s="916" t="s">
        <v>397</v>
      </c>
      <c r="H74" s="814" t="s">
        <v>397</v>
      </c>
      <c r="I74" s="916" t="s">
        <v>397</v>
      </c>
    </row>
    <row r="75" spans="1:9" ht="14" thickBot="1">
      <c r="A75" s="808" t="s">
        <v>397</v>
      </c>
      <c r="B75" s="809" t="s">
        <v>397</v>
      </c>
      <c r="C75" s="915" t="s">
        <v>397</v>
      </c>
      <c r="D75" s="814" t="s">
        <v>397</v>
      </c>
      <c r="E75" s="813" t="s">
        <v>397</v>
      </c>
      <c r="F75" s="814" t="s">
        <v>397</v>
      </c>
      <c r="G75" s="916" t="s">
        <v>397</v>
      </c>
      <c r="H75" s="814" t="s">
        <v>397</v>
      </c>
      <c r="I75" s="916" t="s">
        <v>397</v>
      </c>
    </row>
    <row r="76" spans="1:9" ht="14" thickBot="1">
      <c r="A76" s="808" t="s">
        <v>397</v>
      </c>
      <c r="B76" s="809" t="s">
        <v>397</v>
      </c>
      <c r="C76" s="915" t="s">
        <v>397</v>
      </c>
      <c r="D76" s="814" t="s">
        <v>397</v>
      </c>
      <c r="E76" s="813" t="s">
        <v>397</v>
      </c>
      <c r="F76" s="814" t="s">
        <v>397</v>
      </c>
      <c r="G76" s="916" t="s">
        <v>397</v>
      </c>
      <c r="H76" s="814" t="s">
        <v>397</v>
      </c>
      <c r="I76" s="916" t="s">
        <v>397</v>
      </c>
    </row>
    <row r="77" spans="1:9" ht="14" thickBot="1">
      <c r="A77" s="808" t="s">
        <v>397</v>
      </c>
      <c r="B77" s="809" t="s">
        <v>397</v>
      </c>
      <c r="C77" s="915" t="s">
        <v>397</v>
      </c>
      <c r="D77" s="814" t="s">
        <v>397</v>
      </c>
      <c r="E77" s="813" t="s">
        <v>397</v>
      </c>
      <c r="F77" s="814" t="s">
        <v>397</v>
      </c>
      <c r="G77" s="916" t="s">
        <v>397</v>
      </c>
      <c r="H77" s="814" t="s">
        <v>397</v>
      </c>
      <c r="I77" s="916" t="s">
        <v>397</v>
      </c>
    </row>
    <row r="78" spans="1:9" ht="14" thickBot="1">
      <c r="A78" s="808" t="s">
        <v>397</v>
      </c>
      <c r="B78" s="809" t="s">
        <v>397</v>
      </c>
      <c r="C78" s="915" t="s">
        <v>397</v>
      </c>
      <c r="D78" s="814" t="s">
        <v>397</v>
      </c>
      <c r="E78" s="813" t="s">
        <v>397</v>
      </c>
      <c r="F78" s="814" t="s">
        <v>397</v>
      </c>
      <c r="G78" s="916" t="s">
        <v>397</v>
      </c>
      <c r="H78" s="814" t="s">
        <v>397</v>
      </c>
      <c r="I78" s="916" t="s">
        <v>397</v>
      </c>
    </row>
    <row r="79" spans="1:9" ht="14" thickBot="1">
      <c r="A79" s="808" t="s">
        <v>397</v>
      </c>
      <c r="B79" s="809" t="s">
        <v>397</v>
      </c>
      <c r="C79" s="915" t="s">
        <v>397</v>
      </c>
      <c r="D79" s="814" t="s">
        <v>397</v>
      </c>
      <c r="E79" s="813" t="s">
        <v>397</v>
      </c>
      <c r="F79" s="814" t="s">
        <v>397</v>
      </c>
      <c r="G79" s="916" t="s">
        <v>397</v>
      </c>
      <c r="H79" s="814" t="s">
        <v>397</v>
      </c>
      <c r="I79" s="916" t="s">
        <v>397</v>
      </c>
    </row>
    <row r="80" spans="1:9" ht="14" thickBot="1">
      <c r="A80" s="808" t="s">
        <v>397</v>
      </c>
      <c r="B80" s="809" t="s">
        <v>397</v>
      </c>
      <c r="C80" s="915" t="s">
        <v>397</v>
      </c>
      <c r="D80" s="814" t="s">
        <v>397</v>
      </c>
      <c r="E80" s="813" t="s">
        <v>397</v>
      </c>
      <c r="F80" s="814" t="s">
        <v>397</v>
      </c>
      <c r="G80" s="916" t="s">
        <v>397</v>
      </c>
      <c r="H80" s="814" t="s">
        <v>397</v>
      </c>
      <c r="I80" s="916" t="s">
        <v>397</v>
      </c>
    </row>
    <row r="81" spans="1:9" s="138" customFormat="1" ht="18.75" customHeight="1" thickBot="1">
      <c r="A81" s="828" t="s">
        <v>230</v>
      </c>
      <c r="B81" s="829">
        <v>60</v>
      </c>
      <c r="C81" s="921">
        <v>6</v>
      </c>
      <c r="D81" s="831">
        <v>252670.2</v>
      </c>
      <c r="E81" s="830">
        <v>188250.55</v>
      </c>
      <c r="F81" s="831">
        <v>40912.037380000002</v>
      </c>
      <c r="G81" s="830">
        <v>-1043.9175299999988</v>
      </c>
      <c r="H81" s="831">
        <v>94352.72408</v>
      </c>
      <c r="I81" s="922">
        <v>575720.9741900001</v>
      </c>
    </row>
    <row r="82" spans="1:9" ht="16.5" customHeight="1" thickBot="1">
      <c r="A82" s="531" t="s">
        <v>396</v>
      </c>
      <c r="C82" s="833"/>
      <c r="D82" s="834"/>
      <c r="E82" s="834"/>
      <c r="F82" s="874"/>
      <c r="G82" s="834"/>
      <c r="H82" s="875"/>
      <c r="I82" s="876"/>
    </row>
    <row r="84" spans="1:9">
      <c r="A84" s="3" t="s">
        <v>1250</v>
      </c>
    </row>
    <row r="86" spans="1:9">
      <c r="A86" s="923" t="s">
        <v>1251</v>
      </c>
      <c r="B86" s="837"/>
    </row>
    <row r="87" spans="1:9">
      <c r="A87" s="181">
        <v>0</v>
      </c>
      <c r="B87" s="742" t="s">
        <v>1252</v>
      </c>
    </row>
    <row r="88" spans="1:9">
      <c r="A88" s="181">
        <v>1</v>
      </c>
      <c r="B88" s="742" t="s">
        <v>1253</v>
      </c>
    </row>
    <row r="89" spans="1:9">
      <c r="A89" s="181">
        <v>2</v>
      </c>
      <c r="B89" s="742" t="s">
        <v>1254</v>
      </c>
    </row>
    <row r="90" spans="1:9">
      <c r="A90" s="181">
        <v>3</v>
      </c>
      <c r="B90" s="742" t="s">
        <v>1255</v>
      </c>
    </row>
    <row r="91" spans="1:9">
      <c r="A91" s="181" t="s">
        <v>1179</v>
      </c>
      <c r="B91" s="742" t="s">
        <v>1256</v>
      </c>
    </row>
    <row r="92" spans="1:9">
      <c r="A92" s="181">
        <v>5</v>
      </c>
      <c r="B92" s="742" t="s">
        <v>1257</v>
      </c>
    </row>
    <row r="93" spans="1:9">
      <c r="A93" s="181">
        <v>6</v>
      </c>
      <c r="B93" s="742" t="s">
        <v>1258</v>
      </c>
    </row>
    <row r="94" spans="1:9">
      <c r="A94" s="181">
        <v>7</v>
      </c>
      <c r="B94" s="742" t="s">
        <v>1259</v>
      </c>
    </row>
    <row r="97" spans="1:1">
      <c r="A97" s="3" t="s">
        <v>395</v>
      </c>
    </row>
  </sheetData>
  <pageMargins left="0.39370078740157483" right="0.35433070866141736" top="0.35433070866141736" bottom="0.31496062992125984" header="0.27559055118110237" footer="0.23622047244094491"/>
  <pageSetup paperSize="9" scale="55" pageOrder="overThenDown" orientation="portrait" horizontalDpi="1200" verticalDpi="12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96E1-77C4-A044-8166-A42DD2041C58}">
  <sheetPr>
    <pageSetUpPr fitToPage="1"/>
  </sheetPr>
  <dimension ref="A1:O43"/>
  <sheetViews>
    <sheetView topLeftCell="A25" zoomScaleNormal="100" workbookViewId="0">
      <selection activeCell="A41" sqref="A41"/>
    </sheetView>
  </sheetViews>
  <sheetFormatPr baseColWidth="10" defaultColWidth="11.3984375" defaultRowHeight="13"/>
  <cols>
    <col min="1" max="1" width="7.3984375" style="3" customWidth="1"/>
    <col min="2" max="2" width="41.59765625" style="181" customWidth="1"/>
    <col min="3" max="3" width="10.59765625" style="181" customWidth="1"/>
    <col min="4" max="4" width="11.3984375" style="181" customWidth="1"/>
    <col min="5" max="5" width="10.19921875" style="8" customWidth="1"/>
    <col min="6" max="6" width="20.796875" style="8" customWidth="1"/>
    <col min="7" max="7" width="15.19921875" style="3" customWidth="1"/>
    <col min="8" max="8" width="7.59765625" style="558" customWidth="1"/>
    <col min="9" max="9" width="26.19921875" style="3" customWidth="1"/>
    <col min="10" max="16384" width="11.3984375" style="3"/>
  </cols>
  <sheetData>
    <row r="1" spans="1:9" s="2" customFormat="1" ht="14" customHeight="1">
      <c r="A1" s="841"/>
      <c r="B1" s="840"/>
      <c r="C1" s="840"/>
      <c r="D1" s="840"/>
      <c r="E1" s="841"/>
      <c r="F1" s="274"/>
      <c r="G1" s="841"/>
      <c r="H1" s="883"/>
      <c r="I1" s="841"/>
    </row>
    <row r="2" spans="1:9" s="2" customFormat="1" ht="19.5" customHeight="1">
      <c r="A2" s="164" t="s">
        <v>1206</v>
      </c>
      <c r="C2" s="840"/>
      <c r="D2" s="840"/>
      <c r="E2" s="274"/>
      <c r="F2" s="274"/>
      <c r="G2" s="884"/>
      <c r="H2" s="883"/>
      <c r="I2" s="164">
        <v>2012</v>
      </c>
    </row>
    <row r="3" spans="1:9" s="2" customFormat="1" ht="11.25" customHeight="1">
      <c r="A3" s="841"/>
      <c r="B3" s="841"/>
      <c r="C3" s="840"/>
      <c r="D3" s="840"/>
      <c r="E3" s="274"/>
      <c r="F3" s="274"/>
      <c r="G3" s="841"/>
      <c r="H3" s="883"/>
      <c r="I3" s="841"/>
    </row>
    <row r="4" spans="1:9" ht="18" customHeight="1">
      <c r="A4" s="845" t="s">
        <v>1156</v>
      </c>
      <c r="B4" s="845" t="s">
        <v>1207</v>
      </c>
      <c r="C4" s="846" t="s">
        <v>1208</v>
      </c>
      <c r="D4" s="847" t="s">
        <v>1209</v>
      </c>
      <c r="E4" s="849" t="s">
        <v>1210</v>
      </c>
      <c r="F4" s="848" t="s">
        <v>1210</v>
      </c>
      <c r="G4" s="846" t="s">
        <v>1211</v>
      </c>
      <c r="H4" s="885" t="s">
        <v>1212</v>
      </c>
      <c r="I4" s="847"/>
    </row>
    <row r="5" spans="1:9" ht="15" customHeight="1">
      <c r="A5" s="792" t="s">
        <v>1160</v>
      </c>
      <c r="B5" s="792"/>
      <c r="C5" s="793"/>
      <c r="D5" s="794" t="s">
        <v>1213</v>
      </c>
      <c r="E5" s="852" t="s">
        <v>1214</v>
      </c>
      <c r="F5" s="851" t="s">
        <v>1215</v>
      </c>
      <c r="G5" s="793" t="s">
        <v>1216</v>
      </c>
      <c r="H5" s="886" t="s">
        <v>1217</v>
      </c>
      <c r="I5" s="794"/>
    </row>
    <row r="6" spans="1:9" ht="15" customHeight="1">
      <c r="A6" s="792"/>
      <c r="B6" s="792"/>
      <c r="C6" s="793"/>
      <c r="D6" s="794" t="s">
        <v>1218</v>
      </c>
      <c r="E6" s="852"/>
      <c r="F6" s="851"/>
      <c r="G6" s="793" t="s">
        <v>1219</v>
      </c>
      <c r="H6" s="887"/>
      <c r="I6" s="794"/>
    </row>
    <row r="7" spans="1:9" ht="18" customHeight="1">
      <c r="A7" s="888"/>
      <c r="B7" s="797"/>
      <c r="C7" s="798"/>
      <c r="D7" s="799"/>
      <c r="E7" s="889"/>
      <c r="F7" s="890"/>
      <c r="G7" s="798"/>
      <c r="H7" s="891"/>
      <c r="I7" s="799"/>
    </row>
    <row r="8" spans="1:9" ht="44.25" customHeight="1" thickBot="1">
      <c r="A8" s="801">
        <v>790</v>
      </c>
      <c r="B8" s="802" t="s">
        <v>1220</v>
      </c>
      <c r="C8" s="892" t="s">
        <v>1221</v>
      </c>
      <c r="D8" s="893" t="s">
        <v>1222</v>
      </c>
      <c r="E8" s="894"/>
      <c r="F8" s="895"/>
      <c r="G8" s="894"/>
      <c r="H8" s="801">
        <v>1563</v>
      </c>
      <c r="I8" s="896" t="s">
        <v>1223</v>
      </c>
    </row>
    <row r="9" spans="1:9" ht="44.25" customHeight="1" thickBot="1">
      <c r="A9" s="801">
        <v>1159</v>
      </c>
      <c r="B9" s="802" t="s">
        <v>1224</v>
      </c>
      <c r="C9" s="892" t="s">
        <v>1221</v>
      </c>
      <c r="D9" s="893" t="s">
        <v>1222</v>
      </c>
      <c r="E9" s="894"/>
      <c r="F9" s="893"/>
      <c r="G9" s="894"/>
      <c r="H9" s="897">
        <v>1529</v>
      </c>
      <c r="I9" s="895" t="s">
        <v>1225</v>
      </c>
    </row>
    <row r="10" spans="1:9" ht="44.25" customHeight="1" thickBot="1">
      <c r="A10" s="801">
        <v>1555</v>
      </c>
      <c r="B10" s="802" t="s">
        <v>1226</v>
      </c>
      <c r="C10" s="892" t="s">
        <v>1221</v>
      </c>
      <c r="D10" s="893"/>
      <c r="E10" s="894"/>
      <c r="F10" s="898" t="s">
        <v>1227</v>
      </c>
      <c r="G10" s="894"/>
      <c r="H10" s="897"/>
      <c r="I10" s="899"/>
    </row>
    <row r="11" spans="1:9" ht="44.25" customHeight="1" thickBot="1">
      <c r="A11" s="801">
        <v>1560</v>
      </c>
      <c r="B11" s="802" t="s">
        <v>1228</v>
      </c>
      <c r="C11" s="892" t="s">
        <v>1221</v>
      </c>
      <c r="D11" s="893"/>
      <c r="E11" s="894"/>
      <c r="F11" s="896" t="s">
        <v>1229</v>
      </c>
      <c r="G11" s="894"/>
      <c r="H11" s="897"/>
      <c r="I11" s="895"/>
    </row>
    <row r="12" spans="1:9" ht="44.25" customHeight="1" thickBot="1">
      <c r="A12" s="801"/>
      <c r="B12" s="896"/>
      <c r="C12" s="892"/>
      <c r="D12" s="893"/>
      <c r="E12" s="894"/>
      <c r="F12" s="893"/>
      <c r="G12" s="894"/>
      <c r="H12" s="897"/>
      <c r="I12" s="896"/>
    </row>
    <row r="13" spans="1:9" ht="44.25" customHeight="1" thickBot="1">
      <c r="A13" s="801"/>
      <c r="B13" s="802"/>
      <c r="C13" s="892"/>
      <c r="D13" s="893"/>
      <c r="E13" s="894"/>
      <c r="F13" s="896"/>
      <c r="G13" s="894"/>
      <c r="H13" s="801"/>
      <c r="I13" s="896"/>
    </row>
    <row r="14" spans="1:9" ht="44.25" customHeight="1" thickBot="1">
      <c r="A14" s="801"/>
      <c r="B14" s="802"/>
      <c r="C14" s="892"/>
      <c r="D14" s="893"/>
      <c r="E14" s="894"/>
      <c r="F14" s="898"/>
      <c r="G14" s="894"/>
      <c r="H14" s="897"/>
      <c r="I14" s="899"/>
    </row>
    <row r="15" spans="1:9" ht="44.25" customHeight="1" thickBot="1">
      <c r="A15" s="801"/>
      <c r="B15" s="802"/>
      <c r="C15" s="892"/>
      <c r="D15" s="893"/>
      <c r="E15" s="894"/>
      <c r="F15" s="896"/>
      <c r="G15" s="894"/>
      <c r="H15" s="897"/>
      <c r="I15" s="895"/>
    </row>
    <row r="16" spans="1:9" ht="44.25" customHeight="1" thickBot="1">
      <c r="A16" s="801"/>
      <c r="B16" s="802"/>
      <c r="C16" s="892"/>
      <c r="D16" s="893"/>
      <c r="E16" s="894"/>
      <c r="F16" s="893"/>
      <c r="G16" s="894"/>
      <c r="H16" s="897"/>
      <c r="I16" s="895"/>
    </row>
    <row r="17" spans="1:15" ht="44.25" customHeight="1" thickBot="1">
      <c r="A17" s="801"/>
      <c r="B17" s="802"/>
      <c r="C17" s="892"/>
      <c r="D17" s="893"/>
      <c r="E17" s="894"/>
      <c r="F17" s="893"/>
      <c r="G17" s="894"/>
      <c r="H17" s="897"/>
      <c r="I17" s="896"/>
    </row>
    <row r="18" spans="1:15" ht="44.25" customHeight="1" thickBot="1">
      <c r="A18" s="801"/>
      <c r="B18" s="896"/>
      <c r="C18" s="892"/>
      <c r="D18" s="893"/>
      <c r="E18" s="894"/>
      <c r="F18" s="895"/>
      <c r="G18" s="894"/>
      <c r="H18" s="897"/>
      <c r="I18" s="895"/>
    </row>
    <row r="19" spans="1:15" ht="44.25" customHeight="1" thickBot="1">
      <c r="A19" s="801"/>
      <c r="B19" s="802"/>
      <c r="C19" s="892"/>
      <c r="D19" s="893"/>
      <c r="E19" s="894"/>
      <c r="F19" s="895"/>
      <c r="G19" s="894"/>
      <c r="H19" s="801"/>
      <c r="I19" s="896"/>
    </row>
    <row r="20" spans="1:15" ht="44.25" customHeight="1" thickBot="1">
      <c r="A20" s="801"/>
      <c r="B20" s="802"/>
      <c r="C20" s="892"/>
      <c r="D20" s="893"/>
      <c r="E20" s="894"/>
      <c r="F20" s="895"/>
      <c r="G20" s="894"/>
      <c r="H20" s="801"/>
      <c r="I20" s="896"/>
    </row>
    <row r="21" spans="1:15" s="901" customFormat="1" ht="44.25" customHeight="1" thickBot="1">
      <c r="A21" s="801"/>
      <c r="B21" s="802"/>
      <c r="C21" s="892"/>
      <c r="D21" s="893"/>
      <c r="E21" s="894"/>
      <c r="F21" s="898"/>
      <c r="G21" s="900"/>
      <c r="H21" s="897"/>
      <c r="I21" s="899"/>
    </row>
    <row r="22" spans="1:15" ht="44.25" customHeight="1" thickBot="1">
      <c r="A22" s="801"/>
      <c r="B22" s="802"/>
      <c r="C22" s="892"/>
      <c r="D22" s="893"/>
      <c r="E22" s="894"/>
      <c r="F22" s="896"/>
      <c r="G22" s="894"/>
      <c r="H22" s="897"/>
      <c r="I22" s="895"/>
    </row>
    <row r="23" spans="1:15" ht="44.25" customHeight="1" thickBot="1">
      <c r="A23" s="801"/>
      <c r="B23" s="802"/>
      <c r="C23" s="892"/>
      <c r="D23" s="893"/>
      <c r="E23" s="894"/>
      <c r="F23" s="893"/>
      <c r="G23" s="894"/>
      <c r="H23" s="897"/>
      <c r="I23" s="895"/>
      <c r="J23"/>
      <c r="K23"/>
      <c r="L23"/>
      <c r="M23"/>
      <c r="N23"/>
      <c r="O23"/>
    </row>
    <row r="24" spans="1:15" ht="44.25" customHeight="1" thickBot="1">
      <c r="A24" s="801"/>
      <c r="B24" s="802"/>
      <c r="C24" s="892"/>
      <c r="D24" s="893"/>
      <c r="E24" s="894"/>
      <c r="F24" s="898"/>
      <c r="G24" s="902"/>
      <c r="H24" s="897"/>
      <c r="I24" s="899"/>
      <c r="J24"/>
      <c r="K24"/>
      <c r="L24"/>
      <c r="M24"/>
      <c r="N24"/>
      <c r="O24"/>
    </row>
    <row r="25" spans="1:15" ht="27.75" customHeight="1" thickBot="1">
      <c r="A25" s="801"/>
      <c r="B25" s="802"/>
      <c r="C25" s="892"/>
      <c r="D25" s="893"/>
      <c r="E25" s="894"/>
      <c r="F25" s="893"/>
      <c r="G25" s="894"/>
      <c r="H25" s="897"/>
      <c r="I25" s="899"/>
    </row>
    <row r="26" spans="1:15" ht="27.75" customHeight="1" thickBot="1">
      <c r="A26" s="801"/>
      <c r="B26" s="802"/>
      <c r="C26" s="892"/>
      <c r="D26" s="893"/>
      <c r="E26" s="894"/>
      <c r="F26" s="899"/>
      <c r="G26" s="894"/>
      <c r="H26" s="897"/>
      <c r="I26" s="899"/>
    </row>
    <row r="27" spans="1:15" ht="27.75" customHeight="1" thickBot="1">
      <c r="A27" s="801"/>
      <c r="B27" s="896"/>
      <c r="C27" s="892"/>
      <c r="D27" s="893"/>
      <c r="E27" s="894"/>
      <c r="F27" s="898"/>
      <c r="G27" s="900"/>
      <c r="H27" s="897"/>
      <c r="I27" s="899"/>
    </row>
    <row r="28" spans="1:15" s="901" customFormat="1" ht="44.25" customHeight="1" thickBot="1">
      <c r="A28" s="801"/>
      <c r="B28" s="896"/>
      <c r="C28" s="892"/>
      <c r="D28" s="893"/>
      <c r="E28" s="894"/>
      <c r="F28" s="898"/>
      <c r="G28" s="900"/>
      <c r="H28" s="897"/>
      <c r="I28" s="899"/>
    </row>
    <row r="29" spans="1:15" ht="44.25" customHeight="1" thickBot="1">
      <c r="A29" s="801"/>
      <c r="B29" s="802"/>
      <c r="C29" s="892"/>
      <c r="D29" s="893"/>
      <c r="E29" s="894"/>
      <c r="F29" s="895"/>
      <c r="G29" s="894"/>
      <c r="H29" s="801"/>
      <c r="I29" s="896"/>
    </row>
    <row r="30" spans="1:15" ht="44.25" customHeight="1" thickBot="1">
      <c r="A30" s="801"/>
      <c r="B30" s="802"/>
      <c r="C30" s="892"/>
      <c r="D30" s="893"/>
      <c r="E30" s="894"/>
      <c r="F30" s="893"/>
      <c r="G30" s="894"/>
      <c r="H30" s="897"/>
      <c r="I30" s="899"/>
      <c r="J30"/>
      <c r="K30"/>
      <c r="L30"/>
      <c r="M30"/>
      <c r="N30"/>
      <c r="O30"/>
    </row>
    <row r="31" spans="1:15" ht="44.25" customHeight="1" thickBot="1">
      <c r="A31" s="801"/>
      <c r="B31" s="802"/>
      <c r="C31" s="892"/>
      <c r="D31" s="893"/>
      <c r="E31" s="894"/>
      <c r="F31" s="899"/>
      <c r="G31" s="894"/>
      <c r="H31" s="897"/>
      <c r="I31" s="899"/>
      <c r="J31"/>
      <c r="K31"/>
      <c r="L31"/>
      <c r="M31"/>
      <c r="N31"/>
      <c r="O31"/>
    </row>
    <row r="32" spans="1:15" ht="27.75" customHeight="1" thickBot="1">
      <c r="A32" s="801"/>
      <c r="B32" s="802"/>
      <c r="C32" s="892"/>
      <c r="D32" s="893"/>
      <c r="E32" s="894"/>
      <c r="F32" s="896"/>
      <c r="G32" s="894"/>
      <c r="H32" s="897"/>
      <c r="I32" s="899"/>
    </row>
    <row r="33" spans="1:9" ht="27.75" customHeight="1" thickBot="1">
      <c r="A33" s="801"/>
      <c r="B33" s="802"/>
      <c r="C33" s="903"/>
      <c r="D33" s="893"/>
      <c r="E33" s="894"/>
      <c r="F33" s="893"/>
      <c r="G33" s="894"/>
      <c r="H33" s="897"/>
      <c r="I33" s="893"/>
    </row>
    <row r="34" spans="1:9" s="901" customFormat="1" ht="27.75" customHeight="1" thickBot="1">
      <c r="A34" s="904"/>
      <c r="B34" s="905" t="s">
        <v>230</v>
      </c>
      <c r="C34" s="906"/>
      <c r="D34" s="904">
        <v>2</v>
      </c>
      <c r="E34" s="907">
        <v>0</v>
      </c>
      <c r="F34" s="904">
        <v>2</v>
      </c>
      <c r="G34" s="906">
        <v>0</v>
      </c>
      <c r="H34" s="904"/>
      <c r="I34" s="904">
        <v>2</v>
      </c>
    </row>
    <row r="35" spans="1:9">
      <c r="B35" s="501"/>
    </row>
    <row r="36" spans="1:9">
      <c r="A36" s="873" t="s">
        <v>1356</v>
      </c>
      <c r="G36" s="531"/>
      <c r="I36" s="531"/>
    </row>
    <row r="37" spans="1:9">
      <c r="A37" s="873"/>
      <c r="G37" s="531"/>
      <c r="I37" s="531"/>
    </row>
    <row r="38" spans="1:9">
      <c r="A38" s="908" t="s">
        <v>1230</v>
      </c>
      <c r="G38" s="531"/>
      <c r="I38" s="531"/>
    </row>
    <row r="39" spans="1:9">
      <c r="A39" s="909"/>
    </row>
    <row r="40" spans="1:9">
      <c r="A40" s="742" t="s">
        <v>1231</v>
      </c>
    </row>
    <row r="41" spans="1:9">
      <c r="A41" s="742"/>
    </row>
    <row r="42" spans="1:9">
      <c r="A42" s="742"/>
    </row>
    <row r="43" spans="1:9">
      <c r="A43" s="742" t="s">
        <v>395</v>
      </c>
    </row>
  </sheetData>
  <pageMargins left="0.46" right="0.45" top="0.55000000000000004" bottom="0.44" header="0.31496062992125984" footer="0.27559055118110237"/>
  <pageSetup paperSize="9" scale="57" pageOrder="overThenDown" orientation="portrait" horizontalDpi="1200" verticalDpi="12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EBAF-112C-1042-B05A-BB88F128D3DF}">
  <dimension ref="A1:AE85"/>
  <sheetViews>
    <sheetView topLeftCell="A50" zoomScaleNormal="100" workbookViewId="0">
      <selection activeCell="C74" sqref="C74"/>
    </sheetView>
  </sheetViews>
  <sheetFormatPr baseColWidth="10" defaultColWidth="11.3984375" defaultRowHeight="13"/>
  <cols>
    <col min="1" max="1" width="7.59765625" style="181" customWidth="1"/>
    <col min="2" max="2" width="50.19921875" style="181" customWidth="1"/>
    <col min="3" max="4" width="15.19921875" style="181" customWidth="1"/>
    <col min="5" max="7" width="15.19921875" style="3" customWidth="1"/>
    <col min="8" max="9" width="15.19921875" style="8" customWidth="1"/>
    <col min="10" max="16" width="15.19921875" style="3" customWidth="1"/>
    <col min="17" max="17" width="1.19921875" style="3" customWidth="1"/>
    <col min="18" max="18" width="15.19921875" style="3" customWidth="1"/>
    <col min="19" max="19" width="15.19921875" style="882" customWidth="1"/>
    <col min="20" max="31" width="15.19921875" style="3" customWidth="1"/>
    <col min="32" max="16384" width="11.3984375" style="3"/>
  </cols>
  <sheetData>
    <row r="1" spans="1:31" s="2" customFormat="1" ht="14" customHeight="1">
      <c r="A1" s="161"/>
      <c r="B1" s="161"/>
      <c r="C1" s="161"/>
      <c r="D1" s="161"/>
      <c r="H1" s="502"/>
      <c r="I1" s="502"/>
      <c r="S1" s="839"/>
    </row>
    <row r="2" spans="1:31" s="2" customFormat="1" ht="40.25" customHeight="1">
      <c r="A2" s="2067" t="s">
        <v>1173</v>
      </c>
      <c r="B2" s="2062"/>
      <c r="C2" s="840"/>
      <c r="D2" s="840"/>
      <c r="E2" s="841"/>
      <c r="F2" s="841"/>
      <c r="G2" s="841"/>
      <c r="H2" s="274"/>
      <c r="I2" s="502"/>
      <c r="J2" s="17"/>
      <c r="P2" s="842">
        <v>2012</v>
      </c>
      <c r="Q2" s="842"/>
      <c r="V2" s="843"/>
      <c r="AE2" s="843">
        <v>2012</v>
      </c>
    </row>
    <row r="3" spans="1:31" s="2" customFormat="1" ht="12" customHeight="1">
      <c r="A3" s="161"/>
      <c r="B3" s="161"/>
      <c r="C3" s="161"/>
      <c r="D3" s="161"/>
      <c r="H3" s="502"/>
      <c r="I3" s="502"/>
      <c r="S3" s="844"/>
      <c r="U3" s="343"/>
      <c r="W3" s="343"/>
      <c r="X3" s="343"/>
      <c r="Y3" s="343"/>
      <c r="Z3" s="343"/>
      <c r="AA3" s="343"/>
      <c r="AB3" s="343"/>
      <c r="AC3" s="343"/>
      <c r="AD3" s="343"/>
      <c r="AE3" s="343"/>
    </row>
    <row r="4" spans="1:31" ht="18" customHeight="1">
      <c r="A4" s="845" t="s">
        <v>1156</v>
      </c>
      <c r="B4" s="845" t="s">
        <v>1174</v>
      </c>
      <c r="C4" s="846"/>
      <c r="D4" s="847"/>
      <c r="E4" s="846"/>
      <c r="F4" s="847"/>
      <c r="G4" s="846"/>
      <c r="H4" s="848"/>
      <c r="I4" s="849"/>
      <c r="J4" s="847"/>
      <c r="K4" s="846"/>
      <c r="L4" s="847"/>
      <c r="M4" s="846"/>
      <c r="N4" s="848"/>
      <c r="O4" s="849"/>
      <c r="P4" s="848"/>
      <c r="Q4" s="847"/>
      <c r="R4" s="849"/>
      <c r="S4" s="794"/>
      <c r="T4" s="849"/>
      <c r="U4" s="16"/>
      <c r="V4" s="849"/>
      <c r="W4" s="16"/>
      <c r="X4" s="850"/>
      <c r="Y4" s="16"/>
      <c r="Z4" s="850"/>
      <c r="AA4" s="16"/>
      <c r="AB4" s="850"/>
      <c r="AC4" s="16"/>
      <c r="AD4" s="850"/>
      <c r="AE4" s="16"/>
    </row>
    <row r="5" spans="1:31" ht="15" customHeight="1">
      <c r="A5" s="792" t="s">
        <v>1160</v>
      </c>
      <c r="B5" s="792"/>
      <c r="C5" s="793" t="s">
        <v>462</v>
      </c>
      <c r="D5" s="794" t="s">
        <v>434</v>
      </c>
      <c r="E5" s="793" t="s">
        <v>435</v>
      </c>
      <c r="F5" s="794" t="s">
        <v>436</v>
      </c>
      <c r="G5" s="793" t="s">
        <v>437</v>
      </c>
      <c r="H5" s="851" t="s">
        <v>438</v>
      </c>
      <c r="I5" s="852" t="s">
        <v>439</v>
      </c>
      <c r="J5" s="794" t="s">
        <v>440</v>
      </c>
      <c r="K5" s="793" t="s">
        <v>441</v>
      </c>
      <c r="L5" s="794" t="s">
        <v>442</v>
      </c>
      <c r="M5" s="793" t="s">
        <v>443</v>
      </c>
      <c r="N5" s="851" t="s">
        <v>444</v>
      </c>
      <c r="O5" s="852" t="s">
        <v>445</v>
      </c>
      <c r="P5" s="851" t="s">
        <v>446</v>
      </c>
      <c r="Q5" s="794"/>
      <c r="R5" s="852" t="s">
        <v>447</v>
      </c>
      <c r="S5" s="794" t="s">
        <v>448</v>
      </c>
      <c r="T5" s="852" t="s">
        <v>449</v>
      </c>
      <c r="U5" s="794" t="s">
        <v>450</v>
      </c>
      <c r="V5" s="852" t="s">
        <v>451</v>
      </c>
      <c r="W5" s="853" t="s">
        <v>452</v>
      </c>
      <c r="X5" s="854" t="s">
        <v>453</v>
      </c>
      <c r="Y5" s="853" t="s">
        <v>454</v>
      </c>
      <c r="Z5" s="854" t="s">
        <v>455</v>
      </c>
      <c r="AA5" s="853" t="s">
        <v>456</v>
      </c>
      <c r="AB5" s="854" t="s">
        <v>457</v>
      </c>
      <c r="AC5" s="853" t="s">
        <v>458</v>
      </c>
      <c r="AD5" s="854" t="s">
        <v>459</v>
      </c>
      <c r="AE5" s="853" t="s">
        <v>1175</v>
      </c>
    </row>
    <row r="6" spans="1:31" ht="15" customHeight="1">
      <c r="A6" s="792"/>
      <c r="B6" s="792"/>
      <c r="C6" s="793"/>
      <c r="D6" s="794"/>
      <c r="E6" s="793"/>
      <c r="F6" s="794"/>
      <c r="G6" s="793"/>
      <c r="H6" s="851"/>
      <c r="I6" s="852"/>
      <c r="J6" s="794"/>
      <c r="K6" s="793"/>
      <c r="L6" s="794"/>
      <c r="M6" s="793"/>
      <c r="N6" s="851"/>
      <c r="O6" s="852"/>
      <c r="P6" s="851"/>
      <c r="Q6" s="794"/>
      <c r="R6" s="852"/>
      <c r="S6" s="794"/>
      <c r="T6" s="852"/>
      <c r="U6" s="794"/>
      <c r="V6" s="852"/>
      <c r="W6" s="853"/>
      <c r="X6" s="854"/>
      <c r="Y6" s="853"/>
      <c r="Z6" s="854"/>
      <c r="AA6" s="853"/>
      <c r="AB6" s="854"/>
      <c r="AC6" s="853"/>
      <c r="AD6" s="854"/>
      <c r="AE6" s="853"/>
    </row>
    <row r="7" spans="1:31" ht="15" customHeight="1">
      <c r="A7" s="792"/>
      <c r="B7" s="792"/>
      <c r="C7" s="793"/>
      <c r="D7" s="794" t="s">
        <v>1176</v>
      </c>
      <c r="E7" s="793" t="s">
        <v>1177</v>
      </c>
      <c r="F7" s="794" t="s">
        <v>1178</v>
      </c>
      <c r="G7" s="793" t="s">
        <v>1179</v>
      </c>
      <c r="H7" s="851" t="s">
        <v>893</v>
      </c>
      <c r="I7" s="852" t="s">
        <v>1180</v>
      </c>
      <c r="J7" s="794" t="s">
        <v>1181</v>
      </c>
      <c r="K7" s="793" t="s">
        <v>1182</v>
      </c>
      <c r="L7" s="794" t="s">
        <v>1183</v>
      </c>
      <c r="M7" s="793" t="s">
        <v>1184</v>
      </c>
      <c r="N7" s="851" t="s">
        <v>1185</v>
      </c>
      <c r="O7" s="852" t="s">
        <v>1186</v>
      </c>
      <c r="P7" s="851" t="s">
        <v>1187</v>
      </c>
      <c r="Q7" s="794"/>
      <c r="R7" s="852" t="s">
        <v>1188</v>
      </c>
      <c r="S7" s="794" t="s">
        <v>1189</v>
      </c>
      <c r="T7" s="852" t="s">
        <v>1190</v>
      </c>
      <c r="U7" s="794" t="s">
        <v>1191</v>
      </c>
      <c r="V7" s="852" t="s">
        <v>1192</v>
      </c>
      <c r="W7" s="853" t="s">
        <v>1193</v>
      </c>
      <c r="X7" s="854" t="s">
        <v>1194</v>
      </c>
      <c r="Y7" s="853" t="s">
        <v>1195</v>
      </c>
      <c r="Z7" s="854" t="s">
        <v>1196</v>
      </c>
      <c r="AA7" s="853" t="s">
        <v>1197</v>
      </c>
      <c r="AB7" s="854" t="s">
        <v>1198</v>
      </c>
      <c r="AC7" s="853" t="s">
        <v>1199</v>
      </c>
      <c r="AD7" s="854" t="s">
        <v>1200</v>
      </c>
      <c r="AE7" s="853" t="s">
        <v>1201</v>
      </c>
    </row>
    <row r="8" spans="1:31" ht="21" customHeight="1">
      <c r="A8" s="855"/>
      <c r="B8" s="855"/>
      <c r="C8" s="856"/>
      <c r="D8" s="857"/>
      <c r="E8" s="856"/>
      <c r="F8" s="857"/>
      <c r="G8" s="856"/>
      <c r="H8" s="858"/>
      <c r="I8" s="859"/>
      <c r="J8" s="857"/>
      <c r="K8" s="856"/>
      <c r="L8" s="857"/>
      <c r="M8" s="856"/>
      <c r="N8" s="858"/>
      <c r="O8" s="859"/>
      <c r="P8" s="858"/>
      <c r="Q8" s="855"/>
      <c r="R8" s="859"/>
      <c r="S8" s="857"/>
      <c r="T8" s="859"/>
      <c r="U8" s="857"/>
      <c r="V8" s="859"/>
      <c r="W8" s="857"/>
      <c r="X8" s="856"/>
      <c r="Y8" s="857"/>
      <c r="Z8" s="856"/>
      <c r="AA8" s="857"/>
      <c r="AB8" s="856"/>
      <c r="AC8" s="857"/>
      <c r="AD8" s="856"/>
      <c r="AE8" s="857"/>
    </row>
    <row r="9" spans="1:31" ht="14" thickBot="1">
      <c r="A9" s="801">
        <v>8</v>
      </c>
      <c r="B9" s="802" t="s">
        <v>1357</v>
      </c>
      <c r="C9" s="860">
        <v>843546.58</v>
      </c>
      <c r="D9" s="861">
        <v>108893.94</v>
      </c>
      <c r="E9" s="862">
        <v>20594.36</v>
      </c>
      <c r="F9" s="861">
        <v>93332.41</v>
      </c>
      <c r="G9" s="862">
        <v>3935.11</v>
      </c>
      <c r="H9" s="861">
        <v>42067.09</v>
      </c>
      <c r="I9" s="860">
        <v>8553.94</v>
      </c>
      <c r="J9" s="861">
        <v>9086.6200000000008</v>
      </c>
      <c r="K9" s="860">
        <v>1384.74</v>
      </c>
      <c r="L9" s="861">
        <v>24463.85</v>
      </c>
      <c r="M9" s="862">
        <v>80895.8</v>
      </c>
      <c r="N9" s="861">
        <v>26794.6</v>
      </c>
      <c r="O9" s="862">
        <v>5835.26</v>
      </c>
      <c r="P9" s="861">
        <v>24700.06</v>
      </c>
      <c r="Q9" s="861" t="s">
        <v>397</v>
      </c>
      <c r="R9" s="862">
        <v>2407.36</v>
      </c>
      <c r="S9" s="861">
        <v>2402.0100000000002</v>
      </c>
      <c r="T9" s="862">
        <v>2443.7600000000002</v>
      </c>
      <c r="U9" s="861">
        <v>72825.16</v>
      </c>
      <c r="V9" s="862">
        <v>5707.98</v>
      </c>
      <c r="W9" s="861">
        <v>91723.51</v>
      </c>
      <c r="X9" s="862">
        <v>24014.67</v>
      </c>
      <c r="Y9" s="861">
        <v>17788.38</v>
      </c>
      <c r="Z9" s="862">
        <v>52284.75</v>
      </c>
      <c r="AA9" s="861">
        <v>39634.74</v>
      </c>
      <c r="AB9" s="862">
        <v>19782.990000000002</v>
      </c>
      <c r="AC9" s="861">
        <v>51818.17</v>
      </c>
      <c r="AD9" s="862">
        <v>10175.32</v>
      </c>
      <c r="AE9" s="861" t="s">
        <v>397</v>
      </c>
    </row>
    <row r="10" spans="1:31" ht="14" thickBot="1">
      <c r="A10" s="801">
        <v>32</v>
      </c>
      <c r="B10" s="802" t="s">
        <v>1358</v>
      </c>
      <c r="C10" s="860">
        <v>39136.160000000003</v>
      </c>
      <c r="D10" s="861">
        <v>9869.5</v>
      </c>
      <c r="E10" s="862">
        <v>505</v>
      </c>
      <c r="F10" s="861">
        <v>237.26</v>
      </c>
      <c r="G10" s="862">
        <v>16.91</v>
      </c>
      <c r="H10" s="861">
        <v>1491</v>
      </c>
      <c r="I10" s="860">
        <v>938.92</v>
      </c>
      <c r="J10" s="861">
        <v>712.75</v>
      </c>
      <c r="K10" s="860">
        <v>434.24</v>
      </c>
      <c r="L10" s="861">
        <v>229.33</v>
      </c>
      <c r="M10" s="862">
        <v>150.58000000000001</v>
      </c>
      <c r="N10" s="861">
        <v>278.5</v>
      </c>
      <c r="O10" s="862">
        <v>153.25</v>
      </c>
      <c r="P10" s="861">
        <v>296.67</v>
      </c>
      <c r="Q10" s="861" t="s">
        <v>397</v>
      </c>
      <c r="R10" s="862">
        <v>128.25</v>
      </c>
      <c r="S10" s="861">
        <v>34.590000000000003</v>
      </c>
      <c r="T10" s="863">
        <v>7.58</v>
      </c>
      <c r="U10" s="864">
        <v>337</v>
      </c>
      <c r="V10" s="863">
        <v>2456.25</v>
      </c>
      <c r="W10" s="861">
        <v>19210.510000000002</v>
      </c>
      <c r="X10" s="862">
        <v>404.08</v>
      </c>
      <c r="Y10" s="864">
        <v>357</v>
      </c>
      <c r="Z10" s="862">
        <v>500.08</v>
      </c>
      <c r="AA10" s="861">
        <v>85.08</v>
      </c>
      <c r="AB10" s="863">
        <v>31.17</v>
      </c>
      <c r="AC10" s="864">
        <v>263.08</v>
      </c>
      <c r="AD10" s="863">
        <v>7.58</v>
      </c>
      <c r="AE10" s="864" t="s">
        <v>397</v>
      </c>
    </row>
    <row r="11" spans="1:31" ht="14" thickBot="1">
      <c r="A11" s="801">
        <v>57</v>
      </c>
      <c r="B11" s="802" t="s">
        <v>1359</v>
      </c>
      <c r="C11" s="860">
        <v>7482.72</v>
      </c>
      <c r="D11" s="861">
        <v>282.60000000000002</v>
      </c>
      <c r="E11" s="862">
        <v>343.99</v>
      </c>
      <c r="F11" s="861">
        <v>311.97000000000003</v>
      </c>
      <c r="G11" s="862">
        <v>10.5</v>
      </c>
      <c r="H11" s="861">
        <v>14</v>
      </c>
      <c r="I11" s="860">
        <v>34.840000000000003</v>
      </c>
      <c r="J11" s="861">
        <v>21.42</v>
      </c>
      <c r="K11" s="860">
        <v>5</v>
      </c>
      <c r="L11" s="861">
        <v>14.83</v>
      </c>
      <c r="M11" s="862">
        <v>110.16</v>
      </c>
      <c r="N11" s="861">
        <v>1260.03</v>
      </c>
      <c r="O11" s="862">
        <v>338.59</v>
      </c>
      <c r="P11" s="861">
        <v>710.8</v>
      </c>
      <c r="Q11" s="861" t="s">
        <v>397</v>
      </c>
      <c r="R11" s="862">
        <v>5.42</v>
      </c>
      <c r="S11" s="861">
        <v>3.25</v>
      </c>
      <c r="T11" s="863" t="s">
        <v>397</v>
      </c>
      <c r="U11" s="864">
        <v>48.58</v>
      </c>
      <c r="V11" s="863">
        <v>20</v>
      </c>
      <c r="W11" s="861">
        <v>866.29</v>
      </c>
      <c r="X11" s="862">
        <v>33.75</v>
      </c>
      <c r="Y11" s="864">
        <v>156</v>
      </c>
      <c r="Z11" s="862">
        <v>1164.44</v>
      </c>
      <c r="AA11" s="861">
        <v>617.52</v>
      </c>
      <c r="AB11" s="863">
        <v>27.5</v>
      </c>
      <c r="AC11" s="864">
        <v>1073.24</v>
      </c>
      <c r="AD11" s="863">
        <v>8</v>
      </c>
      <c r="AE11" s="864" t="s">
        <v>397</v>
      </c>
    </row>
    <row r="12" spans="1:31" ht="14" thickBot="1">
      <c r="A12" s="801">
        <v>62</v>
      </c>
      <c r="B12" s="802" t="s">
        <v>1414</v>
      </c>
      <c r="C12" s="860">
        <v>51671.67</v>
      </c>
      <c r="D12" s="861">
        <v>1216.92</v>
      </c>
      <c r="E12" s="862">
        <v>5150.08</v>
      </c>
      <c r="F12" s="861">
        <v>119</v>
      </c>
      <c r="G12" s="862">
        <v>23</v>
      </c>
      <c r="H12" s="861">
        <v>79.75</v>
      </c>
      <c r="I12" s="860">
        <v>15.17</v>
      </c>
      <c r="J12" s="861">
        <v>25.33</v>
      </c>
      <c r="K12" s="860">
        <v>35.25</v>
      </c>
      <c r="L12" s="861">
        <v>48.75</v>
      </c>
      <c r="M12" s="862">
        <v>887.17</v>
      </c>
      <c r="N12" s="861">
        <v>147.58000000000001</v>
      </c>
      <c r="O12" s="862">
        <v>249.5</v>
      </c>
      <c r="P12" s="861">
        <v>2955.67</v>
      </c>
      <c r="Q12" s="861" t="s">
        <v>397</v>
      </c>
      <c r="R12" s="862">
        <v>53.42</v>
      </c>
      <c r="S12" s="861">
        <v>72.67</v>
      </c>
      <c r="T12" s="863">
        <v>5</v>
      </c>
      <c r="U12" s="864">
        <v>164.25</v>
      </c>
      <c r="V12" s="863">
        <v>156.67000000000002</v>
      </c>
      <c r="W12" s="861">
        <v>470.25</v>
      </c>
      <c r="X12" s="862">
        <v>126.17</v>
      </c>
      <c r="Y12" s="864">
        <v>7750.17</v>
      </c>
      <c r="Z12" s="862">
        <v>26190.75</v>
      </c>
      <c r="AA12" s="861">
        <v>1310.75</v>
      </c>
      <c r="AB12" s="863">
        <v>1038.5</v>
      </c>
      <c r="AC12" s="864">
        <v>3274</v>
      </c>
      <c r="AD12" s="863">
        <v>105.92</v>
      </c>
      <c r="AE12" s="864" t="s">
        <v>397</v>
      </c>
    </row>
    <row r="13" spans="1:31" ht="14" thickBot="1">
      <c r="A13" s="801">
        <v>134</v>
      </c>
      <c r="B13" s="802" t="s">
        <v>1360</v>
      </c>
      <c r="C13" s="860">
        <v>3595.97</v>
      </c>
      <c r="D13" s="861">
        <v>124.17</v>
      </c>
      <c r="E13" s="862" t="s">
        <v>397</v>
      </c>
      <c r="F13" s="861">
        <v>11.92</v>
      </c>
      <c r="G13" s="862">
        <v>2</v>
      </c>
      <c r="H13" s="861">
        <v>3384.5</v>
      </c>
      <c r="I13" s="860" t="s">
        <v>397</v>
      </c>
      <c r="J13" s="861">
        <v>4.17</v>
      </c>
      <c r="K13" s="860">
        <v>10.83</v>
      </c>
      <c r="L13" s="861">
        <v>29.41</v>
      </c>
      <c r="M13" s="862" t="s">
        <v>397</v>
      </c>
      <c r="N13" s="861" t="s">
        <v>397</v>
      </c>
      <c r="O13" s="862" t="s">
        <v>397</v>
      </c>
      <c r="P13" s="861" t="s">
        <v>397</v>
      </c>
      <c r="Q13" s="861" t="s">
        <v>397</v>
      </c>
      <c r="R13" s="862" t="s">
        <v>397</v>
      </c>
      <c r="S13" s="861" t="s">
        <v>397</v>
      </c>
      <c r="T13" s="863" t="s">
        <v>397</v>
      </c>
      <c r="U13" s="864">
        <v>28.99</v>
      </c>
      <c r="V13" s="863" t="s">
        <v>397</v>
      </c>
      <c r="W13" s="861" t="s">
        <v>397</v>
      </c>
      <c r="X13" s="862" t="s">
        <v>397</v>
      </c>
      <c r="Y13" s="864" t="s">
        <v>397</v>
      </c>
      <c r="Z13" s="862" t="s">
        <v>397</v>
      </c>
      <c r="AA13" s="861" t="s">
        <v>397</v>
      </c>
      <c r="AB13" s="863" t="s">
        <v>397</v>
      </c>
      <c r="AC13" s="864" t="s">
        <v>397</v>
      </c>
      <c r="AD13" s="863" t="s">
        <v>397</v>
      </c>
      <c r="AE13" s="864" t="s">
        <v>397</v>
      </c>
    </row>
    <row r="14" spans="1:31" ht="14" thickBot="1">
      <c r="A14" s="801">
        <v>182</v>
      </c>
      <c r="B14" s="802" t="s">
        <v>1361</v>
      </c>
      <c r="C14" s="860">
        <v>56638.92</v>
      </c>
      <c r="D14" s="861">
        <v>30464.67</v>
      </c>
      <c r="E14" s="862">
        <v>1633.17</v>
      </c>
      <c r="F14" s="861">
        <v>1048.33</v>
      </c>
      <c r="G14" s="862">
        <v>97.42</v>
      </c>
      <c r="H14" s="861">
        <v>1024.33</v>
      </c>
      <c r="I14" s="860">
        <v>105.67</v>
      </c>
      <c r="J14" s="861">
        <v>100.08</v>
      </c>
      <c r="K14" s="860">
        <v>178.67</v>
      </c>
      <c r="L14" s="861">
        <v>226.5</v>
      </c>
      <c r="M14" s="862">
        <v>312.67</v>
      </c>
      <c r="N14" s="861">
        <v>3901.83</v>
      </c>
      <c r="O14" s="862">
        <v>151.25</v>
      </c>
      <c r="P14" s="861">
        <v>341.5</v>
      </c>
      <c r="Q14" s="861" t="s">
        <v>397</v>
      </c>
      <c r="R14" s="862">
        <v>1081.92</v>
      </c>
      <c r="S14" s="861">
        <v>193.83</v>
      </c>
      <c r="T14" s="863">
        <v>24.17</v>
      </c>
      <c r="U14" s="864">
        <v>7824.17</v>
      </c>
      <c r="V14" s="863">
        <v>212.17</v>
      </c>
      <c r="W14" s="861">
        <v>3019.75</v>
      </c>
      <c r="X14" s="862">
        <v>3370.17</v>
      </c>
      <c r="Y14" s="864">
        <v>83</v>
      </c>
      <c r="Z14" s="862">
        <v>346.75</v>
      </c>
      <c r="AA14" s="861">
        <v>85.17</v>
      </c>
      <c r="AB14" s="863">
        <v>140.75</v>
      </c>
      <c r="AC14" s="864">
        <v>653.75</v>
      </c>
      <c r="AD14" s="863">
        <v>17.25</v>
      </c>
      <c r="AE14" s="864" t="s">
        <v>397</v>
      </c>
    </row>
    <row r="15" spans="1:31" ht="14" thickBot="1">
      <c r="A15" s="801">
        <v>194</v>
      </c>
      <c r="B15" s="802" t="s">
        <v>1362</v>
      </c>
      <c r="C15" s="860">
        <v>19470.5</v>
      </c>
      <c r="D15" s="861">
        <v>579.66999999999996</v>
      </c>
      <c r="E15" s="862">
        <v>16250.83</v>
      </c>
      <c r="F15" s="861">
        <v>191.58</v>
      </c>
      <c r="G15" s="862">
        <v>16.580000000000002</v>
      </c>
      <c r="H15" s="861">
        <v>64.17</v>
      </c>
      <c r="I15" s="860">
        <v>22.33</v>
      </c>
      <c r="J15" s="861">
        <v>15.16</v>
      </c>
      <c r="K15" s="860">
        <v>16.080000000000002</v>
      </c>
      <c r="L15" s="861">
        <v>56</v>
      </c>
      <c r="M15" s="862">
        <v>239.42</v>
      </c>
      <c r="N15" s="861">
        <v>686.25</v>
      </c>
      <c r="O15" s="862">
        <v>61.26</v>
      </c>
      <c r="P15" s="861">
        <v>263.33</v>
      </c>
      <c r="Q15" s="861" t="s">
        <v>397</v>
      </c>
      <c r="R15" s="862">
        <v>61.83</v>
      </c>
      <c r="S15" s="861">
        <v>28.25</v>
      </c>
      <c r="T15" s="863">
        <v>2.83</v>
      </c>
      <c r="U15" s="864">
        <v>81</v>
      </c>
      <c r="V15" s="863">
        <v>101.09</v>
      </c>
      <c r="W15" s="861">
        <v>530</v>
      </c>
      <c r="X15" s="862">
        <v>138.92000000000002</v>
      </c>
      <c r="Y15" s="864" t="s">
        <v>397</v>
      </c>
      <c r="Z15" s="862" t="s">
        <v>397</v>
      </c>
      <c r="AA15" s="861">
        <v>63.92</v>
      </c>
      <c r="AB15" s="863" t="s">
        <v>397</v>
      </c>
      <c r="AC15" s="864" t="s">
        <v>397</v>
      </c>
      <c r="AD15" s="863" t="s">
        <v>397</v>
      </c>
      <c r="AE15" s="864" t="s">
        <v>397</v>
      </c>
    </row>
    <row r="16" spans="1:31" ht="14" thickBot="1">
      <c r="A16" s="801">
        <v>246</v>
      </c>
      <c r="B16" s="802" t="s">
        <v>1363</v>
      </c>
      <c r="C16" s="860">
        <v>3558.59</v>
      </c>
      <c r="D16" s="861">
        <v>417.17</v>
      </c>
      <c r="E16" s="862">
        <v>2856.34</v>
      </c>
      <c r="F16" s="861" t="s">
        <v>397</v>
      </c>
      <c r="G16" s="862" t="s">
        <v>397</v>
      </c>
      <c r="H16" s="861" t="s">
        <v>397</v>
      </c>
      <c r="I16" s="860" t="s">
        <v>397</v>
      </c>
      <c r="J16" s="861" t="s">
        <v>397</v>
      </c>
      <c r="K16" s="860" t="s">
        <v>397</v>
      </c>
      <c r="L16" s="861" t="s">
        <v>397</v>
      </c>
      <c r="M16" s="862" t="s">
        <v>397</v>
      </c>
      <c r="N16" s="861">
        <v>169.34</v>
      </c>
      <c r="O16" s="862" t="s">
        <v>397</v>
      </c>
      <c r="P16" s="861" t="s">
        <v>397</v>
      </c>
      <c r="Q16" s="861" t="s">
        <v>397</v>
      </c>
      <c r="R16" s="862" t="s">
        <v>397</v>
      </c>
      <c r="S16" s="861" t="s">
        <v>397</v>
      </c>
      <c r="T16" s="863" t="s">
        <v>397</v>
      </c>
      <c r="U16" s="864" t="s">
        <v>397</v>
      </c>
      <c r="V16" s="863" t="s">
        <v>397</v>
      </c>
      <c r="W16" s="861">
        <v>115.75</v>
      </c>
      <c r="X16" s="862" t="s">
        <v>397</v>
      </c>
      <c r="Y16" s="864" t="s">
        <v>397</v>
      </c>
      <c r="Z16" s="862" t="s">
        <v>397</v>
      </c>
      <c r="AA16" s="861" t="s">
        <v>397</v>
      </c>
      <c r="AB16" s="863" t="s">
        <v>397</v>
      </c>
      <c r="AC16" s="864" t="s">
        <v>397</v>
      </c>
      <c r="AD16" s="863" t="s">
        <v>397</v>
      </c>
      <c r="AE16" s="864" t="s">
        <v>397</v>
      </c>
    </row>
    <row r="17" spans="1:31" ht="14" thickBot="1">
      <c r="A17" s="801">
        <v>290</v>
      </c>
      <c r="B17" s="802" t="s">
        <v>1415</v>
      </c>
      <c r="C17" s="860">
        <v>541690.25</v>
      </c>
      <c r="D17" s="861">
        <v>67163.09</v>
      </c>
      <c r="E17" s="862">
        <v>25047.41</v>
      </c>
      <c r="F17" s="861">
        <v>94411.91</v>
      </c>
      <c r="G17" s="862">
        <v>8713.67</v>
      </c>
      <c r="H17" s="861">
        <v>23841.5</v>
      </c>
      <c r="I17" s="860">
        <v>9902.24</v>
      </c>
      <c r="J17" s="861">
        <v>11904.17</v>
      </c>
      <c r="K17" s="860">
        <v>3035.92</v>
      </c>
      <c r="L17" s="861">
        <v>19590.830000000002</v>
      </c>
      <c r="M17" s="862">
        <v>16780.75</v>
      </c>
      <c r="N17" s="861">
        <v>11676.84</v>
      </c>
      <c r="O17" s="862">
        <v>6451.25</v>
      </c>
      <c r="P17" s="861">
        <v>16272.42</v>
      </c>
      <c r="Q17" s="861" t="s">
        <v>397</v>
      </c>
      <c r="R17" s="862">
        <v>4249.91</v>
      </c>
      <c r="S17" s="861">
        <v>1544.99</v>
      </c>
      <c r="T17" s="863">
        <v>1576.67</v>
      </c>
      <c r="U17" s="864">
        <v>35933.25</v>
      </c>
      <c r="V17" s="863">
        <v>6290.58</v>
      </c>
      <c r="W17" s="861">
        <v>90498.84</v>
      </c>
      <c r="X17" s="862">
        <v>14960.58</v>
      </c>
      <c r="Y17" s="864">
        <v>15445.25</v>
      </c>
      <c r="Z17" s="862">
        <v>24077.42</v>
      </c>
      <c r="AA17" s="861">
        <v>11235</v>
      </c>
      <c r="AB17" s="863">
        <v>7100.25</v>
      </c>
      <c r="AC17" s="864">
        <v>9728.42</v>
      </c>
      <c r="AD17" s="863">
        <v>4257.09</v>
      </c>
      <c r="AE17" s="864" t="s">
        <v>397</v>
      </c>
    </row>
    <row r="18" spans="1:31" ht="14" thickBot="1">
      <c r="A18" s="801">
        <v>294</v>
      </c>
      <c r="B18" s="802" t="s">
        <v>1365</v>
      </c>
      <c r="C18" s="860">
        <v>7563.34</v>
      </c>
      <c r="D18" s="861">
        <v>561.16999999999996</v>
      </c>
      <c r="E18" s="862">
        <v>284.92</v>
      </c>
      <c r="F18" s="861">
        <v>3602.5</v>
      </c>
      <c r="G18" s="862">
        <v>15.58</v>
      </c>
      <c r="H18" s="861">
        <v>24.84</v>
      </c>
      <c r="I18" s="860">
        <v>468.25</v>
      </c>
      <c r="J18" s="861">
        <v>250.67</v>
      </c>
      <c r="K18" s="860">
        <v>1</v>
      </c>
      <c r="L18" s="861">
        <v>71.739999999999995</v>
      </c>
      <c r="M18" s="862">
        <v>43.83</v>
      </c>
      <c r="N18" s="861">
        <v>34.910000000000004</v>
      </c>
      <c r="O18" s="862">
        <v>30.17</v>
      </c>
      <c r="P18" s="861">
        <v>138.16</v>
      </c>
      <c r="Q18" s="861" t="s">
        <v>397</v>
      </c>
      <c r="R18" s="862">
        <v>15.92</v>
      </c>
      <c r="S18" s="861">
        <v>8.75</v>
      </c>
      <c r="T18" s="863">
        <v>1</v>
      </c>
      <c r="U18" s="864">
        <v>19.580000000000002</v>
      </c>
      <c r="V18" s="863">
        <v>19.170000000000002</v>
      </c>
      <c r="W18" s="861">
        <v>846.01</v>
      </c>
      <c r="X18" s="862">
        <v>256.92</v>
      </c>
      <c r="Y18" s="864">
        <v>6.92</v>
      </c>
      <c r="Z18" s="862">
        <v>26.17</v>
      </c>
      <c r="AA18" s="861">
        <v>600.16999999999996</v>
      </c>
      <c r="AB18" s="863">
        <v>192.59</v>
      </c>
      <c r="AC18" s="864">
        <v>5</v>
      </c>
      <c r="AD18" s="863">
        <v>37.410000000000004</v>
      </c>
      <c r="AE18" s="864" t="s">
        <v>397</v>
      </c>
    </row>
    <row r="19" spans="1:31" ht="14" thickBot="1">
      <c r="A19" s="801">
        <v>312</v>
      </c>
      <c r="B19" s="802" t="s">
        <v>1366</v>
      </c>
      <c r="C19" s="860">
        <v>172291.08</v>
      </c>
      <c r="D19" s="861">
        <v>60142.83</v>
      </c>
      <c r="E19" s="862">
        <v>24210.17</v>
      </c>
      <c r="F19" s="861">
        <v>7600.75</v>
      </c>
      <c r="G19" s="862">
        <v>1110.67</v>
      </c>
      <c r="H19" s="861">
        <v>1830.33</v>
      </c>
      <c r="I19" s="860">
        <v>351.5</v>
      </c>
      <c r="J19" s="861">
        <v>334</v>
      </c>
      <c r="K19" s="860">
        <v>449.08</v>
      </c>
      <c r="L19" s="861">
        <v>986.17</v>
      </c>
      <c r="M19" s="862">
        <v>5984.92</v>
      </c>
      <c r="N19" s="861">
        <v>5094.08</v>
      </c>
      <c r="O19" s="862">
        <v>1586.33</v>
      </c>
      <c r="P19" s="861">
        <v>6327.17</v>
      </c>
      <c r="Q19" s="861" t="s">
        <v>397</v>
      </c>
      <c r="R19" s="862">
        <v>1035.92</v>
      </c>
      <c r="S19" s="861">
        <v>404</v>
      </c>
      <c r="T19" s="863">
        <v>50.25</v>
      </c>
      <c r="U19" s="864">
        <v>11720.17</v>
      </c>
      <c r="V19" s="863">
        <v>3190.83</v>
      </c>
      <c r="W19" s="861">
        <v>12205.08</v>
      </c>
      <c r="X19" s="862">
        <v>4119.83</v>
      </c>
      <c r="Y19" s="864">
        <v>10303.92</v>
      </c>
      <c r="Z19" s="862">
        <v>5825</v>
      </c>
      <c r="AA19" s="861">
        <v>3821.92</v>
      </c>
      <c r="AB19" s="863">
        <v>1109.5</v>
      </c>
      <c r="AC19" s="864">
        <v>1297.92</v>
      </c>
      <c r="AD19" s="863">
        <v>1114.17</v>
      </c>
      <c r="AE19" s="864">
        <v>84.58</v>
      </c>
    </row>
    <row r="20" spans="1:31" ht="14" thickBot="1">
      <c r="A20" s="801">
        <v>343</v>
      </c>
      <c r="B20" s="802" t="s">
        <v>1367</v>
      </c>
      <c r="C20" s="860">
        <v>212233.28</v>
      </c>
      <c r="D20" s="861">
        <v>3201.08</v>
      </c>
      <c r="E20" s="862">
        <v>22042.17</v>
      </c>
      <c r="F20" s="861">
        <v>12853.08</v>
      </c>
      <c r="G20" s="862">
        <v>1664.75</v>
      </c>
      <c r="H20" s="861">
        <v>283.75</v>
      </c>
      <c r="I20" s="860">
        <v>138.67000000000002</v>
      </c>
      <c r="J20" s="861">
        <v>168.42</v>
      </c>
      <c r="K20" s="860">
        <v>2431.58</v>
      </c>
      <c r="L20" s="861">
        <v>4911.08</v>
      </c>
      <c r="M20" s="862">
        <v>8399.67</v>
      </c>
      <c r="N20" s="861">
        <v>1200.5</v>
      </c>
      <c r="O20" s="862">
        <v>11464.5</v>
      </c>
      <c r="P20" s="861">
        <v>11793.83</v>
      </c>
      <c r="Q20" s="861" t="s">
        <v>397</v>
      </c>
      <c r="R20" s="862">
        <v>547.66999999999996</v>
      </c>
      <c r="S20" s="861">
        <v>238.33</v>
      </c>
      <c r="T20" s="863">
        <v>26.83</v>
      </c>
      <c r="U20" s="864">
        <v>21669.25</v>
      </c>
      <c r="V20" s="863">
        <v>2658.7</v>
      </c>
      <c r="W20" s="861">
        <v>43832.83</v>
      </c>
      <c r="X20" s="862">
        <v>479.67</v>
      </c>
      <c r="Y20" s="864">
        <v>1470.42</v>
      </c>
      <c r="Z20" s="862">
        <v>38217.5</v>
      </c>
      <c r="AA20" s="861">
        <v>2417.75</v>
      </c>
      <c r="AB20" s="863">
        <v>504.25</v>
      </c>
      <c r="AC20" s="864">
        <v>19316.66</v>
      </c>
      <c r="AD20" s="863">
        <v>300.33</v>
      </c>
      <c r="AE20" s="864" t="s">
        <v>397</v>
      </c>
    </row>
    <row r="21" spans="1:31" ht="14" thickBot="1">
      <c r="A21" s="801">
        <v>360</v>
      </c>
      <c r="B21" s="802" t="s">
        <v>1368</v>
      </c>
      <c r="C21" s="860">
        <v>20461.330000000002</v>
      </c>
      <c r="D21" s="861">
        <v>859.08</v>
      </c>
      <c r="E21" s="862">
        <v>1574.17</v>
      </c>
      <c r="F21" s="861">
        <v>14961.08</v>
      </c>
      <c r="G21" s="862">
        <v>19.670000000000002</v>
      </c>
      <c r="H21" s="861">
        <v>70.84</v>
      </c>
      <c r="I21" s="860">
        <v>33.75</v>
      </c>
      <c r="J21" s="861">
        <v>81.41</v>
      </c>
      <c r="K21" s="860" t="s">
        <v>397</v>
      </c>
      <c r="L21" s="861">
        <v>150</v>
      </c>
      <c r="M21" s="862" t="s">
        <v>397</v>
      </c>
      <c r="N21" s="861">
        <v>1082.3399999999999</v>
      </c>
      <c r="O21" s="862" t="s">
        <v>397</v>
      </c>
      <c r="P21" s="861">
        <v>4.08</v>
      </c>
      <c r="Q21" s="861" t="s">
        <v>397</v>
      </c>
      <c r="R21" s="862" t="s">
        <v>397</v>
      </c>
      <c r="S21" s="861" t="s">
        <v>397</v>
      </c>
      <c r="T21" s="863" t="s">
        <v>397</v>
      </c>
      <c r="U21" s="864" t="s">
        <v>397</v>
      </c>
      <c r="V21" s="863" t="s">
        <v>397</v>
      </c>
      <c r="W21" s="861">
        <v>1624.92</v>
      </c>
      <c r="X21" s="862" t="s">
        <v>397</v>
      </c>
      <c r="Y21" s="864" t="s">
        <v>397</v>
      </c>
      <c r="Z21" s="862" t="s">
        <v>397</v>
      </c>
      <c r="AA21" s="861" t="s">
        <v>397</v>
      </c>
      <c r="AB21" s="863" t="s">
        <v>397</v>
      </c>
      <c r="AC21" s="864" t="s">
        <v>397</v>
      </c>
      <c r="AD21" s="863" t="s">
        <v>397</v>
      </c>
      <c r="AE21" s="864" t="s">
        <v>397</v>
      </c>
    </row>
    <row r="22" spans="1:31" ht="14" thickBot="1">
      <c r="A22" s="801">
        <v>376</v>
      </c>
      <c r="B22" s="802" t="s">
        <v>1369</v>
      </c>
      <c r="C22" s="860">
        <v>373943</v>
      </c>
      <c r="D22" s="861">
        <v>35086</v>
      </c>
      <c r="E22" s="862">
        <v>131428</v>
      </c>
      <c r="F22" s="861">
        <v>9316</v>
      </c>
      <c r="G22" s="862">
        <v>1438</v>
      </c>
      <c r="H22" s="861">
        <v>3663</v>
      </c>
      <c r="I22" s="860">
        <v>236</v>
      </c>
      <c r="J22" s="861">
        <v>2335</v>
      </c>
      <c r="K22" s="860">
        <v>1459</v>
      </c>
      <c r="L22" s="861">
        <v>1726</v>
      </c>
      <c r="M22" s="862">
        <v>13625</v>
      </c>
      <c r="N22" s="861">
        <v>7304</v>
      </c>
      <c r="O22" s="862">
        <v>7433</v>
      </c>
      <c r="P22" s="861">
        <v>13201</v>
      </c>
      <c r="Q22" s="861" t="s">
        <v>397</v>
      </c>
      <c r="R22" s="862">
        <v>1223</v>
      </c>
      <c r="S22" s="861">
        <v>2254</v>
      </c>
      <c r="T22" s="863">
        <v>289</v>
      </c>
      <c r="U22" s="864">
        <v>25591</v>
      </c>
      <c r="V22" s="863">
        <v>7346</v>
      </c>
      <c r="W22" s="861">
        <v>11877</v>
      </c>
      <c r="X22" s="862">
        <v>5638</v>
      </c>
      <c r="Y22" s="864">
        <v>30235</v>
      </c>
      <c r="Z22" s="862">
        <v>35110</v>
      </c>
      <c r="AA22" s="861">
        <v>8971</v>
      </c>
      <c r="AB22" s="863">
        <v>1229</v>
      </c>
      <c r="AC22" s="864">
        <v>11781</v>
      </c>
      <c r="AD22" s="863">
        <v>1712</v>
      </c>
      <c r="AE22" s="864">
        <v>2437</v>
      </c>
    </row>
    <row r="23" spans="1:31" ht="14" thickBot="1">
      <c r="A23" s="801">
        <v>455</v>
      </c>
      <c r="B23" s="802" t="s">
        <v>1370</v>
      </c>
      <c r="C23" s="860">
        <v>151412.03</v>
      </c>
      <c r="D23" s="861">
        <v>22783.59</v>
      </c>
      <c r="E23" s="862">
        <v>3065.68</v>
      </c>
      <c r="F23" s="861">
        <v>4610.8100000000004</v>
      </c>
      <c r="G23" s="862">
        <v>449.95</v>
      </c>
      <c r="H23" s="861">
        <v>2168.33</v>
      </c>
      <c r="I23" s="860">
        <v>696.2</v>
      </c>
      <c r="J23" s="861">
        <v>189.46</v>
      </c>
      <c r="K23" s="860">
        <v>1964.28</v>
      </c>
      <c r="L23" s="861">
        <v>1643.86</v>
      </c>
      <c r="M23" s="862">
        <v>202.43</v>
      </c>
      <c r="N23" s="861">
        <v>313.93</v>
      </c>
      <c r="O23" s="862">
        <v>327.36</v>
      </c>
      <c r="P23" s="861">
        <v>382.13</v>
      </c>
      <c r="Q23" s="861" t="s">
        <v>397</v>
      </c>
      <c r="R23" s="862">
        <v>4464.91</v>
      </c>
      <c r="S23" s="861">
        <v>496.34</v>
      </c>
      <c r="T23" s="863">
        <v>103.75</v>
      </c>
      <c r="U23" s="864">
        <v>8237.89</v>
      </c>
      <c r="V23" s="863">
        <v>77806.350000000006</v>
      </c>
      <c r="W23" s="861">
        <v>1140.8500000000001</v>
      </c>
      <c r="X23" s="862">
        <v>6756.39</v>
      </c>
      <c r="Y23" s="864">
        <v>11470.93</v>
      </c>
      <c r="Z23" s="862">
        <v>973.17</v>
      </c>
      <c r="AA23" s="861">
        <v>1004.57</v>
      </c>
      <c r="AB23" s="863">
        <v>34</v>
      </c>
      <c r="AC23" s="864">
        <v>106.91</v>
      </c>
      <c r="AD23" s="863">
        <v>14.33</v>
      </c>
      <c r="AE23" s="864">
        <v>3.54</v>
      </c>
    </row>
    <row r="24" spans="1:31" ht="14" thickBot="1">
      <c r="A24" s="801">
        <v>509</v>
      </c>
      <c r="B24" s="802" t="s">
        <v>1371</v>
      </c>
      <c r="C24" s="860">
        <v>139627.08000000002</v>
      </c>
      <c r="D24" s="861">
        <v>14035.71</v>
      </c>
      <c r="E24" s="862">
        <v>7739.41</v>
      </c>
      <c r="F24" s="861">
        <v>7715.94</v>
      </c>
      <c r="G24" s="862">
        <v>658.15</v>
      </c>
      <c r="H24" s="861">
        <v>2169.11</v>
      </c>
      <c r="I24" s="860">
        <v>606.31000000000006</v>
      </c>
      <c r="J24" s="861">
        <v>778.45</v>
      </c>
      <c r="K24" s="860">
        <v>258.85000000000002</v>
      </c>
      <c r="L24" s="861">
        <v>3202.01</v>
      </c>
      <c r="M24" s="862">
        <v>2242.84</v>
      </c>
      <c r="N24" s="861">
        <v>3761.19</v>
      </c>
      <c r="O24" s="862">
        <v>52597.4</v>
      </c>
      <c r="P24" s="861">
        <v>19779.98</v>
      </c>
      <c r="Q24" s="861" t="s">
        <v>397</v>
      </c>
      <c r="R24" s="862">
        <v>1788.17</v>
      </c>
      <c r="S24" s="861">
        <v>357.24</v>
      </c>
      <c r="T24" s="863">
        <v>102.33</v>
      </c>
      <c r="U24" s="864">
        <v>3631.32</v>
      </c>
      <c r="V24" s="863">
        <v>468.71</v>
      </c>
      <c r="W24" s="861">
        <v>9048.11</v>
      </c>
      <c r="X24" s="862">
        <v>3276.92</v>
      </c>
      <c r="Y24" s="864">
        <v>356.4</v>
      </c>
      <c r="Z24" s="862">
        <v>892.28</v>
      </c>
      <c r="AA24" s="861">
        <v>518.82000000000005</v>
      </c>
      <c r="AB24" s="863">
        <v>201.57</v>
      </c>
      <c r="AC24" s="864">
        <v>622.56000000000006</v>
      </c>
      <c r="AD24" s="863">
        <v>257.33</v>
      </c>
      <c r="AE24" s="864">
        <v>2559.9700000000003</v>
      </c>
    </row>
    <row r="25" spans="1:31" ht="14" thickBot="1">
      <c r="A25" s="801">
        <v>558</v>
      </c>
      <c r="B25" s="802" t="s">
        <v>1372</v>
      </c>
      <c r="C25" s="860">
        <v>3647.63</v>
      </c>
      <c r="D25" s="861">
        <v>3647.63</v>
      </c>
      <c r="E25" s="862" t="s">
        <v>397</v>
      </c>
      <c r="F25" s="861" t="s">
        <v>397</v>
      </c>
      <c r="G25" s="862" t="s">
        <v>397</v>
      </c>
      <c r="H25" s="861" t="s">
        <v>397</v>
      </c>
      <c r="I25" s="860" t="s">
        <v>397</v>
      </c>
      <c r="J25" s="861" t="s">
        <v>397</v>
      </c>
      <c r="K25" s="860" t="s">
        <v>397</v>
      </c>
      <c r="L25" s="861" t="s">
        <v>397</v>
      </c>
      <c r="M25" s="862" t="s">
        <v>397</v>
      </c>
      <c r="N25" s="861" t="s">
        <v>397</v>
      </c>
      <c r="O25" s="862" t="s">
        <v>397</v>
      </c>
      <c r="P25" s="861" t="s">
        <v>397</v>
      </c>
      <c r="Q25" s="861" t="s">
        <v>397</v>
      </c>
      <c r="R25" s="862" t="s">
        <v>397</v>
      </c>
      <c r="S25" s="861" t="s">
        <v>397</v>
      </c>
      <c r="T25" s="863" t="s">
        <v>397</v>
      </c>
      <c r="U25" s="864" t="s">
        <v>397</v>
      </c>
      <c r="V25" s="863" t="s">
        <v>397</v>
      </c>
      <c r="W25" s="861" t="s">
        <v>397</v>
      </c>
      <c r="X25" s="862" t="s">
        <v>397</v>
      </c>
      <c r="Y25" s="864" t="s">
        <v>397</v>
      </c>
      <c r="Z25" s="862" t="s">
        <v>397</v>
      </c>
      <c r="AA25" s="861" t="s">
        <v>397</v>
      </c>
      <c r="AB25" s="863" t="s">
        <v>397</v>
      </c>
      <c r="AC25" s="864" t="s">
        <v>397</v>
      </c>
      <c r="AD25" s="863" t="s">
        <v>397</v>
      </c>
      <c r="AE25" s="864" t="s">
        <v>397</v>
      </c>
    </row>
    <row r="26" spans="1:31" ht="14" thickBot="1">
      <c r="A26" s="801">
        <v>762</v>
      </c>
      <c r="B26" s="802" t="s">
        <v>1373</v>
      </c>
      <c r="C26" s="860">
        <v>20631.420000000002</v>
      </c>
      <c r="D26" s="861">
        <v>4330.25</v>
      </c>
      <c r="E26" s="862">
        <v>1717.5</v>
      </c>
      <c r="F26" s="861">
        <v>1343.17</v>
      </c>
      <c r="G26" s="862">
        <v>304.83</v>
      </c>
      <c r="H26" s="861">
        <v>1373.92</v>
      </c>
      <c r="I26" s="860">
        <v>404.67</v>
      </c>
      <c r="J26" s="861">
        <v>813.42</v>
      </c>
      <c r="K26" s="860">
        <v>504.42</v>
      </c>
      <c r="L26" s="861">
        <v>397.92</v>
      </c>
      <c r="M26" s="862">
        <v>499.25</v>
      </c>
      <c r="N26" s="861">
        <v>1069</v>
      </c>
      <c r="O26" s="862">
        <v>364.33</v>
      </c>
      <c r="P26" s="861">
        <v>297.5</v>
      </c>
      <c r="Q26" s="861" t="s">
        <v>397</v>
      </c>
      <c r="R26" s="862">
        <v>177.67</v>
      </c>
      <c r="S26" s="861">
        <v>227.75</v>
      </c>
      <c r="T26" s="863">
        <v>185.5</v>
      </c>
      <c r="U26" s="864">
        <v>1359.83</v>
      </c>
      <c r="V26" s="863">
        <v>925.75</v>
      </c>
      <c r="W26" s="861">
        <v>964.75</v>
      </c>
      <c r="X26" s="862">
        <v>459.75</v>
      </c>
      <c r="Y26" s="864">
        <v>387.25</v>
      </c>
      <c r="Z26" s="862">
        <v>763.67</v>
      </c>
      <c r="AA26" s="861">
        <v>856.08</v>
      </c>
      <c r="AB26" s="863">
        <v>102.83</v>
      </c>
      <c r="AC26" s="864">
        <v>718.92</v>
      </c>
      <c r="AD26" s="863">
        <v>81.5</v>
      </c>
      <c r="AE26" s="864" t="s">
        <v>397</v>
      </c>
    </row>
    <row r="27" spans="1:31" ht="14" thickBot="1">
      <c r="A27" s="801">
        <v>774</v>
      </c>
      <c r="B27" s="802" t="s">
        <v>1374</v>
      </c>
      <c r="C27" s="860">
        <v>210232.33</v>
      </c>
      <c r="D27" s="861">
        <v>41519.83</v>
      </c>
      <c r="E27" s="862">
        <v>7428.08</v>
      </c>
      <c r="F27" s="861">
        <v>446.08</v>
      </c>
      <c r="G27" s="862">
        <v>58.33</v>
      </c>
      <c r="H27" s="861">
        <v>3164.67</v>
      </c>
      <c r="I27" s="860">
        <v>31.67</v>
      </c>
      <c r="J27" s="861">
        <v>48.5</v>
      </c>
      <c r="K27" s="860">
        <v>90.58</v>
      </c>
      <c r="L27" s="861">
        <v>224.83</v>
      </c>
      <c r="M27" s="862">
        <v>8795.5</v>
      </c>
      <c r="N27" s="861">
        <v>837.75</v>
      </c>
      <c r="O27" s="862">
        <v>7534.25</v>
      </c>
      <c r="P27" s="861">
        <v>27837.83</v>
      </c>
      <c r="Q27" s="861" t="s">
        <v>397</v>
      </c>
      <c r="R27" s="862">
        <v>2742.17</v>
      </c>
      <c r="S27" s="861">
        <v>96.83</v>
      </c>
      <c r="T27" s="863">
        <v>16.170000000000002</v>
      </c>
      <c r="U27" s="864">
        <v>1177.67</v>
      </c>
      <c r="V27" s="863">
        <v>1759.92</v>
      </c>
      <c r="W27" s="861">
        <v>2460.08</v>
      </c>
      <c r="X27" s="862">
        <v>25916.92</v>
      </c>
      <c r="Y27" s="864">
        <v>19719</v>
      </c>
      <c r="Z27" s="862">
        <v>13287.5</v>
      </c>
      <c r="AA27" s="861">
        <v>24537.5</v>
      </c>
      <c r="AB27" s="863">
        <v>5416.08</v>
      </c>
      <c r="AC27" s="864">
        <v>6836.33</v>
      </c>
      <c r="AD27" s="863">
        <v>8248.25</v>
      </c>
      <c r="AE27" s="864" t="s">
        <v>397</v>
      </c>
    </row>
    <row r="28" spans="1:31" ht="14" thickBot="1">
      <c r="A28" s="801">
        <v>780</v>
      </c>
      <c r="B28" s="802" t="s">
        <v>1375</v>
      </c>
      <c r="C28" s="860">
        <v>6124.4</v>
      </c>
      <c r="D28" s="861" t="s">
        <v>397</v>
      </c>
      <c r="E28" s="862" t="s">
        <v>397</v>
      </c>
      <c r="F28" s="861" t="s">
        <v>397</v>
      </c>
      <c r="G28" s="862">
        <v>3</v>
      </c>
      <c r="H28" s="861">
        <v>104.25</v>
      </c>
      <c r="I28" s="860" t="s">
        <v>397</v>
      </c>
      <c r="J28" s="861" t="s">
        <v>397</v>
      </c>
      <c r="K28" s="860">
        <v>5842.09</v>
      </c>
      <c r="L28" s="861" t="s">
        <v>397</v>
      </c>
      <c r="M28" s="862" t="s">
        <v>397</v>
      </c>
      <c r="N28" s="861" t="s">
        <v>397</v>
      </c>
      <c r="O28" s="862" t="s">
        <v>397</v>
      </c>
      <c r="P28" s="861" t="s">
        <v>397</v>
      </c>
      <c r="Q28" s="861" t="s">
        <v>397</v>
      </c>
      <c r="R28" s="862" t="s">
        <v>397</v>
      </c>
      <c r="S28" s="861" t="s">
        <v>397</v>
      </c>
      <c r="T28" s="863" t="s">
        <v>397</v>
      </c>
      <c r="U28" s="864">
        <v>134.42000000000002</v>
      </c>
      <c r="V28" s="863">
        <v>40.67</v>
      </c>
      <c r="W28" s="861" t="s">
        <v>397</v>
      </c>
      <c r="X28" s="862" t="s">
        <v>397</v>
      </c>
      <c r="Y28" s="864" t="s">
        <v>397</v>
      </c>
      <c r="Z28" s="862" t="s">
        <v>397</v>
      </c>
      <c r="AA28" s="861" t="s">
        <v>397</v>
      </c>
      <c r="AB28" s="863" t="s">
        <v>397</v>
      </c>
      <c r="AC28" s="864" t="s">
        <v>397</v>
      </c>
      <c r="AD28" s="863" t="s">
        <v>397</v>
      </c>
      <c r="AE28" s="864" t="s">
        <v>397</v>
      </c>
    </row>
    <row r="29" spans="1:31" ht="14" thickBot="1">
      <c r="A29" s="801">
        <v>820</v>
      </c>
      <c r="B29" s="802" t="s">
        <v>1376</v>
      </c>
      <c r="C29" s="860">
        <v>2559.42</v>
      </c>
      <c r="D29" s="861" t="s">
        <v>397</v>
      </c>
      <c r="E29" s="862" t="s">
        <v>397</v>
      </c>
      <c r="F29" s="861" t="s">
        <v>397</v>
      </c>
      <c r="G29" s="862" t="s">
        <v>397</v>
      </c>
      <c r="H29" s="861" t="s">
        <v>397</v>
      </c>
      <c r="I29" s="860" t="s">
        <v>397</v>
      </c>
      <c r="J29" s="861" t="s">
        <v>397</v>
      </c>
      <c r="K29" s="860" t="s">
        <v>397</v>
      </c>
      <c r="L29" s="861" t="s">
        <v>397</v>
      </c>
      <c r="M29" s="862" t="s">
        <v>397</v>
      </c>
      <c r="N29" s="861" t="s">
        <v>397</v>
      </c>
      <c r="O29" s="862" t="s">
        <v>397</v>
      </c>
      <c r="P29" s="861" t="s">
        <v>397</v>
      </c>
      <c r="Q29" s="861" t="s">
        <v>397</v>
      </c>
      <c r="R29" s="862" t="s">
        <v>397</v>
      </c>
      <c r="S29" s="861" t="s">
        <v>397</v>
      </c>
      <c r="T29" s="863" t="s">
        <v>397</v>
      </c>
      <c r="U29" s="864" t="s">
        <v>397</v>
      </c>
      <c r="V29" s="863">
        <v>2559.42</v>
      </c>
      <c r="W29" s="861" t="s">
        <v>397</v>
      </c>
      <c r="X29" s="862" t="s">
        <v>397</v>
      </c>
      <c r="Y29" s="864" t="s">
        <v>397</v>
      </c>
      <c r="Z29" s="862" t="s">
        <v>397</v>
      </c>
      <c r="AA29" s="861" t="s">
        <v>397</v>
      </c>
      <c r="AB29" s="863" t="s">
        <v>397</v>
      </c>
      <c r="AC29" s="864" t="s">
        <v>397</v>
      </c>
      <c r="AD29" s="863" t="s">
        <v>397</v>
      </c>
      <c r="AE29" s="864" t="s">
        <v>397</v>
      </c>
    </row>
    <row r="30" spans="1:31" ht="14" thickBot="1">
      <c r="A30" s="801">
        <v>829</v>
      </c>
      <c r="B30" s="802" t="s">
        <v>1377</v>
      </c>
      <c r="C30" s="860">
        <v>14978.33</v>
      </c>
      <c r="D30" s="861">
        <v>4409.75</v>
      </c>
      <c r="E30" s="862">
        <v>98.17</v>
      </c>
      <c r="F30" s="861">
        <v>1726.92</v>
      </c>
      <c r="G30" s="862">
        <v>29.33</v>
      </c>
      <c r="H30" s="861">
        <v>3613.92</v>
      </c>
      <c r="I30" s="860">
        <v>24.58</v>
      </c>
      <c r="J30" s="861">
        <v>38.92</v>
      </c>
      <c r="K30" s="860">
        <v>10.58</v>
      </c>
      <c r="L30" s="861">
        <v>3109.5</v>
      </c>
      <c r="M30" s="862">
        <v>7.58</v>
      </c>
      <c r="N30" s="861">
        <v>13.08</v>
      </c>
      <c r="O30" s="862">
        <v>30.33</v>
      </c>
      <c r="P30" s="861">
        <v>32.58</v>
      </c>
      <c r="Q30" s="861" t="s">
        <v>397</v>
      </c>
      <c r="R30" s="862">
        <v>14.25</v>
      </c>
      <c r="S30" s="861">
        <v>2.17</v>
      </c>
      <c r="T30" s="863" t="s">
        <v>397</v>
      </c>
      <c r="U30" s="864">
        <v>90.08</v>
      </c>
      <c r="V30" s="863">
        <v>14.42</v>
      </c>
      <c r="W30" s="861">
        <v>1565.08</v>
      </c>
      <c r="X30" s="862">
        <v>25.42</v>
      </c>
      <c r="Y30" s="864">
        <v>73.58</v>
      </c>
      <c r="Z30" s="862">
        <v>19.75</v>
      </c>
      <c r="AA30" s="861">
        <v>15.58</v>
      </c>
      <c r="AB30" s="863">
        <v>2</v>
      </c>
      <c r="AC30" s="864">
        <v>10.75</v>
      </c>
      <c r="AD30" s="863" t="s">
        <v>397</v>
      </c>
      <c r="AE30" s="864" t="s">
        <v>397</v>
      </c>
    </row>
    <row r="31" spans="1:31" ht="14" thickBot="1">
      <c r="A31" s="801">
        <v>881</v>
      </c>
      <c r="B31" s="802" t="s">
        <v>1378</v>
      </c>
      <c r="C31" s="860">
        <v>178520.89</v>
      </c>
      <c r="D31" s="861">
        <v>33815.090000000004</v>
      </c>
      <c r="E31" s="862">
        <v>14878.51</v>
      </c>
      <c r="F31" s="861">
        <v>14538.42</v>
      </c>
      <c r="G31" s="862">
        <v>187.92</v>
      </c>
      <c r="H31" s="861">
        <v>2726.75</v>
      </c>
      <c r="I31" s="860">
        <v>347.92</v>
      </c>
      <c r="J31" s="861">
        <v>1051.08</v>
      </c>
      <c r="K31" s="860">
        <v>229</v>
      </c>
      <c r="L31" s="861">
        <v>7446.17</v>
      </c>
      <c r="M31" s="862">
        <v>3780.42</v>
      </c>
      <c r="N31" s="861">
        <v>10227.76</v>
      </c>
      <c r="O31" s="862">
        <v>1429.24</v>
      </c>
      <c r="P31" s="861">
        <v>6897.42</v>
      </c>
      <c r="Q31" s="861" t="s">
        <v>397</v>
      </c>
      <c r="R31" s="862">
        <v>2826.49</v>
      </c>
      <c r="S31" s="861">
        <v>2535.34</v>
      </c>
      <c r="T31" s="863">
        <v>160.99</v>
      </c>
      <c r="U31" s="864">
        <v>10574.17</v>
      </c>
      <c r="V31" s="863">
        <v>5997.83</v>
      </c>
      <c r="W31" s="861">
        <v>29680.080000000002</v>
      </c>
      <c r="X31" s="862">
        <v>7093.83</v>
      </c>
      <c r="Y31" s="864">
        <v>6065.01</v>
      </c>
      <c r="Z31" s="862">
        <v>7825.5</v>
      </c>
      <c r="AA31" s="861">
        <v>4054</v>
      </c>
      <c r="AB31" s="863">
        <v>366.33</v>
      </c>
      <c r="AC31" s="864">
        <v>1680.58</v>
      </c>
      <c r="AD31" s="863">
        <v>2105.08</v>
      </c>
      <c r="AE31" s="864" t="s">
        <v>397</v>
      </c>
    </row>
    <row r="32" spans="1:31" ht="14" thickBot="1">
      <c r="A32" s="801">
        <v>901</v>
      </c>
      <c r="B32" s="802" t="s">
        <v>1379</v>
      </c>
      <c r="C32" s="860">
        <v>2462.33</v>
      </c>
      <c r="D32" s="861" t="s">
        <v>397</v>
      </c>
      <c r="E32" s="862" t="s">
        <v>397</v>
      </c>
      <c r="F32" s="861" t="s">
        <v>397</v>
      </c>
      <c r="G32" s="862" t="s">
        <v>397</v>
      </c>
      <c r="H32" s="861" t="s">
        <v>397</v>
      </c>
      <c r="I32" s="860" t="s">
        <v>397</v>
      </c>
      <c r="J32" s="861" t="s">
        <v>397</v>
      </c>
      <c r="K32" s="860" t="s">
        <v>397</v>
      </c>
      <c r="L32" s="861" t="s">
        <v>397</v>
      </c>
      <c r="M32" s="862" t="s">
        <v>397</v>
      </c>
      <c r="N32" s="861" t="s">
        <v>397</v>
      </c>
      <c r="O32" s="862" t="s">
        <v>397</v>
      </c>
      <c r="P32" s="861" t="s">
        <v>397</v>
      </c>
      <c r="Q32" s="861" t="s">
        <v>397</v>
      </c>
      <c r="R32" s="862" t="s">
        <v>397</v>
      </c>
      <c r="S32" s="861" t="s">
        <v>397</v>
      </c>
      <c r="T32" s="863" t="s">
        <v>397</v>
      </c>
      <c r="U32" s="864" t="s">
        <v>397</v>
      </c>
      <c r="V32" s="863">
        <v>2462.33</v>
      </c>
      <c r="W32" s="861" t="s">
        <v>397</v>
      </c>
      <c r="X32" s="862" t="s">
        <v>397</v>
      </c>
      <c r="Y32" s="864" t="s">
        <v>397</v>
      </c>
      <c r="Z32" s="862" t="s">
        <v>397</v>
      </c>
      <c r="AA32" s="861" t="s">
        <v>397</v>
      </c>
      <c r="AB32" s="863" t="s">
        <v>397</v>
      </c>
      <c r="AC32" s="864" t="s">
        <v>397</v>
      </c>
      <c r="AD32" s="863" t="s">
        <v>397</v>
      </c>
      <c r="AE32" s="864" t="s">
        <v>397</v>
      </c>
    </row>
    <row r="33" spans="1:31" ht="14" thickBot="1">
      <c r="A33" s="801">
        <v>923</v>
      </c>
      <c r="B33" s="802" t="s">
        <v>1380</v>
      </c>
      <c r="C33" s="860">
        <v>14847.12</v>
      </c>
      <c r="D33" s="861">
        <v>4719.5600000000004</v>
      </c>
      <c r="E33" s="862">
        <v>1965.56</v>
      </c>
      <c r="F33" s="861">
        <v>95.87</v>
      </c>
      <c r="G33" s="862">
        <v>11.5</v>
      </c>
      <c r="H33" s="861">
        <v>85.91</v>
      </c>
      <c r="I33" s="860">
        <v>20.67</v>
      </c>
      <c r="J33" s="861">
        <v>18.91</v>
      </c>
      <c r="K33" s="860">
        <v>64.41</v>
      </c>
      <c r="L33" s="861">
        <v>52.17</v>
      </c>
      <c r="M33" s="862">
        <v>250.18</v>
      </c>
      <c r="N33" s="861">
        <v>530.34</v>
      </c>
      <c r="O33" s="862">
        <v>215.59</v>
      </c>
      <c r="P33" s="861">
        <v>879.57</v>
      </c>
      <c r="Q33" s="861" t="s">
        <v>397</v>
      </c>
      <c r="R33" s="862">
        <v>150.58000000000001</v>
      </c>
      <c r="S33" s="861">
        <v>139.22</v>
      </c>
      <c r="T33" s="863">
        <v>8.5</v>
      </c>
      <c r="U33" s="864">
        <v>2708.63</v>
      </c>
      <c r="V33" s="863">
        <v>1274.73</v>
      </c>
      <c r="W33" s="861">
        <v>709.49</v>
      </c>
      <c r="X33" s="862">
        <v>922.16</v>
      </c>
      <c r="Y33" s="864" t="s">
        <v>397</v>
      </c>
      <c r="Z33" s="862" t="s">
        <v>397</v>
      </c>
      <c r="AA33" s="861">
        <v>23.58</v>
      </c>
      <c r="AB33" s="863" t="s">
        <v>397</v>
      </c>
      <c r="AC33" s="864" t="s">
        <v>397</v>
      </c>
      <c r="AD33" s="863" t="s">
        <v>397</v>
      </c>
      <c r="AE33" s="864" t="s">
        <v>397</v>
      </c>
    </row>
    <row r="34" spans="1:31" ht="14" thickBot="1">
      <c r="A34" s="801">
        <v>941</v>
      </c>
      <c r="B34" s="802" t="s">
        <v>1381</v>
      </c>
      <c r="C34" s="860">
        <v>34763.26</v>
      </c>
      <c r="D34" s="861" t="s">
        <v>397</v>
      </c>
      <c r="E34" s="862">
        <v>244.14</v>
      </c>
      <c r="F34" s="861" t="s">
        <v>397</v>
      </c>
      <c r="G34" s="862" t="s">
        <v>397</v>
      </c>
      <c r="H34" s="861" t="s">
        <v>397</v>
      </c>
      <c r="I34" s="860" t="s">
        <v>397</v>
      </c>
      <c r="J34" s="861" t="s">
        <v>397</v>
      </c>
      <c r="K34" s="860" t="s">
        <v>397</v>
      </c>
      <c r="L34" s="861" t="s">
        <v>397</v>
      </c>
      <c r="M34" s="862" t="s">
        <v>397</v>
      </c>
      <c r="N34" s="861" t="s">
        <v>397</v>
      </c>
      <c r="O34" s="862" t="s">
        <v>397</v>
      </c>
      <c r="P34" s="861" t="s">
        <v>397</v>
      </c>
      <c r="Q34" s="861" t="s">
        <v>397</v>
      </c>
      <c r="R34" s="862" t="s">
        <v>397</v>
      </c>
      <c r="S34" s="861" t="s">
        <v>397</v>
      </c>
      <c r="T34" s="863" t="s">
        <v>397</v>
      </c>
      <c r="U34" s="864" t="s">
        <v>397</v>
      </c>
      <c r="V34" s="863" t="s">
        <v>397</v>
      </c>
      <c r="W34" s="861" t="s">
        <v>397</v>
      </c>
      <c r="X34" s="862" t="s">
        <v>397</v>
      </c>
      <c r="Y34" s="864" t="s">
        <v>397</v>
      </c>
      <c r="Z34" s="862" t="s">
        <v>397</v>
      </c>
      <c r="AA34" s="861">
        <v>34519.050000000003</v>
      </c>
      <c r="AB34" s="863" t="s">
        <v>397</v>
      </c>
      <c r="AC34" s="864" t="s">
        <v>397</v>
      </c>
      <c r="AD34" s="863" t="s">
        <v>397</v>
      </c>
      <c r="AE34" s="864" t="s">
        <v>397</v>
      </c>
    </row>
    <row r="35" spans="1:31" ht="14" thickBot="1">
      <c r="A35" s="801">
        <v>966</v>
      </c>
      <c r="B35" s="802" t="s">
        <v>1382</v>
      </c>
      <c r="C35" s="860">
        <v>4232.38</v>
      </c>
      <c r="D35" s="861">
        <v>55.17</v>
      </c>
      <c r="E35" s="862">
        <v>9.67</v>
      </c>
      <c r="F35" s="861">
        <v>21.67</v>
      </c>
      <c r="G35" s="862">
        <v>2</v>
      </c>
      <c r="H35" s="861">
        <v>8.83</v>
      </c>
      <c r="I35" s="860" t="s">
        <v>397</v>
      </c>
      <c r="J35" s="861" t="s">
        <v>397</v>
      </c>
      <c r="K35" s="860">
        <v>2</v>
      </c>
      <c r="L35" s="861">
        <v>6.33</v>
      </c>
      <c r="M35" s="862" t="s">
        <v>397</v>
      </c>
      <c r="N35" s="861">
        <v>4.58</v>
      </c>
      <c r="O35" s="862">
        <v>5.42</v>
      </c>
      <c r="P35" s="861">
        <v>3.17</v>
      </c>
      <c r="Q35" s="861" t="s">
        <v>397</v>
      </c>
      <c r="R35" s="862">
        <v>2</v>
      </c>
      <c r="S35" s="861">
        <v>4</v>
      </c>
      <c r="T35" s="863">
        <v>3</v>
      </c>
      <c r="U35" s="864">
        <v>69.08</v>
      </c>
      <c r="V35" s="863">
        <v>3999.54</v>
      </c>
      <c r="W35" s="861">
        <v>14.5</v>
      </c>
      <c r="X35" s="862">
        <v>14.42</v>
      </c>
      <c r="Y35" s="864">
        <v>5</v>
      </c>
      <c r="Z35" s="862">
        <v>1</v>
      </c>
      <c r="AA35" s="861" t="s">
        <v>397</v>
      </c>
      <c r="AB35" s="863" t="s">
        <v>397</v>
      </c>
      <c r="AC35" s="864" t="s">
        <v>397</v>
      </c>
      <c r="AD35" s="863">
        <v>1</v>
      </c>
      <c r="AE35" s="864" t="s">
        <v>397</v>
      </c>
    </row>
    <row r="36" spans="1:31" ht="14" thickBot="1">
      <c r="A36" s="801">
        <v>994</v>
      </c>
      <c r="B36" s="802" t="s">
        <v>1383</v>
      </c>
      <c r="C36" s="860">
        <v>183487.42</v>
      </c>
      <c r="D36" s="861">
        <v>30153.33</v>
      </c>
      <c r="E36" s="862">
        <v>32604.92</v>
      </c>
      <c r="F36" s="861">
        <v>7634.33</v>
      </c>
      <c r="G36" s="862">
        <v>7750.75</v>
      </c>
      <c r="H36" s="861">
        <v>831.92</v>
      </c>
      <c r="I36" s="860">
        <v>2986.42</v>
      </c>
      <c r="J36" s="861">
        <v>2749.75</v>
      </c>
      <c r="K36" s="860">
        <v>3878.83</v>
      </c>
      <c r="L36" s="861">
        <v>3490.58</v>
      </c>
      <c r="M36" s="862">
        <v>2404.67</v>
      </c>
      <c r="N36" s="861">
        <v>1130.5</v>
      </c>
      <c r="O36" s="862">
        <v>1417.67</v>
      </c>
      <c r="P36" s="861">
        <v>2360.33</v>
      </c>
      <c r="Q36" s="861" t="s">
        <v>397</v>
      </c>
      <c r="R36" s="862">
        <v>5421.33</v>
      </c>
      <c r="S36" s="861">
        <v>380.42</v>
      </c>
      <c r="T36" s="863">
        <v>326.5</v>
      </c>
      <c r="U36" s="864">
        <v>6889.67</v>
      </c>
      <c r="V36" s="863">
        <v>4820.83</v>
      </c>
      <c r="W36" s="861">
        <v>33232.42</v>
      </c>
      <c r="X36" s="862">
        <v>12674.83</v>
      </c>
      <c r="Y36" s="864">
        <v>2396.5</v>
      </c>
      <c r="Z36" s="862">
        <v>8542.25</v>
      </c>
      <c r="AA36" s="861">
        <v>4581.33</v>
      </c>
      <c r="AB36" s="863">
        <v>2205.42</v>
      </c>
      <c r="AC36" s="864">
        <v>2394.58</v>
      </c>
      <c r="AD36" s="863">
        <v>227.33</v>
      </c>
      <c r="AE36" s="864" t="s">
        <v>397</v>
      </c>
    </row>
    <row r="37" spans="1:31" ht="14" thickBot="1">
      <c r="A37" s="801">
        <v>1003</v>
      </c>
      <c r="B37" s="802" t="s">
        <v>1416</v>
      </c>
      <c r="C37" s="860">
        <v>172.08</v>
      </c>
      <c r="D37" s="861" t="s">
        <v>397</v>
      </c>
      <c r="E37" s="862" t="s">
        <v>397</v>
      </c>
      <c r="F37" s="861" t="s">
        <v>397</v>
      </c>
      <c r="G37" s="862" t="s">
        <v>397</v>
      </c>
      <c r="H37" s="861" t="s">
        <v>397</v>
      </c>
      <c r="I37" s="860" t="s">
        <v>397</v>
      </c>
      <c r="J37" s="861" t="s">
        <v>397</v>
      </c>
      <c r="K37" s="860" t="s">
        <v>397</v>
      </c>
      <c r="L37" s="861" t="s">
        <v>397</v>
      </c>
      <c r="M37" s="862" t="s">
        <v>397</v>
      </c>
      <c r="N37" s="861" t="s">
        <v>397</v>
      </c>
      <c r="O37" s="862" t="s">
        <v>397</v>
      </c>
      <c r="P37" s="861" t="s">
        <v>397</v>
      </c>
      <c r="Q37" s="861" t="s">
        <v>397</v>
      </c>
      <c r="R37" s="862" t="s">
        <v>397</v>
      </c>
      <c r="S37" s="861" t="s">
        <v>397</v>
      </c>
      <c r="T37" s="863" t="s">
        <v>397</v>
      </c>
      <c r="U37" s="864" t="s">
        <v>397</v>
      </c>
      <c r="V37" s="863" t="s">
        <v>397</v>
      </c>
      <c r="W37" s="861" t="s">
        <v>397</v>
      </c>
      <c r="X37" s="862" t="s">
        <v>397</v>
      </c>
      <c r="Y37" s="864" t="s">
        <v>397</v>
      </c>
      <c r="Z37" s="862" t="s">
        <v>397</v>
      </c>
      <c r="AA37" s="861">
        <v>172.08</v>
      </c>
      <c r="AB37" s="863" t="s">
        <v>397</v>
      </c>
      <c r="AC37" s="864" t="s">
        <v>397</v>
      </c>
      <c r="AD37" s="863" t="s">
        <v>397</v>
      </c>
      <c r="AE37" s="864" t="s">
        <v>397</v>
      </c>
    </row>
    <row r="38" spans="1:31" ht="14" thickBot="1">
      <c r="A38" s="801">
        <v>1040</v>
      </c>
      <c r="B38" s="802" t="s">
        <v>1384</v>
      </c>
      <c r="C38" s="860">
        <v>4207.42</v>
      </c>
      <c r="D38" s="861" t="s">
        <v>397</v>
      </c>
      <c r="E38" s="862" t="s">
        <v>397</v>
      </c>
      <c r="F38" s="861" t="s">
        <v>397</v>
      </c>
      <c r="G38" s="862" t="s">
        <v>397</v>
      </c>
      <c r="H38" s="861" t="s">
        <v>397</v>
      </c>
      <c r="I38" s="860" t="s">
        <v>397</v>
      </c>
      <c r="J38" s="861" t="s">
        <v>397</v>
      </c>
      <c r="K38" s="860" t="s">
        <v>397</v>
      </c>
      <c r="L38" s="861" t="s">
        <v>397</v>
      </c>
      <c r="M38" s="862" t="s">
        <v>397</v>
      </c>
      <c r="N38" s="861" t="s">
        <v>397</v>
      </c>
      <c r="O38" s="862" t="s">
        <v>397</v>
      </c>
      <c r="P38" s="861" t="s">
        <v>397</v>
      </c>
      <c r="Q38" s="861" t="s">
        <v>397</v>
      </c>
      <c r="R38" s="862" t="s">
        <v>397</v>
      </c>
      <c r="S38" s="861" t="s">
        <v>397</v>
      </c>
      <c r="T38" s="863" t="s">
        <v>397</v>
      </c>
      <c r="U38" s="864" t="s">
        <v>397</v>
      </c>
      <c r="V38" s="863" t="s">
        <v>397</v>
      </c>
      <c r="W38" s="861" t="s">
        <v>397</v>
      </c>
      <c r="X38" s="862" t="s">
        <v>397</v>
      </c>
      <c r="Y38" s="864" t="s">
        <v>397</v>
      </c>
      <c r="Z38" s="862" t="s">
        <v>397</v>
      </c>
      <c r="AA38" s="861">
        <v>4207.42</v>
      </c>
      <c r="AB38" s="863" t="s">
        <v>397</v>
      </c>
      <c r="AC38" s="864" t="s">
        <v>397</v>
      </c>
      <c r="AD38" s="863" t="s">
        <v>397</v>
      </c>
      <c r="AE38" s="864" t="s">
        <v>397</v>
      </c>
    </row>
    <row r="39" spans="1:31" ht="14" thickBot="1">
      <c r="A39" s="801">
        <v>1060</v>
      </c>
      <c r="B39" s="802" t="s">
        <v>1385</v>
      </c>
      <c r="C39" s="860">
        <v>176090.22</v>
      </c>
      <c r="D39" s="861">
        <v>84126.31</v>
      </c>
      <c r="E39" s="862">
        <v>10503.65</v>
      </c>
      <c r="F39" s="861">
        <v>2171.4700000000003</v>
      </c>
      <c r="G39" s="862">
        <v>290.20999999999998</v>
      </c>
      <c r="H39" s="861">
        <v>803.09</v>
      </c>
      <c r="I39" s="860">
        <v>295.68</v>
      </c>
      <c r="J39" s="861">
        <v>1945.65</v>
      </c>
      <c r="K39" s="860">
        <v>258.12</v>
      </c>
      <c r="L39" s="861">
        <v>1277.98</v>
      </c>
      <c r="M39" s="862">
        <v>522.83000000000004</v>
      </c>
      <c r="N39" s="861">
        <v>3645.03</v>
      </c>
      <c r="O39" s="862">
        <v>907.16</v>
      </c>
      <c r="P39" s="861">
        <v>10584.52</v>
      </c>
      <c r="Q39" s="861" t="s">
        <v>397</v>
      </c>
      <c r="R39" s="862">
        <v>4633.3100000000004</v>
      </c>
      <c r="S39" s="861">
        <v>1357.96</v>
      </c>
      <c r="T39" s="863">
        <v>614.01</v>
      </c>
      <c r="U39" s="864">
        <v>5664.17</v>
      </c>
      <c r="V39" s="863">
        <v>1617.12</v>
      </c>
      <c r="W39" s="861">
        <v>14571.98</v>
      </c>
      <c r="X39" s="862">
        <v>7197.5</v>
      </c>
      <c r="Y39" s="864">
        <v>11450.57</v>
      </c>
      <c r="Z39" s="862">
        <v>1789.72</v>
      </c>
      <c r="AA39" s="861">
        <v>1648.19</v>
      </c>
      <c r="AB39" s="863">
        <v>7546.19</v>
      </c>
      <c r="AC39" s="864">
        <v>478.92</v>
      </c>
      <c r="AD39" s="863">
        <v>188.88</v>
      </c>
      <c r="AE39" s="864" t="s">
        <v>397</v>
      </c>
    </row>
    <row r="40" spans="1:31" ht="14" thickBot="1">
      <c r="A40" s="801">
        <v>1113</v>
      </c>
      <c r="B40" s="802" t="s">
        <v>1386</v>
      </c>
      <c r="C40" s="860">
        <v>8373.59</v>
      </c>
      <c r="D40" s="861" t="s">
        <v>397</v>
      </c>
      <c r="E40" s="862" t="s">
        <v>397</v>
      </c>
      <c r="F40" s="861" t="s">
        <v>397</v>
      </c>
      <c r="G40" s="862" t="s">
        <v>397</v>
      </c>
      <c r="H40" s="861" t="s">
        <v>397</v>
      </c>
      <c r="I40" s="860" t="s">
        <v>397</v>
      </c>
      <c r="J40" s="861" t="s">
        <v>397</v>
      </c>
      <c r="K40" s="860" t="s">
        <v>397</v>
      </c>
      <c r="L40" s="861" t="s">
        <v>397</v>
      </c>
      <c r="M40" s="862" t="s">
        <v>397</v>
      </c>
      <c r="N40" s="861" t="s">
        <v>397</v>
      </c>
      <c r="O40" s="862" t="s">
        <v>397</v>
      </c>
      <c r="P40" s="861" t="s">
        <v>397</v>
      </c>
      <c r="Q40" s="861" t="s">
        <v>397</v>
      </c>
      <c r="R40" s="862" t="s">
        <v>397</v>
      </c>
      <c r="S40" s="861" t="s">
        <v>397</v>
      </c>
      <c r="T40" s="863" t="s">
        <v>397</v>
      </c>
      <c r="U40" s="864" t="s">
        <v>397</v>
      </c>
      <c r="V40" s="863" t="s">
        <v>397</v>
      </c>
      <c r="W40" s="861" t="s">
        <v>397</v>
      </c>
      <c r="X40" s="862" t="s">
        <v>397</v>
      </c>
      <c r="Y40" s="864" t="s">
        <v>397</v>
      </c>
      <c r="Z40" s="862" t="s">
        <v>397</v>
      </c>
      <c r="AA40" s="861">
        <v>8373.59</v>
      </c>
      <c r="AB40" s="863" t="s">
        <v>397</v>
      </c>
      <c r="AC40" s="864" t="s">
        <v>397</v>
      </c>
      <c r="AD40" s="863" t="s">
        <v>397</v>
      </c>
      <c r="AE40" s="864" t="s">
        <v>397</v>
      </c>
    </row>
    <row r="41" spans="1:31" ht="14" thickBot="1">
      <c r="A41" s="801">
        <v>1142</v>
      </c>
      <c r="B41" s="802" t="s">
        <v>1417</v>
      </c>
      <c r="C41" s="860">
        <v>806.19</v>
      </c>
      <c r="D41" s="861">
        <v>19.080000000000002</v>
      </c>
      <c r="E41" s="862">
        <v>15.67</v>
      </c>
      <c r="F41" s="861">
        <v>56.83</v>
      </c>
      <c r="G41" s="862">
        <v>1</v>
      </c>
      <c r="H41" s="861">
        <v>401.5</v>
      </c>
      <c r="I41" s="860" t="s">
        <v>397</v>
      </c>
      <c r="J41" s="861" t="s">
        <v>397</v>
      </c>
      <c r="K41" s="860" t="s">
        <v>397</v>
      </c>
      <c r="L41" s="861">
        <v>6</v>
      </c>
      <c r="M41" s="862">
        <v>80.17</v>
      </c>
      <c r="N41" s="861">
        <v>55.25</v>
      </c>
      <c r="O41" s="862">
        <v>10</v>
      </c>
      <c r="P41" s="861">
        <v>4</v>
      </c>
      <c r="Q41" s="861" t="s">
        <v>397</v>
      </c>
      <c r="R41" s="862" t="s">
        <v>397</v>
      </c>
      <c r="S41" s="861">
        <v>1</v>
      </c>
      <c r="T41" s="863" t="s">
        <v>397</v>
      </c>
      <c r="U41" s="864">
        <v>48.58</v>
      </c>
      <c r="V41" s="863">
        <v>5.67</v>
      </c>
      <c r="W41" s="861">
        <v>13.67</v>
      </c>
      <c r="X41" s="862">
        <v>1</v>
      </c>
      <c r="Y41" s="864">
        <v>47.42</v>
      </c>
      <c r="Z41" s="862" t="s">
        <v>397</v>
      </c>
      <c r="AA41" s="861">
        <v>32.17</v>
      </c>
      <c r="AB41" s="863" t="s">
        <v>397</v>
      </c>
      <c r="AC41" s="864" t="s">
        <v>397</v>
      </c>
      <c r="AD41" s="863">
        <v>7.17</v>
      </c>
      <c r="AE41" s="864" t="s">
        <v>397</v>
      </c>
    </row>
    <row r="42" spans="1:31" ht="14" thickBot="1">
      <c r="A42" s="801">
        <v>1147</v>
      </c>
      <c r="B42" s="802" t="s">
        <v>1387</v>
      </c>
      <c r="C42" s="860">
        <v>396</v>
      </c>
      <c r="D42" s="861">
        <v>396</v>
      </c>
      <c r="E42" s="862" t="s">
        <v>397</v>
      </c>
      <c r="F42" s="861" t="s">
        <v>397</v>
      </c>
      <c r="G42" s="862" t="s">
        <v>397</v>
      </c>
      <c r="H42" s="861" t="s">
        <v>397</v>
      </c>
      <c r="I42" s="860" t="s">
        <v>397</v>
      </c>
      <c r="J42" s="861" t="s">
        <v>397</v>
      </c>
      <c r="K42" s="860" t="s">
        <v>397</v>
      </c>
      <c r="L42" s="861" t="s">
        <v>397</v>
      </c>
      <c r="M42" s="862" t="s">
        <v>397</v>
      </c>
      <c r="N42" s="861" t="s">
        <v>397</v>
      </c>
      <c r="O42" s="862" t="s">
        <v>397</v>
      </c>
      <c r="P42" s="861" t="s">
        <v>397</v>
      </c>
      <c r="Q42" s="861" t="s">
        <v>397</v>
      </c>
      <c r="R42" s="862" t="s">
        <v>397</v>
      </c>
      <c r="S42" s="861" t="s">
        <v>397</v>
      </c>
      <c r="T42" s="863" t="s">
        <v>397</v>
      </c>
      <c r="U42" s="864" t="s">
        <v>397</v>
      </c>
      <c r="V42" s="863" t="s">
        <v>397</v>
      </c>
      <c r="W42" s="861" t="s">
        <v>397</v>
      </c>
      <c r="X42" s="862" t="s">
        <v>397</v>
      </c>
      <c r="Y42" s="864" t="s">
        <v>397</v>
      </c>
      <c r="Z42" s="862" t="s">
        <v>397</v>
      </c>
      <c r="AA42" s="861" t="s">
        <v>397</v>
      </c>
      <c r="AB42" s="863" t="s">
        <v>397</v>
      </c>
      <c r="AC42" s="864" t="s">
        <v>397</v>
      </c>
      <c r="AD42" s="863" t="s">
        <v>397</v>
      </c>
      <c r="AE42" s="864" t="s">
        <v>397</v>
      </c>
    </row>
    <row r="43" spans="1:31" ht="14" thickBot="1">
      <c r="A43" s="801">
        <v>1318</v>
      </c>
      <c r="B43" s="802" t="s">
        <v>1390</v>
      </c>
      <c r="C43" s="860">
        <v>8625.25</v>
      </c>
      <c r="D43" s="861">
        <v>8415.5</v>
      </c>
      <c r="E43" s="862" t="s">
        <v>397</v>
      </c>
      <c r="F43" s="861" t="s">
        <v>397</v>
      </c>
      <c r="G43" s="862" t="s">
        <v>397</v>
      </c>
      <c r="H43" s="861">
        <v>118.42</v>
      </c>
      <c r="I43" s="860" t="s">
        <v>397</v>
      </c>
      <c r="J43" s="861" t="s">
        <v>397</v>
      </c>
      <c r="K43" s="860" t="s">
        <v>397</v>
      </c>
      <c r="L43" s="861">
        <v>17.920000000000002</v>
      </c>
      <c r="M43" s="862" t="s">
        <v>397</v>
      </c>
      <c r="N43" s="861" t="s">
        <v>397</v>
      </c>
      <c r="O43" s="862" t="s">
        <v>397</v>
      </c>
      <c r="P43" s="861" t="s">
        <v>397</v>
      </c>
      <c r="Q43" s="861" t="s">
        <v>397</v>
      </c>
      <c r="R43" s="862" t="s">
        <v>397</v>
      </c>
      <c r="S43" s="861" t="s">
        <v>397</v>
      </c>
      <c r="T43" s="863" t="s">
        <v>397</v>
      </c>
      <c r="U43" s="864" t="s">
        <v>397</v>
      </c>
      <c r="V43" s="863" t="s">
        <v>397</v>
      </c>
      <c r="W43" s="861">
        <v>73.42</v>
      </c>
      <c r="X43" s="862" t="s">
        <v>397</v>
      </c>
      <c r="Y43" s="864" t="s">
        <v>397</v>
      </c>
      <c r="Z43" s="862" t="s">
        <v>397</v>
      </c>
      <c r="AA43" s="861" t="s">
        <v>397</v>
      </c>
      <c r="AB43" s="863" t="s">
        <v>397</v>
      </c>
      <c r="AC43" s="864" t="s">
        <v>397</v>
      </c>
      <c r="AD43" s="863" t="s">
        <v>397</v>
      </c>
      <c r="AE43" s="864" t="s">
        <v>397</v>
      </c>
    </row>
    <row r="44" spans="1:31" ht="14" thickBot="1">
      <c r="A44" s="801">
        <v>1322</v>
      </c>
      <c r="B44" s="802" t="s">
        <v>1391</v>
      </c>
      <c r="C44" s="860">
        <v>8771.76</v>
      </c>
      <c r="D44" s="861">
        <v>3.16</v>
      </c>
      <c r="E44" s="862">
        <v>3.25</v>
      </c>
      <c r="F44" s="861">
        <v>0.84</v>
      </c>
      <c r="G44" s="862" t="s">
        <v>397</v>
      </c>
      <c r="H44" s="861" t="s">
        <v>397</v>
      </c>
      <c r="I44" s="860" t="s">
        <v>397</v>
      </c>
      <c r="J44" s="861" t="s">
        <v>397</v>
      </c>
      <c r="K44" s="860">
        <v>0.08</v>
      </c>
      <c r="L44" s="861">
        <v>0.25</v>
      </c>
      <c r="M44" s="862" t="s">
        <v>397</v>
      </c>
      <c r="N44" s="861">
        <v>0.5</v>
      </c>
      <c r="O44" s="862">
        <v>0.59</v>
      </c>
      <c r="P44" s="861">
        <v>0.42</v>
      </c>
      <c r="Q44" s="861" t="s">
        <v>397</v>
      </c>
      <c r="R44" s="862" t="s">
        <v>397</v>
      </c>
      <c r="S44" s="861" t="s">
        <v>397</v>
      </c>
      <c r="T44" s="863" t="s">
        <v>397</v>
      </c>
      <c r="U44" s="864">
        <v>0.75</v>
      </c>
      <c r="V44" s="863" t="s">
        <v>397</v>
      </c>
      <c r="W44" s="861">
        <v>8761.59</v>
      </c>
      <c r="X44" s="862">
        <v>0.08</v>
      </c>
      <c r="Y44" s="864" t="s">
        <v>397</v>
      </c>
      <c r="Z44" s="862">
        <v>0.17</v>
      </c>
      <c r="AA44" s="861">
        <v>0.08</v>
      </c>
      <c r="AB44" s="863" t="s">
        <v>397</v>
      </c>
      <c r="AC44" s="864" t="s">
        <v>397</v>
      </c>
      <c r="AD44" s="863" t="s">
        <v>397</v>
      </c>
      <c r="AE44" s="864" t="s">
        <v>397</v>
      </c>
    </row>
    <row r="45" spans="1:31" ht="14" thickBot="1">
      <c r="A45" s="801">
        <v>1328</v>
      </c>
      <c r="B45" s="802" t="s">
        <v>1392</v>
      </c>
      <c r="C45" s="860">
        <v>6105.85</v>
      </c>
      <c r="D45" s="861">
        <v>5331.02</v>
      </c>
      <c r="E45" s="862">
        <v>43.94</v>
      </c>
      <c r="F45" s="861">
        <v>12.37</v>
      </c>
      <c r="G45" s="862">
        <v>2.59</v>
      </c>
      <c r="H45" s="861">
        <v>16.53</v>
      </c>
      <c r="I45" s="860">
        <v>2.0100000000000002</v>
      </c>
      <c r="J45" s="861">
        <v>11.86</v>
      </c>
      <c r="K45" s="860">
        <v>5.01</v>
      </c>
      <c r="L45" s="861">
        <v>19.22</v>
      </c>
      <c r="M45" s="862" t="s">
        <v>397</v>
      </c>
      <c r="N45" s="861">
        <v>18.48</v>
      </c>
      <c r="O45" s="862">
        <v>13.03</v>
      </c>
      <c r="P45" s="861">
        <v>31.5</v>
      </c>
      <c r="Q45" s="861" t="s">
        <v>397</v>
      </c>
      <c r="R45" s="862">
        <v>38.770000000000003</v>
      </c>
      <c r="S45" s="861">
        <v>9.58</v>
      </c>
      <c r="T45" s="863">
        <v>1</v>
      </c>
      <c r="U45" s="864">
        <v>86.53</v>
      </c>
      <c r="V45" s="863">
        <v>18.13</v>
      </c>
      <c r="W45" s="861">
        <v>84.6</v>
      </c>
      <c r="X45" s="862">
        <v>359.65</v>
      </c>
      <c r="Y45" s="864" t="s">
        <v>397</v>
      </c>
      <c r="Z45" s="862" t="s">
        <v>397</v>
      </c>
      <c r="AA45" s="861" t="s">
        <v>397</v>
      </c>
      <c r="AB45" s="863" t="s">
        <v>397</v>
      </c>
      <c r="AC45" s="864" t="s">
        <v>397</v>
      </c>
      <c r="AD45" s="863" t="s">
        <v>397</v>
      </c>
      <c r="AE45" s="864" t="s">
        <v>397</v>
      </c>
    </row>
    <row r="46" spans="1:31" ht="14" thickBot="1">
      <c r="A46" s="801">
        <v>1331</v>
      </c>
      <c r="B46" s="802" t="s">
        <v>1393</v>
      </c>
      <c r="C46" s="860">
        <v>1677.76</v>
      </c>
      <c r="D46" s="861" t="s">
        <v>397</v>
      </c>
      <c r="E46" s="862" t="s">
        <v>397</v>
      </c>
      <c r="F46" s="861" t="s">
        <v>397</v>
      </c>
      <c r="G46" s="862" t="s">
        <v>397</v>
      </c>
      <c r="H46" s="861" t="s">
        <v>397</v>
      </c>
      <c r="I46" s="860" t="s">
        <v>397</v>
      </c>
      <c r="J46" s="861" t="s">
        <v>397</v>
      </c>
      <c r="K46" s="860">
        <v>6.5</v>
      </c>
      <c r="L46" s="861" t="s">
        <v>397</v>
      </c>
      <c r="M46" s="862" t="s">
        <v>397</v>
      </c>
      <c r="N46" s="861" t="s">
        <v>397</v>
      </c>
      <c r="O46" s="862" t="s">
        <v>397</v>
      </c>
      <c r="P46" s="861" t="s">
        <v>397</v>
      </c>
      <c r="Q46" s="861" t="s">
        <v>397</v>
      </c>
      <c r="R46" s="862" t="s">
        <v>397</v>
      </c>
      <c r="S46" s="861" t="s">
        <v>397</v>
      </c>
      <c r="T46" s="863" t="s">
        <v>397</v>
      </c>
      <c r="U46" s="864">
        <v>1659.08</v>
      </c>
      <c r="V46" s="863">
        <v>12.17</v>
      </c>
      <c r="W46" s="861" t="s">
        <v>397</v>
      </c>
      <c r="X46" s="862" t="s">
        <v>397</v>
      </c>
      <c r="Y46" s="864" t="s">
        <v>397</v>
      </c>
      <c r="Z46" s="862" t="s">
        <v>397</v>
      </c>
      <c r="AA46" s="861" t="s">
        <v>397</v>
      </c>
      <c r="AB46" s="863" t="s">
        <v>397</v>
      </c>
      <c r="AC46" s="864" t="s">
        <v>397</v>
      </c>
      <c r="AD46" s="863" t="s">
        <v>397</v>
      </c>
      <c r="AE46" s="864" t="s">
        <v>397</v>
      </c>
    </row>
    <row r="47" spans="1:31" ht="14" thickBot="1">
      <c r="A47" s="801">
        <v>1362</v>
      </c>
      <c r="B47" s="802" t="s">
        <v>1394</v>
      </c>
      <c r="C47" s="860">
        <v>971.41</v>
      </c>
      <c r="D47" s="861" t="s">
        <v>397</v>
      </c>
      <c r="E47" s="862" t="s">
        <v>397</v>
      </c>
      <c r="F47" s="861" t="s">
        <v>397</v>
      </c>
      <c r="G47" s="862" t="s">
        <v>397</v>
      </c>
      <c r="H47" s="861" t="s">
        <v>397</v>
      </c>
      <c r="I47" s="860" t="s">
        <v>397</v>
      </c>
      <c r="J47" s="861" t="s">
        <v>397</v>
      </c>
      <c r="K47" s="860" t="s">
        <v>397</v>
      </c>
      <c r="L47" s="861" t="s">
        <v>397</v>
      </c>
      <c r="M47" s="862" t="s">
        <v>397</v>
      </c>
      <c r="N47" s="861" t="s">
        <v>397</v>
      </c>
      <c r="O47" s="862" t="s">
        <v>397</v>
      </c>
      <c r="P47" s="861" t="s">
        <v>397</v>
      </c>
      <c r="Q47" s="861" t="s">
        <v>397</v>
      </c>
      <c r="R47" s="862" t="s">
        <v>397</v>
      </c>
      <c r="S47" s="861" t="s">
        <v>397</v>
      </c>
      <c r="T47" s="863" t="s">
        <v>397</v>
      </c>
      <c r="U47" s="864" t="s">
        <v>397</v>
      </c>
      <c r="V47" s="863" t="s">
        <v>397</v>
      </c>
      <c r="W47" s="861" t="s">
        <v>397</v>
      </c>
      <c r="X47" s="862" t="s">
        <v>397</v>
      </c>
      <c r="Y47" s="864" t="s">
        <v>397</v>
      </c>
      <c r="Z47" s="862" t="s">
        <v>397</v>
      </c>
      <c r="AA47" s="861">
        <v>971.41</v>
      </c>
      <c r="AB47" s="863" t="s">
        <v>397</v>
      </c>
      <c r="AC47" s="864" t="s">
        <v>397</v>
      </c>
      <c r="AD47" s="863" t="s">
        <v>397</v>
      </c>
      <c r="AE47" s="864" t="s">
        <v>397</v>
      </c>
    </row>
    <row r="48" spans="1:31" ht="14" thickBot="1">
      <c r="A48" s="801">
        <v>1384</v>
      </c>
      <c r="B48" s="802" t="s">
        <v>1395</v>
      </c>
      <c r="C48" s="860">
        <v>628658.11</v>
      </c>
      <c r="D48" s="861">
        <v>182971.23</v>
      </c>
      <c r="E48" s="862">
        <v>33091.919999999998</v>
      </c>
      <c r="F48" s="861">
        <v>9607</v>
      </c>
      <c r="G48" s="862">
        <v>497.75</v>
      </c>
      <c r="H48" s="861">
        <v>9398.42</v>
      </c>
      <c r="I48" s="860">
        <v>723.83</v>
      </c>
      <c r="J48" s="861">
        <v>772.75</v>
      </c>
      <c r="K48" s="860">
        <v>2853.75</v>
      </c>
      <c r="L48" s="861">
        <v>8457.42</v>
      </c>
      <c r="M48" s="862">
        <v>8729.08</v>
      </c>
      <c r="N48" s="861">
        <v>15053.92</v>
      </c>
      <c r="O48" s="862">
        <v>16947.670000000002</v>
      </c>
      <c r="P48" s="861">
        <v>28809.53</v>
      </c>
      <c r="Q48" s="861" t="s">
        <v>397</v>
      </c>
      <c r="R48" s="862">
        <v>8881.08</v>
      </c>
      <c r="S48" s="861">
        <v>17690.25</v>
      </c>
      <c r="T48" s="863">
        <v>4990.75</v>
      </c>
      <c r="U48" s="864">
        <v>125807.17</v>
      </c>
      <c r="V48" s="863">
        <v>13432</v>
      </c>
      <c r="W48" s="861">
        <v>27445.5</v>
      </c>
      <c r="X48" s="862">
        <v>54211.67</v>
      </c>
      <c r="Y48" s="864">
        <v>23924.42</v>
      </c>
      <c r="Z48" s="862">
        <v>12938.83</v>
      </c>
      <c r="AA48" s="861">
        <v>2378.42</v>
      </c>
      <c r="AB48" s="863">
        <v>2892.08</v>
      </c>
      <c r="AC48" s="864">
        <v>15281.34</v>
      </c>
      <c r="AD48" s="863">
        <v>870.33</v>
      </c>
      <c r="AE48" s="864" t="s">
        <v>397</v>
      </c>
    </row>
    <row r="49" spans="1:31" ht="14" thickBot="1">
      <c r="A49" s="801">
        <v>1386</v>
      </c>
      <c r="B49" s="802" t="s">
        <v>1396</v>
      </c>
      <c r="C49" s="860">
        <v>13004.67</v>
      </c>
      <c r="D49" s="861">
        <v>3461.84</v>
      </c>
      <c r="E49" s="862">
        <v>1362.25</v>
      </c>
      <c r="F49" s="861">
        <v>373</v>
      </c>
      <c r="G49" s="862">
        <v>14.08</v>
      </c>
      <c r="H49" s="861">
        <v>88.92</v>
      </c>
      <c r="I49" s="860">
        <v>18.75</v>
      </c>
      <c r="J49" s="861">
        <v>30.25</v>
      </c>
      <c r="K49" s="860">
        <v>30</v>
      </c>
      <c r="L49" s="861">
        <v>117.75</v>
      </c>
      <c r="M49" s="862">
        <v>321.42</v>
      </c>
      <c r="N49" s="861">
        <v>457.17</v>
      </c>
      <c r="O49" s="862">
        <v>113.5</v>
      </c>
      <c r="P49" s="861">
        <v>287.5</v>
      </c>
      <c r="Q49" s="861" t="s">
        <v>397</v>
      </c>
      <c r="R49" s="862">
        <v>130.42000000000002</v>
      </c>
      <c r="S49" s="861">
        <v>43.08</v>
      </c>
      <c r="T49" s="863">
        <v>5.42</v>
      </c>
      <c r="U49" s="864">
        <v>1237.08</v>
      </c>
      <c r="V49" s="863">
        <v>138.08000000000001</v>
      </c>
      <c r="W49" s="861">
        <v>2729.5</v>
      </c>
      <c r="X49" s="862">
        <v>198.5</v>
      </c>
      <c r="Y49" s="864">
        <v>194.83</v>
      </c>
      <c r="Z49" s="862">
        <v>1050.5</v>
      </c>
      <c r="AA49" s="861">
        <v>305.58</v>
      </c>
      <c r="AB49" s="863">
        <v>129.83000000000001</v>
      </c>
      <c r="AC49" s="864">
        <v>106.75</v>
      </c>
      <c r="AD49" s="863">
        <v>58.67</v>
      </c>
      <c r="AE49" s="864" t="s">
        <v>397</v>
      </c>
    </row>
    <row r="50" spans="1:31" ht="14" thickBot="1">
      <c r="A50" s="801">
        <v>1401</v>
      </c>
      <c r="B50" s="802" t="s">
        <v>1397</v>
      </c>
      <c r="C50" s="860">
        <v>9589.17</v>
      </c>
      <c r="D50" s="861">
        <v>1117.33</v>
      </c>
      <c r="E50" s="862">
        <v>130.92000000000002</v>
      </c>
      <c r="F50" s="861">
        <v>36.75</v>
      </c>
      <c r="G50" s="862">
        <v>0.57999999999999996</v>
      </c>
      <c r="H50" s="861">
        <v>41.33</v>
      </c>
      <c r="I50" s="860">
        <v>6.25</v>
      </c>
      <c r="J50" s="861">
        <v>5</v>
      </c>
      <c r="K50" s="860">
        <v>5.5</v>
      </c>
      <c r="L50" s="861">
        <v>22.66</v>
      </c>
      <c r="M50" s="862">
        <v>14.83</v>
      </c>
      <c r="N50" s="861">
        <v>31.91</v>
      </c>
      <c r="O50" s="862">
        <v>10.75</v>
      </c>
      <c r="P50" s="861">
        <v>27.75</v>
      </c>
      <c r="Q50" s="861" t="s">
        <v>397</v>
      </c>
      <c r="R50" s="862">
        <v>19.920000000000002</v>
      </c>
      <c r="S50" s="861">
        <v>259.24</v>
      </c>
      <c r="T50" s="863">
        <v>86.49</v>
      </c>
      <c r="U50" s="864">
        <v>7275.16</v>
      </c>
      <c r="V50" s="863">
        <v>67.42</v>
      </c>
      <c r="W50" s="861">
        <v>181.16</v>
      </c>
      <c r="X50" s="862">
        <v>202.49</v>
      </c>
      <c r="Y50" s="864">
        <v>12.17</v>
      </c>
      <c r="Z50" s="862">
        <v>17.59</v>
      </c>
      <c r="AA50" s="861">
        <v>5.75</v>
      </c>
      <c r="AB50" s="863">
        <v>2</v>
      </c>
      <c r="AC50" s="864">
        <v>8.17</v>
      </c>
      <c r="AD50" s="863" t="s">
        <v>397</v>
      </c>
      <c r="AE50" s="864" t="s">
        <v>397</v>
      </c>
    </row>
    <row r="51" spans="1:31" ht="14" thickBot="1">
      <c r="A51" s="801">
        <v>1423</v>
      </c>
      <c r="B51" s="802" t="s">
        <v>1399</v>
      </c>
      <c r="C51" s="860">
        <v>3341.76</v>
      </c>
      <c r="D51" s="861">
        <v>86.42</v>
      </c>
      <c r="E51" s="862">
        <v>335.17</v>
      </c>
      <c r="F51" s="861">
        <v>32.75</v>
      </c>
      <c r="G51" s="862" t="s">
        <v>397</v>
      </c>
      <c r="H51" s="861">
        <v>23.67</v>
      </c>
      <c r="I51" s="860" t="s">
        <v>397</v>
      </c>
      <c r="J51" s="861" t="s">
        <v>397</v>
      </c>
      <c r="K51" s="860" t="s">
        <v>397</v>
      </c>
      <c r="L51" s="861">
        <v>18.920000000000002</v>
      </c>
      <c r="M51" s="862" t="s">
        <v>397</v>
      </c>
      <c r="N51" s="861">
        <v>58.09</v>
      </c>
      <c r="O51" s="862">
        <v>67.33</v>
      </c>
      <c r="P51" s="861">
        <v>64.5</v>
      </c>
      <c r="Q51" s="861" t="s">
        <v>397</v>
      </c>
      <c r="R51" s="862" t="s">
        <v>397</v>
      </c>
      <c r="S51" s="861" t="s">
        <v>397</v>
      </c>
      <c r="T51" s="863" t="s">
        <v>397</v>
      </c>
      <c r="U51" s="864" t="s">
        <v>397</v>
      </c>
      <c r="V51" s="863" t="s">
        <v>397</v>
      </c>
      <c r="W51" s="861">
        <v>2654.92</v>
      </c>
      <c r="X51" s="862" t="s">
        <v>397</v>
      </c>
      <c r="Y51" s="864" t="s">
        <v>397</v>
      </c>
      <c r="Z51" s="862" t="s">
        <v>397</v>
      </c>
      <c r="AA51" s="861" t="s">
        <v>397</v>
      </c>
      <c r="AB51" s="863" t="s">
        <v>397</v>
      </c>
      <c r="AC51" s="864" t="s">
        <v>397</v>
      </c>
      <c r="AD51" s="863" t="s">
        <v>397</v>
      </c>
      <c r="AE51" s="864" t="s">
        <v>397</v>
      </c>
    </row>
    <row r="52" spans="1:31" ht="14" thickBot="1">
      <c r="A52" s="801">
        <v>1479</v>
      </c>
      <c r="B52" s="802" t="s">
        <v>1400</v>
      </c>
      <c r="C52" s="860">
        <v>426590.73</v>
      </c>
      <c r="D52" s="861">
        <v>90467.85</v>
      </c>
      <c r="E52" s="862">
        <v>9641.32</v>
      </c>
      <c r="F52" s="861">
        <v>1504.92</v>
      </c>
      <c r="G52" s="862">
        <v>74.42</v>
      </c>
      <c r="H52" s="861">
        <v>3085.32</v>
      </c>
      <c r="I52" s="860">
        <v>1733.95</v>
      </c>
      <c r="J52" s="861">
        <v>87.75</v>
      </c>
      <c r="K52" s="860">
        <v>136.16</v>
      </c>
      <c r="L52" s="861">
        <v>631.16999999999996</v>
      </c>
      <c r="M52" s="862">
        <v>8314.4</v>
      </c>
      <c r="N52" s="861">
        <v>16990.37</v>
      </c>
      <c r="O52" s="862">
        <v>8991.69</v>
      </c>
      <c r="P52" s="861">
        <v>1170.4000000000001</v>
      </c>
      <c r="Q52" s="861" t="s">
        <v>397</v>
      </c>
      <c r="R52" s="862">
        <v>225.67</v>
      </c>
      <c r="S52" s="861">
        <v>100.33</v>
      </c>
      <c r="T52" s="863">
        <v>78.84</v>
      </c>
      <c r="U52" s="864">
        <v>2084.59</v>
      </c>
      <c r="V52" s="863">
        <v>4706.5</v>
      </c>
      <c r="W52" s="861">
        <v>13445.16</v>
      </c>
      <c r="X52" s="862">
        <v>2986.25</v>
      </c>
      <c r="Y52" s="864">
        <v>16825.22</v>
      </c>
      <c r="Z52" s="862">
        <v>106299.27</v>
      </c>
      <c r="AA52" s="861">
        <v>29695.66</v>
      </c>
      <c r="AB52" s="863">
        <v>9948.9</v>
      </c>
      <c r="AC52" s="864">
        <v>88521.41</v>
      </c>
      <c r="AD52" s="863">
        <v>8843.2100000000009</v>
      </c>
      <c r="AE52" s="864" t="s">
        <v>397</v>
      </c>
    </row>
    <row r="53" spans="1:31" ht="14" thickBot="1">
      <c r="A53" s="801">
        <v>1507</v>
      </c>
      <c r="B53" s="802" t="s">
        <v>1402</v>
      </c>
      <c r="C53" s="860">
        <v>10953.42</v>
      </c>
      <c r="D53" s="861">
        <v>2.92</v>
      </c>
      <c r="E53" s="862">
        <v>34.33</v>
      </c>
      <c r="F53" s="861">
        <v>0.08</v>
      </c>
      <c r="G53" s="862" t="s">
        <v>397</v>
      </c>
      <c r="H53" s="861" t="s">
        <v>397</v>
      </c>
      <c r="I53" s="860" t="s">
        <v>397</v>
      </c>
      <c r="J53" s="861">
        <v>1</v>
      </c>
      <c r="K53" s="860" t="s">
        <v>397</v>
      </c>
      <c r="L53" s="861" t="s">
        <v>397</v>
      </c>
      <c r="M53" s="862">
        <v>18.75</v>
      </c>
      <c r="N53" s="861" t="s">
        <v>397</v>
      </c>
      <c r="O53" s="862">
        <v>3</v>
      </c>
      <c r="P53" s="861" t="s">
        <v>397</v>
      </c>
      <c r="Q53" s="861" t="s">
        <v>397</v>
      </c>
      <c r="R53" s="862" t="s">
        <v>397</v>
      </c>
      <c r="S53" s="861" t="s">
        <v>397</v>
      </c>
      <c r="T53" s="865" t="s">
        <v>397</v>
      </c>
      <c r="U53" s="866" t="s">
        <v>397</v>
      </c>
      <c r="V53" s="865">
        <v>4</v>
      </c>
      <c r="W53" s="861">
        <v>1</v>
      </c>
      <c r="X53" s="862">
        <v>0.83</v>
      </c>
      <c r="Y53" s="866">
        <v>2.83</v>
      </c>
      <c r="Z53" s="862">
        <v>65.42</v>
      </c>
      <c r="AA53" s="861">
        <v>10798.5</v>
      </c>
      <c r="AB53" s="865">
        <v>7.17</v>
      </c>
      <c r="AC53" s="866">
        <v>11.67</v>
      </c>
      <c r="AD53" s="865">
        <v>1.92</v>
      </c>
      <c r="AE53" s="866" t="s">
        <v>397</v>
      </c>
    </row>
    <row r="54" spans="1:31" ht="14" thickBot="1">
      <c r="A54" s="801">
        <v>1509</v>
      </c>
      <c r="B54" s="802" t="s">
        <v>1403</v>
      </c>
      <c r="C54" s="860">
        <v>323502.99</v>
      </c>
      <c r="D54" s="861">
        <v>90645.31</v>
      </c>
      <c r="E54" s="862">
        <v>31567.66</v>
      </c>
      <c r="F54" s="861">
        <v>9963.66</v>
      </c>
      <c r="G54" s="862">
        <v>369.24</v>
      </c>
      <c r="H54" s="861">
        <v>7873.59</v>
      </c>
      <c r="I54" s="860">
        <v>851.42</v>
      </c>
      <c r="J54" s="861">
        <v>613.1</v>
      </c>
      <c r="K54" s="860">
        <v>1520.13</v>
      </c>
      <c r="L54" s="861">
        <v>7426.85</v>
      </c>
      <c r="M54" s="862">
        <v>4556.76</v>
      </c>
      <c r="N54" s="861">
        <v>11586.28</v>
      </c>
      <c r="O54" s="862">
        <v>6132.92</v>
      </c>
      <c r="P54" s="861">
        <v>17705.98</v>
      </c>
      <c r="Q54" s="861" t="s">
        <v>397</v>
      </c>
      <c r="R54" s="862">
        <v>4314.9400000000005</v>
      </c>
      <c r="S54" s="861">
        <v>2757.51</v>
      </c>
      <c r="T54" s="863">
        <v>554.77</v>
      </c>
      <c r="U54" s="864">
        <v>13621.11</v>
      </c>
      <c r="V54" s="863">
        <v>4538.8599999999997</v>
      </c>
      <c r="W54" s="861">
        <v>32228.25</v>
      </c>
      <c r="X54" s="862">
        <v>18577.3</v>
      </c>
      <c r="Y54" s="864">
        <v>14165.69</v>
      </c>
      <c r="Z54" s="862">
        <v>13843.01</v>
      </c>
      <c r="AA54" s="861">
        <v>1986.52</v>
      </c>
      <c r="AB54" s="863">
        <v>12439.79</v>
      </c>
      <c r="AC54" s="864">
        <v>11814.48</v>
      </c>
      <c r="AD54" s="863">
        <v>1847.89</v>
      </c>
      <c r="AE54" s="864" t="s">
        <v>397</v>
      </c>
    </row>
    <row r="55" spans="1:31" ht="14" thickBot="1">
      <c r="A55" s="801">
        <v>1529</v>
      </c>
      <c r="B55" s="802" t="s">
        <v>1225</v>
      </c>
      <c r="C55" s="860">
        <v>174792.17</v>
      </c>
      <c r="D55" s="861">
        <v>24564.14</v>
      </c>
      <c r="E55" s="862">
        <v>11275.84</v>
      </c>
      <c r="F55" s="861">
        <v>2786.72</v>
      </c>
      <c r="G55" s="862">
        <v>110.48</v>
      </c>
      <c r="H55" s="861">
        <v>1048.76</v>
      </c>
      <c r="I55" s="860">
        <v>297.79000000000002</v>
      </c>
      <c r="J55" s="861">
        <v>341.36</v>
      </c>
      <c r="K55" s="860">
        <v>211.96</v>
      </c>
      <c r="L55" s="861">
        <v>1102.3700000000001</v>
      </c>
      <c r="M55" s="862">
        <v>3206.71</v>
      </c>
      <c r="N55" s="861">
        <v>9316.57</v>
      </c>
      <c r="O55" s="862">
        <v>3806.92</v>
      </c>
      <c r="P55" s="861">
        <v>6906.83</v>
      </c>
      <c r="Q55" s="861" t="s">
        <v>397</v>
      </c>
      <c r="R55" s="862">
        <v>1873.16</v>
      </c>
      <c r="S55" s="861">
        <v>745.09</v>
      </c>
      <c r="T55" s="863">
        <v>261.51</v>
      </c>
      <c r="U55" s="864">
        <v>5397.79</v>
      </c>
      <c r="V55" s="863">
        <v>1693.42</v>
      </c>
      <c r="W55" s="861">
        <v>8339.19</v>
      </c>
      <c r="X55" s="862">
        <v>4038.98</v>
      </c>
      <c r="Y55" s="864">
        <v>24454.78</v>
      </c>
      <c r="Z55" s="862">
        <v>30347.51</v>
      </c>
      <c r="AA55" s="861">
        <v>4716.6099999999997</v>
      </c>
      <c r="AB55" s="863">
        <v>2544.77</v>
      </c>
      <c r="AC55" s="864">
        <v>25140.69</v>
      </c>
      <c r="AD55" s="863">
        <v>262.22000000000003</v>
      </c>
      <c r="AE55" s="864" t="s">
        <v>397</v>
      </c>
    </row>
    <row r="56" spans="1:31" ht="14" thickBot="1">
      <c r="A56" s="801">
        <v>1535</v>
      </c>
      <c r="B56" s="802" t="s">
        <v>1406</v>
      </c>
      <c r="C56" s="860">
        <v>307037.47000000003</v>
      </c>
      <c r="D56" s="861">
        <v>10954.33</v>
      </c>
      <c r="E56" s="862">
        <v>83884.5</v>
      </c>
      <c r="F56" s="861">
        <v>351.58</v>
      </c>
      <c r="G56" s="862">
        <v>28.83</v>
      </c>
      <c r="H56" s="861">
        <v>159.67000000000002</v>
      </c>
      <c r="I56" s="860">
        <v>61</v>
      </c>
      <c r="J56" s="861">
        <v>926.42</v>
      </c>
      <c r="K56" s="860">
        <v>1741.75</v>
      </c>
      <c r="L56" s="861">
        <v>127.25</v>
      </c>
      <c r="M56" s="862">
        <v>38503.730000000003</v>
      </c>
      <c r="N56" s="861">
        <v>11402.33</v>
      </c>
      <c r="O56" s="862">
        <v>265.17</v>
      </c>
      <c r="P56" s="861">
        <v>272.08</v>
      </c>
      <c r="Q56" s="861" t="s">
        <v>397</v>
      </c>
      <c r="R56" s="862">
        <v>67.42</v>
      </c>
      <c r="S56" s="861">
        <v>3056.17</v>
      </c>
      <c r="T56" s="863">
        <v>567.83000000000004</v>
      </c>
      <c r="U56" s="864">
        <v>2060.75</v>
      </c>
      <c r="V56" s="863">
        <v>189.58</v>
      </c>
      <c r="W56" s="861">
        <v>7507.67</v>
      </c>
      <c r="X56" s="862">
        <v>474.25</v>
      </c>
      <c r="Y56" s="864">
        <v>3322.42</v>
      </c>
      <c r="Z56" s="862">
        <v>82074.570000000007</v>
      </c>
      <c r="AA56" s="861">
        <v>35299.17</v>
      </c>
      <c r="AB56" s="863">
        <v>18697.25</v>
      </c>
      <c r="AC56" s="864">
        <v>4637.92</v>
      </c>
      <c r="AD56" s="863">
        <v>403.83</v>
      </c>
      <c r="AE56" s="864" t="s">
        <v>397</v>
      </c>
    </row>
    <row r="57" spans="1:31" ht="14" thickBot="1">
      <c r="A57" s="801">
        <v>1542</v>
      </c>
      <c r="B57" s="802" t="s">
        <v>1418</v>
      </c>
      <c r="C57" s="860">
        <v>655217.17000000004</v>
      </c>
      <c r="D57" s="861">
        <v>61876.92</v>
      </c>
      <c r="E57" s="862">
        <v>85377.67</v>
      </c>
      <c r="F57" s="861">
        <v>14342.58</v>
      </c>
      <c r="G57" s="862">
        <v>169.33</v>
      </c>
      <c r="H57" s="861">
        <v>2293.08</v>
      </c>
      <c r="I57" s="860">
        <v>363.5</v>
      </c>
      <c r="J57" s="861">
        <v>629.33000000000004</v>
      </c>
      <c r="K57" s="860">
        <v>229.17</v>
      </c>
      <c r="L57" s="861">
        <v>2177.25</v>
      </c>
      <c r="M57" s="862">
        <v>25761.5</v>
      </c>
      <c r="N57" s="861">
        <v>10494.92</v>
      </c>
      <c r="O57" s="862">
        <v>23354.83</v>
      </c>
      <c r="P57" s="861">
        <v>15266.67</v>
      </c>
      <c r="Q57" s="861" t="s">
        <v>397</v>
      </c>
      <c r="R57" s="862">
        <v>9351.17</v>
      </c>
      <c r="S57" s="861">
        <v>239.92</v>
      </c>
      <c r="T57" s="863">
        <v>127.92</v>
      </c>
      <c r="U57" s="864">
        <v>3952.83</v>
      </c>
      <c r="V57" s="863">
        <v>3605.83</v>
      </c>
      <c r="W57" s="861">
        <v>9912</v>
      </c>
      <c r="X57" s="862">
        <v>5501.92</v>
      </c>
      <c r="Y57" s="864">
        <v>24835.08</v>
      </c>
      <c r="Z57" s="862">
        <v>175319.92</v>
      </c>
      <c r="AA57" s="861">
        <v>15088.17</v>
      </c>
      <c r="AB57" s="863">
        <v>65950.33</v>
      </c>
      <c r="AC57" s="864">
        <v>78497</v>
      </c>
      <c r="AD57" s="863">
        <v>20498.330000000002</v>
      </c>
      <c r="AE57" s="864" t="s">
        <v>397</v>
      </c>
    </row>
    <row r="58" spans="1:31" ht="14" thickBot="1">
      <c r="A58" s="801">
        <v>1555</v>
      </c>
      <c r="B58" s="802" t="s">
        <v>1227</v>
      </c>
      <c r="C58" s="860">
        <v>445447.5</v>
      </c>
      <c r="D58" s="861">
        <v>56099.42</v>
      </c>
      <c r="E58" s="862">
        <v>218176.42</v>
      </c>
      <c r="F58" s="861">
        <v>2335.58</v>
      </c>
      <c r="G58" s="862">
        <v>334.58</v>
      </c>
      <c r="H58" s="861">
        <v>1185.75</v>
      </c>
      <c r="I58" s="860">
        <v>1628.83</v>
      </c>
      <c r="J58" s="861">
        <v>1066.17</v>
      </c>
      <c r="K58" s="860">
        <v>247.42</v>
      </c>
      <c r="L58" s="861">
        <v>5358.08</v>
      </c>
      <c r="M58" s="862">
        <v>25693.5</v>
      </c>
      <c r="N58" s="861">
        <v>23038.25</v>
      </c>
      <c r="O58" s="862">
        <v>7055.5</v>
      </c>
      <c r="P58" s="861">
        <v>22948.58</v>
      </c>
      <c r="Q58" s="861" t="s">
        <v>397</v>
      </c>
      <c r="R58" s="862">
        <v>4488.17</v>
      </c>
      <c r="S58" s="861">
        <v>702</v>
      </c>
      <c r="T58" s="863">
        <v>66.92</v>
      </c>
      <c r="U58" s="864">
        <v>7324.08</v>
      </c>
      <c r="V58" s="863">
        <v>1296.08</v>
      </c>
      <c r="W58" s="861">
        <v>26451.67</v>
      </c>
      <c r="X58" s="862">
        <v>3419.5</v>
      </c>
      <c r="Y58" s="864">
        <v>10045.17</v>
      </c>
      <c r="Z58" s="862">
        <v>16734.330000000002</v>
      </c>
      <c r="AA58" s="861">
        <v>3505.08</v>
      </c>
      <c r="AB58" s="863">
        <v>2827.67</v>
      </c>
      <c r="AC58" s="864">
        <v>2378</v>
      </c>
      <c r="AD58" s="863">
        <v>1040.75</v>
      </c>
      <c r="AE58" s="864" t="s">
        <v>397</v>
      </c>
    </row>
    <row r="59" spans="1:31" ht="14" thickBot="1">
      <c r="A59" s="801">
        <v>1560</v>
      </c>
      <c r="B59" s="802" t="s">
        <v>1229</v>
      </c>
      <c r="C59" s="860">
        <v>107074</v>
      </c>
      <c r="D59" s="861">
        <v>13072</v>
      </c>
      <c r="E59" s="862">
        <v>22984</v>
      </c>
      <c r="F59" s="861">
        <v>7234</v>
      </c>
      <c r="G59" s="862">
        <v>2063</v>
      </c>
      <c r="H59" s="861">
        <v>5150</v>
      </c>
      <c r="I59" s="860">
        <v>857</v>
      </c>
      <c r="J59" s="861">
        <v>991</v>
      </c>
      <c r="K59" s="860">
        <v>837</v>
      </c>
      <c r="L59" s="861">
        <v>1399</v>
      </c>
      <c r="M59" s="862">
        <v>2378</v>
      </c>
      <c r="N59" s="861">
        <v>3056</v>
      </c>
      <c r="O59" s="862">
        <v>54</v>
      </c>
      <c r="P59" s="861">
        <v>2686</v>
      </c>
      <c r="Q59" s="861" t="s">
        <v>397</v>
      </c>
      <c r="R59" s="862">
        <v>1399</v>
      </c>
      <c r="S59" s="861">
        <v>3472</v>
      </c>
      <c r="T59" s="863">
        <v>1385</v>
      </c>
      <c r="U59" s="864">
        <v>13354</v>
      </c>
      <c r="V59" s="863">
        <v>290</v>
      </c>
      <c r="W59" s="861">
        <v>11200</v>
      </c>
      <c r="X59" s="862">
        <v>9359</v>
      </c>
      <c r="Y59" s="864">
        <v>684</v>
      </c>
      <c r="Z59" s="862">
        <v>121</v>
      </c>
      <c r="AA59" s="861">
        <v>100</v>
      </c>
      <c r="AB59" s="863">
        <v>1813</v>
      </c>
      <c r="AC59" s="864">
        <v>26</v>
      </c>
      <c r="AD59" s="863">
        <v>1110</v>
      </c>
      <c r="AE59" s="864" t="s">
        <v>397</v>
      </c>
    </row>
    <row r="60" spans="1:31" ht="14" thickBot="1">
      <c r="A60" s="801">
        <v>1562</v>
      </c>
      <c r="B60" s="802" t="s">
        <v>1408</v>
      </c>
      <c r="C60" s="860">
        <v>579116.07999999996</v>
      </c>
      <c r="D60" s="861">
        <v>140867.67000000001</v>
      </c>
      <c r="E60" s="862">
        <v>51796.92</v>
      </c>
      <c r="F60" s="861">
        <v>10381.58</v>
      </c>
      <c r="G60" s="862">
        <v>1221.67</v>
      </c>
      <c r="H60" s="861">
        <v>6355.83</v>
      </c>
      <c r="I60" s="860">
        <v>1511.17</v>
      </c>
      <c r="J60" s="861">
        <v>1970.0800000000002</v>
      </c>
      <c r="K60" s="860">
        <v>3372.92</v>
      </c>
      <c r="L60" s="861">
        <v>5682.08</v>
      </c>
      <c r="M60" s="862">
        <v>9044.75</v>
      </c>
      <c r="N60" s="861">
        <v>47217.5</v>
      </c>
      <c r="O60" s="862">
        <v>5393.17</v>
      </c>
      <c r="P60" s="861">
        <v>14129.83</v>
      </c>
      <c r="Q60" s="861" t="s">
        <v>397</v>
      </c>
      <c r="R60" s="862">
        <v>3695</v>
      </c>
      <c r="S60" s="861">
        <v>3567.25</v>
      </c>
      <c r="T60" s="863">
        <v>923.83</v>
      </c>
      <c r="U60" s="864">
        <v>17717.080000000002</v>
      </c>
      <c r="V60" s="863">
        <v>8810.92</v>
      </c>
      <c r="W60" s="861">
        <v>45193.42</v>
      </c>
      <c r="X60" s="862">
        <v>15063.33</v>
      </c>
      <c r="Y60" s="864">
        <v>41497</v>
      </c>
      <c r="Z60" s="862">
        <v>45041</v>
      </c>
      <c r="AA60" s="861">
        <v>9821.42</v>
      </c>
      <c r="AB60" s="863">
        <v>3898.33</v>
      </c>
      <c r="AC60" s="864">
        <v>84167.42</v>
      </c>
      <c r="AD60" s="863">
        <v>774.92</v>
      </c>
      <c r="AE60" s="864" t="s">
        <v>397</v>
      </c>
    </row>
    <row r="61" spans="1:31" ht="14" thickBot="1">
      <c r="A61" s="801">
        <v>1563</v>
      </c>
      <c r="B61" s="802" t="s">
        <v>1223</v>
      </c>
      <c r="C61" s="860">
        <v>39410.89</v>
      </c>
      <c r="D61" s="861">
        <v>1827.32</v>
      </c>
      <c r="E61" s="862">
        <v>13141.41</v>
      </c>
      <c r="F61" s="861">
        <v>718.91</v>
      </c>
      <c r="G61" s="862">
        <v>41.5</v>
      </c>
      <c r="H61" s="861">
        <v>182.08</v>
      </c>
      <c r="I61" s="860">
        <v>57.16</v>
      </c>
      <c r="J61" s="861">
        <v>55.84</v>
      </c>
      <c r="K61" s="860">
        <v>302.99</v>
      </c>
      <c r="L61" s="861">
        <v>281.58</v>
      </c>
      <c r="M61" s="862">
        <v>790.85</v>
      </c>
      <c r="N61" s="861">
        <v>772.91</v>
      </c>
      <c r="O61" s="862">
        <v>1012.16</v>
      </c>
      <c r="P61" s="861">
        <v>2587.25</v>
      </c>
      <c r="Q61" s="861" t="s">
        <v>397</v>
      </c>
      <c r="R61" s="862">
        <v>1448.15</v>
      </c>
      <c r="S61" s="861">
        <v>258.64999999999998</v>
      </c>
      <c r="T61" s="863">
        <v>37.33</v>
      </c>
      <c r="U61" s="864">
        <v>2000.93</v>
      </c>
      <c r="V61" s="863">
        <v>349.17</v>
      </c>
      <c r="W61" s="861">
        <v>1425.91</v>
      </c>
      <c r="X61" s="862">
        <v>11278.91</v>
      </c>
      <c r="Y61" s="864">
        <v>57.99</v>
      </c>
      <c r="Z61" s="862">
        <v>58</v>
      </c>
      <c r="AA61" s="861">
        <v>656</v>
      </c>
      <c r="AB61" s="863">
        <v>24.17</v>
      </c>
      <c r="AC61" s="864">
        <v>19.5</v>
      </c>
      <c r="AD61" s="863">
        <v>24.67</v>
      </c>
      <c r="AE61" s="864" t="s">
        <v>397</v>
      </c>
    </row>
    <row r="62" spans="1:31" ht="14" thickBot="1">
      <c r="A62" s="801">
        <v>1565</v>
      </c>
      <c r="B62" s="802" t="s">
        <v>1409</v>
      </c>
      <c r="C62" s="860">
        <v>203063.25</v>
      </c>
      <c r="D62" s="861">
        <v>88231.75</v>
      </c>
      <c r="E62" s="862">
        <v>11153.58</v>
      </c>
      <c r="F62" s="861">
        <v>416.5</v>
      </c>
      <c r="G62" s="862">
        <v>40</v>
      </c>
      <c r="H62" s="861">
        <v>370.92</v>
      </c>
      <c r="I62" s="860">
        <v>48.5</v>
      </c>
      <c r="J62" s="861">
        <v>54.58</v>
      </c>
      <c r="K62" s="860">
        <v>148.92000000000002</v>
      </c>
      <c r="L62" s="861">
        <v>269.17</v>
      </c>
      <c r="M62" s="862">
        <v>6163.33</v>
      </c>
      <c r="N62" s="861">
        <v>3285.33</v>
      </c>
      <c r="O62" s="862">
        <v>4899.33</v>
      </c>
      <c r="P62" s="861">
        <v>8725.83</v>
      </c>
      <c r="Q62" s="861" t="s">
        <v>397</v>
      </c>
      <c r="R62" s="862">
        <v>130.75</v>
      </c>
      <c r="S62" s="861">
        <v>224.83</v>
      </c>
      <c r="T62" s="863">
        <v>88.75</v>
      </c>
      <c r="U62" s="864">
        <v>30341.919999999998</v>
      </c>
      <c r="V62" s="863">
        <v>11072.42</v>
      </c>
      <c r="W62" s="861">
        <v>1945.08</v>
      </c>
      <c r="X62" s="862">
        <v>521.08000000000004</v>
      </c>
      <c r="Y62" s="864">
        <v>30365.42</v>
      </c>
      <c r="Z62" s="862">
        <v>655</v>
      </c>
      <c r="AA62" s="861">
        <v>609.41999999999996</v>
      </c>
      <c r="AB62" s="863">
        <v>2748.58</v>
      </c>
      <c r="AC62" s="864">
        <v>453.33</v>
      </c>
      <c r="AD62" s="863">
        <v>98.92</v>
      </c>
      <c r="AE62" s="864" t="s">
        <v>397</v>
      </c>
    </row>
    <row r="63" spans="1:31" ht="14" thickBot="1">
      <c r="A63" s="801">
        <v>1566</v>
      </c>
      <c r="B63" s="802" t="s">
        <v>1410</v>
      </c>
      <c r="C63" s="860">
        <v>199470.75</v>
      </c>
      <c r="D63" s="861">
        <v>9942.83</v>
      </c>
      <c r="E63" s="862">
        <v>42974.83</v>
      </c>
      <c r="F63" s="861">
        <v>30538.83</v>
      </c>
      <c r="G63" s="862">
        <v>112.25</v>
      </c>
      <c r="H63" s="861">
        <v>13317.25</v>
      </c>
      <c r="I63" s="860">
        <v>241.58</v>
      </c>
      <c r="J63" s="861">
        <v>268.17</v>
      </c>
      <c r="K63" s="860">
        <v>220.5</v>
      </c>
      <c r="L63" s="861">
        <v>7603.33</v>
      </c>
      <c r="M63" s="862">
        <v>3502</v>
      </c>
      <c r="N63" s="861">
        <v>1333.67</v>
      </c>
      <c r="O63" s="862">
        <v>731.25</v>
      </c>
      <c r="P63" s="861">
        <v>1395.67</v>
      </c>
      <c r="Q63" s="861" t="s">
        <v>397</v>
      </c>
      <c r="R63" s="862">
        <v>6798.5</v>
      </c>
      <c r="S63" s="861">
        <v>5063.25</v>
      </c>
      <c r="T63" s="863">
        <v>199.25</v>
      </c>
      <c r="U63" s="864">
        <v>9450</v>
      </c>
      <c r="V63" s="863">
        <v>5166.25</v>
      </c>
      <c r="W63" s="861">
        <v>33896.83</v>
      </c>
      <c r="X63" s="862">
        <v>2580.58</v>
      </c>
      <c r="Y63" s="864">
        <v>1352.25</v>
      </c>
      <c r="Z63" s="862">
        <v>1321.5</v>
      </c>
      <c r="AA63" s="861">
        <v>18617.420000000002</v>
      </c>
      <c r="AB63" s="863">
        <v>1102.67</v>
      </c>
      <c r="AC63" s="864">
        <v>260.92</v>
      </c>
      <c r="AD63" s="863">
        <v>1479.17</v>
      </c>
      <c r="AE63" s="864" t="s">
        <v>397</v>
      </c>
    </row>
    <row r="64" spans="1:31" ht="14" thickBot="1">
      <c r="A64" s="801">
        <v>1568</v>
      </c>
      <c r="B64" s="802" t="s">
        <v>1419</v>
      </c>
      <c r="C64" s="860">
        <v>60254.080000000002</v>
      </c>
      <c r="D64" s="861">
        <v>10896</v>
      </c>
      <c r="E64" s="862">
        <v>3535.67</v>
      </c>
      <c r="F64" s="861">
        <v>11212.75</v>
      </c>
      <c r="G64" s="862">
        <v>216.08</v>
      </c>
      <c r="H64" s="861">
        <v>1263.42</v>
      </c>
      <c r="I64" s="860">
        <v>221.75</v>
      </c>
      <c r="J64" s="861">
        <v>423.33</v>
      </c>
      <c r="K64" s="860">
        <v>566.25</v>
      </c>
      <c r="L64" s="861">
        <v>270.92</v>
      </c>
      <c r="M64" s="862">
        <v>154.75</v>
      </c>
      <c r="N64" s="861">
        <v>2799.67</v>
      </c>
      <c r="O64" s="862">
        <v>312.67</v>
      </c>
      <c r="P64" s="861">
        <v>237.58</v>
      </c>
      <c r="Q64" s="861" t="s">
        <v>397</v>
      </c>
      <c r="R64" s="862">
        <v>639.08000000000004</v>
      </c>
      <c r="S64" s="861">
        <v>758.42</v>
      </c>
      <c r="T64" s="863">
        <v>131.92000000000002</v>
      </c>
      <c r="U64" s="864">
        <v>10870.83</v>
      </c>
      <c r="V64" s="863">
        <v>896.17</v>
      </c>
      <c r="W64" s="861">
        <v>6373.83</v>
      </c>
      <c r="X64" s="862">
        <v>1875.08</v>
      </c>
      <c r="Y64" s="864">
        <v>81.5</v>
      </c>
      <c r="Z64" s="862">
        <v>5690.58</v>
      </c>
      <c r="AA64" s="861">
        <v>64.92</v>
      </c>
      <c r="AB64" s="863">
        <v>598.58000000000004</v>
      </c>
      <c r="AC64" s="864">
        <v>149.42000000000002</v>
      </c>
      <c r="AD64" s="863">
        <v>12.92</v>
      </c>
      <c r="AE64" s="864" t="s">
        <v>397</v>
      </c>
    </row>
    <row r="65" spans="1:31" ht="14" thickBot="1">
      <c r="A65" s="801">
        <v>1569</v>
      </c>
      <c r="B65" s="802" t="s">
        <v>1411</v>
      </c>
      <c r="C65" s="860">
        <v>136346.14000000001</v>
      </c>
      <c r="D65" s="861">
        <v>11760.25</v>
      </c>
      <c r="E65" s="862">
        <v>17917.38</v>
      </c>
      <c r="F65" s="861">
        <v>4035.11</v>
      </c>
      <c r="G65" s="862">
        <v>3612.67</v>
      </c>
      <c r="H65" s="861">
        <v>1350.2</v>
      </c>
      <c r="I65" s="860">
        <v>1586.89</v>
      </c>
      <c r="J65" s="861">
        <v>143.84</v>
      </c>
      <c r="K65" s="860">
        <v>4320.75</v>
      </c>
      <c r="L65" s="861">
        <v>741.84</v>
      </c>
      <c r="M65" s="862">
        <v>1869.81</v>
      </c>
      <c r="N65" s="861">
        <v>11447.6</v>
      </c>
      <c r="O65" s="862">
        <v>1361.91</v>
      </c>
      <c r="P65" s="861">
        <v>2779.66</v>
      </c>
      <c r="Q65" s="861" t="s">
        <v>397</v>
      </c>
      <c r="R65" s="862">
        <v>541.25</v>
      </c>
      <c r="S65" s="861">
        <v>2314.35</v>
      </c>
      <c r="T65" s="863">
        <v>468.79</v>
      </c>
      <c r="U65" s="864">
        <v>7999.72</v>
      </c>
      <c r="V65" s="863">
        <v>8419.74</v>
      </c>
      <c r="W65" s="861">
        <v>5092.33</v>
      </c>
      <c r="X65" s="862">
        <v>3078.53</v>
      </c>
      <c r="Y65" s="864">
        <v>8797.31</v>
      </c>
      <c r="Z65" s="862">
        <v>1434.35</v>
      </c>
      <c r="AA65" s="861">
        <v>28385.759999999998</v>
      </c>
      <c r="AB65" s="863">
        <v>592.74</v>
      </c>
      <c r="AC65" s="864">
        <v>1747.45</v>
      </c>
      <c r="AD65" s="863">
        <v>4545.8900000000003</v>
      </c>
      <c r="AE65" s="864" t="s">
        <v>397</v>
      </c>
    </row>
    <row r="66" spans="1:31" ht="14" thickBot="1">
      <c r="A66" s="801">
        <v>1570</v>
      </c>
      <c r="B66" s="802" t="s">
        <v>1420</v>
      </c>
      <c r="C66" s="860">
        <v>10203.42</v>
      </c>
      <c r="D66" s="861">
        <v>234.92</v>
      </c>
      <c r="E66" s="862">
        <v>206.42</v>
      </c>
      <c r="F66" s="861">
        <v>23</v>
      </c>
      <c r="G66" s="862">
        <v>2</v>
      </c>
      <c r="H66" s="861">
        <v>9.67</v>
      </c>
      <c r="I66" s="860">
        <v>21.33</v>
      </c>
      <c r="J66" s="861">
        <v>27.25</v>
      </c>
      <c r="K66" s="860">
        <v>0.33</v>
      </c>
      <c r="L66" s="861">
        <v>78.67</v>
      </c>
      <c r="M66" s="862">
        <v>552.66999999999996</v>
      </c>
      <c r="N66" s="861">
        <v>352</v>
      </c>
      <c r="O66" s="862">
        <v>48.83</v>
      </c>
      <c r="P66" s="861">
        <v>140</v>
      </c>
      <c r="Q66" s="861" t="s">
        <v>397</v>
      </c>
      <c r="R66" s="862">
        <v>104.58</v>
      </c>
      <c r="S66" s="861">
        <v>2.33</v>
      </c>
      <c r="T66" s="863" t="s">
        <v>397</v>
      </c>
      <c r="U66" s="864">
        <v>15.67</v>
      </c>
      <c r="V66" s="863">
        <v>1.33</v>
      </c>
      <c r="W66" s="861">
        <v>569.08000000000004</v>
      </c>
      <c r="X66" s="862">
        <v>30.25</v>
      </c>
      <c r="Y66" s="864">
        <v>726.42</v>
      </c>
      <c r="Z66" s="862">
        <v>2503.92</v>
      </c>
      <c r="AA66" s="861">
        <v>2215</v>
      </c>
      <c r="AB66" s="863">
        <v>517.16999999999996</v>
      </c>
      <c r="AC66" s="864">
        <v>1574.67</v>
      </c>
      <c r="AD66" s="863">
        <v>245.92</v>
      </c>
      <c r="AE66" s="864" t="s">
        <v>397</v>
      </c>
    </row>
    <row r="67" spans="1:31" ht="14" thickBot="1">
      <c r="A67" s="801">
        <v>1574</v>
      </c>
      <c r="B67" s="802" t="s">
        <v>1412</v>
      </c>
      <c r="C67" s="860">
        <v>2460.5</v>
      </c>
      <c r="D67" s="861">
        <v>1180.83</v>
      </c>
      <c r="E67" s="862">
        <v>242.17</v>
      </c>
      <c r="F67" s="861">
        <v>3.33</v>
      </c>
      <c r="G67" s="862" t="s">
        <v>397</v>
      </c>
      <c r="H67" s="861">
        <v>3.92</v>
      </c>
      <c r="I67" s="860">
        <v>1</v>
      </c>
      <c r="J67" s="861" t="s">
        <v>397</v>
      </c>
      <c r="K67" s="860">
        <v>16.25</v>
      </c>
      <c r="L67" s="861">
        <v>7</v>
      </c>
      <c r="M67" s="862">
        <v>60.75</v>
      </c>
      <c r="N67" s="861">
        <v>16.830000000000002</v>
      </c>
      <c r="O67" s="862">
        <v>101.58</v>
      </c>
      <c r="P67" s="861">
        <v>53.33</v>
      </c>
      <c r="Q67" s="861" t="s">
        <v>397</v>
      </c>
      <c r="R67" s="862">
        <v>14.67</v>
      </c>
      <c r="S67" s="861">
        <v>4.25</v>
      </c>
      <c r="T67" s="863" t="s">
        <v>397</v>
      </c>
      <c r="U67" s="864">
        <v>7.17</v>
      </c>
      <c r="V67" s="863">
        <v>1.83</v>
      </c>
      <c r="W67" s="861">
        <v>14.67</v>
      </c>
      <c r="X67" s="862">
        <v>84.42</v>
      </c>
      <c r="Y67" s="864">
        <v>32.08</v>
      </c>
      <c r="Z67" s="862">
        <v>479.83</v>
      </c>
      <c r="AA67" s="861">
        <v>85.5</v>
      </c>
      <c r="AB67" s="863">
        <v>32.92</v>
      </c>
      <c r="AC67" s="864">
        <v>11.92</v>
      </c>
      <c r="AD67" s="863">
        <v>4.25</v>
      </c>
      <c r="AE67" s="864" t="s">
        <v>397</v>
      </c>
    </row>
    <row r="68" spans="1:31" ht="14" thickBot="1">
      <c r="A68" s="801">
        <v>1575</v>
      </c>
      <c r="B68" s="802" t="s">
        <v>1413</v>
      </c>
      <c r="C68" s="860">
        <v>35082.1</v>
      </c>
      <c r="D68" s="861">
        <v>8596.7800000000007</v>
      </c>
      <c r="E68" s="862">
        <v>13671.2</v>
      </c>
      <c r="F68" s="861">
        <v>735.44</v>
      </c>
      <c r="G68" s="862">
        <v>30.67</v>
      </c>
      <c r="H68" s="861">
        <v>467.1</v>
      </c>
      <c r="I68" s="860">
        <v>93.62</v>
      </c>
      <c r="J68" s="861">
        <v>81.83</v>
      </c>
      <c r="K68" s="860">
        <v>267.26</v>
      </c>
      <c r="L68" s="861">
        <v>397.25</v>
      </c>
      <c r="M68" s="862">
        <v>525.32000000000005</v>
      </c>
      <c r="N68" s="861">
        <v>1666.55</v>
      </c>
      <c r="O68" s="862">
        <v>917.2</v>
      </c>
      <c r="P68" s="861">
        <v>825.54</v>
      </c>
      <c r="Q68" s="861" t="s">
        <v>397</v>
      </c>
      <c r="R68" s="862">
        <v>90.64</v>
      </c>
      <c r="S68" s="861">
        <v>104.9</v>
      </c>
      <c r="T68" s="863">
        <v>10.42</v>
      </c>
      <c r="U68" s="864">
        <v>863.13</v>
      </c>
      <c r="V68" s="863">
        <v>722.79</v>
      </c>
      <c r="W68" s="861">
        <v>1741.97</v>
      </c>
      <c r="X68" s="862">
        <v>175.09</v>
      </c>
      <c r="Y68" s="864">
        <v>116.48</v>
      </c>
      <c r="Z68" s="862">
        <v>1979.12</v>
      </c>
      <c r="AA68" s="861">
        <v>174.27</v>
      </c>
      <c r="AB68" s="863">
        <v>444.35</v>
      </c>
      <c r="AC68" s="864">
        <v>264.42</v>
      </c>
      <c r="AD68" s="863">
        <v>118.76</v>
      </c>
      <c r="AE68" s="864" t="s">
        <v>397</v>
      </c>
    </row>
    <row r="69" spans="1:31" ht="14" thickBot="1">
      <c r="A69" s="801">
        <v>1577</v>
      </c>
      <c r="B69" s="802" t="s">
        <v>1421</v>
      </c>
      <c r="C69" s="860">
        <v>45734.06</v>
      </c>
      <c r="D69" s="861">
        <v>7988.99</v>
      </c>
      <c r="E69" s="862">
        <v>1586.27</v>
      </c>
      <c r="F69" s="861">
        <v>102.13</v>
      </c>
      <c r="G69" s="862">
        <v>7</v>
      </c>
      <c r="H69" s="861">
        <v>78.92</v>
      </c>
      <c r="I69" s="860">
        <v>3.83</v>
      </c>
      <c r="J69" s="861">
        <v>10.45</v>
      </c>
      <c r="K69" s="860">
        <v>21.55</v>
      </c>
      <c r="L69" s="861">
        <v>49.34</v>
      </c>
      <c r="M69" s="862">
        <v>2177.1</v>
      </c>
      <c r="N69" s="861">
        <v>8028.88</v>
      </c>
      <c r="O69" s="862">
        <v>66.790000000000006</v>
      </c>
      <c r="P69" s="861">
        <v>1930.37</v>
      </c>
      <c r="Q69" s="861" t="s">
        <v>397</v>
      </c>
      <c r="R69" s="862">
        <v>84.76</v>
      </c>
      <c r="S69" s="861">
        <v>37.94</v>
      </c>
      <c r="T69" s="863">
        <v>1.42</v>
      </c>
      <c r="U69" s="864">
        <v>5985.43</v>
      </c>
      <c r="V69" s="863">
        <v>35.83</v>
      </c>
      <c r="W69" s="861">
        <v>8282.34</v>
      </c>
      <c r="X69" s="862">
        <v>2736.76</v>
      </c>
      <c r="Y69" s="864">
        <v>6.67</v>
      </c>
      <c r="Z69" s="862">
        <v>1140.28</v>
      </c>
      <c r="AA69" s="861">
        <v>4583.17</v>
      </c>
      <c r="AB69" s="863">
        <v>397.6</v>
      </c>
      <c r="AC69" s="864">
        <v>243.76</v>
      </c>
      <c r="AD69" s="863">
        <v>146.49</v>
      </c>
      <c r="AE69" s="864" t="s">
        <v>397</v>
      </c>
    </row>
    <row r="70" spans="1:31" ht="14" thickBot="1">
      <c r="A70" s="861" t="s">
        <v>397</v>
      </c>
      <c r="B70" s="861" t="s">
        <v>397</v>
      </c>
      <c r="C70" s="860" t="s">
        <v>397</v>
      </c>
      <c r="D70" s="861" t="s">
        <v>397</v>
      </c>
      <c r="E70" s="862" t="s">
        <v>397</v>
      </c>
      <c r="F70" s="861" t="s">
        <v>397</v>
      </c>
      <c r="G70" s="862" t="s">
        <v>397</v>
      </c>
      <c r="H70" s="861" t="s">
        <v>397</v>
      </c>
      <c r="I70" s="860" t="s">
        <v>397</v>
      </c>
      <c r="J70" s="861" t="s">
        <v>397</v>
      </c>
      <c r="K70" s="860" t="s">
        <v>397</v>
      </c>
      <c r="L70" s="861" t="s">
        <v>397</v>
      </c>
      <c r="M70" s="862" t="s">
        <v>397</v>
      </c>
      <c r="N70" s="861" t="s">
        <v>397</v>
      </c>
      <c r="O70" s="862" t="s">
        <v>397</v>
      </c>
      <c r="P70" s="861" t="s">
        <v>397</v>
      </c>
      <c r="Q70" s="861" t="s">
        <v>397</v>
      </c>
      <c r="R70" s="862" t="s">
        <v>397</v>
      </c>
      <c r="S70" s="861" t="s">
        <v>397</v>
      </c>
      <c r="T70" s="863" t="s">
        <v>397</v>
      </c>
      <c r="U70" s="864" t="s">
        <v>397</v>
      </c>
      <c r="V70" s="863" t="s">
        <v>397</v>
      </c>
      <c r="W70" s="861" t="s">
        <v>397</v>
      </c>
      <c r="X70" s="862" t="s">
        <v>397</v>
      </c>
      <c r="Y70" s="864" t="s">
        <v>397</v>
      </c>
      <c r="Z70" s="862" t="s">
        <v>397</v>
      </c>
      <c r="AA70" s="861" t="s">
        <v>397</v>
      </c>
      <c r="AB70" s="863" t="s">
        <v>397</v>
      </c>
      <c r="AC70" s="864" t="s">
        <v>397</v>
      </c>
      <c r="AD70" s="863" t="s">
        <v>397</v>
      </c>
      <c r="AE70" s="864" t="s">
        <v>397</v>
      </c>
    </row>
    <row r="71" spans="1:31" ht="14" thickBot="1">
      <c r="A71" s="861" t="s">
        <v>397</v>
      </c>
      <c r="B71" s="861" t="s">
        <v>397</v>
      </c>
      <c r="C71" s="860" t="s">
        <v>397</v>
      </c>
      <c r="D71" s="861" t="s">
        <v>397</v>
      </c>
      <c r="E71" s="862" t="s">
        <v>397</v>
      </c>
      <c r="F71" s="861" t="s">
        <v>397</v>
      </c>
      <c r="G71" s="862" t="s">
        <v>397</v>
      </c>
      <c r="H71" s="861" t="s">
        <v>397</v>
      </c>
      <c r="I71" s="860" t="s">
        <v>397</v>
      </c>
      <c r="J71" s="861" t="s">
        <v>397</v>
      </c>
      <c r="K71" s="860" t="s">
        <v>397</v>
      </c>
      <c r="L71" s="861" t="s">
        <v>397</v>
      </c>
      <c r="M71" s="862" t="s">
        <v>397</v>
      </c>
      <c r="N71" s="861" t="s">
        <v>397</v>
      </c>
      <c r="O71" s="862" t="s">
        <v>397</v>
      </c>
      <c r="P71" s="861" t="s">
        <v>397</v>
      </c>
      <c r="Q71" s="861" t="s">
        <v>397</v>
      </c>
      <c r="R71" s="862" t="s">
        <v>397</v>
      </c>
      <c r="S71" s="861" t="s">
        <v>397</v>
      </c>
      <c r="T71" s="863" t="s">
        <v>397</v>
      </c>
      <c r="U71" s="864" t="s">
        <v>397</v>
      </c>
      <c r="V71" s="863" t="s">
        <v>397</v>
      </c>
      <c r="W71" s="861" t="s">
        <v>397</v>
      </c>
      <c r="X71" s="862" t="s">
        <v>397</v>
      </c>
      <c r="Y71" s="864" t="s">
        <v>397</v>
      </c>
      <c r="Z71" s="862" t="s">
        <v>397</v>
      </c>
      <c r="AA71" s="861" t="s">
        <v>397</v>
      </c>
      <c r="AB71" s="863" t="s">
        <v>397</v>
      </c>
      <c r="AC71" s="864" t="s">
        <v>397</v>
      </c>
      <c r="AD71" s="863" t="s">
        <v>397</v>
      </c>
      <c r="AE71" s="864" t="s">
        <v>397</v>
      </c>
    </row>
    <row r="72" spans="1:31" ht="14" thickBot="1">
      <c r="A72" s="861" t="s">
        <v>397</v>
      </c>
      <c r="B72" s="861" t="s">
        <v>397</v>
      </c>
      <c r="C72" s="860" t="s">
        <v>397</v>
      </c>
      <c r="D72" s="861" t="s">
        <v>397</v>
      </c>
      <c r="E72" s="862" t="s">
        <v>397</v>
      </c>
      <c r="F72" s="861" t="s">
        <v>397</v>
      </c>
      <c r="G72" s="862" t="s">
        <v>397</v>
      </c>
      <c r="H72" s="861" t="s">
        <v>397</v>
      </c>
      <c r="I72" s="860" t="s">
        <v>397</v>
      </c>
      <c r="J72" s="861" t="s">
        <v>397</v>
      </c>
      <c r="K72" s="860" t="s">
        <v>397</v>
      </c>
      <c r="L72" s="861" t="s">
        <v>397</v>
      </c>
      <c r="M72" s="862" t="s">
        <v>397</v>
      </c>
      <c r="N72" s="861" t="s">
        <v>397</v>
      </c>
      <c r="O72" s="862" t="s">
        <v>397</v>
      </c>
      <c r="P72" s="861" t="s">
        <v>397</v>
      </c>
      <c r="Q72" s="861" t="s">
        <v>397</v>
      </c>
      <c r="R72" s="862" t="s">
        <v>397</v>
      </c>
      <c r="S72" s="861" t="s">
        <v>397</v>
      </c>
      <c r="T72" s="863" t="s">
        <v>397</v>
      </c>
      <c r="U72" s="864" t="s">
        <v>397</v>
      </c>
      <c r="V72" s="863" t="s">
        <v>397</v>
      </c>
      <c r="W72" s="861" t="s">
        <v>397</v>
      </c>
      <c r="X72" s="862" t="s">
        <v>397</v>
      </c>
      <c r="Y72" s="864" t="s">
        <v>397</v>
      </c>
      <c r="Z72" s="862" t="s">
        <v>397</v>
      </c>
      <c r="AA72" s="861" t="s">
        <v>397</v>
      </c>
      <c r="AB72" s="863" t="s">
        <v>397</v>
      </c>
      <c r="AC72" s="864" t="s">
        <v>397</v>
      </c>
      <c r="AD72" s="863" t="s">
        <v>397</v>
      </c>
      <c r="AE72" s="864" t="s">
        <v>397</v>
      </c>
    </row>
    <row r="73" spans="1:31" ht="14" thickBot="1">
      <c r="A73" s="861" t="s">
        <v>397</v>
      </c>
      <c r="B73" s="861" t="s">
        <v>397</v>
      </c>
      <c r="C73" s="860" t="s">
        <v>397</v>
      </c>
      <c r="D73" s="861" t="s">
        <v>397</v>
      </c>
      <c r="E73" s="862" t="s">
        <v>397</v>
      </c>
      <c r="F73" s="861" t="s">
        <v>397</v>
      </c>
      <c r="G73" s="862" t="s">
        <v>397</v>
      </c>
      <c r="H73" s="861" t="s">
        <v>397</v>
      </c>
      <c r="I73" s="860" t="s">
        <v>397</v>
      </c>
      <c r="J73" s="861" t="s">
        <v>397</v>
      </c>
      <c r="K73" s="860" t="s">
        <v>397</v>
      </c>
      <c r="L73" s="861" t="s">
        <v>397</v>
      </c>
      <c r="M73" s="862" t="s">
        <v>397</v>
      </c>
      <c r="N73" s="861" t="s">
        <v>397</v>
      </c>
      <c r="O73" s="862" t="s">
        <v>397</v>
      </c>
      <c r="P73" s="861" t="s">
        <v>397</v>
      </c>
      <c r="Q73" s="861" t="s">
        <v>397</v>
      </c>
      <c r="R73" s="862" t="s">
        <v>397</v>
      </c>
      <c r="S73" s="861" t="s">
        <v>397</v>
      </c>
      <c r="T73" s="863" t="s">
        <v>397</v>
      </c>
      <c r="U73" s="864" t="s">
        <v>397</v>
      </c>
      <c r="V73" s="863" t="s">
        <v>397</v>
      </c>
      <c r="W73" s="861" t="s">
        <v>397</v>
      </c>
      <c r="X73" s="862" t="s">
        <v>397</v>
      </c>
      <c r="Y73" s="864" t="s">
        <v>397</v>
      </c>
      <c r="Z73" s="862" t="s">
        <v>397</v>
      </c>
      <c r="AA73" s="861" t="s">
        <v>397</v>
      </c>
      <c r="AB73" s="863" t="s">
        <v>397</v>
      </c>
      <c r="AC73" s="864" t="s">
        <v>397</v>
      </c>
      <c r="AD73" s="863" t="s">
        <v>397</v>
      </c>
      <c r="AE73" s="864" t="s">
        <v>397</v>
      </c>
    </row>
    <row r="74" spans="1:31" ht="14" thickBot="1">
      <c r="A74" s="861" t="s">
        <v>397</v>
      </c>
      <c r="B74" s="861" t="s">
        <v>397</v>
      </c>
      <c r="C74" s="860" t="s">
        <v>397</v>
      </c>
      <c r="D74" s="861" t="s">
        <v>397</v>
      </c>
      <c r="E74" s="862" t="s">
        <v>397</v>
      </c>
      <c r="F74" s="861" t="s">
        <v>397</v>
      </c>
      <c r="G74" s="862" t="s">
        <v>397</v>
      </c>
      <c r="H74" s="861" t="s">
        <v>397</v>
      </c>
      <c r="I74" s="860" t="s">
        <v>397</v>
      </c>
      <c r="J74" s="861" t="s">
        <v>397</v>
      </c>
      <c r="K74" s="860" t="s">
        <v>397</v>
      </c>
      <c r="L74" s="861" t="s">
        <v>397</v>
      </c>
      <c r="M74" s="862" t="s">
        <v>397</v>
      </c>
      <c r="N74" s="861" t="s">
        <v>397</v>
      </c>
      <c r="O74" s="862" t="s">
        <v>397</v>
      </c>
      <c r="P74" s="861" t="s">
        <v>397</v>
      </c>
      <c r="Q74" s="861" t="s">
        <v>397</v>
      </c>
      <c r="R74" s="862" t="s">
        <v>397</v>
      </c>
      <c r="S74" s="861" t="s">
        <v>397</v>
      </c>
      <c r="T74" s="863" t="s">
        <v>397</v>
      </c>
      <c r="U74" s="864" t="s">
        <v>397</v>
      </c>
      <c r="V74" s="863" t="s">
        <v>397</v>
      </c>
      <c r="W74" s="861" t="s">
        <v>397</v>
      </c>
      <c r="X74" s="862" t="s">
        <v>397</v>
      </c>
      <c r="Y74" s="864" t="s">
        <v>397</v>
      </c>
      <c r="Z74" s="862" t="s">
        <v>397</v>
      </c>
      <c r="AA74" s="861" t="s">
        <v>397</v>
      </c>
      <c r="AB74" s="863" t="s">
        <v>397</v>
      </c>
      <c r="AC74" s="864" t="s">
        <v>397</v>
      </c>
      <c r="AD74" s="863" t="s">
        <v>397</v>
      </c>
      <c r="AE74" s="864" t="s">
        <v>397</v>
      </c>
    </row>
    <row r="75" spans="1:31" s="138" customFormat="1" ht="14" thickBot="1">
      <c r="A75" s="867" t="s">
        <v>1422</v>
      </c>
      <c r="B75" s="868">
        <v>61</v>
      </c>
      <c r="C75" s="869">
        <v>7953357.3899999978</v>
      </c>
      <c r="D75" s="870">
        <v>1393469.9200000002</v>
      </c>
      <c r="E75" s="871">
        <v>986326.6100000001</v>
      </c>
      <c r="F75" s="870">
        <v>385108.71</v>
      </c>
      <c r="G75" s="871">
        <v>35759.55000000001</v>
      </c>
      <c r="H75" s="872">
        <v>149174.07000000004</v>
      </c>
      <c r="I75" s="869">
        <v>36546.560000000005</v>
      </c>
      <c r="J75" s="870">
        <v>41184.69999999999</v>
      </c>
      <c r="K75" s="869">
        <v>39606.699999999997</v>
      </c>
      <c r="L75" s="870">
        <v>115619.13</v>
      </c>
      <c r="M75" s="871">
        <v>288555.84999999998</v>
      </c>
      <c r="N75" s="870">
        <v>259644.94</v>
      </c>
      <c r="O75" s="871">
        <v>180254.90000000002</v>
      </c>
      <c r="P75" s="870">
        <v>275046.51999999996</v>
      </c>
      <c r="Q75" s="870"/>
      <c r="R75" s="871">
        <v>77368.599999999991</v>
      </c>
      <c r="S75" s="870">
        <v>54194.28</v>
      </c>
      <c r="T75" s="871">
        <v>15936.000000000002</v>
      </c>
      <c r="U75" s="870">
        <v>485940.71</v>
      </c>
      <c r="V75" s="871">
        <v>197381.25</v>
      </c>
      <c r="W75" s="870">
        <v>625772.83999999962</v>
      </c>
      <c r="X75" s="871">
        <v>254636.34999999995</v>
      </c>
      <c r="Y75" s="870">
        <v>337067.45</v>
      </c>
      <c r="Z75" s="871">
        <v>716953.39999999991</v>
      </c>
      <c r="AA75" s="870">
        <v>323450.80999999994</v>
      </c>
      <c r="AB75" s="871">
        <v>174640.82000000004</v>
      </c>
      <c r="AC75" s="870">
        <v>427377.03</v>
      </c>
      <c r="AD75" s="871">
        <v>71255</v>
      </c>
      <c r="AE75" s="870">
        <v>5085.09</v>
      </c>
    </row>
    <row r="76" spans="1:31" ht="15.75" customHeight="1" thickBot="1">
      <c r="A76" s="873"/>
      <c r="C76" s="873" t="s">
        <v>396</v>
      </c>
      <c r="E76" s="834"/>
      <c r="F76" s="834"/>
      <c r="G76" s="834"/>
      <c r="H76" s="874"/>
      <c r="I76" s="834"/>
      <c r="J76" s="875"/>
      <c r="K76" s="876"/>
      <c r="L76" s="877"/>
      <c r="M76" s="877"/>
      <c r="N76" s="834"/>
      <c r="O76" s="877"/>
      <c r="P76" s="834"/>
      <c r="Q76" s="877"/>
      <c r="R76" s="873" t="s">
        <v>396</v>
      </c>
      <c r="S76" s="181"/>
      <c r="T76" s="834"/>
      <c r="U76" s="834"/>
      <c r="V76" s="834"/>
      <c r="W76" s="874"/>
      <c r="X76" s="834"/>
      <c r="Y76" s="875"/>
      <c r="Z76" s="876"/>
      <c r="AA76" s="877"/>
      <c r="AB76" s="877"/>
      <c r="AC76" s="834"/>
    </row>
    <row r="77" spans="1:31" ht="15.75" customHeight="1">
      <c r="A77" s="873"/>
      <c r="C77" s="873"/>
      <c r="E77" s="878"/>
      <c r="F77" s="878"/>
      <c r="G77" s="878"/>
      <c r="H77" s="879"/>
      <c r="I77" s="878"/>
      <c r="J77" s="880"/>
      <c r="K77" s="881"/>
      <c r="L77" s="337"/>
      <c r="M77" s="337"/>
      <c r="N77" s="878"/>
      <c r="O77" s="337"/>
      <c r="P77" s="878"/>
      <c r="Q77" s="337"/>
      <c r="R77" s="873"/>
      <c r="S77" s="181"/>
      <c r="T77" s="878"/>
      <c r="U77" s="878"/>
      <c r="V77" s="878"/>
      <c r="W77" s="879"/>
      <c r="X77" s="878"/>
      <c r="Y77" s="880"/>
      <c r="Z77" s="881"/>
      <c r="AA77" s="337"/>
      <c r="AB77" s="337"/>
      <c r="AC77" s="878"/>
    </row>
    <row r="78" spans="1:31" ht="38.5" customHeight="1">
      <c r="A78" s="742"/>
      <c r="B78" s="702"/>
      <c r="C78" s="2068" t="s">
        <v>1202</v>
      </c>
      <c r="D78" s="2062"/>
      <c r="E78" s="2062"/>
      <c r="F78" s="2062"/>
      <c r="G78" s="2062"/>
      <c r="H78" s="2062"/>
      <c r="I78" s="2062"/>
      <c r="J78" s="2062"/>
      <c r="K78" s="2062"/>
      <c r="L78" s="2062"/>
      <c r="M78" s="2062"/>
      <c r="N78" s="2062"/>
      <c r="R78" s="2068" t="s">
        <v>1202</v>
      </c>
      <c r="S78" s="2062"/>
      <c r="T78" s="2062"/>
      <c r="U78" s="2062"/>
      <c r="V78" s="2062"/>
      <c r="W78" s="2062"/>
      <c r="X78" s="2062"/>
      <c r="Y78" s="2062"/>
      <c r="Z78" s="2062"/>
      <c r="AA78" s="2062"/>
      <c r="AB78" s="2062"/>
      <c r="AC78" s="2062"/>
    </row>
    <row r="79" spans="1:31" ht="16.25" customHeight="1">
      <c r="A79" s="2068"/>
      <c r="B79" s="2062"/>
      <c r="C79" s="742" t="s">
        <v>1203</v>
      </c>
      <c r="D79" s="702"/>
      <c r="R79" s="742" t="s">
        <v>1203</v>
      </c>
      <c r="S79" s="702"/>
      <c r="W79" s="8"/>
      <c r="X79" s="8"/>
    </row>
    <row r="80" spans="1:31" ht="41.5" customHeight="1">
      <c r="A80" s="742"/>
      <c r="B80" s="702"/>
      <c r="C80" s="2071" t="s">
        <v>1204</v>
      </c>
      <c r="D80" s="2072"/>
      <c r="E80" s="2072"/>
      <c r="F80" s="2072"/>
      <c r="G80" s="2072"/>
      <c r="H80" s="2072"/>
      <c r="I80" s="2072"/>
      <c r="J80" s="2072"/>
      <c r="K80" s="2072"/>
      <c r="L80" s="2072"/>
      <c r="M80" s="2072"/>
      <c r="N80" s="2072"/>
      <c r="R80" s="2068" t="s">
        <v>1204</v>
      </c>
      <c r="S80" s="2062"/>
      <c r="T80" s="2062"/>
      <c r="U80" s="2062"/>
      <c r="V80" s="2062"/>
      <c r="W80" s="2062"/>
      <c r="X80" s="2062"/>
      <c r="Y80" s="2062"/>
      <c r="Z80" s="2062"/>
      <c r="AA80" s="2062"/>
      <c r="AB80" s="2062"/>
      <c r="AC80" s="2062"/>
    </row>
    <row r="81" spans="1:24">
      <c r="R81" s="181"/>
      <c r="S81" s="181"/>
      <c r="W81" s="8"/>
      <c r="X81" s="8"/>
    </row>
    <row r="82" spans="1:24">
      <c r="A82" s="742"/>
      <c r="C82" s="742" t="s">
        <v>1205</v>
      </c>
      <c r="R82" s="742" t="s">
        <v>1205</v>
      </c>
      <c r="S82" s="181"/>
      <c r="W82" s="8"/>
      <c r="X82" s="8"/>
    </row>
    <row r="83" spans="1:24">
      <c r="R83" s="181"/>
      <c r="S83" s="181"/>
      <c r="W83" s="8"/>
      <c r="X83" s="8"/>
    </row>
    <row r="84" spans="1:24" ht="7.5" customHeight="1">
      <c r="R84" s="181"/>
      <c r="S84" s="181"/>
      <c r="W84" s="8"/>
      <c r="X84" s="8"/>
    </row>
    <row r="85" spans="1:24" ht="18.5" customHeight="1">
      <c r="A85" s="742"/>
      <c r="B85" s="702"/>
      <c r="C85" s="742" t="s">
        <v>395</v>
      </c>
      <c r="D85" s="702"/>
      <c r="R85" s="742" t="s">
        <v>395</v>
      </c>
      <c r="S85" s="702"/>
      <c r="W85" s="8"/>
      <c r="X85" s="8"/>
    </row>
  </sheetData>
  <mergeCells count="6">
    <mergeCell ref="A2:B2"/>
    <mergeCell ref="C78:N78"/>
    <mergeCell ref="R78:AC78"/>
    <mergeCell ref="A79:B79"/>
    <mergeCell ref="C80:N80"/>
    <mergeCell ref="R80:AC80"/>
  </mergeCells>
  <pageMargins left="0.35433070866141736" right="0.27559055118110237" top="0.23622047244094491" bottom="0.23622047244094491" header="0.19685039370078741" footer="0.19685039370078741"/>
  <pageSetup paperSize="9" scale="47" fitToWidth="2" pageOrder="overThenDown" orientation="landscape"/>
  <headerFooter alignWithMargins="0">
    <oddFooter>&amp;R&amp;P/&amp;N</oddFooter>
  </headerFooter>
  <colBreaks count="1" manualBreakCount="1">
    <brk id="17" max="1048575"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6CFF-066A-424D-BC9B-9A0AAE764529}">
  <dimension ref="A1:E97"/>
  <sheetViews>
    <sheetView topLeftCell="A67" zoomScaleNormal="100" workbookViewId="0">
      <selection activeCell="G16" sqref="G16"/>
    </sheetView>
  </sheetViews>
  <sheetFormatPr baseColWidth="10" defaultColWidth="11.3984375" defaultRowHeight="13"/>
  <cols>
    <col min="1" max="1" width="7.796875" style="3" customWidth="1"/>
    <col min="2" max="2" width="64.19921875" style="181" customWidth="1"/>
    <col min="3" max="4" width="17.19921875" style="181" customWidth="1"/>
    <col min="5" max="5" width="17.19921875" style="138" customWidth="1"/>
    <col min="6" max="6" width="19.19921875" style="3" customWidth="1"/>
    <col min="7" max="16384" width="11.3984375" style="3"/>
  </cols>
  <sheetData>
    <row r="1" spans="1:5" s="2" customFormat="1" ht="8.5" customHeight="1">
      <c r="B1" s="161"/>
      <c r="C1" s="161"/>
      <c r="D1" s="161"/>
      <c r="E1" s="17"/>
    </row>
    <row r="2" spans="1:5" s="2" customFormat="1" ht="19.5" customHeight="1">
      <c r="A2" s="164" t="s">
        <v>1155</v>
      </c>
      <c r="C2" s="161"/>
      <c r="D2" s="161"/>
      <c r="E2" s="17"/>
    </row>
    <row r="3" spans="1:5" s="2" customFormat="1" ht="7.75" customHeight="1" thickBot="1">
      <c r="A3" s="789"/>
      <c r="B3" s="790"/>
      <c r="C3" s="790"/>
      <c r="D3" s="790"/>
      <c r="E3" s="791"/>
    </row>
    <row r="4" spans="1:5" ht="18" customHeight="1">
      <c r="A4" s="1015" t="s">
        <v>1156</v>
      </c>
      <c r="B4" s="1015" t="s">
        <v>1157</v>
      </c>
      <c r="C4" s="793" t="s">
        <v>1158</v>
      </c>
      <c r="D4" s="794" t="s">
        <v>1159</v>
      </c>
      <c r="E4" s="795" t="s">
        <v>1520</v>
      </c>
    </row>
    <row r="5" spans="1:5" ht="15" customHeight="1">
      <c r="A5" s="1015" t="s">
        <v>1160</v>
      </c>
      <c r="B5" s="1015"/>
      <c r="C5" s="793" t="s">
        <v>1161</v>
      </c>
      <c r="D5" s="794" t="s">
        <v>1162</v>
      </c>
      <c r="E5" s="796"/>
    </row>
    <row r="6" spans="1:5" ht="15" customHeight="1">
      <c r="A6" s="1015"/>
      <c r="B6" s="1015"/>
      <c r="C6" s="793" t="s">
        <v>1163</v>
      </c>
      <c r="D6" s="1011" t="s">
        <v>1163</v>
      </c>
      <c r="E6" s="796"/>
    </row>
    <row r="7" spans="1:5" ht="14.5" customHeight="1">
      <c r="A7" s="1015"/>
      <c r="B7" s="1015"/>
      <c r="C7" s="1012" t="s">
        <v>640</v>
      </c>
      <c r="D7" s="1011" t="s">
        <v>640</v>
      </c>
      <c r="E7" s="796"/>
    </row>
    <row r="8" spans="1:5" ht="18" customHeight="1">
      <c r="A8" s="1016"/>
      <c r="B8" s="1016"/>
      <c r="C8" s="798"/>
      <c r="D8" s="799"/>
      <c r="E8" s="800"/>
    </row>
    <row r="9" spans="1:5" ht="3.5" customHeight="1" thickBot="1">
      <c r="A9" s="1017"/>
      <c r="B9" s="1018"/>
      <c r="C9" s="803" t="s">
        <v>397</v>
      </c>
      <c r="D9" s="804" t="s">
        <v>397</v>
      </c>
      <c r="E9" s="805" t="s">
        <v>397</v>
      </c>
    </row>
    <row r="10" spans="1:5" ht="16.75" customHeight="1" thickBot="1">
      <c r="A10" s="1017">
        <v>8</v>
      </c>
      <c r="B10" s="1018" t="s">
        <v>1423</v>
      </c>
      <c r="C10" s="806">
        <v>510.95442175975018</v>
      </c>
      <c r="D10" s="804">
        <v>403.96096548525037</v>
      </c>
      <c r="E10" s="807">
        <v>1.2648608786890485</v>
      </c>
    </row>
    <row r="11" spans="1:5" ht="16.5" customHeight="1" thickBot="1">
      <c r="A11" s="1019">
        <v>32</v>
      </c>
      <c r="B11" s="1020" t="s">
        <v>1358</v>
      </c>
      <c r="C11" s="810">
        <v>45.801965000000003</v>
      </c>
      <c r="D11" s="811">
        <v>22.866661542854136</v>
      </c>
      <c r="E11" s="812">
        <v>2.00300183365915</v>
      </c>
    </row>
    <row r="12" spans="1:5" ht="16.5" customHeight="1" thickBot="1">
      <c r="A12" s="1019">
        <v>57</v>
      </c>
      <c r="B12" s="1020" t="s">
        <v>1359</v>
      </c>
      <c r="C12" s="810">
        <v>53.308141999999989</v>
      </c>
      <c r="D12" s="811">
        <v>12.137976043553758</v>
      </c>
      <c r="E12" s="812">
        <v>4.3918476860325413</v>
      </c>
    </row>
    <row r="13" spans="1:5" ht="16.5" customHeight="1" thickBot="1">
      <c r="A13" s="1019">
        <v>62</v>
      </c>
      <c r="B13" s="1020" t="s">
        <v>1424</v>
      </c>
      <c r="C13" s="810">
        <v>136.30798708006404</v>
      </c>
      <c r="D13" s="811">
        <v>49.346516908141794</v>
      </c>
      <c r="E13" s="812">
        <v>2.7622615661770098</v>
      </c>
    </row>
    <row r="14" spans="1:5" ht="16.5" customHeight="1" thickBot="1">
      <c r="A14" s="1019">
        <v>134</v>
      </c>
      <c r="B14" s="1020" t="s">
        <v>1360</v>
      </c>
      <c r="C14" s="810">
        <v>5.9591319999999994</v>
      </c>
      <c r="D14" s="811">
        <v>2.5585028255530249</v>
      </c>
      <c r="E14" s="812">
        <v>2.3291481019615143</v>
      </c>
    </row>
    <row r="15" spans="1:5" ht="16.5" customHeight="1" thickBot="1">
      <c r="A15" s="1019">
        <v>182</v>
      </c>
      <c r="B15" s="1020" t="s">
        <v>1361</v>
      </c>
      <c r="C15" s="810">
        <v>23.964634020000013</v>
      </c>
      <c r="D15" s="811">
        <v>33.353762932624754</v>
      </c>
      <c r="E15" s="812">
        <v>0.71849866140768093</v>
      </c>
    </row>
    <row r="16" spans="1:5" ht="16.5" customHeight="1" thickBot="1">
      <c r="A16" s="1019">
        <v>194</v>
      </c>
      <c r="B16" s="1020" t="s">
        <v>1362</v>
      </c>
      <c r="C16" s="813">
        <v>12.161728179999997</v>
      </c>
      <c r="D16" s="814">
        <v>7.7901306001706914</v>
      </c>
      <c r="E16" s="815">
        <v>1.5611712825114279</v>
      </c>
    </row>
    <row r="17" spans="1:5" ht="16.5" customHeight="1" thickBot="1">
      <c r="A17" s="1019">
        <v>246</v>
      </c>
      <c r="B17" s="1020" t="s">
        <v>1363</v>
      </c>
      <c r="C17" s="813">
        <v>4.3683371999999991</v>
      </c>
      <c r="D17" s="814">
        <v>2.1786519756831169</v>
      </c>
      <c r="E17" s="815">
        <v>2.0050642547579476</v>
      </c>
    </row>
    <row r="18" spans="1:5" ht="16.5" customHeight="1" thickBot="1">
      <c r="A18" s="1019">
        <v>290</v>
      </c>
      <c r="B18" s="1020" t="s">
        <v>1425</v>
      </c>
      <c r="C18" s="813">
        <v>622.57875899999988</v>
      </c>
      <c r="D18" s="814">
        <v>314.84388936204562</v>
      </c>
      <c r="E18" s="815">
        <v>1.9774204932530339</v>
      </c>
    </row>
    <row r="19" spans="1:5" ht="16.5" customHeight="1" thickBot="1">
      <c r="A19" s="1019">
        <v>294</v>
      </c>
      <c r="B19" s="1020" t="s">
        <v>1365</v>
      </c>
      <c r="C19" s="813">
        <v>3.1037674100000006</v>
      </c>
      <c r="D19" s="814">
        <v>5.6430497383492551</v>
      </c>
      <c r="E19" s="815">
        <v>0.55001595837571626</v>
      </c>
    </row>
    <row r="20" spans="1:5" ht="16.5" customHeight="1" thickBot="1">
      <c r="A20" s="1019">
        <v>312</v>
      </c>
      <c r="B20" s="1020" t="s">
        <v>1426</v>
      </c>
      <c r="C20" s="813">
        <v>120.80410900000004</v>
      </c>
      <c r="D20" s="814">
        <v>89.578474140942106</v>
      </c>
      <c r="E20" s="815">
        <v>1.348584134285741</v>
      </c>
    </row>
    <row r="21" spans="1:5" ht="16.5" customHeight="1" thickBot="1">
      <c r="A21" s="1019">
        <v>343</v>
      </c>
      <c r="B21" s="1020" t="s">
        <v>1367</v>
      </c>
      <c r="C21" s="813">
        <v>160.57939209999986</v>
      </c>
      <c r="D21" s="814">
        <v>114.7916665574032</v>
      </c>
      <c r="E21" s="815">
        <v>1.3988767383188034</v>
      </c>
    </row>
    <row r="22" spans="1:5" ht="16.5" customHeight="1" thickBot="1">
      <c r="A22" s="1019">
        <v>360</v>
      </c>
      <c r="B22" s="1020" t="s">
        <v>1368</v>
      </c>
      <c r="C22" s="813">
        <v>31.358241000000003</v>
      </c>
      <c r="D22" s="814">
        <v>8.7886160289411386</v>
      </c>
      <c r="E22" s="815">
        <v>3.5680522276472781</v>
      </c>
    </row>
    <row r="23" spans="1:5" ht="16.5" customHeight="1" thickBot="1">
      <c r="A23" s="1019">
        <v>376</v>
      </c>
      <c r="B23" s="1020" t="s">
        <v>1369</v>
      </c>
      <c r="C23" s="813">
        <v>277.1420003400001</v>
      </c>
      <c r="D23" s="814">
        <v>152.80939407703613</v>
      </c>
      <c r="E23" s="815">
        <v>1.813645044625227</v>
      </c>
    </row>
    <row r="24" spans="1:5" ht="16.5" customHeight="1" thickBot="1">
      <c r="A24" s="1019">
        <v>455</v>
      </c>
      <c r="B24" s="1020" t="s">
        <v>1427</v>
      </c>
      <c r="C24" s="813">
        <v>89.244062339999985</v>
      </c>
      <c r="D24" s="814">
        <v>62.429744309187477</v>
      </c>
      <c r="E24" s="815">
        <v>1.429511898975796</v>
      </c>
    </row>
    <row r="25" spans="1:5" ht="16.5" customHeight="1" thickBot="1">
      <c r="A25" s="1019">
        <v>509</v>
      </c>
      <c r="B25" s="1020" t="s">
        <v>1371</v>
      </c>
      <c r="C25" s="813">
        <v>150.079227</v>
      </c>
      <c r="D25" s="814">
        <v>82.728472577200435</v>
      </c>
      <c r="E25" s="815">
        <v>1.8141181908072737</v>
      </c>
    </row>
    <row r="26" spans="1:5" ht="16.5" customHeight="1" thickBot="1">
      <c r="A26" s="1019">
        <v>558</v>
      </c>
      <c r="B26" s="1020" t="s">
        <v>1428</v>
      </c>
      <c r="C26" s="813">
        <v>5.1355337899999993</v>
      </c>
      <c r="D26" s="814">
        <v>2.386299533524717</v>
      </c>
      <c r="E26" s="815">
        <v>2.152091017012641</v>
      </c>
    </row>
    <row r="27" spans="1:5" ht="16.5" customHeight="1" thickBot="1">
      <c r="A27" s="1019">
        <v>762</v>
      </c>
      <c r="B27" s="1020" t="s">
        <v>1429</v>
      </c>
      <c r="C27" s="813">
        <v>12.422408269999996</v>
      </c>
      <c r="D27" s="814">
        <v>10.8</v>
      </c>
      <c r="E27" s="815">
        <v>1.1499999999999999</v>
      </c>
    </row>
    <row r="28" spans="1:5" ht="16.5" customHeight="1" thickBot="1">
      <c r="A28" s="1019">
        <v>774</v>
      </c>
      <c r="B28" s="1020" t="s">
        <v>1374</v>
      </c>
      <c r="C28" s="813">
        <v>141.21405278</v>
      </c>
      <c r="D28" s="814">
        <v>95.461369304711724</v>
      </c>
      <c r="E28" s="815">
        <v>1.4792795641684771</v>
      </c>
    </row>
    <row r="29" spans="1:5" ht="16.5" customHeight="1" thickBot="1">
      <c r="A29" s="1019">
        <v>780</v>
      </c>
      <c r="B29" s="1020" t="s">
        <v>1430</v>
      </c>
      <c r="C29" s="813">
        <v>4.1176188600000003</v>
      </c>
      <c r="D29" s="814">
        <v>2.2815887819719629</v>
      </c>
      <c r="E29" s="815">
        <v>1.8047155966646926</v>
      </c>
    </row>
    <row r="30" spans="1:5" ht="16.5" customHeight="1" thickBot="1">
      <c r="A30" s="1019">
        <v>820</v>
      </c>
      <c r="B30" s="1020" t="s">
        <v>1376</v>
      </c>
      <c r="C30" s="813">
        <v>4.9118567799999999</v>
      </c>
      <c r="D30" s="814">
        <v>1.6411767575448934</v>
      </c>
      <c r="E30" s="815">
        <v>2.9928871204268432</v>
      </c>
    </row>
    <row r="31" spans="1:5" ht="16.5" customHeight="1" thickBot="1">
      <c r="A31" s="1019">
        <v>829</v>
      </c>
      <c r="B31" s="1020" t="s">
        <v>1377</v>
      </c>
      <c r="C31" s="813">
        <v>9.1436005900000001</v>
      </c>
      <c r="D31" s="814">
        <v>6.3038978020126537</v>
      </c>
      <c r="E31" s="815">
        <v>1.4504677704452491</v>
      </c>
    </row>
    <row r="32" spans="1:5" ht="16.5" customHeight="1" thickBot="1">
      <c r="A32" s="1019">
        <v>881</v>
      </c>
      <c r="B32" s="1020" t="s">
        <v>1378</v>
      </c>
      <c r="C32" s="813">
        <v>31.434982999999988</v>
      </c>
      <c r="D32" s="814">
        <v>41.465760542837643</v>
      </c>
      <c r="E32" s="815">
        <v>0.75809493395219385</v>
      </c>
    </row>
    <row r="33" spans="1:5" ht="16.5" customHeight="1" thickBot="1">
      <c r="A33" s="1019">
        <v>901</v>
      </c>
      <c r="B33" s="1020" t="s">
        <v>1431</v>
      </c>
      <c r="C33" s="813">
        <v>7.6423780799999985</v>
      </c>
      <c r="D33" s="814">
        <v>1.6294839483000787</v>
      </c>
      <c r="E33" s="815">
        <v>4.6900603641863006</v>
      </c>
    </row>
    <row r="34" spans="1:5" ht="16.5" customHeight="1" thickBot="1">
      <c r="A34" s="1019">
        <v>923</v>
      </c>
      <c r="B34" s="1020" t="s">
        <v>1380</v>
      </c>
      <c r="C34" s="813">
        <v>29.447427090000001</v>
      </c>
      <c r="D34" s="814">
        <v>7.7577644869218263</v>
      </c>
      <c r="E34" s="815">
        <v>3.7958650510263601</v>
      </c>
    </row>
    <row r="35" spans="1:5" ht="16.5" customHeight="1" thickBot="1">
      <c r="A35" s="1019">
        <v>941</v>
      </c>
      <c r="B35" s="1020" t="s">
        <v>1381</v>
      </c>
      <c r="C35" s="813">
        <v>34.965917000000005</v>
      </c>
      <c r="D35" s="814">
        <v>19.323603912861387</v>
      </c>
      <c r="E35" s="815">
        <v>1.8094925334671874</v>
      </c>
    </row>
    <row r="36" spans="1:5" ht="16.5" customHeight="1" thickBot="1">
      <c r="A36" s="1019">
        <v>966</v>
      </c>
      <c r="B36" s="1020" t="s">
        <v>1382</v>
      </c>
      <c r="C36" s="813">
        <v>3.1872236699999972</v>
      </c>
      <c r="D36" s="814">
        <v>2.4198843390187621</v>
      </c>
      <c r="E36" s="815">
        <v>1.3170975234677469</v>
      </c>
    </row>
    <row r="37" spans="1:5" ht="16.5" customHeight="1" thickBot="1">
      <c r="A37" s="1019">
        <v>994</v>
      </c>
      <c r="B37" s="1020" t="s">
        <v>1383</v>
      </c>
      <c r="C37" s="813">
        <v>185.55686900000001</v>
      </c>
      <c r="D37" s="814">
        <v>99.737115567245837</v>
      </c>
      <c r="E37" s="815">
        <v>1.8604595485307758</v>
      </c>
    </row>
    <row r="38" spans="1:5" ht="16.5" customHeight="1" thickBot="1">
      <c r="A38" s="1019">
        <v>1003</v>
      </c>
      <c r="B38" s="1020" t="s">
        <v>1416</v>
      </c>
      <c r="C38" s="813">
        <v>1.710877</v>
      </c>
      <c r="D38" s="814">
        <v>0.17261101167616633</v>
      </c>
      <c r="E38" s="815">
        <v>9.9117488704009098</v>
      </c>
    </row>
    <row r="39" spans="1:5" ht="16.5" customHeight="1" thickBot="1">
      <c r="A39" s="1019">
        <v>1040</v>
      </c>
      <c r="B39" s="1020" t="s">
        <v>1384</v>
      </c>
      <c r="C39" s="813">
        <v>4.5342289999999998</v>
      </c>
      <c r="D39" s="814">
        <v>2.1543771450975866</v>
      </c>
      <c r="E39" s="815">
        <v>2.1046588849672436</v>
      </c>
    </row>
    <row r="40" spans="1:5" ht="16.5" customHeight="1" thickBot="1">
      <c r="A40" s="1019">
        <v>1060</v>
      </c>
      <c r="B40" s="1020" t="s">
        <v>1432</v>
      </c>
      <c r="C40" s="813">
        <v>157.94957653</v>
      </c>
      <c r="D40" s="814">
        <v>95.9</v>
      </c>
      <c r="E40" s="815">
        <v>1.65</v>
      </c>
    </row>
    <row r="41" spans="1:5" ht="16.5" customHeight="1" thickBot="1">
      <c r="A41" s="1019">
        <v>1113</v>
      </c>
      <c r="B41" s="1020" t="s">
        <v>1433</v>
      </c>
      <c r="C41" s="813">
        <v>3.5608584399999987</v>
      </c>
      <c r="D41" s="814">
        <v>4.035890591555412</v>
      </c>
      <c r="E41" s="815">
        <v>0.8822980601730489</v>
      </c>
    </row>
    <row r="42" spans="1:5" ht="16.5" customHeight="1" thickBot="1">
      <c r="A42" s="1019">
        <v>1142</v>
      </c>
      <c r="B42" s="1020" t="s">
        <v>1417</v>
      </c>
      <c r="C42" s="813">
        <v>16.922190999999998</v>
      </c>
      <c r="D42" s="814">
        <v>2.7050787530575051</v>
      </c>
      <c r="E42" s="815">
        <v>6.2557110327649905</v>
      </c>
    </row>
    <row r="43" spans="1:5" ht="16.5" customHeight="1" thickBot="1">
      <c r="A43" s="1019">
        <v>1147</v>
      </c>
      <c r="B43" s="1020" t="s">
        <v>1387</v>
      </c>
      <c r="C43" s="813">
        <v>1.5570149999999998</v>
      </c>
      <c r="D43" s="814">
        <v>0.46584872464088184</v>
      </c>
      <c r="E43" s="815">
        <v>3.3423189066371002</v>
      </c>
    </row>
    <row r="44" spans="1:5" ht="16.5" customHeight="1" thickBot="1">
      <c r="A44" s="1019">
        <v>1179</v>
      </c>
      <c r="B44" s="1020" t="s">
        <v>1434</v>
      </c>
      <c r="C44" s="813">
        <v>2.1874591799999994</v>
      </c>
      <c r="D44" s="814">
        <v>0.96667010371643791</v>
      </c>
      <c r="E44" s="815">
        <v>2.2628807610684798</v>
      </c>
    </row>
    <row r="45" spans="1:5" ht="16.5" customHeight="1" thickBot="1">
      <c r="A45" s="1019">
        <v>1318</v>
      </c>
      <c r="B45" s="1020" t="s">
        <v>1435</v>
      </c>
      <c r="C45" s="813">
        <v>16.64447856</v>
      </c>
      <c r="D45" s="814">
        <v>6.4836085084492412</v>
      </c>
      <c r="E45" s="815">
        <v>2.5671627980482508</v>
      </c>
    </row>
    <row r="46" spans="1:5" ht="16.5" customHeight="1" thickBot="1">
      <c r="A46" s="1019">
        <v>1322</v>
      </c>
      <c r="B46" s="1020" t="s">
        <v>1391</v>
      </c>
      <c r="C46" s="813">
        <v>5.8340927200000001</v>
      </c>
      <c r="D46" s="814">
        <v>4.4505713839711154</v>
      </c>
      <c r="E46" s="815">
        <v>1.3108637558340674</v>
      </c>
    </row>
    <row r="47" spans="1:5" ht="16.5" customHeight="1" thickBot="1">
      <c r="A47" s="1019">
        <v>1328</v>
      </c>
      <c r="B47" s="1020" t="s">
        <v>1392</v>
      </c>
      <c r="C47" s="813">
        <v>8.2957526700000006</v>
      </c>
      <c r="D47" s="814">
        <v>4.473674603695974</v>
      </c>
      <c r="E47" s="815">
        <v>1.854348696515919</v>
      </c>
    </row>
    <row r="48" spans="1:5" ht="16.5" customHeight="1" thickBot="1">
      <c r="A48" s="1019">
        <v>1331</v>
      </c>
      <c r="B48" s="1020" t="s">
        <v>1436</v>
      </c>
      <c r="C48" s="813">
        <v>1.5616349999999999</v>
      </c>
      <c r="D48" s="814">
        <v>0.82507080845562442</v>
      </c>
      <c r="E48" s="815">
        <v>1.8927284591768354</v>
      </c>
    </row>
    <row r="49" spans="1:5" ht="16.5" customHeight="1" thickBot="1">
      <c r="A49" s="1019">
        <v>1362</v>
      </c>
      <c r="B49" s="1020" t="s">
        <v>1394</v>
      </c>
      <c r="C49" s="813">
        <v>1.5122329999999997</v>
      </c>
      <c r="D49" s="814">
        <v>0.68688102811512997</v>
      </c>
      <c r="E49" s="815">
        <v>2.2015937813127811</v>
      </c>
    </row>
    <row r="50" spans="1:5" ht="16.5" customHeight="1" thickBot="1">
      <c r="A50" s="1019">
        <v>1384</v>
      </c>
      <c r="B50" s="1020" t="s">
        <v>1395</v>
      </c>
      <c r="C50" s="813">
        <v>339.13387082250051</v>
      </c>
      <c r="D50" s="814">
        <v>285.50956022560314</v>
      </c>
      <c r="E50" s="815">
        <v>1.1878196672452042</v>
      </c>
    </row>
    <row r="51" spans="1:5" ht="16.5" customHeight="1" thickBot="1">
      <c r="A51" s="1019">
        <v>1386</v>
      </c>
      <c r="B51" s="1020" t="s">
        <v>1396</v>
      </c>
      <c r="C51" s="813">
        <v>9.7401677599999967</v>
      </c>
      <c r="D51" s="814">
        <v>7.4981427912407055</v>
      </c>
      <c r="E51" s="815">
        <v>1.2990107058748486</v>
      </c>
    </row>
    <row r="52" spans="1:5" ht="16.5" customHeight="1" thickBot="1">
      <c r="A52" s="1019">
        <v>1401</v>
      </c>
      <c r="B52" s="1020" t="s">
        <v>1397</v>
      </c>
      <c r="C52" s="813">
        <v>10.815113000000004</v>
      </c>
      <c r="D52" s="814">
        <v>5.0744801011664871</v>
      </c>
      <c r="E52" s="815">
        <v>2.1312750832373744</v>
      </c>
    </row>
    <row r="53" spans="1:5" ht="16.5" customHeight="1" thickBot="1">
      <c r="A53" s="1019">
        <v>1402</v>
      </c>
      <c r="B53" s="1020" t="s">
        <v>1398</v>
      </c>
      <c r="C53" s="813">
        <v>1.66212512</v>
      </c>
      <c r="D53" s="814">
        <v>0.19502784496619832</v>
      </c>
      <c r="E53" s="815">
        <v>8.52250159605709</v>
      </c>
    </row>
    <row r="54" spans="1:5" ht="16.5" customHeight="1" thickBot="1">
      <c r="A54" s="1019">
        <v>1423</v>
      </c>
      <c r="B54" s="1020" t="s">
        <v>1437</v>
      </c>
      <c r="C54" s="813">
        <v>2.0430521399999986</v>
      </c>
      <c r="D54" s="814">
        <v>2.1838979391921507</v>
      </c>
      <c r="E54" s="815">
        <v>0.93550715138077711</v>
      </c>
    </row>
    <row r="55" spans="1:5" ht="16.5" customHeight="1" thickBot="1">
      <c r="A55" s="1019">
        <v>1479</v>
      </c>
      <c r="B55" s="1020" t="s">
        <v>1438</v>
      </c>
      <c r="C55" s="813">
        <v>248.44158127000003</v>
      </c>
      <c r="D55" s="814">
        <v>237.09805781944272</v>
      </c>
      <c r="E55" s="815">
        <v>1.0478431732207429</v>
      </c>
    </row>
    <row r="56" spans="1:5" ht="16.5" customHeight="1" thickBot="1">
      <c r="A56" s="1019">
        <v>1491</v>
      </c>
      <c r="B56" s="1020" t="s">
        <v>1401</v>
      </c>
      <c r="C56" s="813">
        <v>2.5977098600000001</v>
      </c>
      <c r="D56" s="814">
        <v>0.76300535795690783</v>
      </c>
      <c r="E56" s="815">
        <v>3.4045761709404809</v>
      </c>
    </row>
    <row r="57" spans="1:5" ht="16.5" customHeight="1" thickBot="1">
      <c r="A57" s="1019">
        <v>1507</v>
      </c>
      <c r="B57" s="1020" t="s">
        <v>1439</v>
      </c>
      <c r="C57" s="813">
        <v>11.880253759999997</v>
      </c>
      <c r="D57" s="814">
        <v>6.3947285281630899</v>
      </c>
      <c r="E57" s="815">
        <v>1.8578198758052118</v>
      </c>
    </row>
    <row r="58" spans="1:5" ht="16.5" customHeight="1" thickBot="1">
      <c r="A58" s="1019">
        <v>1509</v>
      </c>
      <c r="B58" s="1020" t="s">
        <v>1440</v>
      </c>
      <c r="C58" s="813">
        <v>158.52688468999997</v>
      </c>
      <c r="D58" s="814">
        <v>137.19999999999999</v>
      </c>
      <c r="E58" s="815">
        <v>1.1599999999999999</v>
      </c>
    </row>
    <row r="59" spans="1:5" ht="16.5" customHeight="1" thickBot="1">
      <c r="A59" s="1019">
        <v>1520</v>
      </c>
      <c r="B59" s="1020" t="s">
        <v>1404</v>
      </c>
      <c r="C59" s="813">
        <v>21.647524677296278</v>
      </c>
      <c r="D59" s="814">
        <v>10.881737464092552</v>
      </c>
      <c r="E59" s="815">
        <v>1.989344509434138</v>
      </c>
    </row>
    <row r="60" spans="1:5" ht="16.5" customHeight="1" thickBot="1">
      <c r="A60" s="1019">
        <v>1522</v>
      </c>
      <c r="B60" s="1020" t="s">
        <v>1405</v>
      </c>
      <c r="C60" s="813">
        <v>6.1291729999999998</v>
      </c>
      <c r="D60" s="814">
        <v>0.7296500438060779</v>
      </c>
      <c r="E60" s="815">
        <v>8.4001543644517014</v>
      </c>
    </row>
    <row r="61" spans="1:5" ht="16.5" customHeight="1" thickBot="1">
      <c r="A61" s="1019">
        <v>1529</v>
      </c>
      <c r="B61" s="1020" t="s">
        <v>1441</v>
      </c>
      <c r="C61" s="813">
        <v>150.11182775000003</v>
      </c>
      <c r="D61" s="814">
        <v>98.534176461151972</v>
      </c>
      <c r="E61" s="815">
        <v>1.5234493567740228</v>
      </c>
    </row>
    <row r="62" spans="1:5" ht="16.5" customHeight="1" thickBot="1">
      <c r="A62" s="1019">
        <v>1535</v>
      </c>
      <c r="B62" s="1020" t="s">
        <v>1406</v>
      </c>
      <c r="C62" s="813">
        <v>185.72015708999999</v>
      </c>
      <c r="D62" s="814">
        <v>148.64692749276401</v>
      </c>
      <c r="E62" s="815">
        <v>1.249404614158881</v>
      </c>
    </row>
    <row r="63" spans="1:5" ht="16.5" customHeight="1" thickBot="1">
      <c r="A63" s="1019">
        <v>1540</v>
      </c>
      <c r="B63" s="1020" t="s">
        <v>1442</v>
      </c>
      <c r="C63" s="813">
        <v>2.5104449999999998</v>
      </c>
      <c r="D63" s="814">
        <v>1.4658960933576679</v>
      </c>
      <c r="E63" s="815">
        <v>1.7125668124606084</v>
      </c>
    </row>
    <row r="64" spans="1:5" ht="16.5" customHeight="1" thickBot="1">
      <c r="A64" s="1019">
        <v>1542</v>
      </c>
      <c r="B64" s="1020" t="s">
        <v>1443</v>
      </c>
      <c r="C64" s="813">
        <v>792.89735354703248</v>
      </c>
      <c r="D64" s="814">
        <v>200.7682440256406</v>
      </c>
      <c r="E64" s="815">
        <v>3.9493165734206932</v>
      </c>
    </row>
    <row r="65" spans="1:5" ht="16.5" customHeight="1" thickBot="1">
      <c r="A65" s="1019">
        <v>1555</v>
      </c>
      <c r="B65" s="1020" t="s">
        <v>1227</v>
      </c>
      <c r="C65" s="813">
        <v>693.91347579000001</v>
      </c>
      <c r="D65" s="814">
        <v>273.10890358962212</v>
      </c>
      <c r="E65" s="815">
        <v>2.540794044681479</v>
      </c>
    </row>
    <row r="66" spans="1:5" ht="16.5" customHeight="1" thickBot="1">
      <c r="A66" s="1019">
        <v>1560</v>
      </c>
      <c r="B66" s="1020" t="s">
        <v>1229</v>
      </c>
      <c r="C66" s="813">
        <v>129.33355126000006</v>
      </c>
      <c r="D66" s="814">
        <v>49.936696597322808</v>
      </c>
      <c r="E66" s="815">
        <v>2.5899500782543523</v>
      </c>
    </row>
    <row r="67" spans="1:5" ht="16.5" customHeight="1" thickBot="1">
      <c r="A67" s="1019">
        <v>1562</v>
      </c>
      <c r="B67" s="1020" t="s">
        <v>1408</v>
      </c>
      <c r="C67" s="813">
        <v>1001.5217679999998</v>
      </c>
      <c r="D67" s="814">
        <v>547.73419197887301</v>
      </c>
      <c r="E67" s="815">
        <v>1.8284813741162795</v>
      </c>
    </row>
    <row r="68" spans="1:5" ht="16.5" customHeight="1" thickBot="1">
      <c r="A68" s="1019">
        <v>1565</v>
      </c>
      <c r="B68" s="1020" t="s">
        <v>1409</v>
      </c>
      <c r="C68" s="813">
        <v>87.021974</v>
      </c>
      <c r="D68" s="814">
        <v>91.723445392290159</v>
      </c>
      <c r="E68" s="815">
        <v>0.94874296999875518</v>
      </c>
    </row>
    <row r="69" spans="1:5" ht="16.5" customHeight="1" thickBot="1">
      <c r="A69" s="1021">
        <v>1566</v>
      </c>
      <c r="B69" s="1022" t="s">
        <v>1410</v>
      </c>
      <c r="C69" s="818">
        <v>77.650970999999998</v>
      </c>
      <c r="D69" s="819">
        <v>82.222066903284912</v>
      </c>
      <c r="E69" s="820">
        <v>0.9444054853466316</v>
      </c>
    </row>
    <row r="70" spans="1:5" ht="18" customHeight="1" thickBot="1">
      <c r="A70" s="1023">
        <v>1568</v>
      </c>
      <c r="B70" s="1024" t="s">
        <v>1444</v>
      </c>
      <c r="C70" s="823">
        <v>52.667091859999985</v>
      </c>
      <c r="D70" s="824">
        <v>34.916345177382162</v>
      </c>
      <c r="E70" s="825">
        <v>1.5083792874781254</v>
      </c>
    </row>
    <row r="71" spans="1:5" ht="16.5" customHeight="1" thickBot="1">
      <c r="A71" s="1025">
        <v>1569</v>
      </c>
      <c r="B71" s="1026" t="s">
        <v>1411</v>
      </c>
      <c r="C71" s="813">
        <v>81.060937450000011</v>
      </c>
      <c r="D71" s="814">
        <v>64.733140612149725</v>
      </c>
      <c r="E71" s="815">
        <v>1.2522324219626342</v>
      </c>
    </row>
    <row r="72" spans="1:5" ht="14" thickBot="1">
      <c r="A72" s="1019">
        <v>1570</v>
      </c>
      <c r="B72" s="1020" t="s">
        <v>1445</v>
      </c>
      <c r="C72" s="813">
        <v>62.064502860000005</v>
      </c>
      <c r="D72" s="814">
        <v>30.813927515985412</v>
      </c>
      <c r="E72" s="815">
        <v>2.014170469759256</v>
      </c>
    </row>
    <row r="73" spans="1:5" ht="14" thickBot="1">
      <c r="A73" s="1019">
        <v>1574</v>
      </c>
      <c r="B73" s="1020" t="s">
        <v>1412</v>
      </c>
      <c r="C73" s="813">
        <v>9.6670839999999991</v>
      </c>
      <c r="D73" s="814">
        <v>3.7442666621669574</v>
      </c>
      <c r="E73" s="815">
        <v>2.581836410766019</v>
      </c>
    </row>
    <row r="74" spans="1:5" ht="14" thickBot="1">
      <c r="A74" s="1019">
        <v>1575</v>
      </c>
      <c r="B74" s="1020" t="s">
        <v>1446</v>
      </c>
      <c r="C74" s="813">
        <v>18.820726980000007</v>
      </c>
      <c r="D74" s="814">
        <v>11.4</v>
      </c>
      <c r="E74" s="815">
        <v>1.65</v>
      </c>
    </row>
    <row r="75" spans="1:5" ht="14" thickBot="1">
      <c r="A75" s="1019">
        <v>1577</v>
      </c>
      <c r="B75" s="1020" t="s">
        <v>1421</v>
      </c>
      <c r="C75" s="813">
        <v>25.892275470000001</v>
      </c>
      <c r="D75" s="814">
        <v>20.272715010443786</v>
      </c>
      <c r="E75" s="815">
        <v>1.2771982172422991</v>
      </c>
    </row>
    <row r="76" spans="1:5" ht="14" thickBot="1">
      <c r="A76" s="1019" t="s">
        <v>397</v>
      </c>
      <c r="B76" s="1020" t="s">
        <v>397</v>
      </c>
      <c r="C76" s="813" t="s">
        <v>397</v>
      </c>
      <c r="D76" s="814" t="s">
        <v>397</v>
      </c>
      <c r="E76" s="815" t="s">
        <v>397</v>
      </c>
    </row>
    <row r="77" spans="1:5" ht="14" thickBot="1">
      <c r="A77" s="1019" t="s">
        <v>397</v>
      </c>
      <c r="B77" s="1020" t="s">
        <v>397</v>
      </c>
      <c r="C77" s="813" t="s">
        <v>397</v>
      </c>
      <c r="D77" s="814" t="s">
        <v>397</v>
      </c>
      <c r="E77" s="815" t="s">
        <v>397</v>
      </c>
    </row>
    <row r="78" spans="1:5" ht="14" thickBot="1">
      <c r="A78" s="1019" t="s">
        <v>397</v>
      </c>
      <c r="B78" s="1020" t="s">
        <v>397</v>
      </c>
      <c r="C78" s="813" t="s">
        <v>397</v>
      </c>
      <c r="D78" s="814" t="s">
        <v>397</v>
      </c>
      <c r="E78" s="815" t="s">
        <v>397</v>
      </c>
    </row>
    <row r="79" spans="1:5" s="138" customFormat="1" ht="18.75" customHeight="1" thickBot="1">
      <c r="A79" s="1014" t="s">
        <v>230</v>
      </c>
      <c r="B79" s="1013">
        <v>66</v>
      </c>
      <c r="C79" s="830">
        <v>7122.6377705966433</v>
      </c>
      <c r="D79" s="831">
        <v>4133.8839343723839</v>
      </c>
      <c r="E79" s="832">
        <v>1.7229892961854574</v>
      </c>
    </row>
    <row r="80" spans="1:5" ht="16.5" customHeight="1" thickBot="1">
      <c r="A80" s="531" t="s">
        <v>1355</v>
      </c>
      <c r="C80" s="833"/>
      <c r="D80" s="834"/>
      <c r="E80" s="835"/>
    </row>
    <row r="82" spans="1:2">
      <c r="A82" s="3" t="s">
        <v>1164</v>
      </c>
    </row>
    <row r="83" spans="1:2">
      <c r="A83" s="3" t="s">
        <v>1522</v>
      </c>
    </row>
    <row r="84" spans="1:2">
      <c r="A84" s="3" t="s">
        <v>1521</v>
      </c>
    </row>
    <row r="85" spans="1:2">
      <c r="A85" s="3" t="s">
        <v>1165</v>
      </c>
    </row>
    <row r="86" spans="1:2">
      <c r="A86" s="836" t="s">
        <v>1166</v>
      </c>
      <c r="B86" s="837"/>
    </row>
    <row r="87" spans="1:2">
      <c r="A87" s="836" t="s">
        <v>1167</v>
      </c>
      <c r="B87" s="742"/>
    </row>
    <row r="88" spans="1:2">
      <c r="A88" s="838" t="s">
        <v>1168</v>
      </c>
      <c r="B88" s="742"/>
    </row>
    <row r="89" spans="1:2">
      <c r="A89" s="838" t="s">
        <v>1169</v>
      </c>
      <c r="B89" s="742"/>
    </row>
    <row r="90" spans="1:2">
      <c r="A90" s="742" t="s">
        <v>1170</v>
      </c>
      <c r="B90" s="742"/>
    </row>
    <row r="91" spans="1:2">
      <c r="A91" s="836" t="s">
        <v>1171</v>
      </c>
      <c r="B91" s="742"/>
    </row>
    <row r="92" spans="1:2">
      <c r="A92" s="439" t="s">
        <v>1519</v>
      </c>
      <c r="B92" s="742"/>
    </row>
    <row r="93" spans="1:2">
      <c r="A93" s="181"/>
      <c r="B93" s="742"/>
    </row>
    <row r="94" spans="1:2">
      <c r="A94" s="742" t="s">
        <v>1172</v>
      </c>
      <c r="B94" s="742"/>
    </row>
    <row r="97" spans="1:1">
      <c r="A97" s="3" t="s">
        <v>395</v>
      </c>
    </row>
  </sheetData>
  <pageMargins left="0.39370078740157483" right="0.35433070866141736" top="0.35433070866141736" bottom="0.31496062992125984" header="0.27559055118110237" footer="0.23622047244094491"/>
  <pageSetup paperSize="9" scale="56" pageOrder="overThenDown" orientation="portrait" horizontalDpi="1200" verticalDpi="1200"/>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D1340-D5A4-8A43-AFDF-207252D99100}">
  <sheetPr>
    <pageSetUpPr fitToPage="1"/>
  </sheetPr>
  <dimension ref="A1:B11"/>
  <sheetViews>
    <sheetView workbookViewId="0">
      <selection activeCell="G23" sqref="G23"/>
    </sheetView>
  </sheetViews>
  <sheetFormatPr baseColWidth="10" defaultColWidth="11.59765625" defaultRowHeight="13"/>
  <cols>
    <col min="1" max="1" width="5.59765625" style="65" customWidth="1"/>
    <col min="2" max="16384" width="11.59765625" style="65"/>
  </cols>
  <sheetData>
    <row r="1" spans="1:2" ht="16">
      <c r="A1" s="601" t="s">
        <v>744</v>
      </c>
    </row>
    <row r="2" spans="1:2" ht="16">
      <c r="A2" s="66"/>
    </row>
    <row r="3" spans="1:2">
      <c r="A3" s="65">
        <v>6.01</v>
      </c>
      <c r="B3" s="67" t="s">
        <v>745</v>
      </c>
    </row>
    <row r="4" spans="1:2">
      <c r="A4" s="65">
        <v>6.02</v>
      </c>
      <c r="B4" s="67" t="s">
        <v>746</v>
      </c>
    </row>
    <row r="5" spans="1:2">
      <c r="A5" s="65">
        <v>6.03</v>
      </c>
      <c r="B5" s="67" t="s">
        <v>747</v>
      </c>
    </row>
    <row r="6" spans="1:2">
      <c r="A6" s="65">
        <v>6.04</v>
      </c>
      <c r="B6" s="67" t="s">
        <v>748</v>
      </c>
    </row>
    <row r="7" spans="1:2">
      <c r="A7" s="65">
        <v>6.05</v>
      </c>
      <c r="B7" s="67" t="s">
        <v>749</v>
      </c>
    </row>
    <row r="8" spans="1:2">
      <c r="A8" s="65">
        <v>6.06</v>
      </c>
      <c r="B8" s="67" t="s">
        <v>750</v>
      </c>
    </row>
    <row r="11" spans="1:2">
      <c r="A11" s="63" t="s">
        <v>395</v>
      </c>
    </row>
  </sheetData>
  <pageMargins left="0.46" right="0.35" top="0.69" bottom="0.984251969" header="0.36" footer="0.4921259845"/>
  <pageSetup paperSize="9" orientation="portrait"/>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F18A-7EFA-D046-87BE-DC8C41F104D9}">
  <sheetPr>
    <pageSetUpPr fitToPage="1"/>
  </sheetPr>
  <dimension ref="A1:G32"/>
  <sheetViews>
    <sheetView zoomScaleNormal="100" workbookViewId="0">
      <selection activeCell="I24" sqref="I24"/>
    </sheetView>
  </sheetViews>
  <sheetFormatPr baseColWidth="10" defaultColWidth="11.3984375" defaultRowHeight="13"/>
  <cols>
    <col min="1" max="1" width="16.796875" style="3" customWidth="1"/>
    <col min="2" max="4" width="14.59765625" style="3" customWidth="1"/>
    <col min="5" max="5" width="15.3984375" style="3" customWidth="1"/>
    <col min="6" max="7" width="14.59765625" style="3" customWidth="1"/>
    <col min="8" max="16384" width="11.3984375" style="3"/>
  </cols>
  <sheetData>
    <row r="1" spans="1:7" s="2" customFormat="1" ht="14" customHeight="1"/>
    <row r="2" spans="1:7" s="2" customFormat="1" ht="22.75" customHeight="1">
      <c r="A2" s="2054" t="s">
        <v>751</v>
      </c>
      <c r="B2" s="2055"/>
      <c r="C2" s="2055"/>
      <c r="D2" s="2055"/>
      <c r="E2" s="2055"/>
      <c r="F2" s="2055"/>
      <c r="G2" s="164"/>
    </row>
    <row r="3" spans="1:7" ht="24" customHeight="1">
      <c r="A3" s="109" t="s">
        <v>241</v>
      </c>
      <c r="B3" s="110" t="s">
        <v>752</v>
      </c>
      <c r="C3" s="111" t="s">
        <v>752</v>
      </c>
      <c r="D3" s="110" t="s">
        <v>533</v>
      </c>
      <c r="E3" s="111" t="s">
        <v>533</v>
      </c>
      <c r="F3" s="110" t="s">
        <v>753</v>
      </c>
      <c r="G3" s="111" t="s">
        <v>753</v>
      </c>
    </row>
    <row r="4" spans="1:7" ht="15" customHeight="1">
      <c r="A4" s="112"/>
      <c r="B4" s="113" t="s">
        <v>640</v>
      </c>
      <c r="C4" s="114" t="s">
        <v>754</v>
      </c>
      <c r="D4" s="113" t="s">
        <v>640</v>
      </c>
      <c r="E4" s="114" t="s">
        <v>754</v>
      </c>
      <c r="F4" s="113" t="s">
        <v>755</v>
      </c>
      <c r="G4" s="114" t="s">
        <v>756</v>
      </c>
    </row>
    <row r="5" spans="1:7" ht="15" customHeight="1">
      <c r="A5" s="112"/>
      <c r="B5" s="113"/>
      <c r="C5" s="114" t="s">
        <v>757</v>
      </c>
      <c r="D5" s="113"/>
      <c r="E5" s="114" t="s">
        <v>757</v>
      </c>
      <c r="F5" s="113" t="s">
        <v>758</v>
      </c>
      <c r="G5" s="114" t="s">
        <v>759</v>
      </c>
    </row>
    <row r="6" spans="1:7" ht="24" customHeight="1">
      <c r="A6" s="116"/>
      <c r="B6" s="117"/>
      <c r="C6" s="118" t="s">
        <v>760</v>
      </c>
      <c r="D6" s="117"/>
      <c r="E6" s="118" t="s">
        <v>760</v>
      </c>
      <c r="F6" s="117"/>
      <c r="G6" s="118"/>
    </row>
    <row r="7" spans="1:7" ht="1.5" customHeight="1" thickBot="1">
      <c r="A7" s="120">
        <v>1996</v>
      </c>
      <c r="B7" s="603">
        <v>834.29346030999989</v>
      </c>
      <c r="C7" s="244">
        <v>147.33000000000001</v>
      </c>
      <c r="D7" s="603">
        <v>872.50191104999999</v>
      </c>
      <c r="E7" s="244">
        <v>174.02</v>
      </c>
      <c r="F7" s="245">
        <v>1497811</v>
      </c>
      <c r="G7" s="604">
        <v>150</v>
      </c>
    </row>
    <row r="8" spans="1:7" ht="0.75" customHeight="1" thickBot="1">
      <c r="A8" s="123">
        <v>1997</v>
      </c>
      <c r="B8" s="257">
        <v>560.57016199999998</v>
      </c>
      <c r="C8" s="253">
        <v>177.97135605247547</v>
      </c>
      <c r="D8" s="257">
        <v>621.52611999999999</v>
      </c>
      <c r="E8" s="253">
        <v>219.40142149615536</v>
      </c>
      <c r="F8" s="254">
        <v>962507</v>
      </c>
      <c r="G8" s="605">
        <v>134</v>
      </c>
    </row>
    <row r="9" spans="1:7" ht="0.75" customHeight="1" thickBot="1">
      <c r="A9" s="123">
        <v>1998</v>
      </c>
      <c r="B9" s="257">
        <v>511.39633099999998</v>
      </c>
      <c r="C9" s="253">
        <v>210.006745555365</v>
      </c>
      <c r="D9" s="257">
        <v>456.36259100000001</v>
      </c>
      <c r="E9" s="253">
        <v>198.92326535477412</v>
      </c>
      <c r="F9" s="254">
        <v>822171</v>
      </c>
      <c r="G9" s="605">
        <v>115</v>
      </c>
    </row>
    <row r="10" spans="1:7" ht="19.75" hidden="1" customHeight="1" thickBot="1">
      <c r="A10" s="123">
        <v>1999</v>
      </c>
      <c r="B10" s="257">
        <v>464.48300699999999</v>
      </c>
      <c r="C10" s="253">
        <v>208.58087392018217</v>
      </c>
      <c r="D10" s="257">
        <v>412.14915300000001</v>
      </c>
      <c r="E10" s="253">
        <v>192.54405491703864</v>
      </c>
      <c r="F10" s="254">
        <v>727206</v>
      </c>
      <c r="G10" s="605">
        <v>109</v>
      </c>
    </row>
    <row r="11" spans="1:7" ht="19.75" hidden="1" customHeight="1" thickBot="1">
      <c r="A11" s="123">
        <v>2000</v>
      </c>
      <c r="B11" s="257">
        <v>439.22602000000001</v>
      </c>
      <c r="C11" s="253">
        <v>209.03</v>
      </c>
      <c r="D11" s="257">
        <v>381.63992000000002</v>
      </c>
      <c r="E11" s="253">
        <v>199.95</v>
      </c>
      <c r="F11" s="254">
        <v>639885</v>
      </c>
      <c r="G11" s="605">
        <v>102</v>
      </c>
    </row>
    <row r="12" spans="1:7" ht="20" hidden="1" customHeight="1" thickBot="1">
      <c r="A12" s="123">
        <v>2001</v>
      </c>
      <c r="B12" s="257">
        <v>400.71188914999999</v>
      </c>
      <c r="C12" s="253">
        <v>221.99</v>
      </c>
      <c r="D12" s="257">
        <v>351.97137099999998</v>
      </c>
      <c r="E12" s="253">
        <v>196.51</v>
      </c>
      <c r="F12" s="254">
        <v>561848</v>
      </c>
      <c r="G12" s="605">
        <v>102</v>
      </c>
    </row>
    <row r="13" spans="1:7" ht="20" customHeight="1" thickBot="1">
      <c r="A13" s="123">
        <v>2002</v>
      </c>
      <c r="B13" s="257">
        <v>371.74367599999999</v>
      </c>
      <c r="C13" s="253">
        <v>218.55</v>
      </c>
      <c r="D13" s="257">
        <v>329.14910600000002</v>
      </c>
      <c r="E13" s="253">
        <v>192.51</v>
      </c>
      <c r="F13" s="254">
        <v>495344</v>
      </c>
      <c r="G13" s="605">
        <v>93</v>
      </c>
    </row>
    <row r="14" spans="1:7" ht="20" customHeight="1" thickBot="1">
      <c r="A14" s="123">
        <v>2003</v>
      </c>
      <c r="B14" s="257">
        <v>357.14315599999998</v>
      </c>
      <c r="C14" s="253">
        <v>230.55</v>
      </c>
      <c r="D14" s="257">
        <v>309.91303299999998</v>
      </c>
      <c r="E14" s="253">
        <v>196.87</v>
      </c>
      <c r="F14" s="254">
        <v>439082</v>
      </c>
      <c r="G14" s="605">
        <v>92</v>
      </c>
    </row>
    <row r="15" spans="1:7" ht="20" customHeight="1" thickBot="1">
      <c r="A15" s="123">
        <v>2004</v>
      </c>
      <c r="B15" s="257">
        <v>356.58952599999998</v>
      </c>
      <c r="C15" s="253">
        <v>237.95</v>
      </c>
      <c r="D15" s="257">
        <v>277.93515500000001</v>
      </c>
      <c r="E15" s="253">
        <v>191.46</v>
      </c>
      <c r="F15" s="254">
        <v>384858</v>
      </c>
      <c r="G15" s="605">
        <v>93</v>
      </c>
    </row>
    <row r="16" spans="1:7" ht="20" customHeight="1" thickBot="1">
      <c r="A16" s="123">
        <v>2005</v>
      </c>
      <c r="B16" s="257">
        <v>342.30109299999998</v>
      </c>
      <c r="C16" s="253">
        <v>202.99</v>
      </c>
      <c r="D16" s="257">
        <v>251.061485</v>
      </c>
      <c r="E16" s="253">
        <v>158.24</v>
      </c>
      <c r="F16" s="254">
        <v>409989</v>
      </c>
      <c r="G16" s="605">
        <v>82</v>
      </c>
    </row>
    <row r="17" spans="1:7" ht="20" customHeight="1" thickBot="1">
      <c r="A17" s="123">
        <v>2006</v>
      </c>
      <c r="B17" s="257">
        <v>318.09682500000002</v>
      </c>
      <c r="C17" s="253">
        <v>203.43</v>
      </c>
      <c r="D17" s="257">
        <v>220.62135799999999</v>
      </c>
      <c r="E17" s="253">
        <v>148.53</v>
      </c>
      <c r="F17" s="254">
        <v>376229</v>
      </c>
      <c r="G17" s="605">
        <v>81</v>
      </c>
    </row>
    <row r="18" spans="1:7" ht="20" customHeight="1" thickBot="1">
      <c r="A18" s="123">
        <v>2007</v>
      </c>
      <c r="B18" s="257">
        <v>302.25500452</v>
      </c>
      <c r="C18" s="253">
        <v>192.28</v>
      </c>
      <c r="D18" s="257">
        <v>207.71949053</v>
      </c>
      <c r="E18" s="253">
        <v>139.46</v>
      </c>
      <c r="F18" s="254">
        <v>342046.54</v>
      </c>
      <c r="G18" s="605">
        <v>81</v>
      </c>
    </row>
    <row r="19" spans="1:7" ht="20" customHeight="1" thickBot="1">
      <c r="A19" s="123">
        <v>2008</v>
      </c>
      <c r="B19" s="257">
        <v>280.99848664999996</v>
      </c>
      <c r="C19" s="253">
        <v>185.89</v>
      </c>
      <c r="D19" s="257">
        <v>198.28856277</v>
      </c>
      <c r="E19" s="253">
        <v>126.72</v>
      </c>
      <c r="F19" s="254">
        <v>314150.3</v>
      </c>
      <c r="G19" s="605">
        <v>82</v>
      </c>
    </row>
    <row r="20" spans="1:7" ht="20" customHeight="1" thickBot="1">
      <c r="A20" s="123">
        <v>2009</v>
      </c>
      <c r="B20" s="257">
        <v>267.72326984</v>
      </c>
      <c r="C20" s="253">
        <v>176.37</v>
      </c>
      <c r="D20" s="257">
        <v>197.19709437999998</v>
      </c>
      <c r="E20" s="253">
        <v>135.19999999999999</v>
      </c>
      <c r="F20" s="254">
        <v>285966.94</v>
      </c>
      <c r="G20" s="605">
        <v>74</v>
      </c>
    </row>
    <row r="21" spans="1:7" ht="20" customHeight="1" thickBot="1">
      <c r="A21" s="123">
        <v>2010</v>
      </c>
      <c r="B21" s="257">
        <v>248.75569699000002</v>
      </c>
      <c r="C21" s="253">
        <v>187.17</v>
      </c>
      <c r="D21" s="257">
        <v>191.6446435</v>
      </c>
      <c r="E21" s="253">
        <v>146.13</v>
      </c>
      <c r="F21" s="254">
        <v>245655.8</v>
      </c>
      <c r="G21" s="605">
        <v>78</v>
      </c>
    </row>
    <row r="22" spans="1:7" ht="20" customHeight="1" thickBot="1">
      <c r="A22" s="123">
        <v>2011</v>
      </c>
      <c r="B22" s="257">
        <v>239.7804921</v>
      </c>
      <c r="C22" s="253">
        <v>188.13</v>
      </c>
      <c r="D22" s="257">
        <v>188.23914503</v>
      </c>
      <c r="E22" s="253">
        <v>127.69</v>
      </c>
      <c r="F22" s="254">
        <v>217512.65</v>
      </c>
      <c r="G22" s="605">
        <v>62</v>
      </c>
    </row>
    <row r="23" spans="1:7" ht="30" customHeight="1" thickBot="1">
      <c r="A23" s="430">
        <v>2012</v>
      </c>
      <c r="B23" s="606">
        <v>252.67021822000001</v>
      </c>
      <c r="C23" s="342">
        <v>163.22999999999999</v>
      </c>
      <c r="D23" s="606">
        <v>188.25055</v>
      </c>
      <c r="E23" s="342">
        <v>120.28</v>
      </c>
      <c r="F23" s="341">
        <v>223570.5</v>
      </c>
      <c r="G23" s="607">
        <v>59</v>
      </c>
    </row>
    <row r="24" spans="1:7" ht="20" customHeight="1">
      <c r="A24" s="130" t="s">
        <v>396</v>
      </c>
      <c r="B24" s="130"/>
      <c r="C24" s="130"/>
      <c r="D24" s="130"/>
      <c r="E24" s="130"/>
      <c r="F24" s="130"/>
      <c r="G24" s="130"/>
    </row>
    <row r="25" spans="1:7" ht="13.5" customHeight="1">
      <c r="A25" s="131"/>
      <c r="B25" s="131"/>
      <c r="C25" s="131"/>
      <c r="D25" s="131"/>
      <c r="E25" s="131"/>
      <c r="F25" s="131"/>
      <c r="G25" s="131"/>
    </row>
    <row r="26" spans="1:7" ht="15.75" customHeight="1">
      <c r="A26" s="131" t="s">
        <v>761</v>
      </c>
      <c r="B26" s="131"/>
      <c r="C26" s="131"/>
      <c r="D26" s="131"/>
      <c r="E26" s="131"/>
      <c r="F26" s="131"/>
      <c r="G26" s="131"/>
    </row>
    <row r="27" spans="1:7" ht="14.25" customHeight="1">
      <c r="A27" s="131"/>
      <c r="B27" s="131"/>
      <c r="C27" s="131"/>
      <c r="D27" s="131"/>
      <c r="E27" s="131"/>
      <c r="F27" s="131"/>
      <c r="G27" s="131"/>
    </row>
    <row r="28" spans="1:7" ht="12.75" customHeight="1">
      <c r="A28" s="131" t="s">
        <v>762</v>
      </c>
      <c r="B28" s="131"/>
      <c r="C28" s="131"/>
      <c r="D28" s="131"/>
      <c r="E28" s="131"/>
      <c r="F28" s="131"/>
      <c r="G28" s="131"/>
    </row>
    <row r="29" spans="1:7">
      <c r="A29" s="3" t="s">
        <v>763</v>
      </c>
    </row>
    <row r="32" spans="1:7">
      <c r="A32" s="3" t="s">
        <v>395</v>
      </c>
    </row>
  </sheetData>
  <mergeCells count="1">
    <mergeCell ref="A2:F2"/>
  </mergeCells>
  <pageMargins left="0.62" right="0.64" top="1.01" bottom="0.49" header="0.53" footer="0.4921259845"/>
  <pageSetup paperSize="9" scale="85" orientation="portrait" horizontalDpi="4294967292" verticalDpi="4294967292"/>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17F2-BF3E-5F4E-9004-7004D4971D44}">
  <sheetPr>
    <pageSetUpPr fitToPage="1"/>
  </sheetPr>
  <dimension ref="A1:K29"/>
  <sheetViews>
    <sheetView topLeftCell="A3" zoomScaleNormal="100" workbookViewId="0">
      <selection activeCell="F31" sqref="F31"/>
    </sheetView>
  </sheetViews>
  <sheetFormatPr baseColWidth="10" defaultColWidth="11.3984375" defaultRowHeight="13"/>
  <cols>
    <col min="1" max="1" width="16.796875" style="3" customWidth="1"/>
    <col min="2" max="2" width="14.59765625" style="3" customWidth="1"/>
    <col min="3" max="3" width="14.59765625" style="181" customWidth="1"/>
    <col min="4" max="4" width="14.59765625" style="3" customWidth="1"/>
    <col min="5" max="5" width="14.59765625" style="181" customWidth="1"/>
    <col min="6" max="6" width="14.59765625" style="3" customWidth="1"/>
    <col min="7" max="7" width="15.3984375" style="181" customWidth="1"/>
    <col min="8" max="16384" width="11.3984375" style="3"/>
  </cols>
  <sheetData>
    <row r="1" spans="1:11" s="2" customFormat="1" ht="14" customHeight="1">
      <c r="C1" s="161"/>
      <c r="E1" s="161"/>
      <c r="G1" s="161"/>
    </row>
    <row r="2" spans="1:11" s="2" customFormat="1" ht="24.5" customHeight="1">
      <c r="A2" s="164" t="s">
        <v>764</v>
      </c>
      <c r="C2" s="161"/>
      <c r="E2" s="161"/>
      <c r="G2" s="164"/>
    </row>
    <row r="3" spans="1:11" ht="24" customHeight="1">
      <c r="A3" s="109" t="s">
        <v>241</v>
      </c>
      <c r="B3" s="110" t="s">
        <v>727</v>
      </c>
      <c r="C3" s="155" t="s">
        <v>256</v>
      </c>
      <c r="D3" s="110" t="s">
        <v>728</v>
      </c>
      <c r="E3" s="155" t="s">
        <v>256</v>
      </c>
      <c r="F3" s="110" t="s">
        <v>485</v>
      </c>
      <c r="G3" s="155" t="s">
        <v>256</v>
      </c>
    </row>
    <row r="4" spans="1:11" ht="15" customHeight="1">
      <c r="A4" s="112"/>
      <c r="B4" s="113" t="s">
        <v>485</v>
      </c>
      <c r="C4" s="156" t="s">
        <v>257</v>
      </c>
      <c r="D4" s="113" t="s">
        <v>729</v>
      </c>
      <c r="E4" s="156" t="s">
        <v>257</v>
      </c>
      <c r="F4" s="113" t="s">
        <v>730</v>
      </c>
      <c r="G4" s="156" t="s">
        <v>257</v>
      </c>
    </row>
    <row r="5" spans="1:11" ht="15" customHeight="1">
      <c r="A5" s="112"/>
      <c r="B5" s="113" t="s">
        <v>731</v>
      </c>
      <c r="C5" s="156" t="s">
        <v>258</v>
      </c>
      <c r="D5" s="113" t="s">
        <v>732</v>
      </c>
      <c r="E5" s="156" t="s">
        <v>258</v>
      </c>
      <c r="F5" s="113" t="s">
        <v>733</v>
      </c>
      <c r="G5" s="156" t="s">
        <v>258</v>
      </c>
    </row>
    <row r="6" spans="1:11" ht="24" customHeight="1">
      <c r="A6" s="116"/>
      <c r="B6" s="117"/>
      <c r="C6" s="157"/>
      <c r="D6" s="117" t="s">
        <v>765</v>
      </c>
      <c r="E6" s="157"/>
      <c r="F6" s="117"/>
      <c r="G6" s="157"/>
    </row>
    <row r="7" spans="1:11" ht="1.5" customHeight="1" thickBot="1">
      <c r="A7" s="120">
        <v>1996</v>
      </c>
      <c r="B7" s="132">
        <v>842626041.5999999</v>
      </c>
      <c r="C7" s="158">
        <v>-0.22395165786377283</v>
      </c>
      <c r="D7" s="132">
        <v>918792074.10000002</v>
      </c>
      <c r="E7" s="158">
        <v>-0.174100182026726</v>
      </c>
      <c r="F7" s="132">
        <v>-76164233.309999987</v>
      </c>
      <c r="G7" s="158">
        <v>-1.8543740517491432</v>
      </c>
      <c r="I7" s="9"/>
      <c r="J7" s="9"/>
      <c r="K7" s="9"/>
    </row>
    <row r="8" spans="1:11" ht="0.75" hidden="1" customHeight="1" thickBot="1">
      <c r="A8" s="123">
        <v>1997</v>
      </c>
      <c r="B8" s="134">
        <v>582586264.20000005</v>
      </c>
      <c r="C8" s="159">
        <v>-0.30860638594343665</v>
      </c>
      <c r="D8" s="134">
        <v>600844654.99000001</v>
      </c>
      <c r="E8" s="159">
        <v>-0.34604937076916387</v>
      </c>
      <c r="F8" s="134">
        <v>-18258290.829999998</v>
      </c>
      <c r="G8" s="159">
        <v>0.76027736331716245</v>
      </c>
    </row>
    <row r="9" spans="1:11" ht="19.5" hidden="1" customHeight="1" thickBot="1">
      <c r="A9" s="123">
        <v>1998</v>
      </c>
      <c r="B9" s="134">
        <v>506597985.24000001</v>
      </c>
      <c r="C9" s="159">
        <v>-0.13043266487641306</v>
      </c>
      <c r="D9" s="134">
        <v>466707907.44999999</v>
      </c>
      <c r="E9" s="159">
        <v>-0.22324696812395292</v>
      </c>
      <c r="F9" s="134">
        <v>39890107.789999999</v>
      </c>
      <c r="G9" s="159">
        <v>3.1847668087561076</v>
      </c>
    </row>
    <row r="10" spans="1:11" ht="0.5" customHeight="1" thickBot="1">
      <c r="A10" s="123">
        <v>1999</v>
      </c>
      <c r="B10" s="134">
        <v>464005598.98000002</v>
      </c>
      <c r="C10" s="159">
        <v>-8.4075317117224449E-2</v>
      </c>
      <c r="D10" s="134">
        <v>422158429.66000003</v>
      </c>
      <c r="E10" s="159">
        <v>-9.5454731061681661E-2</v>
      </c>
      <c r="F10" s="134">
        <v>41847169.719999999</v>
      </c>
      <c r="G10" s="159">
        <v>4.9061334712427351E-2</v>
      </c>
    </row>
    <row r="11" spans="1:11" ht="19.75" hidden="1" customHeight="1" thickBot="1">
      <c r="A11" s="123">
        <v>2000</v>
      </c>
      <c r="B11" s="134">
        <v>458973777.85000002</v>
      </c>
      <c r="C11" s="159">
        <v>-1.0844311234737667E-2</v>
      </c>
      <c r="D11" s="134">
        <v>416527371.23000002</v>
      </c>
      <c r="E11" s="159">
        <v>-1.3338732651945802E-2</v>
      </c>
      <c r="F11" s="134">
        <v>42446406.640000001</v>
      </c>
      <c r="G11" s="159">
        <v>1.4319652296905794E-2</v>
      </c>
    </row>
    <row r="12" spans="1:11" ht="20" hidden="1" customHeight="1" thickBot="1">
      <c r="A12" s="123">
        <v>2001</v>
      </c>
      <c r="B12" s="134">
        <v>405199385</v>
      </c>
      <c r="C12" s="159">
        <v>-0.11716223332387053</v>
      </c>
      <c r="D12" s="134">
        <v>389159830</v>
      </c>
      <c r="E12" s="159">
        <v>-6.5704064415224431E-2</v>
      </c>
      <c r="F12" s="134">
        <v>16039555</v>
      </c>
      <c r="G12" s="159">
        <v>-0.62212219432292559</v>
      </c>
    </row>
    <row r="13" spans="1:11" ht="20" customHeight="1" thickBot="1">
      <c r="A13" s="123">
        <v>2002</v>
      </c>
      <c r="B13" s="134">
        <v>372184863.34999996</v>
      </c>
      <c r="C13" s="159">
        <v>-8.147722546518682E-2</v>
      </c>
      <c r="D13" s="134">
        <v>361726442.44999999</v>
      </c>
      <c r="E13" s="159">
        <v>-7.0493883065988625E-2</v>
      </c>
      <c r="F13" s="134">
        <v>10458420.890000001</v>
      </c>
      <c r="G13" s="159">
        <v>-0.34796065788608221</v>
      </c>
    </row>
    <row r="14" spans="1:11" ht="20" customHeight="1" thickBot="1">
      <c r="A14" s="123">
        <v>2003</v>
      </c>
      <c r="B14" s="134">
        <v>364678826.25</v>
      </c>
      <c r="C14" s="159">
        <v>-2.016749695954545E-2</v>
      </c>
      <c r="D14" s="134">
        <v>338730046.06999999</v>
      </c>
      <c r="E14" s="159">
        <v>-6.357399869427216E-2</v>
      </c>
      <c r="F14" s="134">
        <v>25948780.16</v>
      </c>
      <c r="G14" s="159">
        <v>1.4811374903463079</v>
      </c>
    </row>
    <row r="15" spans="1:11" ht="20" customHeight="1" thickBot="1">
      <c r="A15" s="123">
        <v>2004</v>
      </c>
      <c r="B15" s="134">
        <v>363267822.86999995</v>
      </c>
      <c r="C15" s="159">
        <v>-3.8691672738706551E-3</v>
      </c>
      <c r="D15" s="134">
        <v>315178869.18000001</v>
      </c>
      <c r="E15" s="159">
        <v>-6.9527864927379501E-2</v>
      </c>
      <c r="F15" s="134">
        <v>48088953.700000003</v>
      </c>
      <c r="G15" s="159">
        <v>0.85322598609583356</v>
      </c>
    </row>
    <row r="16" spans="1:11" ht="20" customHeight="1" thickBot="1">
      <c r="A16" s="123">
        <v>2005</v>
      </c>
      <c r="B16" s="134">
        <v>347836052.75999999</v>
      </c>
      <c r="C16" s="159">
        <v>-4.2480421161668391E-2</v>
      </c>
      <c r="D16" s="134">
        <v>299546558.91000003</v>
      </c>
      <c r="E16" s="159">
        <v>-4.9598218023532259E-2</v>
      </c>
      <c r="F16" s="134">
        <v>48289493.789999999</v>
      </c>
      <c r="G16" s="159">
        <v>4.1701903362476589E-3</v>
      </c>
    </row>
    <row r="17" spans="1:7" ht="20" customHeight="1" thickBot="1">
      <c r="A17" s="123">
        <v>2006</v>
      </c>
      <c r="B17" s="134">
        <v>318876960.83999997</v>
      </c>
      <c r="C17" s="159">
        <v>-8.3255003873854427E-2</v>
      </c>
      <c r="D17" s="134">
        <v>268580125.52999997</v>
      </c>
      <c r="E17" s="159">
        <v>-0.10337769691857501</v>
      </c>
      <c r="F17" s="134">
        <v>50296835.340000004</v>
      </c>
      <c r="G17" s="159">
        <v>4.1568908523445636E-2</v>
      </c>
    </row>
    <row r="18" spans="1:7" ht="20" customHeight="1" thickBot="1">
      <c r="A18" s="123">
        <v>2007</v>
      </c>
      <c r="B18" s="134">
        <v>303789909.62</v>
      </c>
      <c r="C18" s="159">
        <v>-4.7313080193241208E-2</v>
      </c>
      <c r="D18" s="134">
        <v>263420170.53999999</v>
      </c>
      <c r="E18" s="159">
        <v>-1.9211976239186135E-2</v>
      </c>
      <c r="F18" s="134">
        <v>40369739.060000002</v>
      </c>
      <c r="G18" s="159">
        <v>-0.19737019661165822</v>
      </c>
    </row>
    <row r="19" spans="1:7" ht="20" customHeight="1" thickBot="1">
      <c r="A19" s="123">
        <v>2008</v>
      </c>
      <c r="B19" s="134">
        <v>271278805.46999997</v>
      </c>
      <c r="C19" s="159">
        <v>-0.10701838053366231</v>
      </c>
      <c r="D19" s="134">
        <v>245016339.53</v>
      </c>
      <c r="E19" s="159">
        <v>-6.9864927094508089E-2</v>
      </c>
      <c r="F19" s="134">
        <v>26262465.899999999</v>
      </c>
      <c r="G19" s="159">
        <v>-0.34945168060246568</v>
      </c>
    </row>
    <row r="20" spans="1:7" ht="20" customHeight="1" thickBot="1">
      <c r="A20" s="123">
        <v>2009</v>
      </c>
      <c r="B20" s="134">
        <v>277148196.68000001</v>
      </c>
      <c r="C20" s="159">
        <v>2.1636010966028518E-2</v>
      </c>
      <c r="D20" s="134">
        <v>250833615.63</v>
      </c>
      <c r="E20" s="159">
        <v>2.374240065441735E-2</v>
      </c>
      <c r="F20" s="134">
        <v>26314581.050000001</v>
      </c>
      <c r="G20" s="159">
        <v>1.9843966746475594E-3</v>
      </c>
    </row>
    <row r="21" spans="1:7" ht="20" customHeight="1" thickBot="1">
      <c r="A21" s="123">
        <v>2010</v>
      </c>
      <c r="B21" s="134">
        <v>251294287.29999998</v>
      </c>
      <c r="C21" s="159">
        <v>-9.3285504613444759E-2</v>
      </c>
      <c r="D21" s="134">
        <v>234293636.81</v>
      </c>
      <c r="E21" s="159">
        <v>-6.5940040685765977E-2</v>
      </c>
      <c r="F21" s="134">
        <v>17000650.449999999</v>
      </c>
      <c r="G21" s="159">
        <v>-0.35394561601808217</v>
      </c>
    </row>
    <row r="22" spans="1:7" ht="20" customHeight="1" thickBot="1">
      <c r="A22" s="123">
        <v>2011</v>
      </c>
      <c r="B22" s="134">
        <v>243823250.67999998</v>
      </c>
      <c r="C22" s="159">
        <v>-2.9730228650526103E-2</v>
      </c>
      <c r="D22" s="134">
        <v>229950931.72999999</v>
      </c>
      <c r="E22" s="159">
        <v>-1.8535309533488142E-2</v>
      </c>
      <c r="F22" s="134">
        <v>13872318.99</v>
      </c>
      <c r="G22" s="159">
        <v>-0.18401245700572588</v>
      </c>
    </row>
    <row r="23" spans="1:7" ht="27" customHeight="1" thickBot="1">
      <c r="A23" s="430">
        <v>2012</v>
      </c>
      <c r="B23" s="331">
        <v>267604829.08000004</v>
      </c>
      <c r="C23" s="160">
        <v>9.7536138713906428E-2</v>
      </c>
      <c r="D23" s="331">
        <v>255111672.71999994</v>
      </c>
      <c r="E23" s="160">
        <v>0.10941786928501251</v>
      </c>
      <c r="F23" s="331">
        <v>12493156.360000111</v>
      </c>
      <c r="G23" s="160">
        <v>-9.9418318667129246E-2</v>
      </c>
    </row>
    <row r="24" spans="1:7" ht="20" customHeight="1">
      <c r="A24" s="130" t="s">
        <v>396</v>
      </c>
      <c r="B24" s="130"/>
      <c r="C24" s="194"/>
      <c r="D24" s="130"/>
      <c r="E24" s="194"/>
      <c r="F24" s="130"/>
      <c r="G24" s="194"/>
    </row>
    <row r="25" spans="1:7" ht="15.75" customHeight="1">
      <c r="A25" s="131"/>
      <c r="B25" s="131"/>
      <c r="C25" s="540"/>
      <c r="D25" s="131"/>
      <c r="E25" s="540"/>
      <c r="F25" s="131"/>
      <c r="G25" s="540"/>
    </row>
    <row r="26" spans="1:7" ht="15.75" customHeight="1">
      <c r="A26" s="3" t="s">
        <v>766</v>
      </c>
      <c r="B26" s="131"/>
      <c r="C26" s="540"/>
      <c r="D26" s="131"/>
      <c r="E26" s="540"/>
      <c r="F26" s="131"/>
      <c r="G26" s="540"/>
    </row>
    <row r="29" spans="1:7">
      <c r="A29" s="3" t="s">
        <v>395</v>
      </c>
    </row>
  </sheetData>
  <pageMargins left="0.57999999999999996" right="0.65" top="0.96" bottom="0.49" header="0.49" footer="0.4921259845"/>
  <pageSetup paperSize="9" scale="84" orientation="portrait" horizontalDpi="4294967292" verticalDpi="4294967292"/>
  <headerFooter alignWithMargins="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AF775-6146-D149-828D-A651F3AF10EC}">
  <sheetPr>
    <pageSetUpPr fitToPage="1"/>
  </sheetPr>
  <dimension ref="A1:H39"/>
  <sheetViews>
    <sheetView zoomScaleNormal="100" workbookViewId="0">
      <selection activeCell="E12" sqref="E12"/>
    </sheetView>
  </sheetViews>
  <sheetFormatPr baseColWidth="10" defaultColWidth="11.3984375" defaultRowHeight="13"/>
  <cols>
    <col min="1" max="1" width="33.796875" style="3" customWidth="1"/>
    <col min="2" max="3" width="17.59765625" style="3" customWidth="1"/>
    <col min="4" max="4" width="17.59765625" style="138" customWidth="1"/>
    <col min="5" max="5" width="17.59765625" style="514" customWidth="1"/>
    <col min="6" max="6" width="11.3984375" style="3"/>
    <col min="7" max="7" width="14.59765625" style="3" hidden="1" customWidth="1"/>
    <col min="8" max="8" width="14.3984375" style="3" hidden="1" customWidth="1"/>
    <col min="9" max="16384" width="11.3984375" style="3"/>
  </cols>
  <sheetData>
    <row r="1" spans="1:8" s="2" customFormat="1" ht="14" customHeight="1">
      <c r="D1" s="17"/>
      <c r="E1" s="608"/>
    </row>
    <row r="2" spans="1:8" s="2" customFormat="1" ht="40.5" customHeight="1">
      <c r="A2" s="2054" t="s">
        <v>767</v>
      </c>
      <c r="B2" s="2055"/>
      <c r="C2" s="2055"/>
      <c r="D2" s="2055"/>
      <c r="E2" s="164">
        <v>2012</v>
      </c>
    </row>
    <row r="3" spans="1:8" ht="24" customHeight="1">
      <c r="A3" s="109" t="s">
        <v>768</v>
      </c>
      <c r="B3" s="110" t="s">
        <v>769</v>
      </c>
      <c r="C3" s="111" t="s">
        <v>770</v>
      </c>
      <c r="D3" s="397" t="s">
        <v>230</v>
      </c>
      <c r="E3" s="516" t="s">
        <v>256</v>
      </c>
    </row>
    <row r="4" spans="1:8" ht="15" customHeight="1">
      <c r="A4" s="112"/>
      <c r="B4" s="113" t="s">
        <v>771</v>
      </c>
      <c r="C4" s="114" t="s">
        <v>772</v>
      </c>
      <c r="D4" s="226"/>
      <c r="E4" s="518" t="s">
        <v>257</v>
      </c>
    </row>
    <row r="5" spans="1:8" ht="15" customHeight="1">
      <c r="A5" s="112"/>
      <c r="B5" s="113"/>
      <c r="C5" s="114"/>
      <c r="D5" s="226"/>
      <c r="E5" s="518" t="s">
        <v>258</v>
      </c>
    </row>
    <row r="6" spans="1:8" ht="24" customHeight="1">
      <c r="A6" s="116"/>
      <c r="B6" s="117"/>
      <c r="C6" s="118"/>
      <c r="D6" s="237"/>
      <c r="E6" s="403"/>
      <c r="G6" s="609" t="s">
        <v>773</v>
      </c>
      <c r="H6" s="609" t="s">
        <v>774</v>
      </c>
    </row>
    <row r="7" spans="1:8" ht="30" customHeight="1" thickBot="1">
      <c r="A7" s="610" t="s">
        <v>775</v>
      </c>
      <c r="B7" s="132">
        <v>57</v>
      </c>
      <c r="C7" s="133">
        <v>33</v>
      </c>
      <c r="D7" s="611">
        <v>59</v>
      </c>
      <c r="E7" s="612">
        <v>-4.8387096774193547E-2</v>
      </c>
      <c r="F7" s="8"/>
      <c r="G7" s="320">
        <v>109</v>
      </c>
      <c r="H7" s="320">
        <v>109</v>
      </c>
    </row>
    <row r="8" spans="1:8" ht="25.5" customHeight="1" thickBot="1">
      <c r="A8" s="613" t="s">
        <v>776</v>
      </c>
      <c r="B8" s="134"/>
      <c r="C8" s="135"/>
      <c r="D8" s="614"/>
      <c r="E8" s="159"/>
      <c r="G8" s="134"/>
      <c r="H8" s="134"/>
    </row>
    <row r="9" spans="1:8" ht="20" customHeight="1" thickBot="1">
      <c r="A9" s="253" t="s">
        <v>638</v>
      </c>
      <c r="B9" s="134">
        <v>96297.01</v>
      </c>
      <c r="C9" s="135" t="s">
        <v>29</v>
      </c>
      <c r="D9" s="614" t="s">
        <v>29</v>
      </c>
      <c r="E9" s="159">
        <v>2.4577646511438823E-2</v>
      </c>
      <c r="G9" s="134">
        <v>747913</v>
      </c>
      <c r="H9" s="134">
        <v>541989</v>
      </c>
    </row>
    <row r="10" spans="1:8" ht="20" customHeight="1" thickBot="1">
      <c r="A10" s="253" t="s">
        <v>639</v>
      </c>
      <c r="B10" s="134">
        <v>127273.49</v>
      </c>
      <c r="C10" s="135" t="s">
        <v>29</v>
      </c>
      <c r="D10" s="614" t="s">
        <v>29</v>
      </c>
      <c r="E10" s="159">
        <v>3.0340831319041427E-2</v>
      </c>
      <c r="G10" s="134">
        <v>671493</v>
      </c>
      <c r="H10" s="134">
        <v>525355</v>
      </c>
    </row>
    <row r="11" spans="1:8" ht="20" customHeight="1" thickBot="1">
      <c r="A11" s="253" t="s">
        <v>230</v>
      </c>
      <c r="B11" s="134">
        <v>223570.5</v>
      </c>
      <c r="C11" s="135" t="s">
        <v>29</v>
      </c>
      <c r="D11" s="614" t="s">
        <v>29</v>
      </c>
      <c r="E11" s="159">
        <v>2.7850564093628606E-2</v>
      </c>
      <c r="G11" s="134">
        <v>1419406</v>
      </c>
      <c r="H11" s="134">
        <v>1067344</v>
      </c>
    </row>
    <row r="12" spans="1:8" ht="24" customHeight="1" thickBot="1">
      <c r="A12" s="613" t="s">
        <v>777</v>
      </c>
      <c r="B12" s="134"/>
      <c r="C12" s="135"/>
      <c r="D12" s="614"/>
      <c r="E12" s="159"/>
      <c r="G12" s="134"/>
      <c r="H12" s="134"/>
    </row>
    <row r="13" spans="1:8" ht="20" customHeight="1" thickBot="1">
      <c r="A13" s="253" t="s">
        <v>638</v>
      </c>
      <c r="B13" s="134">
        <v>22311042.800000001</v>
      </c>
      <c r="C13" s="135">
        <v>155132672.66</v>
      </c>
      <c r="D13" s="614">
        <v>177443715.46000001</v>
      </c>
      <c r="E13" s="615">
        <v>4.2237401069059329E-2</v>
      </c>
      <c r="G13" s="134">
        <v>346254879</v>
      </c>
      <c r="H13" s="134">
        <v>346254879</v>
      </c>
    </row>
    <row r="14" spans="1:8" ht="20" customHeight="1" thickBot="1">
      <c r="A14" s="253" t="s">
        <v>639</v>
      </c>
      <c r="B14" s="134">
        <v>14182946.41</v>
      </c>
      <c r="C14" s="135">
        <v>61043556.350000001</v>
      </c>
      <c r="D14" s="614">
        <v>75226502.760000005</v>
      </c>
      <c r="E14" s="615">
        <v>8.196282034468344E-2</v>
      </c>
      <c r="G14" s="134">
        <v>118228128</v>
      </c>
      <c r="H14" s="134">
        <v>118228128</v>
      </c>
    </row>
    <row r="15" spans="1:8" ht="20" customHeight="1" thickBot="1">
      <c r="A15" s="253" t="s">
        <v>230</v>
      </c>
      <c r="B15" s="134">
        <v>36493989.210000001</v>
      </c>
      <c r="C15" s="135">
        <v>216176229.00999999</v>
      </c>
      <c r="D15" s="614">
        <v>252670218.22</v>
      </c>
      <c r="E15" s="615">
        <v>5.3756358605788368E-2</v>
      </c>
      <c r="G15" s="134">
        <v>464483007</v>
      </c>
      <c r="H15" s="134">
        <v>464483007</v>
      </c>
    </row>
    <row r="16" spans="1:8" ht="33.75" customHeight="1" thickBot="1">
      <c r="A16" s="616" t="s">
        <v>778</v>
      </c>
      <c r="B16" s="134"/>
      <c r="C16" s="135"/>
      <c r="D16" s="614"/>
      <c r="E16" s="159"/>
      <c r="G16" s="134"/>
      <c r="H16" s="134"/>
    </row>
    <row r="17" spans="1:8" ht="20" customHeight="1" thickBot="1">
      <c r="A17" s="253" t="s">
        <v>638</v>
      </c>
      <c r="B17" s="134">
        <v>231.69</v>
      </c>
      <c r="C17" s="135" t="s">
        <v>29</v>
      </c>
      <c r="D17" s="614" t="s">
        <v>29</v>
      </c>
      <c r="E17" s="159">
        <v>-0.16157631902728517</v>
      </c>
      <c r="G17" s="134">
        <v>462.96</v>
      </c>
      <c r="H17" s="134">
        <v>638.86</v>
      </c>
    </row>
    <row r="18" spans="1:8" ht="20" customHeight="1" thickBot="1">
      <c r="A18" s="253" t="s">
        <v>639</v>
      </c>
      <c r="B18" s="134">
        <v>111.44</v>
      </c>
      <c r="C18" s="135" t="s">
        <v>29</v>
      </c>
      <c r="D18" s="614" t="s">
        <v>29</v>
      </c>
      <c r="E18" s="159">
        <v>-7.9008264462809938E-2</v>
      </c>
      <c r="G18" s="134">
        <v>176.07</v>
      </c>
      <c r="H18" s="134">
        <v>225.04</v>
      </c>
    </row>
    <row r="19" spans="1:8" ht="20" customHeight="1" thickBot="1">
      <c r="A19" s="253" t="s">
        <v>430</v>
      </c>
      <c r="B19" s="134">
        <v>163.22999999999999</v>
      </c>
      <c r="C19" s="135" t="s">
        <v>29</v>
      </c>
      <c r="D19" s="614" t="s">
        <v>29</v>
      </c>
      <c r="E19" s="159">
        <v>-0.13235528623823956</v>
      </c>
      <c r="G19" s="134">
        <v>327.24</v>
      </c>
      <c r="H19" s="134">
        <v>435.18</v>
      </c>
    </row>
    <row r="20" spans="1:8" ht="24" customHeight="1" thickBot="1">
      <c r="A20" s="613" t="s">
        <v>779</v>
      </c>
      <c r="B20" s="134"/>
      <c r="C20" s="135"/>
      <c r="D20" s="614"/>
      <c r="E20" s="159"/>
      <c r="G20" s="134"/>
      <c r="H20" s="134"/>
    </row>
    <row r="21" spans="1:8" ht="20" customHeight="1" thickBot="1">
      <c r="A21" s="253" t="s">
        <v>638</v>
      </c>
      <c r="B21" s="134">
        <v>17827364.399999999</v>
      </c>
      <c r="C21" s="135">
        <v>118223478.75</v>
      </c>
      <c r="D21" s="614">
        <v>136050843.15000001</v>
      </c>
      <c r="E21" s="615">
        <v>-8.825143815738277E-4</v>
      </c>
      <c r="G21" s="134">
        <v>297772901</v>
      </c>
      <c r="H21" s="134">
        <v>297772901</v>
      </c>
    </row>
    <row r="22" spans="1:8" ht="20" customHeight="1" thickBot="1">
      <c r="A22" s="253" t="s">
        <v>639</v>
      </c>
      <c r="B22" s="134">
        <v>9064180.1500000004</v>
      </c>
      <c r="C22" s="135">
        <v>43135526.700000003</v>
      </c>
      <c r="D22" s="614">
        <v>52199706.850000001</v>
      </c>
      <c r="E22" s="615">
        <v>2.5270324193904007E-3</v>
      </c>
      <c r="G22" s="134">
        <v>114376252</v>
      </c>
      <c r="H22" s="134">
        <v>114376252</v>
      </c>
    </row>
    <row r="23" spans="1:8" ht="20" customHeight="1" thickBot="1">
      <c r="A23" s="253" t="s">
        <v>230</v>
      </c>
      <c r="B23" s="134">
        <v>26891544.550000001</v>
      </c>
      <c r="C23" s="135">
        <v>161359005.44999999</v>
      </c>
      <c r="D23" s="614">
        <v>188250550</v>
      </c>
      <c r="E23" s="615">
        <v>6.0587663624275271E-5</v>
      </c>
      <c r="G23" s="134">
        <v>412149153</v>
      </c>
      <c r="H23" s="134">
        <v>412149153</v>
      </c>
    </row>
    <row r="24" spans="1:8" ht="24" customHeight="1" thickBot="1">
      <c r="A24" s="475" t="s">
        <v>780</v>
      </c>
      <c r="B24" s="134">
        <v>182074.81</v>
      </c>
      <c r="C24" s="135">
        <v>4141050.9</v>
      </c>
      <c r="D24" s="614">
        <v>4323125.71</v>
      </c>
      <c r="E24" s="615">
        <v>-2.2570512574056664E-2</v>
      </c>
      <c r="G24" s="480">
        <v>21005933</v>
      </c>
      <c r="H24" s="480">
        <v>21005933</v>
      </c>
    </row>
    <row r="25" spans="1:8" ht="34.5" customHeight="1" thickBot="1">
      <c r="A25" s="616" t="s">
        <v>781</v>
      </c>
      <c r="B25" s="134"/>
      <c r="C25" s="135"/>
      <c r="D25" s="614"/>
      <c r="E25" s="159"/>
      <c r="G25" s="134"/>
      <c r="H25" s="134"/>
    </row>
    <row r="26" spans="1:8" ht="20" customHeight="1" thickBot="1">
      <c r="A26" s="253" t="s">
        <v>638</v>
      </c>
      <c r="B26" s="134">
        <v>185.13</v>
      </c>
      <c r="C26" s="135" t="s">
        <v>29</v>
      </c>
      <c r="D26" s="614" t="s">
        <v>29</v>
      </c>
      <c r="E26" s="159">
        <v>-2.0372526193247933E-2</v>
      </c>
      <c r="G26" s="134">
        <v>398.14</v>
      </c>
      <c r="H26" s="134">
        <v>549.41</v>
      </c>
    </row>
    <row r="27" spans="1:8" ht="20" customHeight="1" thickBot="1">
      <c r="A27" s="253" t="s">
        <v>639</v>
      </c>
      <c r="B27" s="134">
        <v>71.22</v>
      </c>
      <c r="C27" s="135" t="s">
        <v>29</v>
      </c>
      <c r="D27" s="614" t="s">
        <v>29</v>
      </c>
      <c r="E27" s="159">
        <v>-0.12128315854410855</v>
      </c>
      <c r="G27" s="134">
        <v>170.33</v>
      </c>
      <c r="H27" s="134">
        <v>217.71</v>
      </c>
    </row>
    <row r="28" spans="1:8" ht="30" customHeight="1" thickBot="1">
      <c r="A28" s="617" t="s">
        <v>430</v>
      </c>
      <c r="B28" s="480">
        <v>120.28</v>
      </c>
      <c r="C28" s="481" t="s">
        <v>29</v>
      </c>
      <c r="D28" s="331" t="s">
        <v>29</v>
      </c>
      <c r="E28" s="618">
        <v>-5.8031169237998254E-2</v>
      </c>
      <c r="G28" s="619">
        <v>290.37</v>
      </c>
      <c r="H28" s="619">
        <v>386.14</v>
      </c>
    </row>
    <row r="29" spans="1:8" ht="20" customHeight="1">
      <c r="A29" s="130" t="s">
        <v>396</v>
      </c>
      <c r="B29" s="130"/>
      <c r="C29" s="130"/>
      <c r="D29" s="620"/>
      <c r="E29" s="621"/>
    </row>
    <row r="30" spans="1:8" ht="14.25" customHeight="1">
      <c r="A30" s="131"/>
      <c r="B30" s="131"/>
      <c r="C30" s="131"/>
      <c r="D30" s="271"/>
      <c r="E30" s="513"/>
    </row>
    <row r="31" spans="1:8" ht="14.25" customHeight="1">
      <c r="A31" s="131" t="s">
        <v>782</v>
      </c>
      <c r="B31" s="131"/>
      <c r="C31" s="131"/>
      <c r="D31" s="271"/>
      <c r="E31" s="513"/>
    </row>
    <row r="32" spans="1:8" ht="14.25" customHeight="1">
      <c r="A32" s="131"/>
      <c r="B32" s="131"/>
      <c r="C32" s="131"/>
      <c r="D32" s="271"/>
      <c r="E32" s="513"/>
    </row>
    <row r="33" spans="1:1">
      <c r="A33" s="131" t="s">
        <v>783</v>
      </c>
    </row>
    <row r="34" spans="1:1">
      <c r="A34" s="3" t="s">
        <v>784</v>
      </c>
    </row>
    <row r="35" spans="1:1">
      <c r="A35" s="3" t="s">
        <v>785</v>
      </c>
    </row>
    <row r="36" spans="1:1">
      <c r="A36" s="3" t="s">
        <v>786</v>
      </c>
    </row>
    <row r="39" spans="1:1">
      <c r="A39" s="3" t="s">
        <v>395</v>
      </c>
    </row>
  </sheetData>
  <mergeCells count="1">
    <mergeCell ref="A2:D2"/>
  </mergeCells>
  <pageMargins left="0.55118110236220474" right="0.55118110236220474" top="0.94488188976377963" bottom="0.47244094488188981" header="0.55118110236220474" footer="0.51181102362204722"/>
  <pageSetup paperSize="9" scale="89" orientation="portrait" horizontalDpi="1200" verticalDpi="1200"/>
  <headerFooter alignWithMargins="0"/>
  <legacy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0A87-5866-7E40-AB8F-3562DAF6EC45}">
  <sheetPr>
    <pageSetUpPr fitToPage="1"/>
  </sheetPr>
  <dimension ref="A1:H59"/>
  <sheetViews>
    <sheetView topLeftCell="A5" zoomScaleNormal="100" workbookViewId="0">
      <selection activeCell="B23" sqref="B23"/>
    </sheetView>
  </sheetViews>
  <sheetFormatPr baseColWidth="10" defaultColWidth="11.3984375" defaultRowHeight="13"/>
  <cols>
    <col min="1" max="1" width="21.796875" style="3" customWidth="1"/>
    <col min="2" max="2" width="68.5976562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26.5" customHeight="1">
      <c r="A2" s="2054" t="s">
        <v>787</v>
      </c>
      <c r="B2" s="2055"/>
      <c r="D2" s="164">
        <v>2012</v>
      </c>
      <c r="E2" s="164"/>
    </row>
    <row r="3" spans="1:8" ht="39" customHeight="1">
      <c r="A3" s="109" t="s">
        <v>261</v>
      </c>
      <c r="B3" s="109"/>
      <c r="C3" s="165"/>
      <c r="D3" s="166" t="s">
        <v>230</v>
      </c>
    </row>
    <row r="4" spans="1:8" ht="38" customHeight="1">
      <c r="A4" s="167"/>
      <c r="B4" s="168"/>
      <c r="C4" s="169"/>
      <c r="D4" s="170" t="s">
        <v>262</v>
      </c>
    </row>
    <row r="5" spans="1:8" ht="20" customHeight="1" thickBot="1">
      <c r="A5" s="171" t="s">
        <v>788</v>
      </c>
      <c r="B5" s="171" t="s">
        <v>263</v>
      </c>
      <c r="C5" s="172"/>
      <c r="D5" s="173" vm="64">
        <v>252670217.77000004</v>
      </c>
      <c r="F5" s="60"/>
      <c r="G5" s="60"/>
      <c r="H5" s="60"/>
    </row>
    <row r="6" spans="1:8" ht="20" customHeight="1" thickBot="1">
      <c r="A6" s="174">
        <v>330</v>
      </c>
      <c r="B6" s="174" t="s">
        <v>264</v>
      </c>
      <c r="C6" s="175" t="s">
        <v>265</v>
      </c>
      <c r="D6" s="173" vm="62">
        <v>-7691547.3499999996</v>
      </c>
      <c r="F6" s="60"/>
      <c r="G6" s="60"/>
      <c r="H6" s="60"/>
    </row>
    <row r="7" spans="1:8" ht="20" customHeight="1" thickBot="1">
      <c r="A7" s="174">
        <v>3500</v>
      </c>
      <c r="B7" s="174" t="s">
        <v>266</v>
      </c>
      <c r="C7" s="175" t="s">
        <v>265</v>
      </c>
      <c r="D7" s="173" vm="63">
        <v>-1085780.3899999999</v>
      </c>
      <c r="F7" s="60"/>
      <c r="G7" s="60"/>
      <c r="H7" s="60"/>
    </row>
    <row r="8" spans="1:8" ht="20" customHeight="1" thickBot="1">
      <c r="A8" s="174">
        <v>36</v>
      </c>
      <c r="B8" s="174" t="s">
        <v>2563</v>
      </c>
      <c r="C8" s="175"/>
      <c r="D8" s="173" vm="60">
        <v>6431.1200000000008</v>
      </c>
      <c r="F8" s="60"/>
      <c r="G8" s="60"/>
      <c r="H8" s="60"/>
    </row>
    <row r="9" spans="1:8" ht="20" customHeight="1" thickBot="1">
      <c r="A9" s="174">
        <v>37</v>
      </c>
      <c r="B9" s="2007" t="s">
        <v>1078</v>
      </c>
      <c r="C9" s="175" t="s">
        <v>265</v>
      </c>
      <c r="D9" s="173" vm="61">
        <v>-0.7</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243899320.45000005</v>
      </c>
      <c r="F11" s="60"/>
      <c r="G11" s="60"/>
      <c r="H11" s="60"/>
    </row>
    <row r="12" spans="1:8" ht="20" customHeight="1" thickBot="1">
      <c r="A12" s="174"/>
      <c r="B12" s="174"/>
      <c r="C12" s="175"/>
      <c r="D12" s="173" t="s">
        <v>397</v>
      </c>
      <c r="F12" s="60"/>
      <c r="G12" s="60"/>
      <c r="H12" s="60"/>
    </row>
    <row r="13" spans="1:8" ht="20" customHeight="1" thickBot="1">
      <c r="A13" s="174" t="s">
        <v>789</v>
      </c>
      <c r="B13" s="174" t="s">
        <v>270</v>
      </c>
      <c r="C13" s="175" t="s">
        <v>265</v>
      </c>
      <c r="D13" s="173" vm="59">
        <v>-188250549.41999996</v>
      </c>
      <c r="F13" s="60"/>
      <c r="G13" s="60"/>
      <c r="H13" s="60"/>
    </row>
    <row r="14" spans="1:8" ht="20" customHeight="1" thickBot="1">
      <c r="A14" s="204">
        <v>4320</v>
      </c>
      <c r="B14" s="174" t="s">
        <v>272</v>
      </c>
      <c r="C14" s="175" t="s">
        <v>265</v>
      </c>
      <c r="D14" s="173" vm="58">
        <v>-1097738.08</v>
      </c>
      <c r="F14" s="60"/>
      <c r="G14" s="60"/>
      <c r="H14" s="60"/>
    </row>
    <row r="15" spans="1:8" ht="20" customHeight="1" thickBot="1">
      <c r="A15" s="174">
        <v>450</v>
      </c>
      <c r="B15" s="2007" t="s">
        <v>1090</v>
      </c>
      <c r="C15" s="175"/>
      <c r="D15" s="173" vm="57">
        <v>-25809841.940000001</v>
      </c>
      <c r="F15" s="60"/>
      <c r="G15" s="60"/>
      <c r="H15" s="60"/>
    </row>
    <row r="16" spans="1:8" ht="20" customHeight="1" thickBot="1">
      <c r="A16" s="174">
        <v>4400</v>
      </c>
      <c r="B16" s="174" t="s">
        <v>274</v>
      </c>
      <c r="C16" s="175"/>
      <c r="D16" s="173" vm="56">
        <v>958494.09999999986</v>
      </c>
      <c r="F16" s="60"/>
      <c r="G16" s="60"/>
      <c r="H16" s="176"/>
    </row>
    <row r="17" spans="1:8" ht="20" customHeight="1" thickBot="1">
      <c r="A17" s="174"/>
      <c r="B17" s="174"/>
      <c r="C17" s="175"/>
      <c r="D17" s="173" t="s">
        <v>397</v>
      </c>
      <c r="F17" s="60"/>
      <c r="G17" s="60"/>
      <c r="H17" s="60"/>
    </row>
    <row r="18" spans="1:8" ht="20" customHeight="1" thickBot="1">
      <c r="A18" s="174">
        <v>4</v>
      </c>
      <c r="B18" s="174" t="s">
        <v>2567</v>
      </c>
      <c r="C18" s="175"/>
      <c r="D18" s="173">
        <v>-214199635.33999994</v>
      </c>
      <c r="F18" s="60"/>
      <c r="G18" s="60"/>
      <c r="H18" s="177"/>
    </row>
    <row r="19" spans="1:8" ht="20" customHeight="1" thickBot="1">
      <c r="A19" s="174"/>
      <c r="B19" s="174"/>
      <c r="C19" s="175"/>
      <c r="D19" s="173" t="s">
        <v>397</v>
      </c>
      <c r="F19" s="60"/>
      <c r="G19" s="60"/>
      <c r="H19" s="60"/>
    </row>
    <row r="20" spans="1:8" ht="20" customHeight="1" thickBot="1">
      <c r="A20" s="174">
        <v>992</v>
      </c>
      <c r="B20" s="174" t="s">
        <v>277</v>
      </c>
      <c r="C20" s="175"/>
      <c r="D20" s="173">
        <v>29699685.110000093</v>
      </c>
      <c r="F20" s="60"/>
      <c r="G20" s="60"/>
      <c r="H20" s="60"/>
    </row>
    <row r="21" spans="1:8" ht="20" customHeight="1" thickBot="1">
      <c r="A21" s="174"/>
      <c r="B21" s="174"/>
      <c r="C21" s="175"/>
      <c r="D21" s="173" t="s">
        <v>397</v>
      </c>
      <c r="F21" s="60"/>
      <c r="G21" s="60"/>
      <c r="H21" s="60"/>
    </row>
    <row r="22" spans="1:8" ht="20" customHeight="1" thickBot="1">
      <c r="A22" s="174">
        <v>500</v>
      </c>
      <c r="B22" s="174" t="s">
        <v>278</v>
      </c>
      <c r="C22" s="175" t="s">
        <v>265</v>
      </c>
      <c r="D22" s="173" vm="54">
        <v>-47425957.229999989</v>
      </c>
      <c r="F22" s="60"/>
      <c r="G22" s="60"/>
      <c r="H22" s="60"/>
    </row>
    <row r="23" spans="1:8" ht="20" customHeight="1" thickBot="1">
      <c r="A23" s="174">
        <v>501</v>
      </c>
      <c r="B23" s="2007" t="s">
        <v>2568</v>
      </c>
      <c r="C23" s="175" t="s">
        <v>265</v>
      </c>
      <c r="D23" s="173" vm="55">
        <v>-19052.14</v>
      </c>
      <c r="F23" s="60"/>
      <c r="G23" s="60"/>
      <c r="H23" s="60"/>
    </row>
    <row r="24" spans="1:8" ht="20" customHeight="1" thickBot="1">
      <c r="A24" s="174">
        <v>510</v>
      </c>
      <c r="B24" s="174" t="s">
        <v>280</v>
      </c>
      <c r="C24" s="175" t="s">
        <v>265</v>
      </c>
      <c r="D24" s="173" vm="52">
        <v>12809760.810000001</v>
      </c>
      <c r="F24" s="60"/>
      <c r="G24" s="60"/>
      <c r="H24" s="60"/>
    </row>
    <row r="25" spans="1:8" ht="20" customHeight="1" thickBot="1">
      <c r="A25" s="174">
        <v>516</v>
      </c>
      <c r="B25" s="174" t="s">
        <v>281</v>
      </c>
      <c r="C25" s="175" t="s">
        <v>265</v>
      </c>
      <c r="D25" s="173" vm="53">
        <v>-2734984.2200000007</v>
      </c>
      <c r="F25" s="60"/>
      <c r="G25" s="60"/>
      <c r="H25" s="60"/>
    </row>
    <row r="26" spans="1:8" ht="20" customHeight="1" thickBot="1">
      <c r="A26" s="174">
        <v>517</v>
      </c>
      <c r="B26" s="174" t="s">
        <v>282</v>
      </c>
      <c r="C26" s="175" t="s">
        <v>265</v>
      </c>
      <c r="D26" s="173" vm="50">
        <v>-2267528.5</v>
      </c>
      <c r="F26" s="60"/>
      <c r="G26" s="60"/>
      <c r="H26" s="60"/>
    </row>
    <row r="27" spans="1:8" ht="20" customHeight="1" thickBot="1">
      <c r="A27" s="174">
        <v>519</v>
      </c>
      <c r="B27" s="174" t="s">
        <v>283</v>
      </c>
      <c r="C27" s="175" t="s">
        <v>265</v>
      </c>
      <c r="D27" s="173" vm="51">
        <v>-1274276.0999999999</v>
      </c>
      <c r="F27" s="60"/>
      <c r="G27" s="60"/>
      <c r="H27" s="60"/>
    </row>
    <row r="28" spans="1:8" ht="20" customHeight="1" thickBot="1">
      <c r="A28" s="174"/>
      <c r="B28" s="174"/>
      <c r="C28" s="175"/>
      <c r="D28" s="173" t="s">
        <v>397</v>
      </c>
      <c r="F28" s="60"/>
      <c r="G28" s="60"/>
      <c r="H28" s="60"/>
    </row>
    <row r="29" spans="1:8" ht="20" customHeight="1" thickBot="1">
      <c r="A29" s="174">
        <v>5</v>
      </c>
      <c r="B29" s="174" t="s">
        <v>306</v>
      </c>
      <c r="C29" s="175"/>
      <c r="D29" s="173">
        <v>-40912037.379999988</v>
      </c>
      <c r="F29" s="60"/>
      <c r="G29" s="60"/>
      <c r="H29" s="60"/>
    </row>
    <row r="30" spans="1:8" ht="20" customHeight="1" thickBot="1">
      <c r="A30" s="174"/>
      <c r="B30" s="174"/>
      <c r="C30" s="175"/>
      <c r="D30" s="173" t="s">
        <v>397</v>
      </c>
      <c r="F30" s="60"/>
      <c r="G30" s="60"/>
      <c r="H30" s="60"/>
    </row>
    <row r="31" spans="1:8" ht="20" customHeight="1" thickBot="1">
      <c r="A31" s="174">
        <v>993</v>
      </c>
      <c r="B31" s="174" t="s">
        <v>285</v>
      </c>
      <c r="C31" s="175" t="s">
        <v>265</v>
      </c>
      <c r="D31" s="173">
        <v>-255111672.71999994</v>
      </c>
      <c r="F31" s="60"/>
      <c r="G31" s="60"/>
      <c r="H31" s="60"/>
    </row>
    <row r="32" spans="1:8" ht="20" customHeight="1" thickBot="1">
      <c r="A32" s="174"/>
      <c r="B32" s="174"/>
      <c r="C32" s="175"/>
      <c r="D32" s="173" t="s">
        <v>397</v>
      </c>
      <c r="F32" s="60"/>
      <c r="G32" s="60"/>
      <c r="H32" s="60"/>
    </row>
    <row r="33" spans="1:8" ht="20" customHeight="1" thickBot="1">
      <c r="A33" s="174">
        <v>994</v>
      </c>
      <c r="B33" s="174" t="s">
        <v>286</v>
      </c>
      <c r="C33" s="175"/>
      <c r="D33" s="173">
        <v>-11212352.269999892</v>
      </c>
      <c r="F33" s="60"/>
      <c r="G33" s="60"/>
      <c r="H33" s="60"/>
    </row>
    <row r="34" spans="1:8" ht="20" customHeight="1" thickBot="1">
      <c r="A34" s="174"/>
      <c r="B34" s="174"/>
      <c r="C34" s="175"/>
      <c r="D34" s="173" t="s">
        <v>397</v>
      </c>
      <c r="F34" s="60"/>
      <c r="G34" s="60"/>
      <c r="H34" s="60"/>
    </row>
    <row r="35" spans="1:8" ht="20" customHeight="1" thickBot="1">
      <c r="A35" s="174">
        <v>70</v>
      </c>
      <c r="B35" s="174" t="s">
        <v>287</v>
      </c>
      <c r="C35" s="175"/>
      <c r="D35" s="173" vm="49">
        <v>2367501.5</v>
      </c>
      <c r="F35" s="60"/>
      <c r="G35" s="60"/>
      <c r="H35" s="60"/>
    </row>
    <row r="36" spans="1:8" ht="20" customHeight="1" thickBot="1">
      <c r="A36" s="174">
        <v>71</v>
      </c>
      <c r="B36" s="174" t="s">
        <v>288</v>
      </c>
      <c r="C36" s="175" t="s">
        <v>265</v>
      </c>
      <c r="D36" s="173" vm="48">
        <v>-252121.75999999995</v>
      </c>
      <c r="F36" s="60"/>
      <c r="G36" s="60"/>
      <c r="H36" s="60"/>
    </row>
    <row r="37" spans="1:8" ht="20" customHeight="1" thickBot="1">
      <c r="A37" s="174">
        <v>73</v>
      </c>
      <c r="B37" s="174" t="s">
        <v>289</v>
      </c>
      <c r="C37" s="175"/>
      <c r="D37" s="173" vm="48">
        <v>21466037.180000003</v>
      </c>
      <c r="F37" s="60"/>
      <c r="G37" s="60"/>
      <c r="H37" s="60"/>
    </row>
    <row r="38" spans="1:8" ht="20" customHeight="1" thickBot="1">
      <c r="A38" s="174">
        <v>810</v>
      </c>
      <c r="B38" s="174" t="s">
        <v>290</v>
      </c>
      <c r="C38" s="175"/>
      <c r="D38" s="173" vm="47">
        <v>173532.48000000004</v>
      </c>
      <c r="F38" s="60"/>
      <c r="G38" s="60"/>
      <c r="H38" s="60"/>
    </row>
    <row r="39" spans="1:8" ht="20" customHeight="1" thickBot="1">
      <c r="A39" s="174">
        <v>820</v>
      </c>
      <c r="B39" s="174" t="s">
        <v>291</v>
      </c>
      <c r="C39" s="175" t="s">
        <v>265</v>
      </c>
      <c r="D39" s="173" vm="47">
        <v>-49440.76999999999</v>
      </c>
      <c r="F39" s="60"/>
      <c r="G39" s="60"/>
      <c r="H39" s="60"/>
    </row>
    <row r="40" spans="1:8" ht="20" customHeight="1" thickBot="1">
      <c r="A40" s="174">
        <v>9</v>
      </c>
      <c r="B40" s="174" t="s">
        <v>292</v>
      </c>
      <c r="C40" s="175"/>
      <c r="D40" s="173" t="s">
        <v>397</v>
      </c>
      <c r="F40" s="60"/>
      <c r="G40" s="60"/>
      <c r="H40" s="60"/>
    </row>
    <row r="41" spans="1:8" ht="20" customHeight="1" thickBot="1">
      <c r="A41" s="174"/>
      <c r="B41" s="174"/>
      <c r="C41" s="175"/>
      <c r="D41" s="173" t="s">
        <v>397</v>
      </c>
      <c r="F41" s="60"/>
      <c r="G41" s="60"/>
      <c r="H41" s="60"/>
    </row>
    <row r="42" spans="1:8" ht="20" customHeight="1" thickBot="1">
      <c r="A42" s="174">
        <v>995</v>
      </c>
      <c r="B42" s="174" t="s">
        <v>293</v>
      </c>
      <c r="C42" s="175"/>
      <c r="D42" s="173">
        <v>23705508.630000003</v>
      </c>
      <c r="F42" s="60"/>
      <c r="G42" s="60"/>
      <c r="H42" s="60"/>
    </row>
    <row r="43" spans="1:8" ht="20" customHeight="1" thickBot="1">
      <c r="A43" s="174"/>
      <c r="B43" s="174"/>
      <c r="C43" s="175"/>
      <c r="D43" s="173" t="s">
        <v>397</v>
      </c>
      <c r="F43" s="60"/>
      <c r="G43" s="60"/>
      <c r="H43" s="60"/>
    </row>
    <row r="44" spans="1:8" ht="20" customHeight="1" thickBot="1">
      <c r="A44" s="178">
        <v>999</v>
      </c>
      <c r="B44" s="178" t="s">
        <v>294</v>
      </c>
      <c r="C44" s="179"/>
      <c r="D44" s="180">
        <v>12493156.360000111</v>
      </c>
      <c r="F44" s="60"/>
      <c r="G44" s="60"/>
      <c r="H44" s="60"/>
    </row>
    <row r="45" spans="1:8" ht="15.5" customHeight="1">
      <c r="A45" s="130" t="s">
        <v>396</v>
      </c>
    </row>
    <row r="47" spans="1:8">
      <c r="A47" s="3" t="s">
        <v>790</v>
      </c>
    </row>
    <row r="50" spans="1:4">
      <c r="A50" s="3" t="s">
        <v>395</v>
      </c>
    </row>
    <row r="56" spans="1:4">
      <c r="B56" s="199"/>
      <c r="C56" s="199"/>
      <c r="D56" s="60"/>
    </row>
    <row r="59" spans="1:4" ht="14">
      <c r="A59" s="200"/>
      <c r="B59" s="200"/>
      <c r="C59" s="201"/>
      <c r="D59" s="202"/>
    </row>
  </sheetData>
  <mergeCells count="1">
    <mergeCell ref="A2:B2"/>
  </mergeCells>
  <pageMargins left="0.6" right="0.63" top="0.78" bottom="0.49" header="0.42" footer="0.4921259845"/>
  <pageSetup paperSize="9" scale="78" orientation="portrait"/>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660E-FF3A-E040-9560-7ADAC7E9A824}">
  <sheetPr>
    <pageSetUpPr fitToPage="1"/>
  </sheetPr>
  <dimension ref="A1:H61"/>
  <sheetViews>
    <sheetView topLeftCell="A33" zoomScaleNormal="100" workbookViewId="0">
      <selection activeCell="A48" sqref="A48"/>
    </sheetView>
  </sheetViews>
  <sheetFormatPr baseColWidth="10" defaultColWidth="11.3984375" defaultRowHeight="13"/>
  <cols>
    <col min="1" max="1" width="21.796875" style="3" customWidth="1"/>
    <col min="2" max="2" width="67.19921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28.75" customHeight="1">
      <c r="A2" s="2054" t="s">
        <v>791</v>
      </c>
      <c r="B2" s="2055"/>
      <c r="D2" s="164">
        <v>2012</v>
      </c>
      <c r="E2" s="164"/>
    </row>
    <row r="3" spans="1:8" ht="39" customHeight="1">
      <c r="A3" s="109" t="s">
        <v>261</v>
      </c>
      <c r="B3" s="109"/>
      <c r="C3" s="165"/>
      <c r="D3" s="166" t="s">
        <v>230</v>
      </c>
    </row>
    <row r="4" spans="1:8" ht="38" customHeight="1">
      <c r="A4" s="167"/>
      <c r="B4" s="168"/>
      <c r="C4" s="169"/>
      <c r="D4" s="170" t="s">
        <v>262</v>
      </c>
    </row>
    <row r="5" spans="1:8" ht="20" customHeight="1" thickBot="1">
      <c r="A5" s="171">
        <v>3000</v>
      </c>
      <c r="B5" s="171" t="s">
        <v>263</v>
      </c>
      <c r="C5" s="172"/>
      <c r="D5" s="173" vm="64">
        <v>36493989.360000007</v>
      </c>
      <c r="F5" s="60"/>
      <c r="G5" s="60"/>
      <c r="H5" s="60"/>
    </row>
    <row r="6" spans="1:8" ht="20" customHeight="1" thickBot="1">
      <c r="A6" s="174">
        <v>330</v>
      </c>
      <c r="B6" s="174" t="s">
        <v>264</v>
      </c>
      <c r="C6" s="175" t="s">
        <v>265</v>
      </c>
      <c r="D6" s="173" vm="62">
        <v>-131624.75999999992</v>
      </c>
      <c r="F6" s="60"/>
      <c r="G6" s="60"/>
      <c r="H6" s="60"/>
    </row>
    <row r="7" spans="1:8" ht="20" customHeight="1" thickBot="1">
      <c r="A7" s="174">
        <v>3500</v>
      </c>
      <c r="B7" s="174" t="s">
        <v>266</v>
      </c>
      <c r="C7" s="175" t="s">
        <v>265</v>
      </c>
      <c r="D7" s="173" vm="63">
        <v>-307155.29000000004</v>
      </c>
      <c r="F7" s="60"/>
      <c r="G7" s="60"/>
      <c r="H7" s="60"/>
    </row>
    <row r="8" spans="1:8" ht="20" customHeight="1" thickBot="1">
      <c r="A8" s="174">
        <v>36</v>
      </c>
      <c r="B8" s="174" t="s">
        <v>267</v>
      </c>
      <c r="C8" s="175"/>
      <c r="D8" s="173" vm="60">
        <v>6485.85</v>
      </c>
      <c r="F8" s="60"/>
      <c r="G8" s="60"/>
      <c r="H8" s="60"/>
    </row>
    <row r="9" spans="1:8" ht="20" customHeight="1" thickBot="1">
      <c r="A9" s="174">
        <v>37</v>
      </c>
      <c r="B9" s="174" t="s">
        <v>268</v>
      </c>
      <c r="C9" s="175" t="s">
        <v>265</v>
      </c>
      <c r="D9" s="173" vm="61">
        <v>-0.7</v>
      </c>
      <c r="F9" s="60"/>
      <c r="G9" s="60"/>
      <c r="H9" s="60"/>
    </row>
    <row r="10" spans="1:8" ht="20" customHeight="1" thickBot="1">
      <c r="A10" s="174"/>
      <c r="B10" s="174"/>
      <c r="C10" s="175"/>
      <c r="D10" s="173" t="s">
        <v>397</v>
      </c>
      <c r="F10" s="60"/>
      <c r="G10" s="60"/>
      <c r="H10" s="60"/>
    </row>
    <row r="11" spans="1:8" ht="20" customHeight="1" thickBot="1">
      <c r="A11" s="174">
        <v>3</v>
      </c>
      <c r="B11" s="174" t="s">
        <v>269</v>
      </c>
      <c r="C11" s="175"/>
      <c r="D11" s="173">
        <v>36061694.460000008</v>
      </c>
      <c r="F11" s="60"/>
      <c r="G11" s="60"/>
      <c r="H11" s="60"/>
    </row>
    <row r="12" spans="1:8" ht="20" customHeight="1" thickBot="1">
      <c r="A12" s="174"/>
      <c r="B12" s="174"/>
      <c r="C12" s="175"/>
      <c r="D12" s="173" t="s">
        <v>397</v>
      </c>
      <c r="F12" s="60"/>
      <c r="G12" s="60"/>
      <c r="H12" s="60"/>
    </row>
    <row r="13" spans="1:8" ht="20" customHeight="1" thickBot="1">
      <c r="A13" s="174">
        <v>4000</v>
      </c>
      <c r="B13" s="174" t="s">
        <v>270</v>
      </c>
      <c r="C13" s="175" t="s">
        <v>265</v>
      </c>
      <c r="D13" s="173" vm="59">
        <v>-26891544.379999995</v>
      </c>
      <c r="F13" s="60"/>
      <c r="G13" s="60"/>
      <c r="H13" s="60"/>
    </row>
    <row r="14" spans="1:8" ht="20" customHeight="1" thickBot="1">
      <c r="A14" s="204">
        <v>4320</v>
      </c>
      <c r="B14" s="174" t="s">
        <v>272</v>
      </c>
      <c r="C14" s="175" t="s">
        <v>265</v>
      </c>
      <c r="D14" s="173" vm="58">
        <v>-76285.309999999983</v>
      </c>
      <c r="F14" s="60"/>
      <c r="G14" s="60"/>
      <c r="H14" s="60"/>
    </row>
    <row r="15" spans="1:8" ht="20" customHeight="1" thickBot="1">
      <c r="A15" s="174">
        <v>450</v>
      </c>
      <c r="B15" s="174" t="s">
        <v>273</v>
      </c>
      <c r="C15" s="175"/>
      <c r="D15" s="173" vm="57">
        <v>-5865599.1499999985</v>
      </c>
      <c r="F15" s="60"/>
      <c r="G15" s="60"/>
      <c r="H15" s="60"/>
    </row>
    <row r="16" spans="1:8" ht="20" customHeight="1" thickBot="1">
      <c r="A16" s="174">
        <v>4400</v>
      </c>
      <c r="B16" s="174" t="s">
        <v>274</v>
      </c>
      <c r="C16" s="175"/>
      <c r="D16" s="173" vm="56">
        <v>240077.1</v>
      </c>
      <c r="F16" s="60"/>
      <c r="G16" s="60"/>
      <c r="H16" s="176"/>
    </row>
    <row r="17" spans="1:8" ht="20" customHeight="1" thickBot="1">
      <c r="A17" s="174"/>
      <c r="B17" s="174"/>
      <c r="C17" s="175"/>
      <c r="D17" s="173" t="s">
        <v>397</v>
      </c>
      <c r="F17" s="60"/>
      <c r="G17" s="60"/>
      <c r="H17" s="60"/>
    </row>
    <row r="18" spans="1:8" ht="20" customHeight="1" thickBot="1">
      <c r="A18" s="174">
        <v>4</v>
      </c>
      <c r="B18" s="174" t="s">
        <v>276</v>
      </c>
      <c r="C18" s="175"/>
      <c r="D18" s="173">
        <v>-32593351.739999991</v>
      </c>
      <c r="F18" s="60"/>
      <c r="G18" s="60"/>
      <c r="H18" s="177"/>
    </row>
    <row r="19" spans="1:8" ht="20" customHeight="1" thickBot="1">
      <c r="A19" s="174"/>
      <c r="B19" s="174"/>
      <c r="C19" s="175"/>
      <c r="D19" s="173" t="s">
        <v>397</v>
      </c>
      <c r="F19" s="60"/>
      <c r="G19" s="60"/>
      <c r="H19" s="60"/>
    </row>
    <row r="20" spans="1:8" ht="20" customHeight="1" thickBot="1">
      <c r="A20" s="174">
        <v>992</v>
      </c>
      <c r="B20" s="174" t="s">
        <v>277</v>
      </c>
      <c r="C20" s="175"/>
      <c r="D20" s="173">
        <v>3468342.7200000174</v>
      </c>
      <c r="F20" s="60"/>
      <c r="G20" s="60"/>
      <c r="H20" s="60"/>
    </row>
    <row r="21" spans="1:8" ht="20" customHeight="1" thickBot="1">
      <c r="A21" s="174"/>
      <c r="B21" s="174"/>
      <c r="C21" s="175"/>
      <c r="D21" s="173" t="s">
        <v>397</v>
      </c>
      <c r="F21" s="60"/>
      <c r="G21" s="60"/>
      <c r="H21" s="60"/>
    </row>
    <row r="22" spans="1:8" ht="20" customHeight="1" thickBot="1">
      <c r="A22" s="174">
        <v>500</v>
      </c>
      <c r="B22" s="174" t="s">
        <v>278</v>
      </c>
      <c r="C22" s="175" t="s">
        <v>265</v>
      </c>
      <c r="D22" s="173" vm="54">
        <v>-5605437.2800000003</v>
      </c>
      <c r="F22" s="60"/>
      <c r="G22" s="60"/>
      <c r="H22" s="60"/>
    </row>
    <row r="23" spans="1:8" ht="20" customHeight="1" thickBot="1">
      <c r="A23" s="174">
        <v>501</v>
      </c>
      <c r="B23" s="174" t="s">
        <v>279</v>
      </c>
      <c r="C23" s="175" t="s">
        <v>265</v>
      </c>
      <c r="D23" s="173" vm="55">
        <v>-12957.990000000002</v>
      </c>
      <c r="F23" s="60"/>
      <c r="G23" s="60"/>
      <c r="H23" s="60"/>
    </row>
    <row r="24" spans="1:8" ht="20" customHeight="1" thickBot="1">
      <c r="A24" s="174">
        <v>510</v>
      </c>
      <c r="B24" s="174" t="s">
        <v>280</v>
      </c>
      <c r="C24" s="175" t="s">
        <v>265</v>
      </c>
      <c r="D24" s="173" vm="52">
        <v>-571096.59999999974</v>
      </c>
      <c r="F24" s="60"/>
      <c r="G24" s="60"/>
      <c r="H24" s="60"/>
    </row>
    <row r="25" spans="1:8" ht="20" customHeight="1" thickBot="1">
      <c r="A25" s="174">
        <v>516</v>
      </c>
      <c r="B25" s="174" t="s">
        <v>281</v>
      </c>
      <c r="C25" s="175" t="s">
        <v>265</v>
      </c>
      <c r="D25" s="173" vm="53">
        <v>-353943.57999999996</v>
      </c>
      <c r="F25" s="60"/>
      <c r="G25" s="60"/>
      <c r="H25" s="60"/>
    </row>
    <row r="26" spans="1:8" ht="20" customHeight="1" thickBot="1">
      <c r="A26" s="174">
        <v>517</v>
      </c>
      <c r="B26" s="174" t="s">
        <v>282</v>
      </c>
      <c r="C26" s="175" t="s">
        <v>265</v>
      </c>
      <c r="D26" s="173" vm="50">
        <v>-104038.19000000002</v>
      </c>
      <c r="F26" s="60"/>
      <c r="G26" s="60"/>
      <c r="H26" s="60"/>
    </row>
    <row r="27" spans="1:8" ht="20" customHeight="1" thickBot="1">
      <c r="A27" s="174">
        <v>519</v>
      </c>
      <c r="B27" s="174" t="s">
        <v>283</v>
      </c>
      <c r="C27" s="175" t="s">
        <v>265</v>
      </c>
      <c r="D27" s="173" vm="51">
        <v>-189870.71999999997</v>
      </c>
      <c r="F27" s="60"/>
      <c r="G27" s="60"/>
      <c r="H27" s="60"/>
    </row>
    <row r="28" spans="1:8" ht="20" customHeight="1" thickBot="1">
      <c r="A28" s="174"/>
      <c r="B28" s="174"/>
      <c r="C28" s="175"/>
      <c r="D28" s="173" t="s">
        <v>397</v>
      </c>
      <c r="F28" s="60"/>
      <c r="G28" s="60"/>
      <c r="H28" s="60"/>
    </row>
    <row r="29" spans="1:8" ht="20" customHeight="1" thickBot="1">
      <c r="A29" s="174">
        <v>5</v>
      </c>
      <c r="B29" s="174" t="s">
        <v>306</v>
      </c>
      <c r="C29" s="175"/>
      <c r="D29" s="173">
        <v>-6837344.3600000003</v>
      </c>
      <c r="F29" s="60"/>
      <c r="G29" s="60"/>
      <c r="H29" s="60"/>
    </row>
    <row r="30" spans="1:8" ht="20" customHeight="1" thickBot="1">
      <c r="A30" s="174"/>
      <c r="B30" s="174"/>
      <c r="C30" s="175"/>
      <c r="D30" s="173" t="s">
        <v>397</v>
      </c>
      <c r="F30" s="60"/>
      <c r="G30" s="60"/>
      <c r="H30" s="60"/>
    </row>
    <row r="31" spans="1:8" ht="20" customHeight="1" thickBot="1">
      <c r="A31" s="174">
        <v>993</v>
      </c>
      <c r="B31" s="174" t="s">
        <v>285</v>
      </c>
      <c r="C31" s="175" t="s">
        <v>265</v>
      </c>
      <c r="D31" s="173">
        <v>-39430696.099999994</v>
      </c>
      <c r="F31" s="60"/>
      <c r="G31" s="60"/>
      <c r="H31" s="60"/>
    </row>
    <row r="32" spans="1:8" ht="20" customHeight="1" thickBot="1">
      <c r="A32" s="174"/>
      <c r="B32" s="174"/>
      <c r="C32" s="175"/>
      <c r="D32" s="173" t="s">
        <v>397</v>
      </c>
      <c r="F32" s="60"/>
      <c r="G32" s="60"/>
      <c r="H32" s="60"/>
    </row>
    <row r="33" spans="1:8" ht="20" customHeight="1" thickBot="1">
      <c r="A33" s="174">
        <v>994</v>
      </c>
      <c r="B33" s="174" t="s">
        <v>286</v>
      </c>
      <c r="C33" s="175"/>
      <c r="D33" s="173">
        <v>-3369001.6399999857</v>
      </c>
      <c r="F33" s="60"/>
      <c r="G33" s="60"/>
      <c r="H33" s="60"/>
    </row>
    <row r="34" spans="1:8" ht="20" customHeight="1" thickBot="1">
      <c r="A34" s="174"/>
      <c r="B34" s="174"/>
      <c r="C34" s="175"/>
      <c r="D34" s="173" t="s">
        <v>397</v>
      </c>
      <c r="F34" s="60"/>
      <c r="G34" s="60"/>
      <c r="H34" s="60"/>
    </row>
    <row r="35" spans="1:8" ht="20" customHeight="1" thickBot="1">
      <c r="A35" s="174">
        <v>70</v>
      </c>
      <c r="B35" s="174" t="s">
        <v>287</v>
      </c>
      <c r="C35" s="175"/>
      <c r="D35" s="173" vm="49">
        <v>358063</v>
      </c>
      <c r="F35" s="60"/>
      <c r="G35" s="60"/>
      <c r="H35" s="60"/>
    </row>
    <row r="36" spans="1:8" ht="20" customHeight="1" thickBot="1">
      <c r="A36" s="174">
        <v>71</v>
      </c>
      <c r="B36" s="174" t="s">
        <v>288</v>
      </c>
      <c r="C36" s="175" t="s">
        <v>265</v>
      </c>
      <c r="D36" s="173" vm="48">
        <v>-23849.64</v>
      </c>
      <c r="F36" s="60"/>
      <c r="G36" s="60"/>
      <c r="H36" s="60"/>
    </row>
    <row r="37" spans="1:8" ht="20" customHeight="1" thickBot="1">
      <c r="A37" s="174">
        <v>73</v>
      </c>
      <c r="B37" s="174" t="s">
        <v>289</v>
      </c>
      <c r="C37" s="175"/>
      <c r="D37" s="173" vm="66">
        <v>2001234.9399999997</v>
      </c>
      <c r="F37" s="60"/>
      <c r="G37" s="60"/>
      <c r="H37" s="60"/>
    </row>
    <row r="38" spans="1:8" ht="20" customHeight="1" thickBot="1">
      <c r="A38" s="174">
        <v>810</v>
      </c>
      <c r="B38" s="174" t="s">
        <v>290</v>
      </c>
      <c r="C38" s="175"/>
      <c r="D38" s="173" vm="65">
        <v>6812.6599999999989</v>
      </c>
      <c r="F38" s="60"/>
      <c r="G38" s="60"/>
      <c r="H38" s="60"/>
    </row>
    <row r="39" spans="1:8" ht="20" customHeight="1" thickBot="1">
      <c r="A39" s="174">
        <v>820</v>
      </c>
      <c r="B39" s="174" t="s">
        <v>291</v>
      </c>
      <c r="C39" s="175" t="s">
        <v>265</v>
      </c>
      <c r="D39" s="173" vm="65">
        <v>-17177.46</v>
      </c>
      <c r="F39" s="60"/>
      <c r="G39" s="60"/>
      <c r="H39" s="60"/>
    </row>
    <row r="40" spans="1:8" ht="20" customHeight="1" thickBot="1">
      <c r="A40" s="174">
        <v>9</v>
      </c>
      <c r="B40" s="174" t="s">
        <v>292</v>
      </c>
      <c r="C40" s="175"/>
      <c r="D40" s="173">
        <v>0</v>
      </c>
      <c r="F40" s="60"/>
      <c r="G40" s="60"/>
      <c r="H40" s="60"/>
    </row>
    <row r="41" spans="1:8" ht="20" customHeight="1" thickBot="1">
      <c r="A41" s="174"/>
      <c r="B41" s="174"/>
      <c r="C41" s="175"/>
      <c r="D41" s="173" t="s">
        <v>397</v>
      </c>
      <c r="F41" s="60"/>
      <c r="G41" s="60"/>
      <c r="H41" s="60"/>
    </row>
    <row r="42" spans="1:8" ht="20" customHeight="1" thickBot="1">
      <c r="A42" s="174">
        <v>995</v>
      </c>
      <c r="B42" s="174" t="s">
        <v>293</v>
      </c>
      <c r="C42" s="175"/>
      <c r="D42" s="173">
        <v>2325083.5</v>
      </c>
      <c r="F42" s="60"/>
      <c r="G42" s="60"/>
      <c r="H42" s="60"/>
    </row>
    <row r="43" spans="1:8" ht="20" customHeight="1" thickBot="1">
      <c r="A43" s="174"/>
      <c r="B43" s="174"/>
      <c r="C43" s="175"/>
      <c r="D43" s="173" t="s">
        <v>397</v>
      </c>
      <c r="F43" s="60"/>
      <c r="G43" s="60"/>
      <c r="H43" s="60"/>
    </row>
    <row r="44" spans="1:8" ht="20" customHeight="1" thickBot="1">
      <c r="A44" s="178">
        <v>999</v>
      </c>
      <c r="B44" s="178" t="s">
        <v>294</v>
      </c>
      <c r="C44" s="179"/>
      <c r="D44" s="180">
        <v>-1043918.1399999857</v>
      </c>
      <c r="F44" s="60"/>
      <c r="G44" s="60"/>
      <c r="H44" s="60"/>
    </row>
    <row r="45" spans="1:8" ht="15.5" customHeight="1">
      <c r="A45" s="130" t="s">
        <v>396</v>
      </c>
    </row>
    <row r="47" spans="1:8">
      <c r="A47" s="3" t="s">
        <v>792</v>
      </c>
    </row>
    <row r="49" spans="1:4">
      <c r="A49" s="131" t="s">
        <v>783</v>
      </c>
    </row>
    <row r="50" spans="1:4">
      <c r="A50" s="3" t="s">
        <v>784</v>
      </c>
    </row>
    <row r="52" spans="1:4">
      <c r="A52" s="3" t="s">
        <v>395</v>
      </c>
    </row>
    <row r="58" spans="1:4">
      <c r="B58" s="199"/>
      <c r="C58" s="199"/>
      <c r="D58" s="60"/>
    </row>
    <row r="61" spans="1:4" ht="14">
      <c r="A61" s="200"/>
      <c r="B61" s="200"/>
      <c r="C61" s="201"/>
      <c r="D61" s="202"/>
    </row>
  </sheetData>
  <mergeCells count="1">
    <mergeCell ref="A2:B2"/>
  </mergeCells>
  <pageMargins left="0.6" right="0.63" top="0.78" bottom="0.49" header="0.42" footer="0.4921259845"/>
  <pageSetup paperSize="9" scale="77" orientation="portrait"/>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5A491-FDE7-5A4A-8881-06A2EB8F9B14}">
  <sheetPr>
    <pageSetUpPr fitToPage="1"/>
  </sheetPr>
  <dimension ref="A1:H61"/>
  <sheetViews>
    <sheetView topLeftCell="A33" zoomScaleNormal="100" workbookViewId="0">
      <selection activeCell="A48" sqref="A48"/>
    </sheetView>
  </sheetViews>
  <sheetFormatPr baseColWidth="10" defaultColWidth="11.3984375" defaultRowHeight="13"/>
  <cols>
    <col min="1" max="1" width="21.796875" style="3" customWidth="1"/>
    <col min="2" max="2" width="67.19921875" style="181" customWidth="1"/>
    <col min="3" max="3" width="7.59765625" style="181" customWidth="1"/>
    <col min="4" max="4" width="20.796875" style="182" customWidth="1"/>
    <col min="5" max="16384" width="11.3984375" style="3"/>
  </cols>
  <sheetData>
    <row r="1" spans="1:8" s="2" customFormat="1" ht="14" customHeight="1">
      <c r="B1" s="161"/>
      <c r="C1" s="161"/>
      <c r="D1" s="162"/>
    </row>
    <row r="2" spans="1:8" s="2" customFormat="1" ht="28.75" customHeight="1">
      <c r="A2" s="2054" t="s">
        <v>793</v>
      </c>
      <c r="B2" s="2055"/>
      <c r="D2" s="164">
        <v>2012</v>
      </c>
      <c r="E2" s="164"/>
    </row>
    <row r="3" spans="1:8" ht="39" customHeight="1">
      <c r="A3" s="109" t="s">
        <v>261</v>
      </c>
      <c r="B3" s="109"/>
      <c r="C3" s="165"/>
      <c r="D3" s="166" t="s">
        <v>230</v>
      </c>
    </row>
    <row r="4" spans="1:8" ht="38" customHeight="1">
      <c r="A4" s="167"/>
      <c r="B4" s="168"/>
      <c r="C4" s="169"/>
      <c r="D4" s="170" t="s">
        <v>262</v>
      </c>
    </row>
    <row r="5" spans="1:8" ht="20" customHeight="1" thickBot="1">
      <c r="A5" s="171">
        <v>3005</v>
      </c>
      <c r="B5" s="171" t="s">
        <v>263</v>
      </c>
      <c r="C5" s="172"/>
      <c r="D5" s="173" vm="84">
        <v>216176228.41000003</v>
      </c>
      <c r="F5" s="60"/>
      <c r="G5" s="60"/>
      <c r="H5" s="60"/>
    </row>
    <row r="6" spans="1:8" ht="20" customHeight="1" thickBot="1">
      <c r="A6" s="174">
        <v>330</v>
      </c>
      <c r="B6" s="174" t="s">
        <v>264</v>
      </c>
      <c r="C6" s="175" t="s">
        <v>265</v>
      </c>
      <c r="D6" s="173" vm="85">
        <v>-7559922.5899999999</v>
      </c>
      <c r="F6" s="60"/>
      <c r="G6" s="60"/>
      <c r="H6" s="60"/>
    </row>
    <row r="7" spans="1:8" ht="20" customHeight="1" thickBot="1">
      <c r="A7" s="174">
        <v>3500</v>
      </c>
      <c r="B7" s="174" t="s">
        <v>266</v>
      </c>
      <c r="C7" s="175" t="s">
        <v>265</v>
      </c>
      <c r="D7" s="173" vm="82">
        <v>-778625.09999999986</v>
      </c>
      <c r="F7" s="60"/>
      <c r="G7" s="60"/>
      <c r="H7" s="60"/>
    </row>
    <row r="8" spans="1:8" ht="20" customHeight="1" thickBot="1">
      <c r="A8" s="174">
        <v>36</v>
      </c>
      <c r="B8" s="174" t="s">
        <v>267</v>
      </c>
      <c r="C8" s="175"/>
      <c r="D8" s="173" vm="83">
        <v>-54.73</v>
      </c>
      <c r="F8" s="60"/>
      <c r="G8" s="60"/>
      <c r="H8" s="60"/>
    </row>
    <row r="9" spans="1:8" ht="20" customHeight="1" thickBot="1">
      <c r="A9" s="174">
        <v>37</v>
      </c>
      <c r="B9" s="174" t="s">
        <v>268</v>
      </c>
      <c r="C9" s="175" t="s">
        <v>265</v>
      </c>
      <c r="D9" s="173">
        <v>0</v>
      </c>
      <c r="F9" s="60"/>
      <c r="G9" s="60"/>
      <c r="H9" s="60"/>
    </row>
    <row r="10" spans="1:8" ht="20" customHeight="1" thickBot="1">
      <c r="A10" s="174"/>
      <c r="B10" s="174"/>
      <c r="C10" s="175"/>
      <c r="D10" s="173" t="s">
        <v>397</v>
      </c>
      <c r="F10" s="60"/>
      <c r="G10" s="60"/>
      <c r="H10" s="60"/>
    </row>
    <row r="11" spans="1:8" ht="20" customHeight="1" thickBot="1">
      <c r="A11" s="174">
        <v>3</v>
      </c>
      <c r="B11" s="174" t="s">
        <v>269</v>
      </c>
      <c r="C11" s="175"/>
      <c r="D11" s="173">
        <v>207837625.99000004</v>
      </c>
      <c r="F11" s="60"/>
      <c r="G11" s="60"/>
      <c r="H11" s="60"/>
    </row>
    <row r="12" spans="1:8" ht="20" customHeight="1" thickBot="1">
      <c r="A12" s="174"/>
      <c r="B12" s="174"/>
      <c r="C12" s="175"/>
      <c r="D12" s="173" t="s">
        <v>397</v>
      </c>
      <c r="F12" s="60"/>
      <c r="G12" s="60"/>
      <c r="H12" s="60"/>
    </row>
    <row r="13" spans="1:8" ht="20" customHeight="1" thickBot="1">
      <c r="A13" s="174">
        <v>4005</v>
      </c>
      <c r="B13" s="174" t="s">
        <v>270</v>
      </c>
      <c r="C13" s="175" t="s">
        <v>265</v>
      </c>
      <c r="D13" s="173" vm="80">
        <v>-161359005.03999996</v>
      </c>
      <c r="F13" s="60"/>
      <c r="G13" s="60"/>
      <c r="H13" s="60"/>
    </row>
    <row r="14" spans="1:8" ht="20" customHeight="1" thickBot="1">
      <c r="A14" s="204">
        <v>4320</v>
      </c>
      <c r="B14" s="174" t="s">
        <v>272</v>
      </c>
      <c r="C14" s="175" t="s">
        <v>265</v>
      </c>
      <c r="D14" s="173" vm="81">
        <v>-1021452.77</v>
      </c>
      <c r="F14" s="60"/>
      <c r="G14" s="60"/>
      <c r="H14" s="60"/>
    </row>
    <row r="15" spans="1:8" ht="20" customHeight="1" thickBot="1">
      <c r="A15" s="174">
        <v>450</v>
      </c>
      <c r="B15" s="174" t="s">
        <v>273</v>
      </c>
      <c r="C15" s="175"/>
      <c r="D15" s="173" vm="78">
        <v>-19944242.790000003</v>
      </c>
      <c r="F15" s="60"/>
      <c r="G15" s="60"/>
      <c r="H15" s="60"/>
    </row>
    <row r="16" spans="1:8" ht="20" customHeight="1" thickBot="1">
      <c r="A16" s="174">
        <v>4400</v>
      </c>
      <c r="B16" s="174" t="s">
        <v>274</v>
      </c>
      <c r="C16" s="175"/>
      <c r="D16" s="173" vm="79">
        <v>718416.99999999988</v>
      </c>
      <c r="F16" s="60"/>
      <c r="G16" s="60"/>
      <c r="H16" s="176"/>
    </row>
    <row r="17" spans="1:8" ht="20" customHeight="1" thickBot="1">
      <c r="A17" s="174"/>
      <c r="B17" s="174"/>
      <c r="C17" s="175"/>
      <c r="D17" s="173" t="s">
        <v>397</v>
      </c>
      <c r="F17" s="60"/>
      <c r="G17" s="60"/>
      <c r="H17" s="60"/>
    </row>
    <row r="18" spans="1:8" ht="20" customHeight="1" thickBot="1">
      <c r="A18" s="174">
        <v>4</v>
      </c>
      <c r="B18" s="174" t="s">
        <v>276</v>
      </c>
      <c r="C18" s="175"/>
      <c r="D18" s="173">
        <v>-181606283.59999996</v>
      </c>
      <c r="F18" s="60"/>
      <c r="G18" s="60"/>
      <c r="H18" s="177"/>
    </row>
    <row r="19" spans="1:8" ht="20" customHeight="1" thickBot="1">
      <c r="A19" s="174"/>
      <c r="B19" s="174"/>
      <c r="C19" s="175"/>
      <c r="D19" s="173" t="s">
        <v>397</v>
      </c>
      <c r="F19" s="60"/>
      <c r="G19" s="60"/>
      <c r="H19" s="60"/>
    </row>
    <row r="20" spans="1:8" ht="20" customHeight="1" thickBot="1">
      <c r="A20" s="174">
        <v>992</v>
      </c>
      <c r="B20" s="174" t="s">
        <v>277</v>
      </c>
      <c r="C20" s="175"/>
      <c r="D20" s="173">
        <v>26231342.390000075</v>
      </c>
      <c r="F20" s="60"/>
      <c r="G20" s="60"/>
      <c r="H20" s="60"/>
    </row>
    <row r="21" spans="1:8" ht="20" customHeight="1" thickBot="1">
      <c r="A21" s="174"/>
      <c r="B21" s="174"/>
      <c r="C21" s="175"/>
      <c r="D21" s="173" t="s">
        <v>397</v>
      </c>
      <c r="F21" s="60"/>
      <c r="G21" s="60"/>
      <c r="H21" s="60"/>
    </row>
    <row r="22" spans="1:8" ht="20" customHeight="1" thickBot="1">
      <c r="A22" s="174">
        <v>500</v>
      </c>
      <c r="B22" s="174" t="s">
        <v>278</v>
      </c>
      <c r="C22" s="175" t="s">
        <v>265</v>
      </c>
      <c r="D22" s="173" vm="77">
        <v>-41820519.949999988</v>
      </c>
      <c r="F22" s="60"/>
      <c r="G22" s="60"/>
      <c r="H22" s="60"/>
    </row>
    <row r="23" spans="1:8" ht="20" customHeight="1" thickBot="1">
      <c r="A23" s="174">
        <v>501</v>
      </c>
      <c r="B23" s="174" t="s">
        <v>279</v>
      </c>
      <c r="C23" s="175" t="s">
        <v>265</v>
      </c>
      <c r="D23" s="173" vm="76">
        <v>-6094.15</v>
      </c>
      <c r="F23" s="60"/>
      <c r="G23" s="60"/>
      <c r="H23" s="60"/>
    </row>
    <row r="24" spans="1:8" ht="20" customHeight="1" thickBot="1">
      <c r="A24" s="174">
        <v>510</v>
      </c>
      <c r="B24" s="174" t="s">
        <v>280</v>
      </c>
      <c r="C24" s="175" t="s">
        <v>265</v>
      </c>
      <c r="D24" s="173" vm="75">
        <v>13380857.41</v>
      </c>
      <c r="F24" s="60"/>
      <c r="G24" s="60"/>
      <c r="H24" s="60"/>
    </row>
    <row r="25" spans="1:8" ht="20" customHeight="1" thickBot="1">
      <c r="A25" s="174">
        <v>516</v>
      </c>
      <c r="B25" s="174" t="s">
        <v>281</v>
      </c>
      <c r="C25" s="175" t="s">
        <v>265</v>
      </c>
      <c r="D25" s="173" vm="74">
        <v>-2381040.6400000006</v>
      </c>
      <c r="F25" s="60"/>
      <c r="G25" s="60"/>
      <c r="H25" s="60"/>
    </row>
    <row r="26" spans="1:8" ht="20" customHeight="1" thickBot="1">
      <c r="A26" s="174">
        <v>517</v>
      </c>
      <c r="B26" s="174" t="s">
        <v>282</v>
      </c>
      <c r="C26" s="175" t="s">
        <v>265</v>
      </c>
      <c r="D26" s="173" vm="73">
        <v>-2163490.31</v>
      </c>
      <c r="F26" s="60"/>
      <c r="G26" s="60"/>
      <c r="H26" s="60"/>
    </row>
    <row r="27" spans="1:8" ht="20" customHeight="1" thickBot="1">
      <c r="A27" s="174">
        <v>519</v>
      </c>
      <c r="B27" s="174" t="s">
        <v>283</v>
      </c>
      <c r="C27" s="175" t="s">
        <v>265</v>
      </c>
      <c r="D27" s="173" vm="72">
        <v>-1084405.3799999999</v>
      </c>
      <c r="F27" s="60"/>
      <c r="G27" s="60"/>
      <c r="H27" s="60"/>
    </row>
    <row r="28" spans="1:8" ht="20" customHeight="1" thickBot="1">
      <c r="A28" s="174"/>
      <c r="B28" s="174"/>
      <c r="C28" s="175"/>
      <c r="D28" s="173" t="s">
        <v>397</v>
      </c>
      <c r="F28" s="60"/>
      <c r="G28" s="60"/>
      <c r="H28" s="60"/>
    </row>
    <row r="29" spans="1:8" ht="20" customHeight="1" thickBot="1">
      <c r="A29" s="174">
        <v>5</v>
      </c>
      <c r="B29" s="174" t="s">
        <v>306</v>
      </c>
      <c r="C29" s="175"/>
      <c r="D29" s="173">
        <v>-34074693.019999988</v>
      </c>
      <c r="F29" s="60"/>
      <c r="G29" s="60"/>
      <c r="H29" s="60"/>
    </row>
    <row r="30" spans="1:8" ht="20" customHeight="1" thickBot="1">
      <c r="A30" s="174"/>
      <c r="B30" s="174"/>
      <c r="C30" s="175"/>
      <c r="D30" s="173" t="s">
        <v>397</v>
      </c>
      <c r="F30" s="60"/>
      <c r="G30" s="60"/>
      <c r="H30" s="60"/>
    </row>
    <row r="31" spans="1:8" ht="20" customHeight="1" thickBot="1">
      <c r="A31" s="174">
        <v>993</v>
      </c>
      <c r="B31" s="174" t="s">
        <v>285</v>
      </c>
      <c r="C31" s="175" t="s">
        <v>265</v>
      </c>
      <c r="D31" s="173">
        <v>-215680976.61999995</v>
      </c>
      <c r="F31" s="60"/>
      <c r="G31" s="60"/>
      <c r="H31" s="60"/>
    </row>
    <row r="32" spans="1:8" ht="20" customHeight="1" thickBot="1">
      <c r="A32" s="174"/>
      <c r="B32" s="174"/>
      <c r="C32" s="175"/>
      <c r="D32" s="173" t="s">
        <v>397</v>
      </c>
      <c r="F32" s="60"/>
      <c r="G32" s="60"/>
      <c r="H32" s="60"/>
    </row>
    <row r="33" spans="1:8" ht="20" customHeight="1" thickBot="1">
      <c r="A33" s="174">
        <v>994</v>
      </c>
      <c r="B33" s="174" t="s">
        <v>286</v>
      </c>
      <c r="C33" s="175"/>
      <c r="D33" s="173">
        <v>-7843350.6299999058</v>
      </c>
      <c r="F33" s="60"/>
      <c r="G33" s="60"/>
      <c r="H33" s="60"/>
    </row>
    <row r="34" spans="1:8" ht="20" customHeight="1" thickBot="1">
      <c r="A34" s="174"/>
      <c r="B34" s="174"/>
      <c r="C34" s="175"/>
      <c r="D34" s="173" t="s">
        <v>397</v>
      </c>
      <c r="F34" s="60"/>
      <c r="G34" s="60"/>
      <c r="H34" s="60"/>
    </row>
    <row r="35" spans="1:8" ht="20" customHeight="1" thickBot="1">
      <c r="A35" s="174">
        <v>70</v>
      </c>
      <c r="B35" s="174" t="s">
        <v>287</v>
      </c>
      <c r="C35" s="175"/>
      <c r="D35" s="173" vm="70">
        <v>2009438.5000000002</v>
      </c>
      <c r="F35" s="60"/>
      <c r="G35" s="60"/>
      <c r="H35" s="60"/>
    </row>
    <row r="36" spans="1:8" ht="20" customHeight="1" thickBot="1">
      <c r="A36" s="174">
        <v>71</v>
      </c>
      <c r="B36" s="174" t="s">
        <v>288</v>
      </c>
      <c r="C36" s="175" t="s">
        <v>265</v>
      </c>
      <c r="D36" s="173" vm="71">
        <v>-228272.11999999997</v>
      </c>
      <c r="F36" s="60"/>
      <c r="G36" s="60"/>
      <c r="H36" s="60"/>
    </row>
    <row r="37" spans="1:8" ht="20" customHeight="1" thickBot="1">
      <c r="A37" s="174">
        <v>73</v>
      </c>
      <c r="B37" s="174" t="s">
        <v>289</v>
      </c>
      <c r="C37" s="175"/>
      <c r="D37" s="173" vm="68">
        <v>19464802.240000002</v>
      </c>
      <c r="F37" s="60"/>
      <c r="G37" s="60"/>
      <c r="H37" s="60"/>
    </row>
    <row r="38" spans="1:8" ht="20" customHeight="1" thickBot="1">
      <c r="A38" s="174">
        <v>810</v>
      </c>
      <c r="B38" s="174" t="s">
        <v>290</v>
      </c>
      <c r="C38" s="175"/>
      <c r="D38" s="173" vm="69">
        <v>166719.82000000004</v>
      </c>
      <c r="F38" s="60"/>
      <c r="G38" s="60"/>
      <c r="H38" s="60"/>
    </row>
    <row r="39" spans="1:8" ht="20" customHeight="1" thickBot="1">
      <c r="A39" s="174">
        <v>820</v>
      </c>
      <c r="B39" s="174" t="s">
        <v>291</v>
      </c>
      <c r="C39" s="175" t="s">
        <v>265</v>
      </c>
      <c r="D39" s="173" vm="67">
        <v>-32263.309999999994</v>
      </c>
      <c r="F39" s="60"/>
      <c r="G39" s="60"/>
      <c r="H39" s="60"/>
    </row>
    <row r="40" spans="1:8" ht="20" customHeight="1" thickBot="1">
      <c r="A40" s="174">
        <v>9</v>
      </c>
      <c r="B40" s="174" t="s">
        <v>292</v>
      </c>
      <c r="C40" s="175"/>
      <c r="D40" s="173">
        <v>0</v>
      </c>
      <c r="F40" s="60"/>
      <c r="G40" s="60"/>
      <c r="H40" s="60"/>
    </row>
    <row r="41" spans="1:8" ht="20" customHeight="1" thickBot="1">
      <c r="A41" s="174"/>
      <c r="B41" s="174"/>
      <c r="C41" s="175"/>
      <c r="D41" s="173" t="s">
        <v>397</v>
      </c>
      <c r="F41" s="60"/>
      <c r="G41" s="60"/>
      <c r="H41" s="60"/>
    </row>
    <row r="42" spans="1:8" ht="20" customHeight="1" thickBot="1">
      <c r="A42" s="174">
        <v>995</v>
      </c>
      <c r="B42" s="174" t="s">
        <v>293</v>
      </c>
      <c r="C42" s="175"/>
      <c r="D42" s="173">
        <v>21380425.130000003</v>
      </c>
      <c r="F42" s="60"/>
      <c r="G42" s="60"/>
      <c r="H42" s="60"/>
    </row>
    <row r="43" spans="1:8" ht="20" customHeight="1" thickBot="1">
      <c r="A43" s="174"/>
      <c r="B43" s="174"/>
      <c r="C43" s="175"/>
      <c r="D43" s="173" t="s">
        <v>397</v>
      </c>
      <c r="F43" s="60"/>
      <c r="G43" s="60"/>
      <c r="H43" s="60"/>
    </row>
    <row r="44" spans="1:8" ht="20" customHeight="1" thickBot="1">
      <c r="A44" s="178">
        <v>999</v>
      </c>
      <c r="B44" s="178" t="s">
        <v>294</v>
      </c>
      <c r="C44" s="179"/>
      <c r="D44" s="180">
        <v>13537074.500000097</v>
      </c>
      <c r="F44" s="60"/>
      <c r="G44" s="60"/>
      <c r="H44" s="60"/>
    </row>
    <row r="45" spans="1:8" ht="15.5" customHeight="1">
      <c r="A45" s="130" t="s">
        <v>396</v>
      </c>
    </row>
    <row r="47" spans="1:8">
      <c r="A47" s="3" t="s">
        <v>794</v>
      </c>
    </row>
    <row r="49" spans="1:4">
      <c r="A49" s="131" t="s">
        <v>783</v>
      </c>
    </row>
    <row r="50" spans="1:4">
      <c r="A50" s="3" t="s">
        <v>784</v>
      </c>
    </row>
    <row r="52" spans="1:4">
      <c r="A52" s="3" t="s">
        <v>395</v>
      </c>
    </row>
    <row r="58" spans="1:4">
      <c r="B58" s="199"/>
      <c r="C58" s="199"/>
      <c r="D58" s="60"/>
    </row>
    <row r="61" spans="1:4" ht="14">
      <c r="A61" s="200"/>
      <c r="B61" s="200"/>
      <c r="C61" s="201"/>
      <c r="D61" s="202"/>
    </row>
  </sheetData>
  <mergeCells count="1">
    <mergeCell ref="A2:B2"/>
  </mergeCells>
  <pageMargins left="0.6" right="0.63" top="0.78" bottom="0.49" header="0.42" footer="0.4921259845"/>
  <pageSetup paperSize="9" scale="76" orientation="portrait"/>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61A5-B06E-C942-B188-15A3ABEBE9B4}">
  <sheetPr>
    <pageSetUpPr fitToPage="1"/>
  </sheetPr>
  <dimension ref="A1:H8"/>
  <sheetViews>
    <sheetView workbookViewId="0">
      <selection activeCell="B4" sqref="B4"/>
    </sheetView>
  </sheetViews>
  <sheetFormatPr baseColWidth="10" defaultColWidth="11.59765625" defaultRowHeight="13"/>
  <cols>
    <col min="1" max="1" width="5.59765625" style="65" customWidth="1"/>
    <col min="2" max="6" width="11.59765625" style="65"/>
    <col min="7" max="7" width="13.59765625" style="65" customWidth="1"/>
    <col min="8" max="16384" width="11.59765625" style="65"/>
  </cols>
  <sheetData>
    <row r="1" spans="1:8" ht="16">
      <c r="A1" s="601" t="s">
        <v>739</v>
      </c>
    </row>
    <row r="2" spans="1:8" ht="16">
      <c r="A2" s="66"/>
    </row>
    <row r="3" spans="1:8">
      <c r="A3" s="602">
        <v>7.01</v>
      </c>
      <c r="B3" s="67" t="s">
        <v>740</v>
      </c>
    </row>
    <row r="4" spans="1:8">
      <c r="A4" s="602">
        <v>7.02</v>
      </c>
      <c r="B4" s="67" t="s">
        <v>741</v>
      </c>
      <c r="H4" s="441" t="s">
        <v>742</v>
      </c>
    </row>
    <row r="5" spans="1:8">
      <c r="A5" s="602"/>
      <c r="B5" s="67" t="s">
        <v>743</v>
      </c>
    </row>
    <row r="8" spans="1:8">
      <c r="A8" s="63" t="s">
        <v>395</v>
      </c>
    </row>
  </sheetData>
  <pageMargins left="0.46" right="0.35" top="0.62" bottom="0.984251969" header="0.36" footer="0.4921259845"/>
  <pageSetup paperSize="9" orientation="portrait"/>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D24E-2A3A-0E48-8726-C28EF54355FD}">
  <sheetPr>
    <pageSetUpPr fitToPage="1"/>
  </sheetPr>
  <dimension ref="A1:K37"/>
  <sheetViews>
    <sheetView topLeftCell="A7" zoomScaleNormal="100" workbookViewId="0">
      <selection activeCell="I35" sqref="I35"/>
    </sheetView>
  </sheetViews>
  <sheetFormatPr baseColWidth="10" defaultColWidth="11.3984375" defaultRowHeight="13"/>
  <cols>
    <col min="1" max="1" width="16.796875" style="3" customWidth="1"/>
    <col min="2" max="2" width="16.3984375" style="3" customWidth="1"/>
    <col min="3" max="3" width="15" style="181" customWidth="1"/>
    <col min="4" max="4" width="16.19921875" style="3" customWidth="1"/>
    <col min="5" max="5" width="15" style="181" customWidth="1"/>
    <col min="6" max="6" width="15" style="3" customWidth="1"/>
    <col min="7" max="7" width="15" style="181" customWidth="1"/>
    <col min="8" max="16384" width="11.3984375" style="3"/>
  </cols>
  <sheetData>
    <row r="1" spans="1:11" s="2" customFormat="1" ht="14" customHeight="1">
      <c r="C1" s="161"/>
      <c r="E1" s="161"/>
      <c r="G1" s="161"/>
    </row>
    <row r="2" spans="1:11" s="2" customFormat="1" ht="26.5" customHeight="1">
      <c r="A2" s="222" t="s">
        <v>725</v>
      </c>
      <c r="B2" s="570"/>
      <c r="C2" s="570"/>
      <c r="D2" s="570"/>
      <c r="E2" s="570"/>
      <c r="F2" s="570"/>
      <c r="G2" s="600"/>
    </row>
    <row r="3" spans="1:11" ht="24" customHeight="1">
      <c r="A3" s="109" t="s">
        <v>726</v>
      </c>
      <c r="B3" s="110" t="s">
        <v>727</v>
      </c>
      <c r="C3" s="155" t="s">
        <v>256</v>
      </c>
      <c r="D3" s="110" t="s">
        <v>728</v>
      </c>
      <c r="E3" s="155" t="s">
        <v>256</v>
      </c>
      <c r="F3" s="110" t="s">
        <v>485</v>
      </c>
      <c r="G3" s="155" t="s">
        <v>256</v>
      </c>
    </row>
    <row r="4" spans="1:11" ht="15" customHeight="1">
      <c r="A4" s="112"/>
      <c r="B4" s="113" t="s">
        <v>485</v>
      </c>
      <c r="C4" s="156" t="s">
        <v>257</v>
      </c>
      <c r="D4" s="113" t="s">
        <v>729</v>
      </c>
      <c r="E4" s="156" t="s">
        <v>257</v>
      </c>
      <c r="F4" s="113" t="s">
        <v>730</v>
      </c>
      <c r="G4" s="156" t="s">
        <v>257</v>
      </c>
    </row>
    <row r="5" spans="1:11" ht="15" customHeight="1">
      <c r="A5" s="112"/>
      <c r="B5" s="113" t="s">
        <v>731</v>
      </c>
      <c r="C5" s="156" t="s">
        <v>258</v>
      </c>
      <c r="D5" s="113" t="s">
        <v>732</v>
      </c>
      <c r="E5" s="156" t="s">
        <v>258</v>
      </c>
      <c r="F5" s="113" t="s">
        <v>733</v>
      </c>
      <c r="G5" s="156" t="s">
        <v>258</v>
      </c>
    </row>
    <row r="6" spans="1:11" ht="24" customHeight="1">
      <c r="A6" s="116"/>
      <c r="B6" s="117"/>
      <c r="C6" s="157"/>
      <c r="D6" s="117" t="s">
        <v>734</v>
      </c>
      <c r="E6" s="157"/>
      <c r="F6" s="117"/>
      <c r="G6" s="157"/>
    </row>
    <row r="7" spans="1:11" ht="1.5" customHeight="1" thickBot="1">
      <c r="A7" s="120">
        <v>1996</v>
      </c>
      <c r="B7" s="132">
        <v>4599022226.4899998</v>
      </c>
      <c r="C7" s="158">
        <v>4.7135061423122571E-2</v>
      </c>
      <c r="D7" s="132">
        <v>4507461189</v>
      </c>
      <c r="E7" s="158">
        <v>8.2125105302542703E-2</v>
      </c>
      <c r="F7" s="132">
        <v>91699445.469999999</v>
      </c>
      <c r="G7" s="158">
        <v>-0.59537068849307151</v>
      </c>
      <c r="I7" s="9"/>
      <c r="J7" s="9"/>
      <c r="K7" s="9"/>
    </row>
    <row r="8" spans="1:11" ht="0.75" hidden="1" customHeight="1" thickBot="1">
      <c r="A8" s="123">
        <v>1997</v>
      </c>
      <c r="B8" s="134">
        <v>4851626656</v>
      </c>
      <c r="C8" s="159">
        <v>5.4925681388321837E-2</v>
      </c>
      <c r="D8" s="134">
        <v>4710142665.8999996</v>
      </c>
      <c r="E8" s="159">
        <v>4.4965773059704457E-2</v>
      </c>
      <c r="F8" s="134">
        <v>141483990.28999999</v>
      </c>
      <c r="G8" s="159">
        <v>0.54290998778490207</v>
      </c>
    </row>
    <row r="9" spans="1:11" ht="19.5" hidden="1" customHeight="1" thickBot="1">
      <c r="A9" s="123">
        <v>1998</v>
      </c>
      <c r="B9" s="134">
        <v>4992640209.6999998</v>
      </c>
      <c r="C9" s="159">
        <v>2.9065211257673453E-2</v>
      </c>
      <c r="D9" s="134">
        <v>4882154897.6999998</v>
      </c>
      <c r="E9" s="159">
        <v>3.6519537517476157E-2</v>
      </c>
      <c r="F9" s="134">
        <v>110485312.03</v>
      </c>
      <c r="G9" s="159">
        <v>-0.2190967203883771</v>
      </c>
    </row>
    <row r="10" spans="1:11" ht="0.5" customHeight="1" thickBot="1">
      <c r="A10" s="123">
        <v>1999</v>
      </c>
      <c r="B10" s="134">
        <v>4257016347.5999999</v>
      </c>
      <c r="C10" s="159">
        <v>-0.14734165315393366</v>
      </c>
      <c r="D10" s="134">
        <v>4120691131.5999999</v>
      </c>
      <c r="E10" s="159">
        <v>-0.15596878469766051</v>
      </c>
      <c r="F10" s="134">
        <v>136325216.02000001</v>
      </c>
      <c r="G10" s="159">
        <v>0.23387637248092957</v>
      </c>
    </row>
    <row r="11" spans="1:11" ht="19.75" hidden="1" customHeight="1" thickBot="1">
      <c r="A11" s="123">
        <v>2000</v>
      </c>
      <c r="B11" s="134">
        <v>3297340718.6999998</v>
      </c>
      <c r="C11" s="159">
        <v>-0.22543386037054836</v>
      </c>
      <c r="D11" s="134">
        <v>3197872772.4000001</v>
      </c>
      <c r="E11" s="159">
        <v>-0.22394747136548521</v>
      </c>
      <c r="F11" s="134">
        <v>99467946.299999997</v>
      </c>
      <c r="G11" s="159">
        <v>-0.27036281911772475</v>
      </c>
    </row>
    <row r="12" spans="1:11" ht="19.5" hidden="1" customHeight="1" thickBot="1">
      <c r="A12" s="123">
        <v>2001</v>
      </c>
      <c r="B12" s="134">
        <v>2297775177.9000001</v>
      </c>
      <c r="C12" s="159">
        <v>-0.30314293428374783</v>
      </c>
      <c r="D12" s="134">
        <v>2245296158.4000001</v>
      </c>
      <c r="E12" s="159">
        <v>-0.29787820898362138</v>
      </c>
      <c r="F12" s="134">
        <v>52479019.649999999</v>
      </c>
      <c r="G12" s="159">
        <v>-0.4724027025578591</v>
      </c>
    </row>
    <row r="13" spans="1:11" ht="19.5" customHeight="1" thickBot="1">
      <c r="A13" s="123">
        <v>2002</v>
      </c>
      <c r="B13" s="134">
        <v>2179075331.1500001</v>
      </c>
      <c r="C13" s="159">
        <v>-5.1658599105628311E-2</v>
      </c>
      <c r="D13" s="134">
        <v>2190020061.2499995</v>
      </c>
      <c r="E13" s="159">
        <v>-2.4618621887898429E-2</v>
      </c>
      <c r="F13" s="134">
        <v>-10944730.16</v>
      </c>
      <c r="G13" s="159">
        <v>-1.2085543943654824</v>
      </c>
    </row>
    <row r="14" spans="1:11" ht="19.5" customHeight="1" thickBot="1">
      <c r="A14" s="123">
        <v>2003</v>
      </c>
      <c r="B14" s="134">
        <v>2288718484.4899998</v>
      </c>
      <c r="C14" s="159">
        <v>5.0316366659125977E-2</v>
      </c>
      <c r="D14" s="134">
        <v>2230195619.6600003</v>
      </c>
      <c r="E14" s="159">
        <v>1.8344835794366965E-2</v>
      </c>
      <c r="F14" s="134">
        <v>58522864.830000006</v>
      </c>
      <c r="G14" s="159">
        <v>6.3471272452093057</v>
      </c>
    </row>
    <row r="15" spans="1:11" ht="19.5" customHeight="1" thickBot="1">
      <c r="A15" s="123">
        <v>2004</v>
      </c>
      <c r="B15" s="134">
        <v>1913538530.5999999</v>
      </c>
      <c r="C15" s="159">
        <v>-0.16392577611990666</v>
      </c>
      <c r="D15" s="134">
        <v>1875065073.2299998</v>
      </c>
      <c r="E15" s="159">
        <v>-0.15923739751768551</v>
      </c>
      <c r="F15" s="134">
        <v>38473457.389999993</v>
      </c>
      <c r="G15" s="159">
        <v>-0.34259101119264213</v>
      </c>
    </row>
    <row r="16" spans="1:11" ht="19.5" customHeight="1" thickBot="1">
      <c r="A16" s="123">
        <v>2005</v>
      </c>
      <c r="B16" s="134">
        <v>2014328063.2799997</v>
      </c>
      <c r="C16" s="159">
        <v>5.2671807266089665E-2</v>
      </c>
      <c r="D16" s="134">
        <v>1987939073.0000002</v>
      </c>
      <c r="E16" s="159">
        <v>6.0197377350516668E-2</v>
      </c>
      <c r="F16" s="134">
        <v>26388990.279999997</v>
      </c>
      <c r="G16" s="159">
        <v>-0.31409880810818386</v>
      </c>
    </row>
    <row r="17" spans="1:7" ht="19.5" customHeight="1" thickBot="1">
      <c r="A17" s="123">
        <v>2006</v>
      </c>
      <c r="B17" s="134">
        <v>2046344832.71</v>
      </c>
      <c r="C17" s="159">
        <v>1.5894515900188644E-2</v>
      </c>
      <c r="D17" s="134">
        <v>2023719014.0099998</v>
      </c>
      <c r="E17" s="159">
        <v>1.7998509861775647E-2</v>
      </c>
      <c r="F17" s="134">
        <v>22625818.670000002</v>
      </c>
      <c r="G17" s="159">
        <v>-0.14260384994162029</v>
      </c>
    </row>
    <row r="18" spans="1:7" ht="19.5" customHeight="1" thickBot="1">
      <c r="A18" s="123">
        <v>2007</v>
      </c>
      <c r="B18" s="134">
        <v>1992425089.54</v>
      </c>
      <c r="C18" s="159">
        <v>-2.6349294756247699E-2</v>
      </c>
      <c r="D18" s="134">
        <v>1981658420.0599999</v>
      </c>
      <c r="E18" s="159">
        <v>-2.0783811220242865E-2</v>
      </c>
      <c r="F18" s="134">
        <v>10766669.48</v>
      </c>
      <c r="G18" s="159">
        <v>-0.5241423244377128</v>
      </c>
    </row>
    <row r="19" spans="1:7" ht="19.5" customHeight="1" thickBot="1">
      <c r="A19" s="123">
        <v>2008</v>
      </c>
      <c r="B19" s="134">
        <v>2066551567.6799998</v>
      </c>
      <c r="C19" s="159">
        <v>3.7204148115357105E-2</v>
      </c>
      <c r="D19" s="134">
        <v>2052929240.27</v>
      </c>
      <c r="E19" s="159">
        <v>3.596523976510646E-2</v>
      </c>
      <c r="F19" s="134">
        <v>13622327.400000002</v>
      </c>
      <c r="G19" s="159">
        <v>0.26523131645348896</v>
      </c>
    </row>
    <row r="20" spans="1:7" ht="19.5" customHeight="1" thickBot="1">
      <c r="A20" s="123">
        <v>2009</v>
      </c>
      <c r="B20" s="134">
        <v>2135418664.95</v>
      </c>
      <c r="C20" s="159">
        <v>3.332464495299936E-2</v>
      </c>
      <c r="D20" s="134">
        <v>2108516747.25</v>
      </c>
      <c r="E20" s="159">
        <v>2.7077166562589072E-2</v>
      </c>
      <c r="F20" s="134">
        <v>26901917.710000001</v>
      </c>
      <c r="G20" s="159">
        <v>0.97484004899192167</v>
      </c>
    </row>
    <row r="21" spans="1:7" ht="19.5" customHeight="1" thickBot="1">
      <c r="A21" s="123">
        <v>2010</v>
      </c>
      <c r="B21" s="134">
        <v>2230865076.8600001</v>
      </c>
      <c r="C21" s="159">
        <v>4.4696814482622749E-2</v>
      </c>
      <c r="D21" s="134">
        <v>2166575635.6500001</v>
      </c>
      <c r="E21" s="159">
        <v>2.7535417243293114E-2</v>
      </c>
      <c r="F21" s="134">
        <v>64289441.209999993</v>
      </c>
      <c r="G21" s="159">
        <v>1.3897716847933959</v>
      </c>
    </row>
    <row r="22" spans="1:7" ht="19.5" customHeight="1" thickBot="1">
      <c r="A22" s="123">
        <v>2011</v>
      </c>
      <c r="B22" s="134">
        <v>1845873727.6299999</v>
      </c>
      <c r="C22" s="159">
        <v>-0.1725749141996008</v>
      </c>
      <c r="D22" s="134">
        <v>1837525848.5099998</v>
      </c>
      <c r="E22" s="159">
        <v>-0.15187551347187622</v>
      </c>
      <c r="F22" s="134">
        <v>8347879.1100000013</v>
      </c>
      <c r="G22" s="159">
        <v>-0.87015163061175405</v>
      </c>
    </row>
    <row r="23" spans="1:7" ht="30" customHeight="1" thickBot="1">
      <c r="A23" s="430">
        <v>2012</v>
      </c>
      <c r="B23" s="331">
        <v>2138839381.3400002</v>
      </c>
      <c r="C23" s="160">
        <v>0.15871381087705938</v>
      </c>
      <c r="D23" s="331">
        <v>2022529736.4000003</v>
      </c>
      <c r="E23" s="160">
        <v>0.10068097166633883</v>
      </c>
      <c r="F23" s="331">
        <v>116309644.93999973</v>
      </c>
      <c r="G23" s="160">
        <v>12.932837719304217</v>
      </c>
    </row>
    <row r="24" spans="1:7" ht="20" customHeight="1">
      <c r="A24" s="130" t="s">
        <v>396</v>
      </c>
      <c r="B24" s="130"/>
      <c r="C24" s="194"/>
      <c r="D24" s="130"/>
      <c r="E24" s="194"/>
      <c r="F24" s="130"/>
      <c r="G24" s="194"/>
    </row>
    <row r="25" spans="1:7" ht="9.75" customHeight="1">
      <c r="A25" s="131"/>
      <c r="B25" s="131"/>
      <c r="C25" s="540"/>
      <c r="D25" s="131"/>
      <c r="E25" s="540"/>
      <c r="F25" s="131"/>
      <c r="G25" s="540"/>
    </row>
    <row r="26" spans="1:7">
      <c r="A26" s="131" t="s">
        <v>2593</v>
      </c>
    </row>
    <row r="27" spans="1:7">
      <c r="A27" s="3" t="s">
        <v>2596</v>
      </c>
    </row>
    <row r="28" spans="1:7">
      <c r="A28" s="2030" t="s">
        <v>2594</v>
      </c>
    </row>
    <row r="29" spans="1:7">
      <c r="A29" s="2031" t="s">
        <v>2595</v>
      </c>
    </row>
    <row r="30" spans="1:7">
      <c r="A30" s="3" t="s">
        <v>735</v>
      </c>
    </row>
    <row r="31" spans="1:7">
      <c r="A31" s="3" t="s">
        <v>736</v>
      </c>
    </row>
    <row r="32" spans="1:7">
      <c r="A32" s="3" t="s">
        <v>737</v>
      </c>
    </row>
    <row r="34" spans="1:7" ht="15.75" customHeight="1">
      <c r="A34" s="131" t="s">
        <v>738</v>
      </c>
      <c r="B34" s="131"/>
      <c r="C34" s="540"/>
      <c r="D34" s="131"/>
      <c r="E34" s="540"/>
      <c r="F34" s="131"/>
      <c r="G34" s="540"/>
    </row>
    <row r="37" spans="1:7">
      <c r="A37" s="3" t="s">
        <v>395</v>
      </c>
    </row>
  </sheetData>
  <hyperlinks>
    <hyperlink ref="A29" r:id="rId1" xr:uid="{BAD863B6-0C4D-414E-98D9-6326B0638F97}"/>
  </hyperlinks>
  <pageMargins left="0.55118110236220474" right="0.59055118110236227" top="0.9055118110236221" bottom="0.47244094488188981" header="0.47244094488188981" footer="0.51181102362204722"/>
  <pageSetup paperSize="9" scale="84" orientation="portrait" horizontalDpi="1200" verticalDpi="12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D7E6-00A3-5E49-9CA4-04F8FF26B440}">
  <sheetPr>
    <pageSetUpPr fitToPage="1"/>
  </sheetPr>
  <dimension ref="A1:H72"/>
  <sheetViews>
    <sheetView topLeftCell="A45" zoomScaleNormal="100" workbookViewId="0">
      <selection activeCell="G6" sqref="G6"/>
    </sheetView>
  </sheetViews>
  <sheetFormatPr baseColWidth="10" defaultColWidth="11.3984375" defaultRowHeight="13"/>
  <cols>
    <col min="1" max="1" width="19.59765625" style="3" customWidth="1"/>
    <col min="2" max="2" width="69.19921875" style="181" customWidth="1"/>
    <col min="3" max="3" width="7.59765625" style="181" customWidth="1"/>
    <col min="4" max="4" width="20.19921875" style="182" customWidth="1"/>
    <col min="5" max="16384" width="11.3984375" style="3"/>
  </cols>
  <sheetData>
    <row r="1" spans="1:8" s="2" customFormat="1" ht="14" customHeight="1">
      <c r="B1" s="161"/>
      <c r="C1" s="161"/>
      <c r="D1" s="162"/>
    </row>
    <row r="2" spans="1:8" s="2" customFormat="1" ht="37.75" customHeight="1">
      <c r="A2" s="2054" t="s">
        <v>2598</v>
      </c>
      <c r="B2" s="2055"/>
      <c r="C2" s="328"/>
      <c r="D2" s="164">
        <v>2012</v>
      </c>
      <c r="F2" s="598"/>
    </row>
    <row r="3" spans="1:8" ht="39" customHeight="1">
      <c r="A3" s="109" t="s">
        <v>261</v>
      </c>
      <c r="B3" s="109"/>
      <c r="C3" s="165"/>
      <c r="D3" s="166" t="s">
        <v>230</v>
      </c>
    </row>
    <row r="4" spans="1:8" ht="38" customHeight="1">
      <c r="A4" s="167"/>
      <c r="B4" s="168"/>
      <c r="C4" s="169"/>
      <c r="D4" s="170" t="s">
        <v>262</v>
      </c>
    </row>
    <row r="5" spans="1:8" ht="20" customHeight="1" thickBot="1">
      <c r="A5" s="171">
        <v>3020</v>
      </c>
      <c r="B5" s="171" t="s">
        <v>263</v>
      </c>
      <c r="C5" s="172"/>
      <c r="D5" s="173" vm="46">
        <v>2075711265.1800001</v>
      </c>
      <c r="F5" s="60"/>
      <c r="G5" s="60"/>
      <c r="H5" s="60"/>
    </row>
    <row r="6" spans="1:8" ht="20" customHeight="1" thickBot="1">
      <c r="A6" s="174">
        <v>335</v>
      </c>
      <c r="B6" s="174" t="s">
        <v>264</v>
      </c>
      <c r="C6" s="175" t="s">
        <v>265</v>
      </c>
      <c r="D6" s="173" vm="44">
        <v>-2676004.4500000002</v>
      </c>
      <c r="F6" s="60"/>
      <c r="G6" s="60"/>
      <c r="H6" s="60"/>
    </row>
    <row r="7" spans="1:8" ht="20" customHeight="1" thickBot="1">
      <c r="A7" s="174">
        <v>3502</v>
      </c>
      <c r="B7" s="174" t="s">
        <v>266</v>
      </c>
      <c r="C7" s="175" t="s">
        <v>265</v>
      </c>
      <c r="D7" s="173" vm="45">
        <v>-7986537.5900000008</v>
      </c>
      <c r="F7" s="60"/>
      <c r="G7" s="60"/>
      <c r="H7" s="60"/>
    </row>
    <row r="8" spans="1:8" ht="20" customHeight="1" thickBot="1">
      <c r="A8" s="174">
        <v>36</v>
      </c>
      <c r="B8" s="174" t="s">
        <v>2563</v>
      </c>
      <c r="C8" s="175"/>
      <c r="D8" s="173" vm="43">
        <v>47625476.289999999</v>
      </c>
      <c r="F8" s="60"/>
      <c r="G8" s="60"/>
      <c r="H8" s="60"/>
    </row>
    <row r="9" spans="1:8" ht="20" customHeight="1" thickBot="1">
      <c r="A9" s="174">
        <v>37</v>
      </c>
      <c r="B9" s="2007" t="s">
        <v>1078</v>
      </c>
      <c r="C9" s="175" t="s">
        <v>265</v>
      </c>
      <c r="D9" s="173">
        <v>0</v>
      </c>
      <c r="F9" s="60"/>
      <c r="G9" s="60"/>
      <c r="H9" s="60"/>
    </row>
    <row r="10" spans="1:8" ht="20" customHeight="1" thickBot="1">
      <c r="A10" s="174"/>
      <c r="B10" s="174"/>
      <c r="C10" s="175"/>
      <c r="D10" s="173" t="s">
        <v>397</v>
      </c>
      <c r="F10" s="60"/>
      <c r="G10" s="60"/>
      <c r="H10" s="60"/>
    </row>
    <row r="11" spans="1:8" ht="20" customHeight="1" thickBot="1">
      <c r="A11" s="174">
        <v>3</v>
      </c>
      <c r="B11" s="2007" t="s">
        <v>818</v>
      </c>
      <c r="C11" s="175"/>
      <c r="D11" s="173">
        <v>2112674199.4300001</v>
      </c>
      <c r="F11" s="60"/>
      <c r="G11" s="60"/>
      <c r="H11" s="60"/>
    </row>
    <row r="12" spans="1:8" ht="20" customHeight="1" thickBot="1">
      <c r="A12" s="174"/>
      <c r="B12" s="174"/>
      <c r="C12" s="175"/>
      <c r="D12" s="173" t="s">
        <v>397</v>
      </c>
      <c r="F12" s="60"/>
      <c r="G12" s="60"/>
      <c r="H12" s="60"/>
    </row>
    <row r="13" spans="1:8" ht="20" customHeight="1" thickBot="1">
      <c r="A13" s="174">
        <v>4020</v>
      </c>
      <c r="B13" s="174" t="s">
        <v>270</v>
      </c>
      <c r="C13" s="175" t="s">
        <v>265</v>
      </c>
      <c r="D13" s="173" vm="43">
        <v>-1602595046.5100002</v>
      </c>
      <c r="F13" s="60"/>
      <c r="G13" s="60"/>
      <c r="H13" s="60"/>
    </row>
    <row r="14" spans="1:8" ht="20" customHeight="1" thickBot="1">
      <c r="A14" s="204">
        <v>4207</v>
      </c>
      <c r="B14" s="174" t="s">
        <v>271</v>
      </c>
      <c r="C14" s="175"/>
      <c r="D14" s="173" vm="41">
        <v>51282509.799999997</v>
      </c>
      <c r="F14" s="60"/>
      <c r="G14" s="60"/>
      <c r="H14" s="60"/>
    </row>
    <row r="15" spans="1:8" ht="20" customHeight="1" thickBot="1">
      <c r="A15" s="174">
        <v>4217</v>
      </c>
      <c r="B15" s="2007" t="s">
        <v>2569</v>
      </c>
      <c r="C15" s="175" t="s">
        <v>265</v>
      </c>
      <c r="D15" s="173" vm="42">
        <v>-382053.67</v>
      </c>
      <c r="F15" s="60"/>
      <c r="G15" s="60"/>
      <c r="H15" s="60"/>
    </row>
    <row r="16" spans="1:8" ht="20" customHeight="1" thickBot="1">
      <c r="A16" s="174">
        <v>4302</v>
      </c>
      <c r="B16" s="2007" t="s">
        <v>2565</v>
      </c>
      <c r="C16" s="175" t="s">
        <v>265</v>
      </c>
      <c r="D16" s="173" vm="39">
        <v>-8453047.9700000007</v>
      </c>
      <c r="F16" s="60"/>
      <c r="G16" s="60"/>
      <c r="H16" s="176"/>
    </row>
    <row r="17" spans="1:8" ht="20" customHeight="1" thickBot="1">
      <c r="A17" s="174">
        <v>4312</v>
      </c>
      <c r="B17" s="2007" t="s">
        <v>2566</v>
      </c>
      <c r="C17" s="175" t="s">
        <v>265</v>
      </c>
      <c r="D17" s="173" vm="40">
        <v>-2280429.3699999996</v>
      </c>
      <c r="F17" s="60"/>
      <c r="G17" s="60"/>
      <c r="H17" s="60"/>
    </row>
    <row r="18" spans="1:8" ht="20" customHeight="1" thickBot="1">
      <c r="A18" s="174">
        <v>4323</v>
      </c>
      <c r="B18" s="174" t="s">
        <v>272</v>
      </c>
      <c r="C18" s="175" t="s">
        <v>265</v>
      </c>
      <c r="D18" s="173" vm="37">
        <v>-11625543.650000002</v>
      </c>
      <c r="F18" s="60"/>
      <c r="G18" s="60"/>
      <c r="H18" s="177"/>
    </row>
    <row r="19" spans="1:8" ht="20" customHeight="1" thickBot="1">
      <c r="A19" s="174">
        <v>453</v>
      </c>
      <c r="B19" s="2007" t="s">
        <v>1090</v>
      </c>
      <c r="C19" s="175"/>
      <c r="D19" s="173" vm="38">
        <v>227064129.63</v>
      </c>
      <c r="F19" s="60"/>
      <c r="G19" s="60"/>
      <c r="H19" s="60"/>
    </row>
    <row r="20" spans="1:8" ht="20" customHeight="1" thickBot="1">
      <c r="A20" s="174">
        <v>46</v>
      </c>
      <c r="B20" s="2007" t="s">
        <v>2570</v>
      </c>
      <c r="C20" s="175"/>
      <c r="D20" s="173" vm="35">
        <v>-350301592.18000001</v>
      </c>
      <c r="F20" s="60"/>
      <c r="G20" s="60"/>
      <c r="H20" s="60"/>
    </row>
    <row r="21" spans="1:8" ht="20" customHeight="1" thickBot="1">
      <c r="A21" s="174">
        <v>4402</v>
      </c>
      <c r="B21" s="174" t="s">
        <v>274</v>
      </c>
      <c r="C21" s="175"/>
      <c r="D21" s="173" vm="36">
        <v>3371724.75</v>
      </c>
      <c r="F21" s="60"/>
      <c r="G21" s="60"/>
      <c r="H21" s="60"/>
    </row>
    <row r="22" spans="1:8" ht="20" customHeight="1" thickBot="1">
      <c r="A22" s="174">
        <v>48</v>
      </c>
      <c r="B22" s="174" t="s">
        <v>718</v>
      </c>
      <c r="C22" s="175"/>
      <c r="D22" s="173" vm="33">
        <v>-1029235</v>
      </c>
      <c r="F22" s="60"/>
      <c r="G22" s="60"/>
      <c r="H22" s="60"/>
    </row>
    <row r="23" spans="1:8" ht="20" customHeight="1" thickBot="1">
      <c r="A23" s="174">
        <v>49</v>
      </c>
      <c r="B23" s="174" t="s">
        <v>719</v>
      </c>
      <c r="C23" s="175"/>
      <c r="D23" s="173" vm="34">
        <v>-41296854.93</v>
      </c>
      <c r="F23" s="60"/>
      <c r="G23" s="60"/>
      <c r="H23" s="60"/>
    </row>
    <row r="24" spans="1:8" ht="20" customHeight="1" thickBot="1">
      <c r="A24" s="174"/>
      <c r="B24" s="174"/>
      <c r="C24" s="175"/>
      <c r="D24" s="173" t="s">
        <v>397</v>
      </c>
      <c r="F24" s="60"/>
      <c r="G24" s="60"/>
      <c r="H24" s="60"/>
    </row>
    <row r="25" spans="1:8" ht="20" customHeight="1" thickBot="1">
      <c r="A25" s="174">
        <v>4</v>
      </c>
      <c r="B25" s="2007" t="s">
        <v>2567</v>
      </c>
      <c r="C25" s="175"/>
      <c r="D25" s="173">
        <v>-1736245439.1000004</v>
      </c>
      <c r="F25" s="60"/>
      <c r="G25" s="60"/>
      <c r="H25" s="60"/>
    </row>
    <row r="26" spans="1:8" ht="20" customHeight="1" thickBot="1">
      <c r="A26" s="174"/>
      <c r="B26" s="174"/>
      <c r="C26" s="175"/>
      <c r="D26" s="173" t="s">
        <v>397</v>
      </c>
      <c r="F26" s="60"/>
      <c r="G26" s="60"/>
      <c r="H26" s="60"/>
    </row>
    <row r="27" spans="1:8" ht="20" customHeight="1" thickBot="1">
      <c r="A27" s="174">
        <v>992</v>
      </c>
      <c r="B27" s="174" t="s">
        <v>277</v>
      </c>
      <c r="C27" s="175"/>
      <c r="D27" s="173">
        <v>376428760.32999969</v>
      </c>
      <c r="F27" s="60"/>
      <c r="G27" s="60"/>
      <c r="H27" s="60"/>
    </row>
    <row r="28" spans="1:8" ht="20" customHeight="1" thickBot="1">
      <c r="A28" s="174"/>
      <c r="B28" s="174"/>
      <c r="C28" s="175"/>
      <c r="D28" s="173" t="s">
        <v>397</v>
      </c>
      <c r="F28" s="60"/>
      <c r="G28" s="60"/>
      <c r="H28" s="60"/>
    </row>
    <row r="29" spans="1:8" ht="20" customHeight="1" thickBot="1">
      <c r="A29" s="174">
        <v>500</v>
      </c>
      <c r="B29" s="174" t="s">
        <v>278</v>
      </c>
      <c r="C29" s="175" t="s">
        <v>265</v>
      </c>
      <c r="D29" s="173" vm="32">
        <v>-159618199.68000001</v>
      </c>
      <c r="F29" s="60"/>
      <c r="G29" s="60"/>
      <c r="H29" s="60"/>
    </row>
    <row r="30" spans="1:8" ht="20" customHeight="1" thickBot="1">
      <c r="A30" s="174">
        <v>501</v>
      </c>
      <c r="B30" s="2007" t="s">
        <v>2568</v>
      </c>
      <c r="C30" s="175" t="s">
        <v>265</v>
      </c>
      <c r="D30" s="173" vm="31">
        <v>-7814863.7000000002</v>
      </c>
      <c r="F30" s="60"/>
      <c r="G30" s="60"/>
      <c r="H30" s="60"/>
    </row>
    <row r="31" spans="1:8" ht="20" customHeight="1" thickBot="1">
      <c r="A31" s="174">
        <v>510</v>
      </c>
      <c r="B31" s="174" t="s">
        <v>280</v>
      </c>
      <c r="C31" s="175" t="s">
        <v>265</v>
      </c>
      <c r="D31" s="173" vm="30">
        <v>-55163433.600000001</v>
      </c>
      <c r="F31" s="60"/>
      <c r="G31" s="60"/>
      <c r="H31" s="60"/>
    </row>
    <row r="32" spans="1:8" ht="20" customHeight="1" thickBot="1">
      <c r="A32" s="174">
        <v>516</v>
      </c>
      <c r="B32" s="174" t="s">
        <v>281</v>
      </c>
      <c r="C32" s="175" t="s">
        <v>265</v>
      </c>
      <c r="D32" s="173" vm="29">
        <v>-11516818.630000001</v>
      </c>
      <c r="F32" s="60"/>
      <c r="G32" s="60"/>
      <c r="H32" s="60"/>
    </row>
    <row r="33" spans="1:8" ht="20" customHeight="1" thickBot="1">
      <c r="A33" s="174">
        <v>517</v>
      </c>
      <c r="B33" s="174" t="s">
        <v>282</v>
      </c>
      <c r="C33" s="175" t="s">
        <v>265</v>
      </c>
      <c r="D33" s="173" vm="28">
        <v>-46842440.560000002</v>
      </c>
      <c r="F33" s="60"/>
      <c r="G33" s="60"/>
      <c r="H33" s="60"/>
    </row>
    <row r="34" spans="1:8" ht="20" customHeight="1" thickBot="1">
      <c r="A34" s="174">
        <v>519</v>
      </c>
      <c r="B34" s="174" t="s">
        <v>283</v>
      </c>
      <c r="C34" s="175" t="s">
        <v>265</v>
      </c>
      <c r="D34" s="173" vm="27">
        <v>-5328541.1300000008</v>
      </c>
      <c r="F34" s="60"/>
      <c r="G34" s="60"/>
      <c r="H34" s="60"/>
    </row>
    <row r="35" spans="1:8" ht="20" customHeight="1" thickBot="1">
      <c r="A35" s="174"/>
      <c r="B35" s="174"/>
      <c r="C35" s="175"/>
      <c r="D35" s="173" t="s">
        <v>397</v>
      </c>
      <c r="F35" s="60"/>
      <c r="G35" s="60"/>
      <c r="H35" s="60"/>
    </row>
    <row r="36" spans="1:8" ht="20" customHeight="1" thickBot="1">
      <c r="A36" s="174">
        <v>5</v>
      </c>
      <c r="B36" s="174" t="s">
        <v>306</v>
      </c>
      <c r="C36" s="175"/>
      <c r="D36" s="173">
        <v>-286284297.29999995</v>
      </c>
      <c r="F36" s="60"/>
      <c r="G36" s="60"/>
      <c r="H36" s="60"/>
    </row>
    <row r="37" spans="1:8" ht="20" customHeight="1" thickBot="1">
      <c r="A37" s="174"/>
      <c r="B37" s="174"/>
      <c r="C37" s="175"/>
      <c r="D37" s="173" t="s">
        <v>397</v>
      </c>
      <c r="F37" s="60"/>
      <c r="G37" s="60"/>
      <c r="H37" s="60"/>
    </row>
    <row r="38" spans="1:8" ht="20" customHeight="1" thickBot="1">
      <c r="A38" s="174">
        <v>993</v>
      </c>
      <c r="B38" s="174" t="s">
        <v>285</v>
      </c>
      <c r="C38" s="175" t="s">
        <v>265</v>
      </c>
      <c r="D38" s="173">
        <v>-2022529736.4000003</v>
      </c>
      <c r="F38" s="60"/>
      <c r="G38" s="60"/>
      <c r="H38" s="60"/>
    </row>
    <row r="39" spans="1:8" ht="20" customHeight="1" thickBot="1">
      <c r="A39" s="174"/>
      <c r="B39" s="174"/>
      <c r="C39" s="175"/>
      <c r="D39" s="173" t="s">
        <v>397</v>
      </c>
      <c r="F39" s="60"/>
      <c r="G39" s="60"/>
      <c r="H39" s="60"/>
    </row>
    <row r="40" spans="1:8" ht="20" customHeight="1" thickBot="1">
      <c r="A40" s="174">
        <v>994</v>
      </c>
      <c r="B40" s="174" t="s">
        <v>286</v>
      </c>
      <c r="C40" s="175"/>
      <c r="D40" s="173">
        <v>90144463.029999733</v>
      </c>
      <c r="F40" s="60"/>
      <c r="G40" s="60"/>
      <c r="H40" s="60"/>
    </row>
    <row r="41" spans="1:8" ht="20" customHeight="1" thickBot="1">
      <c r="A41" s="174"/>
      <c r="B41" s="174"/>
      <c r="C41" s="175"/>
      <c r="D41" s="173" t="s">
        <v>397</v>
      </c>
      <c r="F41" s="60"/>
      <c r="G41" s="60"/>
      <c r="H41" s="60"/>
    </row>
    <row r="42" spans="1:8" ht="20" customHeight="1" thickBot="1">
      <c r="A42" s="174">
        <v>70</v>
      </c>
      <c r="B42" s="174" t="s">
        <v>287</v>
      </c>
      <c r="C42" s="175"/>
      <c r="D42" s="173" vm="26">
        <v>881088.06999999983</v>
      </c>
      <c r="F42" s="60"/>
      <c r="G42" s="60"/>
      <c r="H42" s="60"/>
    </row>
    <row r="43" spans="1:8" ht="20" customHeight="1" thickBot="1">
      <c r="A43" s="174">
        <v>71</v>
      </c>
      <c r="B43" s="174" t="s">
        <v>288</v>
      </c>
      <c r="C43" s="175" t="s">
        <v>265</v>
      </c>
      <c r="D43" s="173" vm="26">
        <v>-3026046.8200000003</v>
      </c>
      <c r="F43" s="60"/>
      <c r="G43" s="60"/>
      <c r="H43" s="60"/>
    </row>
    <row r="44" spans="1:8" ht="20" customHeight="1" thickBot="1">
      <c r="A44" s="174">
        <v>73</v>
      </c>
      <c r="B44" s="174" t="s">
        <v>289</v>
      </c>
      <c r="C44" s="175"/>
      <c r="D44" s="173" vm="25">
        <v>54973169.990000002</v>
      </c>
      <c r="F44" s="60"/>
      <c r="G44" s="60"/>
      <c r="H44" s="60"/>
    </row>
    <row r="45" spans="1:8" ht="20" customHeight="1" thickBot="1">
      <c r="A45" s="174">
        <v>810</v>
      </c>
      <c r="B45" s="174" t="s">
        <v>290</v>
      </c>
      <c r="C45" s="175"/>
      <c r="D45" s="173" vm="25">
        <v>5050.21</v>
      </c>
      <c r="F45" s="60"/>
      <c r="G45" s="60"/>
      <c r="H45" s="60"/>
    </row>
    <row r="46" spans="1:8" ht="20" customHeight="1" thickBot="1">
      <c r="A46" s="174">
        <v>820</v>
      </c>
      <c r="B46" s="174" t="s">
        <v>291</v>
      </c>
      <c r="C46" s="175" t="s">
        <v>265</v>
      </c>
      <c r="D46" s="173" vm="24">
        <v>-1874457.39</v>
      </c>
      <c r="F46" s="60"/>
      <c r="G46" s="60"/>
      <c r="H46" s="60"/>
    </row>
    <row r="47" spans="1:8" ht="20" customHeight="1" thickBot="1">
      <c r="A47" s="174">
        <v>9</v>
      </c>
      <c r="B47" s="174" t="s">
        <v>292</v>
      </c>
      <c r="C47" s="175"/>
      <c r="D47" s="173" vm="24">
        <v>-24793622.150000002</v>
      </c>
      <c r="F47" s="60"/>
      <c r="G47" s="60"/>
      <c r="H47" s="60"/>
    </row>
    <row r="48" spans="1:8" ht="20" customHeight="1" thickBot="1">
      <c r="A48" s="174"/>
      <c r="B48" s="174"/>
      <c r="C48" s="175"/>
      <c r="D48" s="173" t="s">
        <v>397</v>
      </c>
      <c r="F48" s="60"/>
      <c r="G48" s="60"/>
      <c r="H48" s="60"/>
    </row>
    <row r="49" spans="1:8" ht="20" customHeight="1" thickBot="1">
      <c r="A49" s="174">
        <v>995</v>
      </c>
      <c r="B49" s="174" t="s">
        <v>293</v>
      </c>
      <c r="C49" s="175"/>
      <c r="D49" s="173">
        <v>26165181.91</v>
      </c>
      <c r="F49" s="60"/>
      <c r="G49" s="60"/>
      <c r="H49" s="60"/>
    </row>
    <row r="50" spans="1:8" ht="20" customHeight="1" thickBot="1">
      <c r="A50" s="174"/>
      <c r="B50" s="174"/>
      <c r="C50" s="175"/>
      <c r="D50" s="173" t="s">
        <v>397</v>
      </c>
      <c r="F50" s="60"/>
      <c r="G50" s="60"/>
      <c r="H50" s="60"/>
    </row>
    <row r="51" spans="1:8" ht="21.5" customHeight="1" thickBot="1">
      <c r="A51" s="178">
        <v>999</v>
      </c>
      <c r="B51" s="178" t="s">
        <v>294</v>
      </c>
      <c r="C51" s="179"/>
      <c r="D51" s="180">
        <v>116309644.93999973</v>
      </c>
    </row>
    <row r="52" spans="1:8" ht="22.75" customHeight="1">
      <c r="A52" s="599"/>
      <c r="B52" s="599"/>
      <c r="C52" s="377"/>
      <c r="D52" s="377"/>
      <c r="E52" s="190"/>
    </row>
    <row r="53" spans="1:8" ht="23.25" customHeight="1">
      <c r="A53" s="183" t="s">
        <v>720</v>
      </c>
      <c r="B53" s="184"/>
      <c r="C53" s="184"/>
      <c r="D53" s="184"/>
      <c r="E53" s="185"/>
    </row>
    <row r="54" spans="1:8" ht="19.5" customHeight="1" thickBot="1">
      <c r="A54" s="186" t="s">
        <v>721</v>
      </c>
      <c r="B54" s="187" t="s">
        <v>722</v>
      </c>
      <c r="C54" s="473"/>
      <c r="D54" s="189">
        <v>663398767.69999981</v>
      </c>
      <c r="E54" s="190"/>
    </row>
    <row r="55" spans="1:8" ht="19.5" customHeight="1" thickBot="1">
      <c r="A55" s="191" t="s">
        <v>723</v>
      </c>
      <c r="B55" s="174" t="s">
        <v>298</v>
      </c>
      <c r="C55" s="480"/>
      <c r="D55" s="192">
        <v>-575432151.41999996</v>
      </c>
      <c r="E55" s="190"/>
    </row>
    <row r="56" spans="1:8" ht="15.75" customHeight="1">
      <c r="A56" s="130" t="s">
        <v>396</v>
      </c>
      <c r="B56" s="194"/>
      <c r="C56" s="130"/>
      <c r="D56" s="195"/>
      <c r="E56" s="196"/>
    </row>
    <row r="57" spans="1:8">
      <c r="A57" s="198"/>
    </row>
    <row r="58" spans="1:8">
      <c r="A58" s="438" t="s">
        <v>2597</v>
      </c>
    </row>
    <row r="59" spans="1:8">
      <c r="A59" s="198"/>
    </row>
    <row r="60" spans="1:8">
      <c r="A60" s="3" t="s">
        <v>724</v>
      </c>
    </row>
    <row r="63" spans="1:8">
      <c r="A63" s="3" t="s">
        <v>395</v>
      </c>
    </row>
    <row r="69" spans="1:4">
      <c r="B69" s="199"/>
      <c r="C69" s="199"/>
      <c r="D69" s="60"/>
    </row>
    <row r="72" spans="1:4" ht="14">
      <c r="A72" s="200"/>
      <c r="B72" s="200"/>
      <c r="C72" s="201"/>
      <c r="D72" s="202"/>
    </row>
  </sheetData>
  <mergeCells count="1">
    <mergeCell ref="A2:B2"/>
  </mergeCells>
  <pageMargins left="0.6" right="0.63" top="0.65" bottom="0.49" header="0.42" footer="0.4921259845"/>
  <pageSetup paperSize="9" scale="64" orientation="portrait"/>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50BB-CE1C-AB41-8089-2CB63E526077}">
  <sheetPr>
    <pageSetUpPr fitToPage="1"/>
  </sheetPr>
  <dimension ref="A1:H16"/>
  <sheetViews>
    <sheetView zoomScale="115" zoomScaleNormal="115" workbookViewId="0">
      <selection activeCell="E25" sqref="E25"/>
    </sheetView>
  </sheetViews>
  <sheetFormatPr baseColWidth="10" defaultColWidth="11.59765625" defaultRowHeight="13"/>
  <cols>
    <col min="1" max="1" width="5.59765625" style="634" customWidth="1"/>
    <col min="2" max="16384" width="11.59765625" style="634"/>
  </cols>
  <sheetData>
    <row r="1" spans="1:8" ht="16">
      <c r="A1" s="633" t="s">
        <v>799</v>
      </c>
    </row>
    <row r="2" spans="1:8" ht="16">
      <c r="A2" s="633"/>
    </row>
    <row r="3" spans="1:8">
      <c r="A3" s="635">
        <v>8.01</v>
      </c>
      <c r="B3" s="636" t="s">
        <v>800</v>
      </c>
    </row>
    <row r="4" spans="1:8">
      <c r="A4" s="635">
        <v>8.02</v>
      </c>
      <c r="B4" s="637" t="s">
        <v>801</v>
      </c>
    </row>
    <row r="5" spans="1:8">
      <c r="A5" s="635">
        <v>8.0299999999999994</v>
      </c>
      <c r="B5" s="636" t="s">
        <v>802</v>
      </c>
    </row>
    <row r="6" spans="1:8">
      <c r="A6" s="635">
        <v>8.0399999999999991</v>
      </c>
      <c r="B6" s="636" t="s">
        <v>803</v>
      </c>
    </row>
    <row r="7" spans="1:8">
      <c r="A7" s="635">
        <v>8.0500000000000007</v>
      </c>
      <c r="B7" s="636" t="s">
        <v>804</v>
      </c>
      <c r="H7" s="638" t="s">
        <v>742</v>
      </c>
    </row>
    <row r="8" spans="1:8">
      <c r="A8" s="635">
        <v>8.06</v>
      </c>
      <c r="B8" s="636" t="s">
        <v>805</v>
      </c>
      <c r="H8" s="638" t="s">
        <v>742</v>
      </c>
    </row>
    <row r="9" spans="1:8">
      <c r="A9" s="635">
        <v>8.07</v>
      </c>
      <c r="B9" s="636" t="s">
        <v>806</v>
      </c>
    </row>
    <row r="10" spans="1:8">
      <c r="A10" s="635">
        <v>8.08</v>
      </c>
      <c r="B10" s="636" t="s">
        <v>807</v>
      </c>
    </row>
    <row r="11" spans="1:8">
      <c r="A11" s="635">
        <v>8.09</v>
      </c>
      <c r="B11" s="636" t="s">
        <v>808</v>
      </c>
    </row>
    <row r="12" spans="1:8">
      <c r="A12" s="635">
        <v>8.1</v>
      </c>
      <c r="B12" s="636" t="s">
        <v>809</v>
      </c>
    </row>
    <row r="13" spans="1:8">
      <c r="A13" s="635">
        <v>8.11</v>
      </c>
      <c r="B13" s="637" t="s">
        <v>810</v>
      </c>
      <c r="H13" s="638" t="s">
        <v>742</v>
      </c>
    </row>
    <row r="14" spans="1:8">
      <c r="B14" s="639"/>
    </row>
    <row r="16" spans="1:8">
      <c r="A16" s="640" t="s">
        <v>395</v>
      </c>
    </row>
  </sheetData>
  <pageMargins left="0.54" right="0.53" top="0.65" bottom="0.984251969" header="0.38" footer="0.4921259845"/>
  <pageSetup paperSize="9" orientation="portrait"/>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543B-EC49-2C44-B866-35B568E82D21}">
  <sheetPr>
    <pageSetUpPr fitToPage="1"/>
  </sheetPr>
  <dimension ref="A1:G34"/>
  <sheetViews>
    <sheetView zoomScaleNormal="100" workbookViewId="0">
      <selection activeCell="I13" sqref="I13"/>
    </sheetView>
  </sheetViews>
  <sheetFormatPr baseColWidth="10" defaultColWidth="11.3984375" defaultRowHeight="13"/>
  <cols>
    <col min="1" max="1" width="12.796875" style="3" customWidth="1"/>
    <col min="2" max="2" width="15.3984375" style="181" customWidth="1"/>
    <col min="3" max="4" width="15.3984375" style="3" customWidth="1"/>
    <col min="5" max="5" width="15.796875" style="181" customWidth="1"/>
    <col min="6" max="6" width="15.3984375" style="181" customWidth="1"/>
    <col min="7" max="7" width="15.3984375" style="3" customWidth="1"/>
    <col min="8" max="16384" width="11.3984375" style="3"/>
  </cols>
  <sheetData>
    <row r="1" spans="1:7" s="2" customFormat="1" ht="14" customHeight="1">
      <c r="B1" s="161"/>
      <c r="E1" s="161"/>
      <c r="F1" s="161"/>
    </row>
    <row r="2" spans="1:7" s="2" customFormat="1" ht="24" customHeight="1">
      <c r="A2" s="164" t="s">
        <v>1546</v>
      </c>
      <c r="B2" s="1034"/>
      <c r="C2" s="164"/>
      <c r="D2" s="164"/>
      <c r="E2" s="161"/>
      <c r="F2" s="442"/>
      <c r="G2" s="442"/>
    </row>
    <row r="3" spans="1:7" ht="24" customHeight="1">
      <c r="A3" s="344"/>
      <c r="B3" s="156" t="s">
        <v>1547</v>
      </c>
      <c r="C3" s="109"/>
      <c r="D3" s="109"/>
      <c r="E3" s="165" t="s">
        <v>1548</v>
      </c>
      <c r="F3" s="165" t="s">
        <v>1549</v>
      </c>
      <c r="G3" s="165" t="s">
        <v>1550</v>
      </c>
    </row>
    <row r="4" spans="1:7" ht="20.25" customHeight="1">
      <c r="A4" s="347" t="s">
        <v>241</v>
      </c>
      <c r="B4" s="156"/>
      <c r="C4" s="156"/>
      <c r="D4" s="156"/>
      <c r="E4" s="1035" t="s">
        <v>1551</v>
      </c>
      <c r="F4" s="1036"/>
      <c r="G4" s="1036"/>
    </row>
    <row r="5" spans="1:7" ht="20.25" customHeight="1">
      <c r="A5" s="347"/>
      <c r="B5" s="156" t="s">
        <v>1552</v>
      </c>
      <c r="C5" s="156" t="s">
        <v>1553</v>
      </c>
      <c r="D5" s="156" t="s">
        <v>1554</v>
      </c>
      <c r="E5" s="300" t="s">
        <v>1555</v>
      </c>
      <c r="F5" s="300" t="s">
        <v>1556</v>
      </c>
      <c r="G5" s="300" t="s">
        <v>1557</v>
      </c>
    </row>
    <row r="6" spans="1:7" ht="15" customHeight="1">
      <c r="A6" s="347"/>
      <c r="B6" s="156" t="s">
        <v>1214</v>
      </c>
      <c r="C6" s="156"/>
      <c r="D6" s="156"/>
      <c r="E6" s="300" t="s">
        <v>1558</v>
      </c>
      <c r="F6" s="300" t="s">
        <v>1559</v>
      </c>
      <c r="G6" s="300" t="s">
        <v>1559</v>
      </c>
    </row>
    <row r="7" spans="1:7" ht="29.25" customHeight="1">
      <c r="A7" s="349"/>
      <c r="B7" s="157" t="s">
        <v>1560</v>
      </c>
      <c r="C7" s="157"/>
      <c r="D7" s="157"/>
      <c r="E7" s="169" t="s">
        <v>771</v>
      </c>
      <c r="F7" s="169" t="s">
        <v>771</v>
      </c>
      <c r="G7" s="169" t="s">
        <v>771</v>
      </c>
    </row>
    <row r="8" spans="1:7" ht="21" customHeight="1" thickBot="1">
      <c r="A8" s="1037">
        <v>1996</v>
      </c>
      <c r="B8" s="1038">
        <v>159</v>
      </c>
      <c r="C8" s="1038">
        <v>0</v>
      </c>
      <c r="D8" s="1038">
        <v>25</v>
      </c>
      <c r="E8" s="1039">
        <v>145</v>
      </c>
      <c r="F8" s="1039">
        <v>150</v>
      </c>
      <c r="G8" s="1039">
        <v>136</v>
      </c>
    </row>
    <row r="9" spans="1:7" ht="19.75" customHeight="1" thickBot="1">
      <c r="A9" s="685">
        <v>1997</v>
      </c>
      <c r="B9" s="1040">
        <v>142</v>
      </c>
      <c r="C9" s="1040">
        <v>1</v>
      </c>
      <c r="D9" s="1040">
        <v>18</v>
      </c>
      <c r="E9" s="175">
        <v>129</v>
      </c>
      <c r="F9" s="175">
        <v>135</v>
      </c>
      <c r="G9" s="175">
        <v>122</v>
      </c>
    </row>
    <row r="10" spans="1:7" ht="19.75" customHeight="1" thickBot="1">
      <c r="A10" s="685">
        <v>1998</v>
      </c>
      <c r="B10" s="1040">
        <v>127</v>
      </c>
      <c r="C10" s="1040">
        <v>0</v>
      </c>
      <c r="D10" s="1040">
        <v>15</v>
      </c>
      <c r="E10" s="175">
        <v>118</v>
      </c>
      <c r="F10" s="175">
        <v>115</v>
      </c>
      <c r="G10" s="175">
        <v>106</v>
      </c>
    </row>
    <row r="11" spans="1:7" ht="20.25" customHeight="1" thickBot="1">
      <c r="A11" s="685">
        <v>1999</v>
      </c>
      <c r="B11" s="1040">
        <v>119</v>
      </c>
      <c r="C11" s="1040">
        <v>2</v>
      </c>
      <c r="D11" s="1040">
        <v>10</v>
      </c>
      <c r="E11" s="175">
        <v>109</v>
      </c>
      <c r="F11" s="175">
        <v>109</v>
      </c>
      <c r="G11" s="175">
        <v>99</v>
      </c>
    </row>
    <row r="12" spans="1:7" ht="20.25" customHeight="1" thickBot="1">
      <c r="A12" s="685">
        <v>2000</v>
      </c>
      <c r="B12" s="1040">
        <v>110</v>
      </c>
      <c r="C12" s="1040">
        <v>0</v>
      </c>
      <c r="D12" s="1040">
        <v>9</v>
      </c>
      <c r="E12" s="175">
        <v>101</v>
      </c>
      <c r="F12" s="175">
        <v>102</v>
      </c>
      <c r="G12" s="175">
        <v>93</v>
      </c>
    </row>
    <row r="13" spans="1:7" ht="20.25" customHeight="1" thickBot="1">
      <c r="A13" s="685">
        <v>2001</v>
      </c>
      <c r="B13" s="1040">
        <v>108</v>
      </c>
      <c r="C13" s="1040">
        <v>0</v>
      </c>
      <c r="D13" s="1040">
        <v>2</v>
      </c>
      <c r="E13" s="175">
        <v>99</v>
      </c>
      <c r="F13" s="175">
        <v>102</v>
      </c>
      <c r="G13" s="175">
        <v>92</v>
      </c>
    </row>
    <row r="14" spans="1:7" ht="20.25" customHeight="1" thickBot="1">
      <c r="A14" s="1037">
        <v>2002</v>
      </c>
      <c r="B14" s="1038">
        <v>101</v>
      </c>
      <c r="C14" s="1038">
        <v>1</v>
      </c>
      <c r="D14" s="1038">
        <v>8</v>
      </c>
      <c r="E14" s="1039">
        <v>93</v>
      </c>
      <c r="F14" s="1039">
        <v>93</v>
      </c>
      <c r="G14" s="1039">
        <v>85</v>
      </c>
    </row>
    <row r="15" spans="1:7" ht="20.25" customHeight="1" thickBot="1">
      <c r="A15" s="1037">
        <v>2003</v>
      </c>
      <c r="B15" s="1038">
        <v>99</v>
      </c>
      <c r="C15" s="1038">
        <v>2</v>
      </c>
      <c r="D15" s="1038">
        <v>3</v>
      </c>
      <c r="E15" s="1039">
        <v>93</v>
      </c>
      <c r="F15" s="1039">
        <v>92</v>
      </c>
      <c r="G15" s="1039">
        <v>86</v>
      </c>
    </row>
    <row r="16" spans="1:7" ht="20.25" customHeight="1" thickBot="1">
      <c r="A16" s="1037">
        <v>2004</v>
      </c>
      <c r="B16" s="1038">
        <v>98</v>
      </c>
      <c r="C16" s="1038">
        <v>0</v>
      </c>
      <c r="D16" s="1038">
        <v>2</v>
      </c>
      <c r="E16" s="1039">
        <v>92</v>
      </c>
      <c r="F16" s="1039">
        <v>93</v>
      </c>
      <c r="G16" s="1039">
        <v>87</v>
      </c>
    </row>
    <row r="17" spans="1:7" ht="20.25" customHeight="1" thickBot="1">
      <c r="A17" s="1037">
        <v>2005</v>
      </c>
      <c r="B17" s="1038">
        <v>90</v>
      </c>
      <c r="C17" s="1038">
        <v>2</v>
      </c>
      <c r="D17" s="1038">
        <v>9</v>
      </c>
      <c r="E17" s="1039">
        <v>85</v>
      </c>
      <c r="F17" s="1039">
        <v>82</v>
      </c>
      <c r="G17" s="1039">
        <v>76</v>
      </c>
    </row>
    <row r="18" spans="1:7" ht="20.25" customHeight="1" thickBot="1">
      <c r="A18" s="1037">
        <v>2006</v>
      </c>
      <c r="B18" s="1038">
        <v>92</v>
      </c>
      <c r="C18" s="1038">
        <v>2</v>
      </c>
      <c r="D18" s="1038">
        <v>0</v>
      </c>
      <c r="E18" s="1039">
        <v>87</v>
      </c>
      <c r="F18" s="1039">
        <v>82</v>
      </c>
      <c r="G18" s="1039">
        <v>77</v>
      </c>
    </row>
    <row r="19" spans="1:7" ht="20.25" customHeight="1" thickBot="1">
      <c r="A19" s="1037">
        <v>2007</v>
      </c>
      <c r="B19" s="1038">
        <v>92</v>
      </c>
      <c r="C19" s="1038">
        <v>0</v>
      </c>
      <c r="D19" s="1038">
        <v>0</v>
      </c>
      <c r="E19" s="1039">
        <v>87</v>
      </c>
      <c r="F19" s="1039">
        <v>82</v>
      </c>
      <c r="G19" s="1039">
        <v>77</v>
      </c>
    </row>
    <row r="20" spans="1:7" ht="20.25" customHeight="1" thickBot="1">
      <c r="A20" s="1037">
        <v>2008</v>
      </c>
      <c r="B20" s="1038">
        <v>91</v>
      </c>
      <c r="C20" s="1038">
        <v>0</v>
      </c>
      <c r="D20" s="1038">
        <v>1</v>
      </c>
      <c r="E20" s="1039">
        <v>86</v>
      </c>
      <c r="F20" s="1039">
        <v>83</v>
      </c>
      <c r="G20" s="1039">
        <v>78</v>
      </c>
    </row>
    <row r="21" spans="1:7" ht="20.25" customHeight="1" thickBot="1">
      <c r="A21" s="1037">
        <v>2009</v>
      </c>
      <c r="B21" s="1038">
        <v>86</v>
      </c>
      <c r="C21" s="1038">
        <v>2</v>
      </c>
      <c r="D21" s="1038">
        <v>7</v>
      </c>
      <c r="E21" s="1039">
        <v>81</v>
      </c>
      <c r="F21" s="1039">
        <v>74</v>
      </c>
      <c r="G21" s="1039">
        <v>69</v>
      </c>
    </row>
    <row r="22" spans="1:7" ht="20.25" customHeight="1" thickBot="1">
      <c r="A22" s="1037">
        <v>2010</v>
      </c>
      <c r="B22" s="1038">
        <v>86</v>
      </c>
      <c r="C22" s="1038">
        <v>1</v>
      </c>
      <c r="D22" s="1038">
        <v>1</v>
      </c>
      <c r="E22" s="1039">
        <v>81</v>
      </c>
      <c r="F22" s="1039">
        <v>78</v>
      </c>
      <c r="G22" s="1039">
        <v>73</v>
      </c>
    </row>
    <row r="23" spans="1:7" ht="20.25" customHeight="1" thickBot="1">
      <c r="A23" s="1037">
        <v>2011</v>
      </c>
      <c r="B23" s="1038">
        <v>69</v>
      </c>
      <c r="C23" s="1038">
        <v>0</v>
      </c>
      <c r="D23" s="1038">
        <v>17</v>
      </c>
      <c r="E23" s="1039">
        <v>63</v>
      </c>
      <c r="F23" s="1039">
        <v>62</v>
      </c>
      <c r="G23" s="1039">
        <v>56</v>
      </c>
    </row>
    <row r="24" spans="1:7" ht="25.5" customHeight="1" thickBot="1">
      <c r="A24" s="352">
        <v>2012</v>
      </c>
      <c r="B24" s="1041">
        <v>67</v>
      </c>
      <c r="C24" s="1042">
        <v>0</v>
      </c>
      <c r="D24" s="1041">
        <v>2</v>
      </c>
      <c r="E24" s="1043">
        <v>61</v>
      </c>
      <c r="F24" s="1043">
        <v>60</v>
      </c>
      <c r="G24" s="1044">
        <v>54</v>
      </c>
    </row>
    <row r="25" spans="1:7" ht="20" customHeight="1">
      <c r="A25" s="130" t="s">
        <v>396</v>
      </c>
      <c r="B25" s="194"/>
      <c r="C25" s="130"/>
      <c r="D25" s="130"/>
      <c r="E25" s="194"/>
      <c r="F25" s="194"/>
    </row>
    <row r="26" spans="1:7" ht="12.75" customHeight="1">
      <c r="A26" s="131"/>
      <c r="B26" s="540"/>
      <c r="C26" s="131"/>
      <c r="D26" s="131"/>
      <c r="E26" s="540"/>
      <c r="F26" s="540"/>
    </row>
    <row r="27" spans="1:7" ht="12.75" customHeight="1">
      <c r="A27" s="131" t="s">
        <v>1561</v>
      </c>
      <c r="B27" s="540"/>
      <c r="C27" s="131"/>
      <c r="D27" s="131"/>
      <c r="E27" s="540"/>
      <c r="F27" s="540"/>
    </row>
    <row r="28" spans="1:7" ht="12.75" customHeight="1">
      <c r="A28" s="131" t="s">
        <v>1562</v>
      </c>
      <c r="B28" s="540"/>
      <c r="C28" s="131"/>
      <c r="D28" s="131"/>
      <c r="E28" s="540"/>
      <c r="F28" s="540"/>
    </row>
    <row r="29" spans="1:7" ht="12.75" customHeight="1">
      <c r="A29" s="131"/>
      <c r="B29" s="540"/>
      <c r="C29" s="131"/>
      <c r="D29" s="131"/>
      <c r="E29" s="540"/>
      <c r="F29" s="540"/>
    </row>
    <row r="30" spans="1:7" ht="12.75" customHeight="1">
      <c r="A30" s="131"/>
      <c r="B30" s="540"/>
      <c r="C30" s="131"/>
      <c r="D30" s="131"/>
      <c r="E30" s="540"/>
      <c r="F30" s="540"/>
    </row>
    <row r="31" spans="1:7" ht="12" customHeight="1">
      <c r="A31" s="60" t="s">
        <v>1563</v>
      </c>
    </row>
    <row r="34" spans="1:1">
      <c r="A34" s="3" t="s">
        <v>395</v>
      </c>
    </row>
  </sheetData>
  <pageMargins left="0.56000000000000005" right="0.42" top="0.76" bottom="0.49" header="0.44" footer="0.4921259845"/>
  <pageSetup paperSize="9" scale="80" orientation="portrait" horizontalDpi="1200" verticalDpi="1200"/>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8C6B-09BD-C146-8CEE-FE9DB84F3C1A}">
  <sheetPr>
    <pageSetUpPr fitToPage="1"/>
  </sheetPr>
  <dimension ref="A1:M29"/>
  <sheetViews>
    <sheetView zoomScaleNormal="100" workbookViewId="0">
      <selection activeCell="A3" sqref="A3"/>
    </sheetView>
  </sheetViews>
  <sheetFormatPr baseColWidth="10" defaultColWidth="11.3984375" defaultRowHeight="13"/>
  <cols>
    <col min="1" max="1" width="12.796875" style="3" customWidth="1"/>
    <col min="2" max="8" width="11.796875" style="3" customWidth="1"/>
    <col min="9" max="9" width="13" style="3" customWidth="1"/>
    <col min="10" max="16384" width="11.3984375" style="3"/>
  </cols>
  <sheetData>
    <row r="1" spans="1:13" s="2" customFormat="1" ht="14" customHeight="1"/>
    <row r="2" spans="1:13" s="2" customFormat="1" ht="24" customHeight="1">
      <c r="A2" s="139" t="s">
        <v>1564</v>
      </c>
      <c r="I2" s="442"/>
    </row>
    <row r="3" spans="1:13" ht="24" customHeight="1">
      <c r="A3" s="1045" t="s">
        <v>241</v>
      </c>
      <c r="B3" s="1046" t="s">
        <v>1565</v>
      </c>
      <c r="C3" s="1047" t="s">
        <v>1566</v>
      </c>
      <c r="D3" s="110" t="s">
        <v>1567</v>
      </c>
      <c r="E3" s="1047" t="s">
        <v>1568</v>
      </c>
      <c r="F3" s="110" t="s">
        <v>1569</v>
      </c>
      <c r="G3" s="1047" t="s">
        <v>1570</v>
      </c>
      <c r="H3" s="110" t="s">
        <v>230</v>
      </c>
      <c r="I3" s="1048" t="s">
        <v>256</v>
      </c>
    </row>
    <row r="4" spans="1:13" ht="15" customHeight="1">
      <c r="A4" s="1049"/>
      <c r="B4" s="1050"/>
      <c r="C4" s="1051">
        <v>10000</v>
      </c>
      <c r="D4" s="348">
        <v>50000</v>
      </c>
      <c r="E4" s="1051">
        <v>100000</v>
      </c>
      <c r="F4" s="348">
        <v>500000</v>
      </c>
      <c r="G4" s="1051">
        <v>500000</v>
      </c>
      <c r="H4" s="113"/>
      <c r="I4" s="1052" t="s">
        <v>257</v>
      </c>
    </row>
    <row r="5" spans="1:13" ht="15" customHeight="1">
      <c r="A5" s="1049"/>
      <c r="B5" s="1050"/>
      <c r="C5" s="1053"/>
      <c r="D5" s="113"/>
      <c r="E5" s="1053"/>
      <c r="F5" s="113"/>
      <c r="G5" s="1053"/>
      <c r="H5" s="113"/>
      <c r="I5" s="1052" t="s">
        <v>258</v>
      </c>
    </row>
    <row r="6" spans="1:13" ht="24" customHeight="1">
      <c r="A6" s="1054"/>
      <c r="B6" s="1055"/>
      <c r="C6" s="1056"/>
      <c r="D6" s="117"/>
      <c r="E6" s="1056"/>
      <c r="F6" s="117"/>
      <c r="G6" s="1056"/>
      <c r="H6" s="117"/>
      <c r="I6" s="1057"/>
    </row>
    <row r="7" spans="1:13" ht="1.5" customHeight="1" thickBot="1">
      <c r="A7" s="1058">
        <v>1996</v>
      </c>
      <c r="B7" s="1059">
        <v>90</v>
      </c>
      <c r="C7" s="1060">
        <v>14</v>
      </c>
      <c r="D7" s="132">
        <v>20</v>
      </c>
      <c r="E7" s="1060">
        <v>6</v>
      </c>
      <c r="F7" s="132">
        <v>12</v>
      </c>
      <c r="G7" s="1060">
        <v>3</v>
      </c>
      <c r="H7" s="132">
        <v>145</v>
      </c>
      <c r="I7" s="1061">
        <v>-0.12650602409638553</v>
      </c>
    </row>
    <row r="8" spans="1:13" ht="19.5" hidden="1" customHeight="1" thickBot="1">
      <c r="A8" s="1062">
        <v>1997</v>
      </c>
      <c r="B8" s="1063">
        <v>76</v>
      </c>
      <c r="C8" s="1064">
        <v>14</v>
      </c>
      <c r="D8" s="134">
        <v>20</v>
      </c>
      <c r="E8" s="1064">
        <v>4</v>
      </c>
      <c r="F8" s="134">
        <v>11</v>
      </c>
      <c r="G8" s="1064">
        <v>4</v>
      </c>
      <c r="H8" s="134">
        <v>129</v>
      </c>
      <c r="I8" s="1065">
        <v>-0.1103448275862069</v>
      </c>
      <c r="K8" s="9"/>
      <c r="L8" s="9"/>
      <c r="M8" s="9"/>
    </row>
    <row r="9" spans="1:13" ht="19.5" hidden="1" customHeight="1" thickBot="1">
      <c r="A9" s="1062">
        <v>1998</v>
      </c>
      <c r="B9" s="1063">
        <v>64</v>
      </c>
      <c r="C9" s="1064">
        <v>13</v>
      </c>
      <c r="D9" s="134">
        <v>21</v>
      </c>
      <c r="E9" s="1064">
        <v>6</v>
      </c>
      <c r="F9" s="134">
        <v>10</v>
      </c>
      <c r="G9" s="1064">
        <v>4</v>
      </c>
      <c r="H9" s="134">
        <v>118</v>
      </c>
      <c r="I9" s="1065">
        <v>-8.5271317829457363E-2</v>
      </c>
    </row>
    <row r="10" spans="1:13" ht="19.75" hidden="1" customHeight="1" thickBot="1">
      <c r="A10" s="1062">
        <v>1999</v>
      </c>
      <c r="B10" s="1063">
        <v>56</v>
      </c>
      <c r="C10" s="1064">
        <v>12</v>
      </c>
      <c r="D10" s="134">
        <v>19</v>
      </c>
      <c r="E10" s="1064">
        <v>8</v>
      </c>
      <c r="F10" s="134">
        <v>10</v>
      </c>
      <c r="G10" s="1064">
        <v>4</v>
      </c>
      <c r="H10" s="134">
        <v>109</v>
      </c>
      <c r="I10" s="1065">
        <v>-7.6271186440677971E-2</v>
      </c>
    </row>
    <row r="11" spans="1:13" ht="19.75" hidden="1" customHeight="1" thickBot="1">
      <c r="A11" s="1062">
        <v>2000</v>
      </c>
      <c r="B11" s="1063">
        <v>48</v>
      </c>
      <c r="C11" s="1064">
        <v>11</v>
      </c>
      <c r="D11" s="134">
        <v>19</v>
      </c>
      <c r="E11" s="1064">
        <v>9</v>
      </c>
      <c r="F11" s="134">
        <v>10</v>
      </c>
      <c r="G11" s="1064">
        <v>4</v>
      </c>
      <c r="H11" s="134">
        <v>101</v>
      </c>
      <c r="I11" s="1065">
        <v>-7.3394495412844041E-2</v>
      </c>
    </row>
    <row r="12" spans="1:13" ht="20" hidden="1" customHeight="1" thickBot="1">
      <c r="A12" s="1062">
        <v>2001</v>
      </c>
      <c r="B12" s="1063">
        <v>43</v>
      </c>
      <c r="C12" s="1064">
        <v>9</v>
      </c>
      <c r="D12" s="134">
        <v>23</v>
      </c>
      <c r="E12" s="1064">
        <v>9</v>
      </c>
      <c r="F12" s="134">
        <v>11</v>
      </c>
      <c r="G12" s="1064">
        <v>4</v>
      </c>
      <c r="H12" s="134">
        <v>99</v>
      </c>
      <c r="I12" s="1065">
        <v>-1.9801980198019802E-2</v>
      </c>
    </row>
    <row r="13" spans="1:13" ht="20" customHeight="1" thickBot="1">
      <c r="A13" s="1062">
        <v>2002</v>
      </c>
      <c r="B13" s="1063">
        <v>33</v>
      </c>
      <c r="C13" s="1064">
        <v>10</v>
      </c>
      <c r="D13" s="134">
        <v>25</v>
      </c>
      <c r="E13" s="1064">
        <v>9</v>
      </c>
      <c r="F13" s="134">
        <v>13</v>
      </c>
      <c r="G13" s="1064">
        <v>3</v>
      </c>
      <c r="H13" s="134">
        <v>93</v>
      </c>
      <c r="I13" s="1065">
        <v>-6.0606060606060608E-2</v>
      </c>
    </row>
    <row r="14" spans="1:13" ht="20" customHeight="1" thickBot="1">
      <c r="A14" s="1062">
        <v>2003</v>
      </c>
      <c r="B14" s="1063">
        <v>32</v>
      </c>
      <c r="C14" s="1064">
        <v>10</v>
      </c>
      <c r="D14" s="134">
        <v>26</v>
      </c>
      <c r="E14" s="1064">
        <v>9</v>
      </c>
      <c r="F14" s="134">
        <v>12</v>
      </c>
      <c r="G14" s="1064">
        <v>4</v>
      </c>
      <c r="H14" s="134">
        <v>93</v>
      </c>
      <c r="I14" s="1065">
        <v>0</v>
      </c>
    </row>
    <row r="15" spans="1:13" ht="20" customHeight="1" thickBot="1">
      <c r="A15" s="1062">
        <v>2004</v>
      </c>
      <c r="B15" s="1063">
        <v>32</v>
      </c>
      <c r="C15" s="1064">
        <v>11</v>
      </c>
      <c r="D15" s="134">
        <v>24</v>
      </c>
      <c r="E15" s="1064">
        <v>9</v>
      </c>
      <c r="F15" s="134">
        <v>12</v>
      </c>
      <c r="G15" s="1064">
        <v>4</v>
      </c>
      <c r="H15" s="134">
        <v>92</v>
      </c>
      <c r="I15" s="1065">
        <v>-1.0752688172043012E-2</v>
      </c>
    </row>
    <row r="16" spans="1:13" ht="20" customHeight="1" thickBot="1">
      <c r="A16" s="1062">
        <v>2005</v>
      </c>
      <c r="B16" s="1063">
        <v>27</v>
      </c>
      <c r="C16" s="1064">
        <v>13</v>
      </c>
      <c r="D16" s="134">
        <v>20</v>
      </c>
      <c r="E16" s="1064">
        <v>8</v>
      </c>
      <c r="F16" s="134">
        <v>13</v>
      </c>
      <c r="G16" s="1064">
        <v>4</v>
      </c>
      <c r="H16" s="134">
        <v>85</v>
      </c>
      <c r="I16" s="1065">
        <v>-7.6086956521739135E-2</v>
      </c>
    </row>
    <row r="17" spans="1:9" ht="20" customHeight="1" thickBot="1">
      <c r="A17" s="1062">
        <v>2006</v>
      </c>
      <c r="B17" s="1063">
        <v>28</v>
      </c>
      <c r="C17" s="1064">
        <v>14</v>
      </c>
      <c r="D17" s="134">
        <v>20</v>
      </c>
      <c r="E17" s="1064">
        <v>7</v>
      </c>
      <c r="F17" s="134">
        <v>14</v>
      </c>
      <c r="G17" s="1064">
        <v>4</v>
      </c>
      <c r="H17" s="134">
        <v>87</v>
      </c>
      <c r="I17" s="1065">
        <v>2.3529411764705882E-2</v>
      </c>
    </row>
    <row r="18" spans="1:9" ht="20" customHeight="1" thickBot="1">
      <c r="A18" s="1062">
        <v>2007</v>
      </c>
      <c r="B18" s="1063">
        <v>27</v>
      </c>
      <c r="C18" s="1064">
        <v>13</v>
      </c>
      <c r="D18" s="134">
        <v>21</v>
      </c>
      <c r="E18" s="1064">
        <v>8</v>
      </c>
      <c r="F18" s="134">
        <v>14</v>
      </c>
      <c r="G18" s="1064">
        <v>4</v>
      </c>
      <c r="H18" s="134">
        <v>87</v>
      </c>
      <c r="I18" s="1065">
        <v>0</v>
      </c>
    </row>
    <row r="19" spans="1:9" ht="20" customHeight="1" thickBot="1">
      <c r="A19" s="1062">
        <v>2008</v>
      </c>
      <c r="B19" s="1063">
        <v>26</v>
      </c>
      <c r="C19" s="1064">
        <v>13</v>
      </c>
      <c r="D19" s="134">
        <v>19</v>
      </c>
      <c r="E19" s="1064">
        <v>9</v>
      </c>
      <c r="F19" s="134">
        <v>15</v>
      </c>
      <c r="G19" s="1064">
        <v>4</v>
      </c>
      <c r="H19" s="134">
        <v>86</v>
      </c>
      <c r="I19" s="1065">
        <v>-1.1494252873563204E-2</v>
      </c>
    </row>
    <row r="20" spans="1:9" ht="20" customHeight="1" thickBot="1">
      <c r="A20" s="1062">
        <v>2009</v>
      </c>
      <c r="B20" s="1063">
        <v>22</v>
      </c>
      <c r="C20" s="1064">
        <v>10</v>
      </c>
      <c r="D20" s="134">
        <v>20</v>
      </c>
      <c r="E20" s="1064">
        <v>8</v>
      </c>
      <c r="F20" s="134">
        <v>17</v>
      </c>
      <c r="G20" s="1064">
        <v>4</v>
      </c>
      <c r="H20" s="134">
        <v>81</v>
      </c>
      <c r="I20" s="1065">
        <v>-5.8139534883720922E-2</v>
      </c>
    </row>
    <row r="21" spans="1:9" ht="20" customHeight="1" thickBot="1">
      <c r="A21" s="1062">
        <v>2010</v>
      </c>
      <c r="B21" s="1063">
        <v>19</v>
      </c>
      <c r="C21" s="1064">
        <v>10</v>
      </c>
      <c r="D21" s="134">
        <v>22</v>
      </c>
      <c r="E21" s="1064">
        <v>9</v>
      </c>
      <c r="F21" s="134">
        <v>16</v>
      </c>
      <c r="G21" s="1064">
        <v>5</v>
      </c>
      <c r="H21" s="134">
        <v>81</v>
      </c>
      <c r="I21" s="1065">
        <v>0</v>
      </c>
    </row>
    <row r="22" spans="1:9" ht="20" customHeight="1" thickBot="1">
      <c r="A22" s="1062">
        <v>2011</v>
      </c>
      <c r="B22" s="1063">
        <v>13</v>
      </c>
      <c r="C22" s="1064">
        <v>10</v>
      </c>
      <c r="D22" s="134">
        <v>14</v>
      </c>
      <c r="E22" s="1064">
        <v>3</v>
      </c>
      <c r="F22" s="134">
        <v>18</v>
      </c>
      <c r="G22" s="1064">
        <v>5</v>
      </c>
      <c r="H22" s="134">
        <v>63</v>
      </c>
      <c r="I22" s="1065">
        <v>-0.22222222222222221</v>
      </c>
    </row>
    <row r="23" spans="1:9" ht="26.25" customHeight="1" thickBot="1">
      <c r="A23" s="1066">
        <v>2012</v>
      </c>
      <c r="B23" s="1067">
        <v>14</v>
      </c>
      <c r="C23" s="1068">
        <v>8</v>
      </c>
      <c r="D23" s="136">
        <v>13</v>
      </c>
      <c r="E23" s="1068">
        <v>3</v>
      </c>
      <c r="F23" s="136">
        <v>18</v>
      </c>
      <c r="G23" s="1068">
        <v>5</v>
      </c>
      <c r="H23" s="136">
        <v>61</v>
      </c>
      <c r="I23" s="1069">
        <v>-3.1746031746031744E-2</v>
      </c>
    </row>
    <row r="24" spans="1:9" ht="20" customHeight="1">
      <c r="A24" s="130" t="s">
        <v>396</v>
      </c>
      <c r="B24" s="354"/>
      <c r="C24" s="354"/>
      <c r="D24" s="354"/>
      <c r="E24" s="354"/>
      <c r="F24" s="354"/>
      <c r="G24" s="354"/>
      <c r="H24" s="354"/>
      <c r="I24" s="356"/>
    </row>
    <row r="25" spans="1:9" ht="13.5" customHeight="1">
      <c r="A25" s="131"/>
      <c r="B25" s="357"/>
      <c r="C25" s="357"/>
      <c r="D25" s="357"/>
      <c r="E25" s="357"/>
      <c r="F25" s="357"/>
      <c r="G25" s="357"/>
      <c r="H25" s="357"/>
      <c r="I25" s="358"/>
    </row>
    <row r="26" spans="1:9">
      <c r="A26" s="3" t="s">
        <v>1571</v>
      </c>
    </row>
    <row r="29" spans="1:9">
      <c r="A29" s="3" t="s">
        <v>395</v>
      </c>
    </row>
  </sheetData>
  <pageMargins left="0.53" right="0.61" top="1.03" bottom="0.49" header="0.56000000000000005" footer="0.4921259845"/>
  <pageSetup paperSize="9" scale="85" orientation="portrait" horizontalDpi="4294967292" verticalDpi="4294967292"/>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F8652-F97A-FF46-9992-4021E03FE89F}">
  <sheetPr>
    <pageSetUpPr fitToPage="1"/>
  </sheetPr>
  <dimension ref="A1:P34"/>
  <sheetViews>
    <sheetView topLeftCell="A6" zoomScaleNormal="100" workbookViewId="0">
      <selection activeCell="K34" sqref="K34"/>
    </sheetView>
  </sheetViews>
  <sheetFormatPr baseColWidth="10" defaultColWidth="11.3984375" defaultRowHeight="13"/>
  <cols>
    <col min="1" max="1" width="14.59765625" style="3" customWidth="1"/>
    <col min="2" max="7" width="12.796875" style="3" customWidth="1"/>
    <col min="8" max="8" width="13.3984375" style="514" customWidth="1"/>
    <col min="9" max="9" width="12.59765625" style="3" customWidth="1"/>
    <col min="10" max="10" width="2.3984375" style="3" customWidth="1"/>
    <col min="11" max="11" width="12.59765625" style="3" customWidth="1"/>
    <col min="12" max="12" width="13" style="3" customWidth="1"/>
    <col min="13" max="13" width="11.796875" style="3" customWidth="1"/>
    <col min="14" max="14" width="12.59765625" style="3" customWidth="1"/>
    <col min="15" max="16384" width="11.3984375" style="3"/>
  </cols>
  <sheetData>
    <row r="1" spans="1:14" s="2" customFormat="1" ht="14" customHeight="1">
      <c r="A1" s="272"/>
      <c r="B1" s="272"/>
      <c r="C1" s="272"/>
      <c r="D1" s="272"/>
      <c r="E1" s="272"/>
      <c r="F1" s="272"/>
      <c r="G1" s="272"/>
      <c r="H1" s="1070"/>
    </row>
    <row r="2" spans="1:14" s="2" customFormat="1" ht="22.75" customHeight="1">
      <c r="A2" s="164" t="s">
        <v>1572</v>
      </c>
      <c r="B2" s="1071"/>
      <c r="C2" s="272"/>
      <c r="D2" s="272"/>
      <c r="E2" s="272"/>
      <c r="F2" s="272"/>
      <c r="G2" s="272"/>
      <c r="H2" s="442"/>
    </row>
    <row r="3" spans="1:14" ht="27" customHeight="1">
      <c r="A3" s="1072" t="s">
        <v>1573</v>
      </c>
      <c r="B3" s="2073" t="s">
        <v>1574</v>
      </c>
      <c r="C3" s="2073"/>
      <c r="D3" s="2074" t="s">
        <v>1575</v>
      </c>
      <c r="E3" s="2075"/>
      <c r="F3" s="2073" t="s">
        <v>1576</v>
      </c>
      <c r="G3" s="2076"/>
      <c r="H3" s="2074" t="s">
        <v>1576</v>
      </c>
      <c r="I3" s="2075"/>
      <c r="K3" s="2073" t="s">
        <v>1577</v>
      </c>
      <c r="L3" s="2076"/>
      <c r="M3" s="2074" t="s">
        <v>1578</v>
      </c>
      <c r="N3" s="2075"/>
    </row>
    <row r="4" spans="1:14" ht="18" customHeight="1">
      <c r="A4" s="112"/>
      <c r="B4" s="971" t="s">
        <v>1579</v>
      </c>
      <c r="C4" s="1073" t="s">
        <v>1580</v>
      </c>
      <c r="D4" s="971" t="s">
        <v>1579</v>
      </c>
      <c r="E4" s="1073" t="s">
        <v>1580</v>
      </c>
      <c r="F4" s="971" t="s">
        <v>1579</v>
      </c>
      <c r="G4" s="1073"/>
      <c r="H4" s="971" t="s">
        <v>1580</v>
      </c>
      <c r="I4" s="1073"/>
      <c r="K4" s="971" t="s">
        <v>230</v>
      </c>
      <c r="L4" s="1073"/>
      <c r="M4" s="971" t="s">
        <v>1581</v>
      </c>
      <c r="N4" s="1073" t="s">
        <v>1581</v>
      </c>
    </row>
    <row r="5" spans="1:14" ht="15" customHeight="1">
      <c r="A5" s="112"/>
      <c r="B5" s="347"/>
      <c r="C5" s="114"/>
      <c r="D5" s="113"/>
      <c r="E5" s="114"/>
      <c r="F5" s="113"/>
      <c r="G5" s="1074" t="s">
        <v>1582</v>
      </c>
      <c r="H5" s="1075"/>
      <c r="I5" s="1074" t="s">
        <v>1582</v>
      </c>
      <c r="K5" s="971" t="s">
        <v>1583</v>
      </c>
      <c r="L5" s="1074" t="s">
        <v>1582</v>
      </c>
      <c r="M5" s="1075" t="s">
        <v>1584</v>
      </c>
      <c r="N5" s="1073" t="s">
        <v>1585</v>
      </c>
    </row>
    <row r="6" spans="1:14" ht="23.25" customHeight="1">
      <c r="A6" s="116"/>
      <c r="B6" s="349"/>
      <c r="C6" s="118"/>
      <c r="D6" s="117"/>
      <c r="E6" s="118"/>
      <c r="F6" s="117"/>
      <c r="G6" s="118"/>
      <c r="H6" s="1076"/>
      <c r="I6" s="118"/>
      <c r="K6" s="1077" t="s">
        <v>1586</v>
      </c>
      <c r="L6" s="118"/>
      <c r="M6" s="1078"/>
      <c r="N6" s="1079"/>
    </row>
    <row r="7" spans="1:14" ht="1.5" customHeight="1" thickBot="1">
      <c r="A7" s="120">
        <v>1996</v>
      </c>
      <c r="B7" s="1080">
        <v>5252</v>
      </c>
      <c r="C7" s="133">
        <v>5728</v>
      </c>
      <c r="D7" s="132">
        <v>5623</v>
      </c>
      <c r="E7" s="133">
        <v>7761</v>
      </c>
      <c r="F7" s="132">
        <v>10875</v>
      </c>
      <c r="G7" s="1081" t="s">
        <v>29</v>
      </c>
      <c r="H7" s="132">
        <v>13489</v>
      </c>
      <c r="I7" s="1081" t="s">
        <v>29</v>
      </c>
      <c r="J7" s="9"/>
      <c r="K7" s="1080" t="s">
        <v>29</v>
      </c>
      <c r="L7" s="1081" t="s">
        <v>29</v>
      </c>
      <c r="M7" s="1082" t="s">
        <v>29</v>
      </c>
      <c r="N7" s="1083" t="s">
        <v>29</v>
      </c>
    </row>
    <row r="8" spans="1:14" ht="23.25" hidden="1" customHeight="1" thickBot="1">
      <c r="A8" s="123">
        <v>1997</v>
      </c>
      <c r="B8" s="1084">
        <v>5702</v>
      </c>
      <c r="C8" s="135">
        <v>6184</v>
      </c>
      <c r="D8" s="134">
        <v>4631</v>
      </c>
      <c r="E8" s="135">
        <v>6865</v>
      </c>
      <c r="F8" s="134">
        <v>10333</v>
      </c>
      <c r="G8" s="1085" t="s">
        <v>29</v>
      </c>
      <c r="H8" s="134">
        <v>13049</v>
      </c>
      <c r="I8" s="1085" t="s">
        <v>29</v>
      </c>
      <c r="K8" s="1084" t="s">
        <v>29</v>
      </c>
      <c r="L8" s="1085" t="s">
        <v>29</v>
      </c>
      <c r="M8" s="1086" t="s">
        <v>29</v>
      </c>
      <c r="N8" s="1087" t="s">
        <v>29</v>
      </c>
    </row>
    <row r="9" spans="1:14" ht="23.25" hidden="1" customHeight="1" thickBot="1">
      <c r="A9" s="123">
        <v>1998</v>
      </c>
      <c r="B9" s="1084">
        <v>5440</v>
      </c>
      <c r="C9" s="135">
        <v>5884</v>
      </c>
      <c r="D9" s="134">
        <v>4852</v>
      </c>
      <c r="E9" s="135">
        <v>6728</v>
      </c>
      <c r="F9" s="134">
        <v>10292</v>
      </c>
      <c r="G9" s="1085" t="s">
        <v>29</v>
      </c>
      <c r="H9" s="134">
        <v>12612</v>
      </c>
      <c r="I9" s="1085" t="s">
        <v>29</v>
      </c>
      <c r="K9" s="1084" t="s">
        <v>29</v>
      </c>
      <c r="L9" s="1085" t="s">
        <v>29</v>
      </c>
      <c r="M9" s="1086" t="s">
        <v>29</v>
      </c>
      <c r="N9" s="1087" t="s">
        <v>29</v>
      </c>
    </row>
    <row r="10" spans="1:14" ht="0.5" customHeight="1" thickBot="1">
      <c r="A10" s="123">
        <v>1999</v>
      </c>
      <c r="B10" s="1084">
        <v>5286</v>
      </c>
      <c r="C10" s="135">
        <v>5825</v>
      </c>
      <c r="D10" s="134">
        <v>4444</v>
      </c>
      <c r="E10" s="135">
        <v>6096</v>
      </c>
      <c r="F10" s="134">
        <v>9729</v>
      </c>
      <c r="G10" s="1085" t="s">
        <v>29</v>
      </c>
      <c r="H10" s="134">
        <v>11920</v>
      </c>
      <c r="I10" s="1085" t="s">
        <v>29</v>
      </c>
      <c r="K10" s="1084" t="s">
        <v>29</v>
      </c>
      <c r="L10" s="1085" t="s">
        <v>29</v>
      </c>
      <c r="M10" s="1086" t="s">
        <v>29</v>
      </c>
      <c r="N10" s="1087" t="s">
        <v>29</v>
      </c>
    </row>
    <row r="11" spans="1:14" ht="20" hidden="1" customHeight="1" thickBot="1">
      <c r="A11" s="123">
        <v>2000</v>
      </c>
      <c r="B11" s="1084">
        <v>4367</v>
      </c>
      <c r="C11" s="135">
        <v>4846</v>
      </c>
      <c r="D11" s="134">
        <v>5837</v>
      </c>
      <c r="E11" s="135">
        <v>7246</v>
      </c>
      <c r="F11" s="134">
        <v>10204</v>
      </c>
      <c r="G11" s="1085" t="s">
        <v>29</v>
      </c>
      <c r="H11" s="134">
        <v>12092</v>
      </c>
      <c r="I11" s="1085" t="s">
        <v>29</v>
      </c>
      <c r="K11" s="1084" t="s">
        <v>29</v>
      </c>
      <c r="L11" s="1085" t="s">
        <v>29</v>
      </c>
      <c r="M11" s="1086" t="s">
        <v>29</v>
      </c>
      <c r="N11" s="1087" t="s">
        <v>29</v>
      </c>
    </row>
    <row r="12" spans="1:14" ht="20" hidden="1" customHeight="1" thickBot="1">
      <c r="A12" s="123">
        <v>2001</v>
      </c>
      <c r="B12" s="1084">
        <v>4317</v>
      </c>
      <c r="C12" s="135">
        <v>4736</v>
      </c>
      <c r="D12" s="134">
        <v>3995</v>
      </c>
      <c r="E12" s="135">
        <v>4942</v>
      </c>
      <c r="F12" s="134">
        <v>8312</v>
      </c>
      <c r="G12" s="1085" t="s">
        <v>29</v>
      </c>
      <c r="H12" s="134">
        <v>9678</v>
      </c>
      <c r="I12" s="1085" t="s">
        <v>29</v>
      </c>
      <c r="K12" s="1084" t="s">
        <v>29</v>
      </c>
      <c r="L12" s="1085" t="s">
        <v>29</v>
      </c>
      <c r="M12" s="1086" t="s">
        <v>29</v>
      </c>
      <c r="N12" s="1087" t="s">
        <v>29</v>
      </c>
    </row>
    <row r="13" spans="1:14" ht="20" customHeight="1" thickBot="1">
      <c r="A13" s="123">
        <v>2002</v>
      </c>
      <c r="B13" s="1084">
        <v>4346</v>
      </c>
      <c r="C13" s="135">
        <v>4839</v>
      </c>
      <c r="D13" s="134">
        <v>3951</v>
      </c>
      <c r="E13" s="135">
        <v>4838</v>
      </c>
      <c r="F13" s="134">
        <v>8297</v>
      </c>
      <c r="G13" s="1085" t="s">
        <v>29</v>
      </c>
      <c r="H13" s="134">
        <v>9677</v>
      </c>
      <c r="I13" s="1085" t="s">
        <v>29</v>
      </c>
      <c r="K13" s="1084" t="s">
        <v>29</v>
      </c>
      <c r="L13" s="1085" t="s">
        <v>29</v>
      </c>
      <c r="M13" s="1086" t="s">
        <v>29</v>
      </c>
      <c r="N13" s="1087" t="s">
        <v>29</v>
      </c>
    </row>
    <row r="14" spans="1:14" ht="20" customHeight="1" thickBot="1">
      <c r="A14" s="123">
        <v>2003</v>
      </c>
      <c r="B14" s="1084">
        <v>5023</v>
      </c>
      <c r="C14" s="135">
        <v>5690</v>
      </c>
      <c r="D14" s="134">
        <v>2968</v>
      </c>
      <c r="E14" s="135">
        <v>3779</v>
      </c>
      <c r="F14" s="134">
        <v>7991</v>
      </c>
      <c r="G14" s="1085" t="s">
        <v>29</v>
      </c>
      <c r="H14" s="134">
        <v>9469</v>
      </c>
      <c r="I14" s="1085" t="s">
        <v>29</v>
      </c>
      <c r="K14" s="1084" t="s">
        <v>29</v>
      </c>
      <c r="L14" s="1085" t="s">
        <v>29</v>
      </c>
      <c r="M14" s="1086" t="s">
        <v>29</v>
      </c>
      <c r="N14" s="1087" t="s">
        <v>29</v>
      </c>
    </row>
    <row r="15" spans="1:14" ht="20" customHeight="1" thickBot="1">
      <c r="A15" s="123">
        <v>2004</v>
      </c>
      <c r="B15" s="1084">
        <v>5428</v>
      </c>
      <c r="C15" s="135">
        <v>6333</v>
      </c>
      <c r="D15" s="134">
        <v>2801</v>
      </c>
      <c r="E15" s="135">
        <v>3511</v>
      </c>
      <c r="F15" s="134">
        <v>8229</v>
      </c>
      <c r="G15" s="1085" t="s">
        <v>29</v>
      </c>
      <c r="H15" s="134">
        <v>9844</v>
      </c>
      <c r="I15" s="1085" t="s">
        <v>29</v>
      </c>
      <c r="K15" s="1084" t="s">
        <v>29</v>
      </c>
      <c r="L15" s="1085" t="s">
        <v>29</v>
      </c>
      <c r="M15" s="1086" t="s">
        <v>29</v>
      </c>
      <c r="N15" s="1087" t="s">
        <v>29</v>
      </c>
    </row>
    <row r="16" spans="1:14" ht="20" customHeight="1" thickBot="1">
      <c r="A16" s="123">
        <v>2005</v>
      </c>
      <c r="B16" s="1084">
        <v>5554</v>
      </c>
      <c r="C16" s="135">
        <v>6193</v>
      </c>
      <c r="D16" s="134">
        <v>3178</v>
      </c>
      <c r="E16" s="135">
        <v>3889</v>
      </c>
      <c r="F16" s="134">
        <v>8732</v>
      </c>
      <c r="G16" s="1085" t="s">
        <v>29</v>
      </c>
      <c r="H16" s="134">
        <v>10082</v>
      </c>
      <c r="I16" s="1085" t="s">
        <v>29</v>
      </c>
      <c r="K16" s="1084" t="s">
        <v>29</v>
      </c>
      <c r="L16" s="1085" t="s">
        <v>29</v>
      </c>
      <c r="M16" s="1086" t="s">
        <v>29</v>
      </c>
      <c r="N16" s="1087" t="s">
        <v>29</v>
      </c>
    </row>
    <row r="17" spans="1:16" ht="20" customHeight="1" thickBot="1">
      <c r="A17" s="123">
        <v>2006</v>
      </c>
      <c r="B17" s="1084">
        <v>5770</v>
      </c>
      <c r="C17" s="135">
        <v>6389</v>
      </c>
      <c r="D17" s="134">
        <v>3049</v>
      </c>
      <c r="E17" s="135">
        <v>3717</v>
      </c>
      <c r="F17" s="134">
        <v>8819</v>
      </c>
      <c r="G17" s="1085" t="s">
        <v>29</v>
      </c>
      <c r="H17" s="134">
        <v>10106</v>
      </c>
      <c r="I17" s="1085" t="s">
        <v>29</v>
      </c>
      <c r="K17" s="1084" t="s">
        <v>29</v>
      </c>
      <c r="L17" s="1085" t="s">
        <v>29</v>
      </c>
      <c r="M17" s="1086" t="s">
        <v>29</v>
      </c>
      <c r="N17" s="1087" t="s">
        <v>29</v>
      </c>
    </row>
    <row r="18" spans="1:16" ht="20" customHeight="1" thickBot="1">
      <c r="A18" s="123">
        <v>2007</v>
      </c>
      <c r="B18" s="1084">
        <v>7087</v>
      </c>
      <c r="C18" s="135">
        <v>7977</v>
      </c>
      <c r="D18" s="134">
        <v>3002</v>
      </c>
      <c r="E18" s="135">
        <v>3628</v>
      </c>
      <c r="F18" s="134">
        <v>10089</v>
      </c>
      <c r="G18" s="135">
        <v>702</v>
      </c>
      <c r="H18" s="134">
        <v>11605</v>
      </c>
      <c r="I18" s="135">
        <v>689</v>
      </c>
      <c r="K18" s="124">
        <v>832.84199999999998</v>
      </c>
      <c r="L18" s="125">
        <v>99.68</v>
      </c>
      <c r="M18" s="1088">
        <v>87877.15912059712</v>
      </c>
      <c r="N18" s="1089">
        <v>172150.46913302015</v>
      </c>
    </row>
    <row r="19" spans="1:16" ht="20" customHeight="1" thickBot="1">
      <c r="A19" s="123">
        <v>2008</v>
      </c>
      <c r="B19" s="1084">
        <v>7011.76</v>
      </c>
      <c r="C19" s="135">
        <v>8068.23</v>
      </c>
      <c r="D19" s="134">
        <v>2796.16</v>
      </c>
      <c r="E19" s="135">
        <v>3914.2</v>
      </c>
      <c r="F19" s="134">
        <v>9807.92</v>
      </c>
      <c r="G19" s="135">
        <v>542.97</v>
      </c>
      <c r="H19" s="134">
        <v>11982.43</v>
      </c>
      <c r="I19" s="135">
        <v>630.20000000000005</v>
      </c>
      <c r="K19" s="124">
        <v>578.09929999999997</v>
      </c>
      <c r="L19" s="125">
        <v>61.971699999999998</v>
      </c>
      <c r="M19" s="1088">
        <v>87494.52836879433</v>
      </c>
      <c r="N19" s="1089">
        <v>150903.96050356733</v>
      </c>
    </row>
    <row r="20" spans="1:16" ht="20" customHeight="1" thickBot="1">
      <c r="A20" s="123">
        <v>2009</v>
      </c>
      <c r="B20" s="1084">
        <v>7104.1</v>
      </c>
      <c r="C20" s="135">
        <v>8234</v>
      </c>
      <c r="D20" s="134">
        <v>2676.38</v>
      </c>
      <c r="E20" s="135">
        <v>3912</v>
      </c>
      <c r="F20" s="134">
        <v>9780.48</v>
      </c>
      <c r="G20" s="135">
        <v>334.41</v>
      </c>
      <c r="H20" s="134">
        <v>12146</v>
      </c>
      <c r="I20" s="135">
        <v>436</v>
      </c>
      <c r="K20" s="124">
        <v>581.29669999999999</v>
      </c>
      <c r="L20" s="125">
        <v>35.061199999999999</v>
      </c>
      <c r="M20" s="1088">
        <v>86570.241074114543</v>
      </c>
      <c r="N20" s="1089">
        <v>161757.10896750502</v>
      </c>
    </row>
    <row r="21" spans="1:16" ht="20" customHeight="1" thickBot="1">
      <c r="A21" s="123">
        <v>2010</v>
      </c>
      <c r="B21" s="1084">
        <v>7281.82</v>
      </c>
      <c r="C21" s="135">
        <v>8352.0499999999993</v>
      </c>
      <c r="D21" s="134">
        <v>2803.23</v>
      </c>
      <c r="E21" s="135">
        <v>3867.44</v>
      </c>
      <c r="F21" s="134">
        <v>10085.049999999999</v>
      </c>
      <c r="G21" s="135">
        <v>317.44</v>
      </c>
      <c r="H21" s="134">
        <v>12219.49</v>
      </c>
      <c r="I21" s="135">
        <v>422.42</v>
      </c>
      <c r="K21" s="124">
        <v>621.44240000000002</v>
      </c>
      <c r="L21" s="125">
        <v>36.380200000000002</v>
      </c>
      <c r="M21" s="1088">
        <v>84055.261236585749</v>
      </c>
      <c r="N21" s="1089">
        <v>196328.26290875449</v>
      </c>
    </row>
    <row r="22" spans="1:16" ht="20" customHeight="1" thickBot="1">
      <c r="A22" s="123">
        <v>2011</v>
      </c>
      <c r="B22" s="1084">
        <v>7477.74</v>
      </c>
      <c r="C22" s="135">
        <v>8573</v>
      </c>
      <c r="D22" s="134">
        <v>2847</v>
      </c>
      <c r="E22" s="135">
        <v>3954</v>
      </c>
      <c r="F22" s="134">
        <v>10324.74</v>
      </c>
      <c r="G22" s="135">
        <v>317.14999999999998</v>
      </c>
      <c r="H22" s="134">
        <v>12527</v>
      </c>
      <c r="I22" s="135">
        <v>426</v>
      </c>
      <c r="K22" s="124">
        <v>654.30050000000006</v>
      </c>
      <c r="L22" s="125">
        <v>44.025700000000001</v>
      </c>
      <c r="M22" s="1088">
        <v>85727.155125020334</v>
      </c>
      <c r="N22" s="1089">
        <v>197461.39267886861</v>
      </c>
    </row>
    <row r="23" spans="1:16" ht="24" customHeight="1" thickBot="1">
      <c r="A23" s="322">
        <v>2012</v>
      </c>
      <c r="B23" s="1090">
        <v>7604.77</v>
      </c>
      <c r="C23" s="137">
        <v>8711.07</v>
      </c>
      <c r="D23" s="136">
        <v>2688.79</v>
      </c>
      <c r="E23" s="137">
        <v>3780.24</v>
      </c>
      <c r="F23" s="136">
        <v>10293.560000000001</v>
      </c>
      <c r="G23" s="137">
        <v>378.56</v>
      </c>
      <c r="H23" s="136">
        <v>12491.31</v>
      </c>
      <c r="I23" s="206">
        <v>465.92</v>
      </c>
      <c r="K23" s="153">
        <v>655.05834000000004</v>
      </c>
      <c r="L23" s="732">
        <v>45.07611</v>
      </c>
      <c r="M23" s="1091">
        <v>86894.359012861896</v>
      </c>
      <c r="N23" s="1092">
        <v>169051.51436890275</v>
      </c>
      <c r="P23" s="12" t="s">
        <v>1587</v>
      </c>
    </row>
    <row r="24" spans="1:16" ht="20.25" customHeight="1">
      <c r="A24" s="130" t="s">
        <v>396</v>
      </c>
      <c r="B24" s="695"/>
      <c r="C24" s="695"/>
      <c r="D24" s="695"/>
      <c r="E24" s="695"/>
      <c r="F24" s="695"/>
      <c r="G24" s="695"/>
      <c r="H24" s="1093"/>
    </row>
    <row r="25" spans="1:16" ht="14.25" customHeight="1">
      <c r="A25" s="359"/>
      <c r="B25" s="359"/>
      <c r="C25" s="359"/>
      <c r="D25" s="359"/>
      <c r="E25" s="359"/>
      <c r="F25" s="359"/>
      <c r="G25" s="359"/>
      <c r="H25" s="1094"/>
    </row>
    <row r="26" spans="1:16">
      <c r="A26" s="3" t="s">
        <v>1588</v>
      </c>
    </row>
    <row r="27" spans="1:16">
      <c r="A27" s="3" t="s">
        <v>1589</v>
      </c>
    </row>
    <row r="28" spans="1:16">
      <c r="A28" s="3" t="s">
        <v>1590</v>
      </c>
    </row>
    <row r="29" spans="1:16">
      <c r="A29" s="4" t="s">
        <v>1591</v>
      </c>
    </row>
    <row r="31" spans="1:16">
      <c r="A31" s="3" t="s">
        <v>1592</v>
      </c>
    </row>
    <row r="34" spans="1:1">
      <c r="A34" s="3" t="s">
        <v>395</v>
      </c>
    </row>
  </sheetData>
  <mergeCells count="6">
    <mergeCell ref="B3:C3"/>
    <mergeCell ref="D3:E3"/>
    <mergeCell ref="F3:G3"/>
    <mergeCell ref="H3:I3"/>
    <mergeCell ref="K3:L3"/>
    <mergeCell ref="M3:N3"/>
  </mergeCells>
  <pageMargins left="0.49" right="0.54" top="0.72" bottom="0.49" header="0.56000000000000005" footer="0.4921259845"/>
  <pageSetup paperSize="9" scale="80" orientation="landscape" horizontalDpi="4294967292" verticalDpi="4294967292"/>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B1D0-384F-E54D-A47B-E9EC7430B483}">
  <sheetPr>
    <pageSetUpPr fitToPage="1"/>
  </sheetPr>
  <dimension ref="A1:K34"/>
  <sheetViews>
    <sheetView topLeftCell="A4" zoomScaleNormal="100" workbookViewId="0">
      <selection activeCell="B47" sqref="B47"/>
    </sheetView>
  </sheetViews>
  <sheetFormatPr baseColWidth="10" defaultColWidth="11.3984375" defaultRowHeight="13"/>
  <cols>
    <col min="1" max="1" width="15.59765625" style="3" customWidth="1"/>
    <col min="2" max="2" width="15.3984375" style="3" customWidth="1"/>
    <col min="3" max="3" width="15.3984375" style="514" customWidth="1"/>
    <col min="4" max="4" width="15.3984375" style="3" customWidth="1"/>
    <col min="5" max="5" width="15.3984375" style="514" customWidth="1"/>
    <col min="6" max="6" width="15.3984375" style="3" customWidth="1"/>
    <col min="7" max="7" width="15.3984375" style="514" customWidth="1"/>
    <col min="8" max="8" width="6.59765625" style="3" customWidth="1"/>
    <col min="9" max="16384" width="11.3984375" style="3"/>
  </cols>
  <sheetData>
    <row r="1" spans="1:11" s="2" customFormat="1" ht="14" customHeight="1">
      <c r="C1" s="608"/>
      <c r="E1" s="608"/>
      <c r="G1" s="608"/>
    </row>
    <row r="2" spans="1:11" s="2" customFormat="1" ht="24" customHeight="1">
      <c r="A2" s="164" t="s">
        <v>811</v>
      </c>
      <c r="C2" s="608"/>
      <c r="E2" s="608"/>
      <c r="G2" s="442"/>
    </row>
    <row r="3" spans="1:11" ht="24" customHeight="1">
      <c r="A3" s="109" t="s">
        <v>586</v>
      </c>
      <c r="B3" s="110" t="s">
        <v>727</v>
      </c>
      <c r="C3" s="516" t="s">
        <v>256</v>
      </c>
      <c r="D3" s="110" t="s">
        <v>728</v>
      </c>
      <c r="E3" s="516" t="s">
        <v>256</v>
      </c>
      <c r="F3" s="110" t="s">
        <v>485</v>
      </c>
      <c r="G3" s="516" t="s">
        <v>256</v>
      </c>
    </row>
    <row r="4" spans="1:11" ht="15" customHeight="1">
      <c r="A4" s="112"/>
      <c r="B4" s="113" t="s">
        <v>485</v>
      </c>
      <c r="C4" s="518" t="s">
        <v>257</v>
      </c>
      <c r="D4" s="113" t="s">
        <v>729</v>
      </c>
      <c r="E4" s="518" t="s">
        <v>257</v>
      </c>
      <c r="F4" s="113" t="s">
        <v>730</v>
      </c>
      <c r="G4" s="518" t="s">
        <v>257</v>
      </c>
    </row>
    <row r="5" spans="1:11" ht="15" customHeight="1">
      <c r="A5" s="112"/>
      <c r="B5" s="113" t="s">
        <v>731</v>
      </c>
      <c r="C5" s="518" t="s">
        <v>258</v>
      </c>
      <c r="D5" s="113" t="s">
        <v>732</v>
      </c>
      <c r="E5" s="518" t="s">
        <v>258</v>
      </c>
      <c r="F5" s="113" t="s">
        <v>812</v>
      </c>
      <c r="G5" s="518" t="s">
        <v>258</v>
      </c>
    </row>
    <row r="6" spans="1:11" ht="24" customHeight="1">
      <c r="A6" s="116"/>
      <c r="B6" s="117"/>
      <c r="C6" s="403"/>
      <c r="D6" s="117" t="s">
        <v>734</v>
      </c>
      <c r="E6" s="403"/>
      <c r="F6" s="117"/>
      <c r="G6" s="403"/>
    </row>
    <row r="7" spans="1:11" ht="2.25" customHeight="1" thickBot="1">
      <c r="A7" s="120">
        <v>1996</v>
      </c>
      <c r="B7" s="132">
        <v>16879.057940520001</v>
      </c>
      <c r="C7" s="158">
        <v>3.1990175768496547E-2</v>
      </c>
      <c r="D7" s="132">
        <v>17192.470827740002</v>
      </c>
      <c r="E7" s="158">
        <v>6.792517720196245E-2</v>
      </c>
      <c r="F7" s="132">
        <v>-313.41288724000009</v>
      </c>
      <c r="G7" s="158">
        <v>-2.2198566405891191</v>
      </c>
      <c r="I7" s="9"/>
      <c r="J7" s="9"/>
      <c r="K7" s="9"/>
    </row>
    <row r="8" spans="1:11" ht="0.75" hidden="1" customHeight="1" thickBot="1">
      <c r="A8" s="123">
        <v>1997</v>
      </c>
      <c r="B8" s="134">
        <v>17865.03228775</v>
      </c>
      <c r="C8" s="159">
        <v>5.8414062603758345E-2</v>
      </c>
      <c r="D8" s="134">
        <v>17672.056997619999</v>
      </c>
      <c r="E8" s="159">
        <v>2.7895127738485698E-2</v>
      </c>
      <c r="F8" s="134">
        <v>192.97529009999997</v>
      </c>
      <c r="G8" s="159">
        <v>1.6157222563481464</v>
      </c>
    </row>
    <row r="9" spans="1:11" ht="0.75" hidden="1" customHeight="1" thickBot="1">
      <c r="A9" s="123">
        <v>1998</v>
      </c>
      <c r="B9" s="134">
        <v>18556.3398476</v>
      </c>
      <c r="C9" s="159">
        <v>3.8696127088671844E-2</v>
      </c>
      <c r="D9" s="134">
        <v>18402.610160249998</v>
      </c>
      <c r="E9" s="159">
        <v>4.1339452601832818E-2</v>
      </c>
      <c r="F9" s="134">
        <v>153.72876116999998</v>
      </c>
      <c r="G9" s="159">
        <v>-0.20337592916514025</v>
      </c>
    </row>
    <row r="10" spans="1:11" ht="19.25" hidden="1" customHeight="1" thickBot="1">
      <c r="A10" s="123">
        <v>1999</v>
      </c>
      <c r="B10" s="134">
        <v>18130.009685380002</v>
      </c>
      <c r="C10" s="159">
        <v>-2.2974905920099209E-2</v>
      </c>
      <c r="D10" s="134">
        <v>18002.60641059</v>
      </c>
      <c r="E10" s="159">
        <v>-2.1736250791423828E-2</v>
      </c>
      <c r="F10" s="134">
        <v>127.40327493000001</v>
      </c>
      <c r="G10" s="159">
        <v>-0.17124633048260957</v>
      </c>
    </row>
    <row r="11" spans="1:11" ht="19.25" hidden="1" customHeight="1" thickBot="1">
      <c r="A11" s="123">
        <v>2000</v>
      </c>
      <c r="B11" s="124">
        <v>17664.531028940004</v>
      </c>
      <c r="C11" s="159">
        <v>-2.5674484708927636E-2</v>
      </c>
      <c r="D11" s="124">
        <v>17831.851511680001</v>
      </c>
      <c r="E11" s="159">
        <v>-9.4850098377728953E-3</v>
      </c>
      <c r="F11" s="124">
        <v>-167.29975024999999</v>
      </c>
      <c r="G11" s="159">
        <v>-2.3131510971120686</v>
      </c>
    </row>
    <row r="12" spans="1:11" ht="19.5" hidden="1" customHeight="1" thickBot="1">
      <c r="A12" s="123">
        <v>2001</v>
      </c>
      <c r="B12" s="124">
        <v>16854.501682999999</v>
      </c>
      <c r="C12" s="159">
        <v>-4.5856261035910006E-2</v>
      </c>
      <c r="D12" s="124">
        <v>17581.378779999999</v>
      </c>
      <c r="E12" s="159">
        <v>-1.4046367059300624E-2</v>
      </c>
      <c r="F12" s="124">
        <v>-724.67685832999996</v>
      </c>
      <c r="G12" s="159">
        <v>-3.3316075322712564</v>
      </c>
    </row>
    <row r="13" spans="1:11" ht="19.5" customHeight="1" thickBot="1">
      <c r="A13" s="123">
        <v>2002</v>
      </c>
      <c r="B13" s="124">
        <v>17923.033692000001</v>
      </c>
      <c r="C13" s="159">
        <v>6.3397425156613174E-2</v>
      </c>
      <c r="D13" s="124">
        <v>18156.411305000001</v>
      </c>
      <c r="E13" s="159">
        <v>3.2706907245189543E-2</v>
      </c>
      <c r="F13" s="124">
        <v>-233.37761233999998</v>
      </c>
      <c r="G13" s="159">
        <v>0.67795630610060742</v>
      </c>
    </row>
    <row r="14" spans="1:11" ht="19.5" customHeight="1" thickBot="1">
      <c r="A14" s="123">
        <v>2003</v>
      </c>
      <c r="B14" s="124">
        <v>19735.068495</v>
      </c>
      <c r="C14" s="159">
        <v>0.10110089810347267</v>
      </c>
      <c r="D14" s="124">
        <v>19234.994873</v>
      </c>
      <c r="E14" s="159">
        <v>5.9405107643875299E-2</v>
      </c>
      <c r="F14" s="124">
        <v>500.07362212000004</v>
      </c>
      <c r="G14" s="159">
        <v>3.1427660395782078</v>
      </c>
    </row>
    <row r="15" spans="1:11" ht="19.5" customHeight="1" thickBot="1">
      <c r="A15" s="123">
        <v>2004</v>
      </c>
      <c r="B15" s="124">
        <v>20469.211171999999</v>
      </c>
      <c r="C15" s="159">
        <v>3.7199905193437743E-2</v>
      </c>
      <c r="D15" s="124">
        <v>19860.79033</v>
      </c>
      <c r="E15" s="159">
        <v>3.2534214910471482E-2</v>
      </c>
      <c r="F15" s="124">
        <v>608.42084196000008</v>
      </c>
      <c r="G15" s="159">
        <v>0.21666253736934862</v>
      </c>
    </row>
    <row r="16" spans="1:11" ht="19.5" customHeight="1" thickBot="1">
      <c r="A16" s="123">
        <v>2005</v>
      </c>
      <c r="B16" s="124">
        <v>21134.645651759998</v>
      </c>
      <c r="C16" s="159">
        <v>3.2509043664088688E-2</v>
      </c>
      <c r="D16" s="124">
        <v>20885.686091</v>
      </c>
      <c r="E16" s="159">
        <v>5.1603976678203045E-2</v>
      </c>
      <c r="F16" s="124">
        <v>248.95956138999998</v>
      </c>
      <c r="G16" s="159">
        <v>-0.59081026779426549</v>
      </c>
    </row>
    <row r="17" spans="1:9" ht="19.5" customHeight="1" thickBot="1">
      <c r="A17" s="123">
        <v>2006</v>
      </c>
      <c r="B17" s="124">
        <v>21891.095507740003</v>
      </c>
      <c r="C17" s="159">
        <v>3.5791934648168988E-2</v>
      </c>
      <c r="D17" s="124">
        <v>21334.273675</v>
      </c>
      <c r="E17" s="159">
        <v>2.147823069088961E-2</v>
      </c>
      <c r="F17" s="124">
        <v>556.82183227999997</v>
      </c>
      <c r="G17" s="159">
        <v>1.2365954903323748</v>
      </c>
    </row>
    <row r="18" spans="1:9" ht="19.5" customHeight="1" thickBot="1">
      <c r="A18" s="123">
        <v>2007</v>
      </c>
      <c r="B18" s="124">
        <v>22327.610027520001</v>
      </c>
      <c r="C18" s="159">
        <v>1.9940277526342198E-2</v>
      </c>
      <c r="D18" s="124">
        <v>22091.411327379999</v>
      </c>
      <c r="E18" s="159">
        <v>3.5489263141272653E-2</v>
      </c>
      <c r="F18" s="124">
        <v>236.19870014000003</v>
      </c>
      <c r="G18" s="159">
        <v>-0.57580919704091882</v>
      </c>
    </row>
    <row r="19" spans="1:9" ht="19.5" customHeight="1" thickBot="1">
      <c r="A19" s="123">
        <v>2008</v>
      </c>
      <c r="B19" s="124">
        <v>22243.624231310001</v>
      </c>
      <c r="C19" s="159">
        <v>-3.761521994807393E-3</v>
      </c>
      <c r="D19" s="124">
        <v>22986.427970659999</v>
      </c>
      <c r="E19" s="159">
        <v>4.0514235601177617E-2</v>
      </c>
      <c r="F19" s="124">
        <v>-742.80373934999989</v>
      </c>
      <c r="G19" s="159">
        <v>-4.1448256866347029</v>
      </c>
    </row>
    <row r="20" spans="1:9" ht="19.5" customHeight="1" thickBot="1">
      <c r="A20" s="123">
        <v>2009</v>
      </c>
      <c r="B20" s="124">
        <v>23404.08514187</v>
      </c>
      <c r="C20" s="159">
        <v>5.217049607080404E-2</v>
      </c>
      <c r="D20" s="124">
        <v>23827.526591220001</v>
      </c>
      <c r="E20" s="159">
        <v>3.6591097217609558E-2</v>
      </c>
      <c r="F20" s="124">
        <v>-423.44144935000003</v>
      </c>
      <c r="G20" s="159">
        <v>0.42994168322235699</v>
      </c>
    </row>
    <row r="21" spans="1:9" ht="19.5" customHeight="1" thickBot="1">
      <c r="A21" s="123">
        <v>2010</v>
      </c>
      <c r="B21" s="124">
        <v>25088.370668240004</v>
      </c>
      <c r="C21" s="159">
        <v>7.1965450311783918E-2</v>
      </c>
      <c r="D21" s="124">
        <v>24788.780569209994</v>
      </c>
      <c r="E21" s="159">
        <v>4.0342163686607702E-2</v>
      </c>
      <c r="F21" s="124">
        <v>299.59009902999998</v>
      </c>
      <c r="G21" s="159">
        <v>1.707512454177273</v>
      </c>
    </row>
    <row r="22" spans="1:9" ht="19.5" customHeight="1" thickBot="1">
      <c r="A22" s="123">
        <v>2011</v>
      </c>
      <c r="B22" s="124">
        <v>25928.84879041</v>
      </c>
      <c r="C22" s="159">
        <v>3.3500705696842159E-2</v>
      </c>
      <c r="D22" s="124">
        <v>25308.609307279999</v>
      </c>
      <c r="E22" s="159">
        <v>2.0970323111241695E-2</v>
      </c>
      <c r="F22" s="124">
        <v>620.23948312999994</v>
      </c>
      <c r="G22" s="159">
        <v>1.0702936617003862</v>
      </c>
    </row>
    <row r="23" spans="1:9" s="266" customFormat="1" ht="26.25" customHeight="1" thickBot="1">
      <c r="A23" s="430">
        <v>2012</v>
      </c>
      <c r="B23" s="537" vm="86">
        <v>27556.097833810003</v>
      </c>
      <c r="C23" s="160">
        <v>6.2758244939970176E-2</v>
      </c>
      <c r="D23" s="537" vm="87">
        <v>26485.736212660002</v>
      </c>
      <c r="E23" s="160">
        <v>4.6510928004305674E-2</v>
      </c>
      <c r="F23" s="537" vm="86">
        <v>1070.3616211500002</v>
      </c>
      <c r="G23" s="160">
        <v>0.7257231283446951</v>
      </c>
      <c r="I23" s="641"/>
    </row>
    <row r="24" spans="1:9" ht="20" customHeight="1">
      <c r="A24" s="130" t="s">
        <v>396</v>
      </c>
      <c r="B24" s="130"/>
      <c r="C24" s="621"/>
      <c r="D24" s="130"/>
      <c r="E24" s="621"/>
      <c r="F24" s="130"/>
      <c r="G24" s="621"/>
    </row>
    <row r="25" spans="1:9" ht="13.5" customHeight="1">
      <c r="A25" s="131"/>
      <c r="B25" s="131"/>
      <c r="C25" s="513"/>
      <c r="D25" s="131"/>
      <c r="E25" s="513"/>
      <c r="F25" s="131"/>
      <c r="G25" s="513"/>
    </row>
    <row r="26" spans="1:9">
      <c r="A26" s="131" t="s">
        <v>813</v>
      </c>
    </row>
    <row r="27" spans="1:9">
      <c r="A27" s="3" t="s">
        <v>736</v>
      </c>
    </row>
    <row r="28" spans="1:9">
      <c r="A28" s="3" t="s">
        <v>814</v>
      </c>
    </row>
    <row r="29" spans="1:9">
      <c r="A29" s="3" t="s">
        <v>815</v>
      </c>
    </row>
    <row r="31" spans="1:9">
      <c r="A31" s="280" t="s">
        <v>816</v>
      </c>
    </row>
    <row r="34" spans="1:1">
      <c r="A34" s="3" t="s">
        <v>395</v>
      </c>
    </row>
  </sheetData>
  <pageMargins left="0.55000000000000004" right="0.28999999999999998" top="1.1000000000000001" bottom="0.49" header="0.59" footer="0.4921259845"/>
  <pageSetup paperSize="9" scale="83" orientation="portrait" horizontalDpi="4294967292" verticalDpi="4294967292"/>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C73F-699C-364F-BB69-B4F454B9467D}">
  <sheetPr>
    <pageSetUpPr fitToPage="1"/>
  </sheetPr>
  <dimension ref="A1:H82"/>
  <sheetViews>
    <sheetView topLeftCell="A17" zoomScaleNormal="100" workbookViewId="0">
      <selection activeCell="B34" sqref="B34"/>
    </sheetView>
  </sheetViews>
  <sheetFormatPr baseColWidth="10" defaultColWidth="11.3984375" defaultRowHeight="13"/>
  <cols>
    <col min="1" max="1" width="16.3984375" style="3" customWidth="1"/>
    <col min="2" max="2" width="83.59765625" style="181" customWidth="1"/>
    <col min="3" max="3" width="7.19921875" style="181" customWidth="1"/>
    <col min="4" max="4" width="21.3984375" style="182" customWidth="1"/>
    <col min="5" max="16384" width="11.3984375" style="3"/>
  </cols>
  <sheetData>
    <row r="1" spans="1:8" s="2" customFormat="1" ht="14" customHeight="1">
      <c r="B1" s="161"/>
      <c r="C1" s="161"/>
      <c r="D1" s="162"/>
    </row>
    <row r="2" spans="1:8" s="2" customFormat="1" ht="24" customHeight="1">
      <c r="A2" s="2054" t="s">
        <v>817</v>
      </c>
      <c r="B2" s="2055"/>
      <c r="C2" s="161"/>
      <c r="D2" s="164">
        <v>2012</v>
      </c>
    </row>
    <row r="3" spans="1:8" ht="28.75" customHeight="1">
      <c r="A3" s="642" t="s">
        <v>261</v>
      </c>
      <c r="B3" s="642"/>
      <c r="C3" s="165"/>
      <c r="D3" s="166" t="s">
        <v>230</v>
      </c>
    </row>
    <row r="4" spans="1:8" ht="28.75" customHeight="1">
      <c r="A4" s="643"/>
      <c r="B4" s="168"/>
      <c r="C4" s="169"/>
      <c r="D4" s="170" t="s">
        <v>262</v>
      </c>
    </row>
    <row r="5" spans="1:8" ht="18" customHeight="1" thickBot="1">
      <c r="A5" s="644"/>
      <c r="B5" s="645" t="s">
        <v>818</v>
      </c>
      <c r="C5" s="172"/>
      <c r="D5" s="173" t="s">
        <v>397</v>
      </c>
      <c r="F5" s="60"/>
      <c r="G5" s="60"/>
      <c r="H5" s="60"/>
    </row>
    <row r="6" spans="1:8" ht="18" customHeight="1" thickBot="1">
      <c r="A6" s="646">
        <v>30</v>
      </c>
      <c r="B6" s="174" t="s">
        <v>819</v>
      </c>
      <c r="C6" s="175"/>
      <c r="D6" s="173" vm="237">
        <v>26948478340.950005</v>
      </c>
      <c r="F6" s="60"/>
      <c r="G6" s="60"/>
      <c r="H6" s="60"/>
    </row>
    <row r="7" spans="1:8" ht="18" customHeight="1" thickBot="1">
      <c r="A7" s="646">
        <v>300</v>
      </c>
      <c r="B7" s="174" t="s">
        <v>1065</v>
      </c>
      <c r="C7" s="175"/>
      <c r="D7" s="173" vm="64">
        <v>252670217.77000004</v>
      </c>
      <c r="F7" s="60"/>
      <c r="G7" s="60"/>
      <c r="H7" s="60"/>
    </row>
    <row r="8" spans="1:8" ht="18" customHeight="1" thickBot="1">
      <c r="A8" s="646">
        <v>301</v>
      </c>
      <c r="B8" s="174" t="s">
        <v>1066</v>
      </c>
      <c r="C8" s="175"/>
      <c r="D8" s="173" vm="23">
        <v>24620096858.000004</v>
      </c>
      <c r="F8" s="60"/>
      <c r="G8" s="60"/>
      <c r="H8" s="60"/>
    </row>
    <row r="9" spans="1:8" ht="18" customHeight="1" thickBot="1">
      <c r="A9" s="646">
        <v>3010</v>
      </c>
      <c r="B9" s="174" t="s">
        <v>1067</v>
      </c>
      <c r="C9" s="175"/>
      <c r="D9" s="173" vm="236">
        <v>7123961983.6500006</v>
      </c>
      <c r="F9" s="60"/>
      <c r="G9" s="60"/>
      <c r="H9" s="60"/>
    </row>
    <row r="10" spans="1:8" ht="18" customHeight="1" thickBot="1">
      <c r="A10" s="646">
        <v>3011</v>
      </c>
      <c r="B10" s="174" t="s">
        <v>1068</v>
      </c>
      <c r="C10" s="175"/>
      <c r="D10" s="173" vm="234">
        <v>161696204.32000002</v>
      </c>
      <c r="F10" s="60"/>
      <c r="G10" s="60"/>
      <c r="H10" s="60"/>
    </row>
    <row r="11" spans="1:8" ht="18" customHeight="1" thickBot="1">
      <c r="A11" s="646">
        <v>3012</v>
      </c>
      <c r="B11" s="174" t="s">
        <v>1069</v>
      </c>
      <c r="C11" s="175"/>
      <c r="D11" s="173" vm="235">
        <v>4990054268.829998</v>
      </c>
      <c r="F11" s="60"/>
      <c r="G11" s="60"/>
      <c r="H11" s="60"/>
    </row>
    <row r="12" spans="1:8" ht="18" customHeight="1" thickBot="1">
      <c r="A12" s="646">
        <v>3013</v>
      </c>
      <c r="B12" s="174" t="s">
        <v>1070</v>
      </c>
      <c r="C12" s="175"/>
      <c r="D12" s="173" vm="232">
        <v>15550965.209999999</v>
      </c>
      <c r="F12" s="60"/>
      <c r="G12" s="60"/>
      <c r="H12" s="60"/>
    </row>
    <row r="13" spans="1:8" ht="18" customHeight="1" thickBot="1">
      <c r="A13" s="646">
        <v>3014</v>
      </c>
      <c r="B13" s="174" t="s">
        <v>1071</v>
      </c>
      <c r="C13" s="175"/>
      <c r="D13" s="173" vm="233">
        <v>1371636508.4099998</v>
      </c>
      <c r="F13" s="60"/>
      <c r="G13" s="60"/>
      <c r="H13" s="60"/>
    </row>
    <row r="14" spans="1:8" ht="18" customHeight="1" thickBot="1">
      <c r="A14" s="646">
        <v>3015</v>
      </c>
      <c r="B14" s="174" t="s">
        <v>1072</v>
      </c>
      <c r="C14" s="175"/>
      <c r="D14" s="173" vm="230">
        <v>7617523680.3299971</v>
      </c>
      <c r="F14" s="60"/>
      <c r="G14" s="60"/>
      <c r="H14" s="60"/>
    </row>
    <row r="15" spans="1:8" ht="18" customHeight="1" thickBot="1">
      <c r="A15" s="646">
        <v>3016</v>
      </c>
      <c r="B15" s="174" t="s">
        <v>1073</v>
      </c>
      <c r="C15" s="175"/>
      <c r="D15" s="173" vm="231">
        <v>3339673247.2500005</v>
      </c>
      <c r="F15" s="60"/>
      <c r="G15" s="60"/>
      <c r="H15" s="60"/>
    </row>
    <row r="16" spans="1:8" ht="18" customHeight="1" thickBot="1">
      <c r="A16" s="646">
        <v>302</v>
      </c>
      <c r="B16" s="744" t="s">
        <v>1074</v>
      </c>
      <c r="C16" s="175"/>
      <c r="D16" s="173" vm="46">
        <v>2075711265.1800001</v>
      </c>
      <c r="F16" s="60"/>
      <c r="G16" s="60"/>
      <c r="H16" s="60"/>
    </row>
    <row r="17" spans="1:8" ht="18" customHeight="1" thickBot="1">
      <c r="A17" s="646">
        <v>33</v>
      </c>
      <c r="B17" s="174" t="s">
        <v>1075</v>
      </c>
      <c r="C17" s="175"/>
      <c r="D17" s="173" vm="229">
        <v>-166417072.63000003</v>
      </c>
      <c r="F17" s="60"/>
      <c r="G17" s="60"/>
      <c r="H17" s="60"/>
    </row>
    <row r="18" spans="1:8" ht="18" customHeight="1" thickBot="1">
      <c r="A18" s="646">
        <v>35</v>
      </c>
      <c r="B18" s="174" t="s">
        <v>1076</v>
      </c>
      <c r="C18" s="175"/>
      <c r="D18" s="173" vm="228">
        <v>-18247458.789999999</v>
      </c>
      <c r="F18" s="60"/>
      <c r="G18" s="60"/>
      <c r="H18" s="176"/>
    </row>
    <row r="19" spans="1:8" ht="18" customHeight="1" thickBot="1">
      <c r="A19" s="646">
        <v>36</v>
      </c>
      <c r="B19" s="174" t="s">
        <v>1077</v>
      </c>
      <c r="C19" s="175"/>
      <c r="D19" s="173" vm="86">
        <v>2485084628.7800002</v>
      </c>
      <c r="F19" s="60"/>
      <c r="G19" s="60"/>
      <c r="H19" s="60"/>
    </row>
    <row r="20" spans="1:8" ht="18" customHeight="1" thickBot="1">
      <c r="A20" s="646">
        <v>37</v>
      </c>
      <c r="B20" s="174" t="s">
        <v>1078</v>
      </c>
      <c r="C20" s="175" t="s">
        <v>265</v>
      </c>
      <c r="D20" s="173" vm="226">
        <v>-2411167993.9199996</v>
      </c>
      <c r="F20" s="60"/>
      <c r="G20" s="60"/>
      <c r="H20" s="177"/>
    </row>
    <row r="21" spans="1:8" ht="18" customHeight="1" thickBot="1">
      <c r="A21" s="646">
        <v>3</v>
      </c>
      <c r="B21" s="174" t="s">
        <v>1079</v>
      </c>
      <c r="C21" s="175"/>
      <c r="D21" s="173" vm="227">
        <v>26837730444.390003</v>
      </c>
      <c r="F21" s="60"/>
      <c r="G21" s="60"/>
      <c r="H21" s="60"/>
    </row>
    <row r="22" spans="1:8" ht="18" customHeight="1" thickBot="1">
      <c r="A22" s="646"/>
      <c r="B22" s="174"/>
      <c r="C22" s="175"/>
      <c r="D22" s="173" t="s">
        <v>397</v>
      </c>
      <c r="F22" s="60"/>
      <c r="G22" s="60"/>
      <c r="H22" s="60"/>
    </row>
    <row r="23" spans="1:8" ht="18" customHeight="1" thickBot="1">
      <c r="A23" s="646"/>
      <c r="B23" s="2008" t="s">
        <v>2567</v>
      </c>
      <c r="C23" s="175"/>
      <c r="D23" s="173" t="s">
        <v>397</v>
      </c>
      <c r="F23" s="60"/>
      <c r="G23" s="60"/>
      <c r="H23" s="60"/>
    </row>
    <row r="24" spans="1:8" ht="18" customHeight="1" thickBot="1">
      <c r="A24" s="646">
        <v>40</v>
      </c>
      <c r="B24" s="174" t="s">
        <v>1080</v>
      </c>
      <c r="C24" s="175" t="s">
        <v>265</v>
      </c>
      <c r="D24" s="173" vm="225">
        <v>-27793793643.900002</v>
      </c>
      <c r="F24" s="60"/>
      <c r="G24" s="60"/>
      <c r="H24" s="60"/>
    </row>
    <row r="25" spans="1:8" ht="18" customHeight="1" thickBot="1">
      <c r="A25" s="646">
        <v>401</v>
      </c>
      <c r="B25" s="174" t="s">
        <v>1081</v>
      </c>
      <c r="C25" s="175" t="s">
        <v>265</v>
      </c>
      <c r="D25" s="173" vm="18">
        <v>-26002948047.980015</v>
      </c>
      <c r="F25" s="60"/>
      <c r="G25" s="60"/>
      <c r="H25" s="60"/>
    </row>
    <row r="26" spans="1:8" ht="18" customHeight="1" thickBot="1">
      <c r="A26" s="646">
        <v>4010</v>
      </c>
      <c r="B26" s="174" t="s">
        <v>1067</v>
      </c>
      <c r="C26" s="175" t="s">
        <v>265</v>
      </c>
      <c r="D26" s="173" vm="223">
        <v>-10694215885.399996</v>
      </c>
      <c r="F26" s="60"/>
      <c r="G26" s="60"/>
      <c r="H26" s="60"/>
    </row>
    <row r="27" spans="1:8" ht="18" customHeight="1" thickBot="1">
      <c r="A27" s="646">
        <v>4011</v>
      </c>
      <c r="B27" s="174" t="s">
        <v>1068</v>
      </c>
      <c r="C27" s="175" t="s">
        <v>265</v>
      </c>
      <c r="D27" s="745" vm="224">
        <v>-101719755.86999999</v>
      </c>
      <c r="F27" s="60"/>
      <c r="G27" s="60"/>
      <c r="H27" s="60"/>
    </row>
    <row r="28" spans="1:8" ht="18" customHeight="1" thickBot="1">
      <c r="A28" s="646">
        <v>4012</v>
      </c>
      <c r="B28" s="174" t="s">
        <v>1069</v>
      </c>
      <c r="C28" s="175" t="s">
        <v>265</v>
      </c>
      <c r="D28" s="746" vm="221">
        <v>-4517064676.3400002</v>
      </c>
      <c r="F28" s="60"/>
      <c r="G28" s="60"/>
      <c r="H28" s="60"/>
    </row>
    <row r="29" spans="1:8" ht="18" customHeight="1" thickBot="1">
      <c r="A29" s="646">
        <v>4013</v>
      </c>
      <c r="B29" s="174" t="s">
        <v>1070</v>
      </c>
      <c r="C29" s="175" t="s">
        <v>265</v>
      </c>
      <c r="D29" s="746" vm="222">
        <v>-8308554.4799999986</v>
      </c>
      <c r="F29" s="60"/>
      <c r="G29" s="60"/>
      <c r="H29" s="60"/>
    </row>
    <row r="30" spans="1:8" ht="18" customHeight="1" thickBot="1">
      <c r="A30" s="646">
        <v>4014</v>
      </c>
      <c r="B30" s="174" t="s">
        <v>1071</v>
      </c>
      <c r="C30" s="175" t="s">
        <v>265</v>
      </c>
      <c r="D30" s="746" vm="219">
        <v>-1086278643.1899998</v>
      </c>
      <c r="F30" s="60"/>
      <c r="G30" s="60"/>
      <c r="H30" s="60"/>
    </row>
    <row r="31" spans="1:8" ht="18" customHeight="1" thickBot="1">
      <c r="A31" s="646">
        <v>4015</v>
      </c>
      <c r="B31" s="174" t="s">
        <v>1072</v>
      </c>
      <c r="C31" s="175" t="s">
        <v>265</v>
      </c>
      <c r="D31" s="747" vm="220">
        <v>-6843572215.9900007</v>
      </c>
      <c r="F31" s="60"/>
      <c r="G31" s="60"/>
      <c r="H31" s="60"/>
    </row>
    <row r="32" spans="1:8" ht="18" customHeight="1" thickBot="1">
      <c r="A32" s="646">
        <v>4016</v>
      </c>
      <c r="B32" s="174" t="s">
        <v>1073</v>
      </c>
      <c r="C32" s="175" t="s">
        <v>265</v>
      </c>
      <c r="D32" s="745" vm="217">
        <v>-2751788316.7100005</v>
      </c>
      <c r="F32" s="60"/>
      <c r="G32" s="60"/>
      <c r="H32" s="60"/>
    </row>
    <row r="33" spans="1:8" ht="18" customHeight="1" thickBot="1">
      <c r="A33" s="646">
        <v>402</v>
      </c>
      <c r="B33" s="174" t="s">
        <v>1082</v>
      </c>
      <c r="C33" s="175" t="s">
        <v>265</v>
      </c>
      <c r="D33" s="746" vm="218">
        <v>-1602595046.5100002</v>
      </c>
      <c r="F33" s="60"/>
      <c r="G33" s="60"/>
      <c r="H33" s="60"/>
    </row>
    <row r="34" spans="1:8" ht="18" customHeight="1" thickBot="1">
      <c r="A34" s="646">
        <v>42</v>
      </c>
      <c r="B34" s="2007" t="s">
        <v>2571</v>
      </c>
      <c r="C34" s="175"/>
      <c r="D34" s="746" vm="215">
        <v>3761591099.3200006</v>
      </c>
      <c r="F34" s="60"/>
      <c r="G34" s="60"/>
      <c r="H34" s="60"/>
    </row>
    <row r="35" spans="1:8" ht="18" customHeight="1" thickBot="1">
      <c r="A35" s="646">
        <v>420</v>
      </c>
      <c r="B35" s="174" t="s">
        <v>1083</v>
      </c>
      <c r="C35" s="175"/>
      <c r="D35" s="746" vm="216">
        <v>3770454407.1500006</v>
      </c>
      <c r="F35" s="60"/>
      <c r="G35" s="60"/>
      <c r="H35" s="60"/>
    </row>
    <row r="36" spans="1:8" ht="18" customHeight="1" thickBot="1">
      <c r="A36" s="646">
        <v>4200</v>
      </c>
      <c r="B36" s="174" t="s">
        <v>1067</v>
      </c>
      <c r="C36" s="175"/>
      <c r="D36" s="746" vm="213">
        <v>965014425.28999996</v>
      </c>
      <c r="F36" s="60"/>
      <c r="G36" s="60"/>
      <c r="H36" s="60"/>
    </row>
    <row r="37" spans="1:8" ht="18" customHeight="1" thickBot="1">
      <c r="A37" s="646">
        <v>4201</v>
      </c>
      <c r="B37" s="174" t="s">
        <v>1068</v>
      </c>
      <c r="C37" s="175"/>
      <c r="D37" s="746" vm="214">
        <v>5495478.4400000013</v>
      </c>
      <c r="F37" s="60"/>
      <c r="G37" s="60"/>
      <c r="H37" s="60"/>
    </row>
    <row r="38" spans="1:8" ht="18" customHeight="1" thickBot="1">
      <c r="A38" s="646">
        <v>4202</v>
      </c>
      <c r="B38" s="174" t="s">
        <v>1069</v>
      </c>
      <c r="C38" s="175"/>
      <c r="D38" s="747" vm="211">
        <v>864425107.01000023</v>
      </c>
      <c r="F38" s="60"/>
      <c r="G38" s="60"/>
      <c r="H38" s="60"/>
    </row>
    <row r="39" spans="1:8" ht="18" customHeight="1" thickBot="1">
      <c r="A39" s="646">
        <v>4203</v>
      </c>
      <c r="B39" s="174" t="s">
        <v>1070</v>
      </c>
      <c r="C39" s="175"/>
      <c r="D39" s="173" vm="212">
        <v>1204859.28</v>
      </c>
      <c r="F39" s="60"/>
      <c r="G39" s="60"/>
      <c r="H39" s="60"/>
    </row>
    <row r="40" spans="1:8" ht="18" customHeight="1" thickBot="1">
      <c r="A40" s="646">
        <v>4204</v>
      </c>
      <c r="B40" s="174" t="s">
        <v>1071</v>
      </c>
      <c r="C40" s="175"/>
      <c r="D40" s="173" vm="209">
        <v>208296204.67999998</v>
      </c>
      <c r="F40" s="60"/>
      <c r="G40" s="60"/>
      <c r="H40" s="60"/>
    </row>
    <row r="41" spans="1:8" ht="18" customHeight="1" thickBot="1">
      <c r="A41" s="646">
        <v>4205</v>
      </c>
      <c r="B41" s="174" t="s">
        <v>1072</v>
      </c>
      <c r="C41" s="175"/>
      <c r="D41" s="173" vm="210">
        <v>1176304452.7299998</v>
      </c>
      <c r="F41" s="60"/>
      <c r="G41" s="60"/>
      <c r="H41" s="60"/>
    </row>
    <row r="42" spans="1:8" ht="18" customHeight="1" thickBot="1">
      <c r="A42" s="646">
        <v>4206</v>
      </c>
      <c r="B42" s="174" t="s">
        <v>1073</v>
      </c>
      <c r="C42" s="175"/>
      <c r="D42" s="173" vm="208">
        <v>498431369.92000008</v>
      </c>
      <c r="F42" s="60"/>
      <c r="G42" s="60"/>
      <c r="H42" s="60"/>
    </row>
    <row r="43" spans="1:8" ht="18" customHeight="1" thickBot="1">
      <c r="A43" s="646">
        <v>4207</v>
      </c>
      <c r="B43" s="174" t="s">
        <v>1084</v>
      </c>
      <c r="C43" s="175"/>
      <c r="D43" s="173" vm="41">
        <v>51282509.799999997</v>
      </c>
      <c r="F43" s="60"/>
      <c r="G43" s="60"/>
      <c r="H43" s="60"/>
    </row>
    <row r="44" spans="1:8" ht="18" customHeight="1" thickBot="1">
      <c r="A44" s="646">
        <v>421</v>
      </c>
      <c r="B44" s="174" t="s">
        <v>1085</v>
      </c>
      <c r="C44" s="175" t="s">
        <v>265</v>
      </c>
      <c r="D44" s="173" vm="206">
        <v>-8863307.8300000001</v>
      </c>
      <c r="F44" s="60"/>
      <c r="G44" s="60"/>
      <c r="H44" s="60"/>
    </row>
    <row r="45" spans="1:8" ht="18" customHeight="1" thickBot="1">
      <c r="A45" s="755">
        <v>4210</v>
      </c>
      <c r="B45" s="174" t="s">
        <v>1067</v>
      </c>
      <c r="C45" s="175" t="s">
        <v>265</v>
      </c>
      <c r="D45" s="173" vm="244">
        <v>-3566269.618939999</v>
      </c>
      <c r="F45" s="60"/>
      <c r="G45" s="60"/>
      <c r="H45" s="60"/>
    </row>
    <row r="46" spans="1:8" ht="18" customHeight="1" thickBot="1">
      <c r="A46" s="755">
        <v>4211</v>
      </c>
      <c r="B46" s="174" t="s">
        <v>1068</v>
      </c>
      <c r="C46" s="175" t="s">
        <v>265</v>
      </c>
      <c r="D46" s="173" vm="243">
        <v>-42039.16</v>
      </c>
      <c r="F46" s="60"/>
      <c r="G46" s="60"/>
      <c r="H46" s="60"/>
    </row>
    <row r="47" spans="1:8" ht="18" customHeight="1" thickBot="1">
      <c r="A47" s="755">
        <v>4212</v>
      </c>
      <c r="B47" s="174" t="s">
        <v>1069</v>
      </c>
      <c r="C47" s="175" t="s">
        <v>265</v>
      </c>
      <c r="D47" s="173" vm="242">
        <v>-1434074.9268899998</v>
      </c>
      <c r="F47" s="60"/>
      <c r="G47" s="60"/>
      <c r="H47" s="60"/>
    </row>
    <row r="48" spans="1:8" ht="18" customHeight="1" thickBot="1">
      <c r="A48" s="755">
        <v>4213</v>
      </c>
      <c r="B48" s="174" t="s">
        <v>1070</v>
      </c>
      <c r="C48" s="175" t="s">
        <v>265</v>
      </c>
      <c r="D48" s="173" vm="241">
        <v>-1727.2599999999998</v>
      </c>
      <c r="F48" s="60"/>
      <c r="G48" s="60"/>
      <c r="H48" s="60"/>
    </row>
    <row r="49" spans="1:8" ht="18" customHeight="1" thickBot="1">
      <c r="A49" s="755">
        <v>4214</v>
      </c>
      <c r="B49" s="174" t="s">
        <v>1071</v>
      </c>
      <c r="C49" s="175" t="s">
        <v>265</v>
      </c>
      <c r="D49" s="173" vm="240">
        <v>-405405.05817000009</v>
      </c>
      <c r="F49" s="60"/>
      <c r="G49" s="60"/>
      <c r="H49" s="60"/>
    </row>
    <row r="50" spans="1:8" ht="18" customHeight="1" thickBot="1">
      <c r="A50" s="755">
        <v>4215</v>
      </c>
      <c r="B50" s="174" t="s">
        <v>1072</v>
      </c>
      <c r="C50" s="175" t="s">
        <v>265</v>
      </c>
      <c r="D50" s="173" vm="239">
        <v>-2010872.0659899998</v>
      </c>
      <c r="F50" s="60"/>
      <c r="G50" s="60"/>
      <c r="H50" s="60"/>
    </row>
    <row r="51" spans="1:8" ht="18" customHeight="1" thickBot="1">
      <c r="A51" s="755">
        <v>4216</v>
      </c>
      <c r="B51" s="174" t="s">
        <v>1073</v>
      </c>
      <c r="C51" s="175" t="s">
        <v>265</v>
      </c>
      <c r="D51" s="173" vm="238">
        <v>-1020866.0700000001</v>
      </c>
      <c r="F51" s="60"/>
      <c r="G51" s="60"/>
      <c r="H51" s="60"/>
    </row>
    <row r="52" spans="1:8" ht="18" customHeight="1" thickBot="1">
      <c r="A52" s="755">
        <v>4217</v>
      </c>
      <c r="B52" s="174" t="s">
        <v>1084</v>
      </c>
      <c r="C52" s="175" t="s">
        <v>265</v>
      </c>
      <c r="D52" s="173" vm="42">
        <v>-382053.67</v>
      </c>
      <c r="F52" s="60"/>
      <c r="G52" s="60"/>
      <c r="H52" s="60"/>
    </row>
    <row r="53" spans="1:8" ht="18" customHeight="1" thickBot="1">
      <c r="A53" s="646">
        <v>43</v>
      </c>
      <c r="B53" s="174" t="s">
        <v>1086</v>
      </c>
      <c r="C53" s="175" t="s">
        <v>265</v>
      </c>
      <c r="D53" s="173" vm="207">
        <v>-126855470.02</v>
      </c>
      <c r="F53" s="60"/>
      <c r="G53" s="60"/>
      <c r="H53" s="60"/>
    </row>
    <row r="54" spans="1:8" ht="18" customHeight="1" thickBot="1">
      <c r="A54" s="646">
        <v>44</v>
      </c>
      <c r="B54" s="174" t="s">
        <v>1087</v>
      </c>
      <c r="C54" s="175"/>
      <c r="D54" s="173" vm="205">
        <v>6807161.5500000026</v>
      </c>
      <c r="F54" s="60"/>
      <c r="G54" s="60"/>
      <c r="H54" s="60"/>
    </row>
    <row r="55" spans="1:8" ht="18" customHeight="1" thickBot="1">
      <c r="A55" s="646">
        <v>440</v>
      </c>
      <c r="B55" s="174" t="s">
        <v>1088</v>
      </c>
      <c r="C55" s="175"/>
      <c r="D55" s="173" vm="205">
        <v>23804775.140000004</v>
      </c>
      <c r="F55" s="60"/>
      <c r="G55" s="60"/>
      <c r="H55" s="60"/>
    </row>
    <row r="56" spans="1:8" ht="18" customHeight="1" thickBot="1">
      <c r="A56" s="646">
        <v>441</v>
      </c>
      <c r="B56" s="174" t="s">
        <v>1089</v>
      </c>
      <c r="C56" s="175"/>
      <c r="D56" s="173" vm="204">
        <v>-16997613.59</v>
      </c>
      <c r="F56" s="60"/>
      <c r="G56" s="60"/>
      <c r="H56" s="60"/>
    </row>
    <row r="57" spans="1:8" ht="18" customHeight="1" thickBot="1">
      <c r="A57" s="646">
        <v>45</v>
      </c>
      <c r="B57" s="174" t="s">
        <v>1090</v>
      </c>
      <c r="C57" s="175"/>
      <c r="D57" s="173" vm="204">
        <v>-292828990.68000007</v>
      </c>
      <c r="F57" s="60"/>
      <c r="G57" s="60"/>
      <c r="H57" s="60"/>
    </row>
    <row r="58" spans="1:8" ht="18" customHeight="1" thickBot="1">
      <c r="A58" s="646">
        <v>46</v>
      </c>
      <c r="B58" s="174" t="s">
        <v>1091</v>
      </c>
      <c r="C58" s="175"/>
      <c r="D58" s="173" vm="35">
        <v>-350301592.18000001</v>
      </c>
      <c r="F58" s="60"/>
      <c r="G58" s="60"/>
      <c r="H58" s="60"/>
    </row>
    <row r="59" spans="1:8" ht="18" customHeight="1" thickBot="1">
      <c r="A59" s="646">
        <v>48</v>
      </c>
      <c r="B59" s="174" t="s">
        <v>1092</v>
      </c>
      <c r="C59" s="175"/>
      <c r="D59" s="173" vm="35">
        <v>-68530191.549999863</v>
      </c>
      <c r="F59" s="60"/>
      <c r="G59" s="60"/>
      <c r="H59" s="60"/>
    </row>
    <row r="60" spans="1:8" ht="18" customHeight="1" thickBot="1">
      <c r="A60" s="646">
        <v>49</v>
      </c>
      <c r="B60" s="174" t="s">
        <v>1093</v>
      </c>
      <c r="C60" s="175"/>
      <c r="D60" s="173" vm="34">
        <v>-41296854.93</v>
      </c>
      <c r="F60" s="60"/>
      <c r="G60" s="60"/>
      <c r="H60" s="60"/>
    </row>
    <row r="61" spans="1:8" ht="18" customHeight="1" thickBot="1">
      <c r="A61" s="646">
        <v>4</v>
      </c>
      <c r="B61" s="174" t="s">
        <v>1094</v>
      </c>
      <c r="C61" s="175"/>
      <c r="D61" s="173" vm="34">
        <v>-24905208482.390003</v>
      </c>
      <c r="F61" s="60"/>
      <c r="G61" s="60"/>
      <c r="H61" s="60"/>
    </row>
    <row r="62" spans="1:8" ht="18" customHeight="1" thickBot="1">
      <c r="A62" s="748"/>
      <c r="B62" s="730"/>
      <c r="C62" s="179"/>
      <c r="D62" s="206" t="s">
        <v>397</v>
      </c>
      <c r="F62" s="60"/>
      <c r="G62" s="60"/>
      <c r="H62" s="60"/>
    </row>
    <row r="63" spans="1:8" ht="15.5" customHeight="1">
      <c r="A63" s="130" t="s">
        <v>396</v>
      </c>
    </row>
    <row r="64" spans="1:8" ht="14" thickBot="1"/>
    <row r="65" spans="1:6" ht="18" customHeight="1" thickBot="1">
      <c r="A65" s="726" t="s">
        <v>1095</v>
      </c>
      <c r="B65" s="726"/>
      <c r="C65" s="175"/>
      <c r="D65" s="192">
        <f>D8-D10</f>
        <v>24458400653.680004</v>
      </c>
      <c r="F65" s="336"/>
    </row>
    <row r="66" spans="1:6" ht="18" customHeight="1" thickBot="1">
      <c r="A66" s="726" t="s">
        <v>1096</v>
      </c>
      <c r="B66" s="726"/>
      <c r="C66" s="175"/>
      <c r="D66" s="192">
        <f>D25-D27</f>
        <v>-25901228292.110016</v>
      </c>
      <c r="F66" s="336"/>
    </row>
    <row r="67" spans="1:6" ht="18" customHeight="1" thickBot="1">
      <c r="A67" s="726" t="s">
        <v>1103</v>
      </c>
      <c r="B67" s="726"/>
      <c r="C67" s="175"/>
      <c r="D67" s="756">
        <v>3705237203.9100003</v>
      </c>
      <c r="F67" s="749"/>
    </row>
    <row r="68" spans="1:6" ht="18" customHeight="1" thickBot="1">
      <c r="A68" s="726" t="s">
        <v>1099</v>
      </c>
      <c r="B68" s="726"/>
      <c r="C68" s="175"/>
      <c r="D68" s="756">
        <v>22195991088.200016</v>
      </c>
      <c r="F68" s="749"/>
    </row>
    <row r="70" spans="1:6">
      <c r="A70" s="3" t="s">
        <v>1097</v>
      </c>
    </row>
    <row r="73" spans="1:6">
      <c r="A73" s="3" t="s">
        <v>395</v>
      </c>
    </row>
    <row r="79" spans="1:6">
      <c r="B79" s="199"/>
      <c r="C79" s="199"/>
      <c r="D79" s="60"/>
    </row>
    <row r="82" spans="1:4" ht="14">
      <c r="A82" s="200"/>
      <c r="B82" s="200"/>
      <c r="C82" s="201"/>
      <c r="D82" s="202"/>
    </row>
  </sheetData>
  <mergeCells count="1">
    <mergeCell ref="A2:B2"/>
  </mergeCells>
  <pageMargins left="0.59055118110236227" right="0.47244094488188981" top="0.34" bottom="0.28000000000000003" header="0.27" footer="0.21"/>
  <pageSetup paperSize="9" scale="64" orientation="portrait"/>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12AC-06BB-D041-83FB-3799FD3D018B}">
  <sheetPr>
    <pageSetUpPr fitToPage="1"/>
  </sheetPr>
  <dimension ref="A1:H72"/>
  <sheetViews>
    <sheetView zoomScaleNormal="100" workbookViewId="0">
      <selection activeCell="B44" sqref="B44"/>
    </sheetView>
  </sheetViews>
  <sheetFormatPr baseColWidth="10" defaultColWidth="11.3984375" defaultRowHeight="13"/>
  <cols>
    <col min="1" max="1" width="16.3984375" style="3" customWidth="1"/>
    <col min="2" max="2" width="83.59765625" style="181" customWidth="1"/>
    <col min="3" max="3" width="7.19921875" style="181" customWidth="1"/>
    <col min="4" max="4" width="20.796875" style="182" customWidth="1"/>
    <col min="5" max="16384" width="11.3984375" style="3"/>
  </cols>
  <sheetData>
    <row r="1" spans="1:8" s="2" customFormat="1" ht="14" customHeight="1">
      <c r="B1" s="161"/>
      <c r="C1" s="161"/>
      <c r="D1" s="162"/>
    </row>
    <row r="2" spans="1:8" s="2" customFormat="1" ht="25.75" customHeight="1">
      <c r="A2" s="2054" t="s">
        <v>888</v>
      </c>
      <c r="B2" s="2055"/>
      <c r="C2" s="161"/>
      <c r="D2" s="164">
        <v>2012</v>
      </c>
    </row>
    <row r="3" spans="1:8" ht="39" customHeight="1">
      <c r="A3" s="642" t="s">
        <v>261</v>
      </c>
      <c r="B3" s="642"/>
      <c r="C3" s="165"/>
      <c r="D3" s="166" t="s">
        <v>230</v>
      </c>
    </row>
    <row r="4" spans="1:8" ht="38" customHeight="1">
      <c r="A4" s="643"/>
      <c r="B4" s="168"/>
      <c r="C4" s="169"/>
      <c r="D4" s="170" t="s">
        <v>262</v>
      </c>
    </row>
    <row r="5" spans="1:8" ht="20" customHeight="1" thickBot="1">
      <c r="A5" s="644"/>
      <c r="B5" s="2009" t="s">
        <v>2572</v>
      </c>
      <c r="C5" s="172"/>
      <c r="D5" s="173" t="s">
        <v>397</v>
      </c>
      <c r="F5" s="60"/>
      <c r="G5" s="60"/>
      <c r="H5" s="60"/>
    </row>
    <row r="6" spans="1:8" ht="20" customHeight="1" thickBot="1">
      <c r="A6" s="646">
        <v>50</v>
      </c>
      <c r="B6" s="174" t="s">
        <v>889</v>
      </c>
      <c r="C6" s="175" t="s">
        <v>265</v>
      </c>
      <c r="D6" s="173" vm="88">
        <v>-1279530304.49</v>
      </c>
      <c r="F6" s="60"/>
      <c r="G6" s="60"/>
      <c r="H6" s="60"/>
    </row>
    <row r="7" spans="1:8" ht="20" customHeight="1" thickBot="1">
      <c r="A7" s="646">
        <v>51</v>
      </c>
      <c r="B7" s="174" t="s">
        <v>890</v>
      </c>
      <c r="C7" s="175"/>
      <c r="D7" s="173" vm="89">
        <v>-300997425.77999997</v>
      </c>
      <c r="F7" s="60"/>
      <c r="G7" s="60"/>
      <c r="H7" s="60"/>
    </row>
    <row r="8" spans="1:8" ht="20" customHeight="1" thickBot="1">
      <c r="A8" s="646">
        <v>510</v>
      </c>
      <c r="B8" s="174" t="s">
        <v>280</v>
      </c>
      <c r="C8" s="175" t="s">
        <v>265</v>
      </c>
      <c r="D8" s="173" vm="89">
        <v>-115047994.64000002</v>
      </c>
      <c r="F8" s="60"/>
      <c r="G8" s="60"/>
      <c r="H8" s="60"/>
    </row>
    <row r="9" spans="1:8" ht="20" customHeight="1" thickBot="1">
      <c r="A9" s="646">
        <v>516</v>
      </c>
      <c r="B9" s="174" t="s">
        <v>281</v>
      </c>
      <c r="C9" s="175" t="s">
        <v>265</v>
      </c>
      <c r="D9" s="173" vm="90">
        <v>-70694607.100000024</v>
      </c>
      <c r="F9" s="60"/>
      <c r="G9" s="60"/>
      <c r="H9" s="60"/>
    </row>
    <row r="10" spans="1:8" ht="20" customHeight="1" thickBot="1">
      <c r="A10" s="646">
        <v>517</v>
      </c>
      <c r="B10" s="174" t="s">
        <v>891</v>
      </c>
      <c r="C10" s="175" t="s">
        <v>265</v>
      </c>
      <c r="D10" s="173" vm="90">
        <v>-73611552.829999998</v>
      </c>
      <c r="F10" s="60"/>
      <c r="G10" s="60"/>
      <c r="H10" s="60"/>
    </row>
    <row r="11" spans="1:8" ht="20" customHeight="1" thickBot="1">
      <c r="A11" s="646">
        <v>519</v>
      </c>
      <c r="B11" s="174" t="s">
        <v>892</v>
      </c>
      <c r="C11" s="175" t="s">
        <v>265</v>
      </c>
      <c r="D11" s="173" vm="91">
        <v>-41643271.209999993</v>
      </c>
      <c r="F11" s="60"/>
      <c r="G11" s="60"/>
      <c r="H11" s="60"/>
    </row>
    <row r="12" spans="1:8" ht="20" customHeight="1" thickBot="1">
      <c r="A12" s="646" t="s">
        <v>893</v>
      </c>
      <c r="B12" s="2007" t="s">
        <v>2573</v>
      </c>
      <c r="C12" s="175"/>
      <c r="D12" s="173" vm="91">
        <v>-1580527730.27</v>
      </c>
      <c r="F12" s="60"/>
      <c r="G12" s="60"/>
      <c r="H12" s="60"/>
    </row>
    <row r="13" spans="1:8" ht="20" customHeight="1" thickBot="1">
      <c r="A13" s="646"/>
      <c r="B13" s="174"/>
      <c r="C13" s="175"/>
      <c r="D13" s="173" t="s">
        <v>397</v>
      </c>
      <c r="F13" s="60"/>
      <c r="G13" s="60"/>
      <c r="H13" s="60"/>
    </row>
    <row r="14" spans="1:8" ht="20" customHeight="1" thickBot="1">
      <c r="A14" s="646"/>
      <c r="B14" s="723" t="s">
        <v>894</v>
      </c>
      <c r="C14" s="175"/>
      <c r="D14" s="173" t="s">
        <v>397</v>
      </c>
      <c r="F14" s="60"/>
      <c r="G14" s="60"/>
      <c r="H14" s="60"/>
    </row>
    <row r="15" spans="1:8" ht="20" customHeight="1" thickBot="1">
      <c r="A15" s="646">
        <v>70</v>
      </c>
      <c r="B15" s="174" t="s">
        <v>895</v>
      </c>
      <c r="C15" s="175"/>
      <c r="D15" s="173" vm="92">
        <v>52144175.189999998</v>
      </c>
      <c r="F15" s="60"/>
      <c r="G15" s="60"/>
      <c r="H15" s="60"/>
    </row>
    <row r="16" spans="1:8" ht="20" customHeight="1" thickBot="1">
      <c r="A16" s="646">
        <v>700</v>
      </c>
      <c r="B16" s="174" t="s">
        <v>896</v>
      </c>
      <c r="C16" s="175"/>
      <c r="D16" s="173" vm="92">
        <v>51263087.119999997</v>
      </c>
      <c r="F16" s="60"/>
      <c r="G16" s="60"/>
      <c r="H16" s="60"/>
    </row>
    <row r="17" spans="1:8" ht="20" customHeight="1" thickBot="1">
      <c r="A17" s="646">
        <v>7000</v>
      </c>
      <c r="B17" s="174" t="s">
        <v>897</v>
      </c>
      <c r="C17" s="175"/>
      <c r="D17" s="173" vm="93">
        <v>5619096.2100000009</v>
      </c>
      <c r="F17" s="60"/>
      <c r="G17" s="60"/>
      <c r="H17" s="176"/>
    </row>
    <row r="18" spans="1:8" ht="20" customHeight="1" thickBot="1">
      <c r="A18" s="646">
        <v>7001</v>
      </c>
      <c r="B18" s="174" t="s">
        <v>898</v>
      </c>
      <c r="C18" s="175"/>
      <c r="D18" s="173" vm="93">
        <v>20659668.869999994</v>
      </c>
      <c r="F18" s="60"/>
      <c r="G18" s="60"/>
      <c r="H18" s="60"/>
    </row>
    <row r="19" spans="1:8" ht="20" customHeight="1" thickBot="1">
      <c r="A19" s="646">
        <v>7002</v>
      </c>
      <c r="B19" s="174" t="s">
        <v>899</v>
      </c>
      <c r="C19" s="175"/>
      <c r="D19" s="173" vm="94">
        <v>34034.589999999997</v>
      </c>
      <c r="F19" s="60"/>
      <c r="G19" s="60"/>
      <c r="H19" s="177"/>
    </row>
    <row r="20" spans="1:8" ht="20" customHeight="1" thickBot="1">
      <c r="A20" s="646">
        <v>7003</v>
      </c>
      <c r="B20" s="174" t="s">
        <v>900</v>
      </c>
      <c r="C20" s="175"/>
      <c r="D20" s="173" vm="94">
        <v>24994529.530000001</v>
      </c>
      <c r="F20" s="60"/>
      <c r="G20" s="60"/>
      <c r="H20" s="60"/>
    </row>
    <row r="21" spans="1:8" ht="20" customHeight="1" thickBot="1">
      <c r="A21" s="646">
        <v>7009</v>
      </c>
      <c r="B21" s="174" t="s">
        <v>2574</v>
      </c>
      <c r="C21" s="175"/>
      <c r="D21" s="173" vm="95">
        <v>-78628.320000000123</v>
      </c>
      <c r="F21" s="60"/>
      <c r="G21" s="60"/>
      <c r="H21" s="60"/>
    </row>
    <row r="22" spans="1:8" ht="20" customHeight="1" thickBot="1">
      <c r="A22" s="646">
        <v>701</v>
      </c>
      <c r="B22" s="174" t="s">
        <v>901</v>
      </c>
      <c r="C22" s="175"/>
      <c r="D22" s="173" vm="95">
        <v>881088.06999999983</v>
      </c>
      <c r="F22" s="60"/>
      <c r="G22" s="60"/>
      <c r="H22" s="60"/>
    </row>
    <row r="23" spans="1:8" ht="20" customHeight="1" thickBot="1">
      <c r="A23" s="646">
        <v>71</v>
      </c>
      <c r="B23" s="174" t="s">
        <v>902</v>
      </c>
      <c r="C23" s="175" t="s">
        <v>265</v>
      </c>
      <c r="D23" s="173" vm="96">
        <v>-12562677.469999999</v>
      </c>
      <c r="F23" s="60"/>
      <c r="G23" s="60"/>
      <c r="H23" s="60"/>
    </row>
    <row r="24" spans="1:8" ht="20" customHeight="1" thickBot="1">
      <c r="A24" s="646">
        <v>710</v>
      </c>
      <c r="B24" s="174" t="s">
        <v>903</v>
      </c>
      <c r="C24" s="175" t="s">
        <v>265</v>
      </c>
      <c r="D24" s="173" vm="97">
        <v>-9536630.6499999985</v>
      </c>
      <c r="F24" s="60"/>
      <c r="G24" s="60"/>
      <c r="H24" s="60"/>
    </row>
    <row r="25" spans="1:8" ht="20" customHeight="1" thickBot="1">
      <c r="A25" s="646">
        <v>7100</v>
      </c>
      <c r="B25" s="174" t="s">
        <v>897</v>
      </c>
      <c r="C25" s="175" t="s">
        <v>265</v>
      </c>
      <c r="D25" s="173" vm="98">
        <v>-1843085.9100000001</v>
      </c>
      <c r="F25" s="60"/>
      <c r="G25" s="60"/>
      <c r="H25" s="60"/>
    </row>
    <row r="26" spans="1:8" ht="20" customHeight="1" thickBot="1">
      <c r="A26" s="646">
        <v>7101</v>
      </c>
      <c r="B26" s="174" t="s">
        <v>904</v>
      </c>
      <c r="C26" s="175" t="s">
        <v>265</v>
      </c>
      <c r="D26" s="173" vm="99">
        <v>-6865075.6900000004</v>
      </c>
      <c r="F26" s="60"/>
      <c r="G26" s="60"/>
      <c r="H26" s="60"/>
    </row>
    <row r="27" spans="1:8" ht="20" customHeight="1" thickBot="1">
      <c r="A27" s="646">
        <v>7102</v>
      </c>
      <c r="B27" s="174" t="s">
        <v>905</v>
      </c>
      <c r="C27" s="175" t="s">
        <v>265</v>
      </c>
      <c r="D27" s="173" vm="100">
        <v>-406106.15</v>
      </c>
      <c r="F27" s="60"/>
      <c r="G27" s="60"/>
      <c r="H27" s="60"/>
    </row>
    <row r="28" spans="1:8" ht="20" customHeight="1" thickBot="1">
      <c r="A28" s="646">
        <v>7103</v>
      </c>
      <c r="B28" s="174" t="s">
        <v>906</v>
      </c>
      <c r="C28" s="175" t="s">
        <v>265</v>
      </c>
      <c r="D28" s="173" vm="101">
        <v>-106868</v>
      </c>
      <c r="F28" s="60"/>
      <c r="G28" s="60"/>
      <c r="H28" s="60"/>
    </row>
    <row r="29" spans="1:8" ht="20" customHeight="1" thickBot="1">
      <c r="A29" s="646">
        <v>7104</v>
      </c>
      <c r="B29" s="174" t="s">
        <v>907</v>
      </c>
      <c r="C29" s="175" t="s">
        <v>265</v>
      </c>
      <c r="D29" s="173" vm="102">
        <v>-315494.89</v>
      </c>
      <c r="F29" s="60"/>
      <c r="G29" s="60"/>
      <c r="H29" s="60"/>
    </row>
    <row r="30" spans="1:8" ht="20" customHeight="1" thickBot="1">
      <c r="A30" s="646">
        <v>711</v>
      </c>
      <c r="B30" s="174" t="s">
        <v>908</v>
      </c>
      <c r="C30" s="175" t="s">
        <v>265</v>
      </c>
      <c r="D30" s="173" vm="26">
        <v>-3026046.8200000003</v>
      </c>
      <c r="F30" s="60"/>
      <c r="G30" s="60"/>
      <c r="H30" s="60"/>
    </row>
    <row r="31" spans="1:8" ht="20" customHeight="1" thickBot="1">
      <c r="A31" s="646">
        <v>73</v>
      </c>
      <c r="B31" s="174" t="s">
        <v>909</v>
      </c>
      <c r="C31" s="175"/>
      <c r="D31" s="173" vm="103">
        <v>693005388.68000019</v>
      </c>
      <c r="F31" s="60"/>
      <c r="G31" s="60"/>
      <c r="H31" s="60"/>
    </row>
    <row r="32" spans="1:8" ht="20" customHeight="1" thickBot="1">
      <c r="A32" s="646">
        <v>730</v>
      </c>
      <c r="B32" s="174" t="s">
        <v>910</v>
      </c>
      <c r="C32" s="175"/>
      <c r="D32" s="756">
        <v>641745326.77999985</v>
      </c>
      <c r="F32" s="60"/>
      <c r="G32" s="60"/>
      <c r="H32" s="60"/>
    </row>
    <row r="33" spans="1:8" ht="20" customHeight="1" thickBot="1">
      <c r="A33" s="646">
        <v>7300</v>
      </c>
      <c r="B33" s="174" t="s">
        <v>911</v>
      </c>
      <c r="C33" s="175"/>
      <c r="D33" s="173" vm="104">
        <v>83907724.009999976</v>
      </c>
      <c r="F33" s="60"/>
      <c r="G33" s="60"/>
      <c r="H33" s="60"/>
    </row>
    <row r="34" spans="1:8" ht="20" customHeight="1" thickBot="1">
      <c r="A34" s="646">
        <v>7305</v>
      </c>
      <c r="B34" s="174" t="s">
        <v>912</v>
      </c>
      <c r="C34" s="175" t="s">
        <v>265</v>
      </c>
      <c r="D34" s="173" vm="105">
        <v>-30261797.330000006</v>
      </c>
      <c r="F34" s="60"/>
      <c r="G34" s="60"/>
      <c r="H34" s="60"/>
    </row>
    <row r="35" spans="1:8" ht="20" customHeight="1" thickBot="1">
      <c r="A35" s="646">
        <v>7306</v>
      </c>
      <c r="B35" s="174" t="s">
        <v>913</v>
      </c>
      <c r="C35" s="175" t="s">
        <v>265</v>
      </c>
      <c r="D35" s="173" vm="106">
        <v>-16864.05</v>
      </c>
      <c r="F35" s="60"/>
      <c r="G35" s="60"/>
      <c r="H35" s="60"/>
    </row>
    <row r="36" spans="1:8" ht="20" customHeight="1" thickBot="1">
      <c r="A36" s="646">
        <v>7309</v>
      </c>
      <c r="B36" s="2007" t="s">
        <v>2575</v>
      </c>
      <c r="C36" s="175"/>
      <c r="D36" s="173" vm="107">
        <v>1247583.2</v>
      </c>
      <c r="F36" s="60"/>
      <c r="G36" s="60"/>
      <c r="H36" s="60"/>
    </row>
    <row r="37" spans="1:8" ht="20" customHeight="1" thickBot="1">
      <c r="A37" s="646">
        <v>7320</v>
      </c>
      <c r="B37" s="174" t="s">
        <v>914</v>
      </c>
      <c r="C37" s="175"/>
      <c r="D37" s="173" vm="108">
        <v>229904235.09000003</v>
      </c>
      <c r="F37" s="60"/>
      <c r="G37" s="60"/>
      <c r="H37" s="60"/>
    </row>
    <row r="38" spans="1:8" ht="20" customHeight="1" thickBot="1">
      <c r="A38" s="646">
        <v>7321</v>
      </c>
      <c r="B38" s="174" t="s">
        <v>915</v>
      </c>
      <c r="C38" s="175"/>
      <c r="D38" s="173" vm="109">
        <v>234957161.44999996</v>
      </c>
      <c r="F38" s="60"/>
      <c r="G38" s="60"/>
      <c r="H38" s="60"/>
    </row>
    <row r="39" spans="1:8" ht="20" customHeight="1" thickBot="1">
      <c r="A39" s="646">
        <v>7322</v>
      </c>
      <c r="B39" s="174" t="s">
        <v>916</v>
      </c>
      <c r="C39" s="175"/>
      <c r="D39" s="173" vm="110">
        <v>404551111.92000002</v>
      </c>
      <c r="F39" s="60"/>
      <c r="G39" s="60"/>
      <c r="H39" s="60"/>
    </row>
    <row r="40" spans="1:8" ht="20" customHeight="1" thickBot="1">
      <c r="A40" s="646">
        <v>7340</v>
      </c>
      <c r="B40" s="174" t="s">
        <v>917</v>
      </c>
      <c r="C40" s="175" t="s">
        <v>265</v>
      </c>
      <c r="D40" s="173" vm="111">
        <v>-171294177.43000001</v>
      </c>
      <c r="F40" s="60"/>
      <c r="G40" s="60"/>
      <c r="H40" s="60"/>
    </row>
    <row r="41" spans="1:8" ht="20" customHeight="1" thickBot="1">
      <c r="A41" s="646">
        <v>7341</v>
      </c>
      <c r="B41" s="174" t="s">
        <v>918</v>
      </c>
      <c r="C41" s="175" t="s">
        <v>265</v>
      </c>
      <c r="D41" s="173" vm="112">
        <v>-94232792.379999965</v>
      </c>
      <c r="F41" s="60"/>
      <c r="G41" s="60"/>
      <c r="H41" s="60"/>
    </row>
    <row r="42" spans="1:8" ht="20" customHeight="1" thickBot="1">
      <c r="A42" s="646">
        <v>7342</v>
      </c>
      <c r="B42" s="2007" t="s">
        <v>2576</v>
      </c>
      <c r="C42" s="175" t="s">
        <v>265</v>
      </c>
      <c r="D42" s="173" vm="112">
        <v>-17016857.700000003</v>
      </c>
      <c r="F42" s="60"/>
      <c r="G42" s="60"/>
      <c r="H42" s="60"/>
    </row>
    <row r="43" spans="1:8" ht="20" customHeight="1" thickBot="1">
      <c r="A43" s="646">
        <v>731</v>
      </c>
      <c r="B43" s="174" t="s">
        <v>919</v>
      </c>
      <c r="C43" s="175"/>
      <c r="D43" s="756">
        <v>51260061.900000297</v>
      </c>
      <c r="F43" s="60"/>
      <c r="G43" s="60"/>
      <c r="H43" s="60"/>
    </row>
    <row r="44" spans="1:8" ht="20" customHeight="1" thickBot="1">
      <c r="A44" s="646">
        <v>7</v>
      </c>
      <c r="B44" s="2007" t="s">
        <v>2577</v>
      </c>
      <c r="C44" s="175"/>
      <c r="D44" s="173" vm="113">
        <v>732586886.40000021</v>
      </c>
      <c r="F44" s="60"/>
      <c r="G44" s="60"/>
      <c r="H44" s="60"/>
    </row>
    <row r="45" spans="1:8" ht="20" customHeight="1" thickBot="1">
      <c r="A45" s="646"/>
      <c r="B45" s="174"/>
      <c r="C45" s="175"/>
      <c r="D45" s="173" t="s">
        <v>397</v>
      </c>
      <c r="F45" s="60"/>
      <c r="G45" s="60"/>
      <c r="H45" s="60"/>
    </row>
    <row r="46" spans="1:8" ht="20" customHeight="1" thickBot="1">
      <c r="A46" s="646"/>
      <c r="B46" s="723" t="s">
        <v>920</v>
      </c>
      <c r="C46" s="175"/>
      <c r="D46" s="173" t="s">
        <v>397</v>
      </c>
      <c r="F46" s="60"/>
      <c r="G46" s="60"/>
      <c r="H46" s="60"/>
    </row>
    <row r="47" spans="1:8" ht="20" customHeight="1" thickBot="1">
      <c r="A47" s="646">
        <v>81</v>
      </c>
      <c r="B47" s="174" t="s">
        <v>290</v>
      </c>
      <c r="C47" s="175"/>
      <c r="D47" s="173" vm="114">
        <v>24142106.239999998</v>
      </c>
      <c r="F47" s="60"/>
      <c r="G47" s="60"/>
      <c r="H47" s="60"/>
    </row>
    <row r="48" spans="1:8" ht="20" customHeight="1" thickBot="1">
      <c r="A48" s="646">
        <v>9</v>
      </c>
      <c r="B48" s="174" t="s">
        <v>921</v>
      </c>
      <c r="C48" s="175"/>
      <c r="D48" s="173" vm="114">
        <v>-24793622.150000002</v>
      </c>
      <c r="F48" s="60"/>
      <c r="G48" s="60"/>
      <c r="H48" s="60"/>
    </row>
    <row r="49" spans="1:8" ht="20" customHeight="1" thickBot="1">
      <c r="A49" s="646">
        <v>89</v>
      </c>
      <c r="B49" s="174" t="s">
        <v>922</v>
      </c>
      <c r="C49" s="175"/>
      <c r="D49" s="173" vm="115">
        <v>-14219496.980000002</v>
      </c>
      <c r="F49" s="60"/>
      <c r="G49" s="60"/>
      <c r="H49" s="60"/>
    </row>
    <row r="50" spans="1:8" ht="20" hidden="1" customHeight="1" thickBot="1">
      <c r="A50" s="724"/>
      <c r="B50" s="174"/>
      <c r="C50" s="175"/>
      <c r="D50" s="173" vm="115">
        <v>-14219496.980000002</v>
      </c>
      <c r="F50" s="60"/>
      <c r="G50" s="60"/>
      <c r="H50" s="60"/>
    </row>
    <row r="51" spans="1:8" ht="20" hidden="1" customHeight="1" thickBot="1">
      <c r="A51" s="724"/>
      <c r="B51" s="174"/>
      <c r="C51" s="175"/>
      <c r="D51" s="725" t="s">
        <v>397</v>
      </c>
      <c r="F51" s="60"/>
      <c r="G51" s="60"/>
      <c r="H51" s="60"/>
    </row>
    <row r="52" spans="1:8" ht="20" hidden="1" customHeight="1" thickBot="1">
      <c r="A52" s="724"/>
      <c r="B52" s="174"/>
      <c r="C52" s="175"/>
      <c r="D52" s="725" t="s">
        <v>397</v>
      </c>
      <c r="F52" s="60"/>
      <c r="G52" s="60"/>
      <c r="H52" s="60"/>
    </row>
    <row r="53" spans="1:8" ht="20" hidden="1" customHeight="1" thickBot="1">
      <c r="A53" s="724"/>
      <c r="B53" s="174"/>
      <c r="C53" s="175"/>
      <c r="D53" s="725" t="s">
        <v>397</v>
      </c>
      <c r="F53" s="60"/>
      <c r="G53" s="60"/>
      <c r="H53" s="60"/>
    </row>
    <row r="54" spans="1:8" ht="20" hidden="1" customHeight="1" thickBot="1">
      <c r="A54" s="724"/>
      <c r="B54" s="726"/>
      <c r="C54" s="175"/>
      <c r="D54" s="173" t="s">
        <v>397</v>
      </c>
      <c r="F54" s="60"/>
      <c r="G54" s="60"/>
      <c r="H54" s="60"/>
    </row>
    <row r="55" spans="1:8" ht="20" hidden="1" customHeight="1" thickBot="1">
      <c r="A55" s="724"/>
      <c r="B55" s="174"/>
      <c r="C55" s="175"/>
      <c r="D55" s="173" t="s">
        <v>397</v>
      </c>
      <c r="F55" s="60"/>
      <c r="G55" s="60"/>
      <c r="H55" s="60"/>
    </row>
    <row r="56" spans="1:8" s="138" customFormat="1" ht="16.75" hidden="1" customHeight="1" thickBot="1">
      <c r="A56" s="727"/>
      <c r="B56" s="483"/>
      <c r="C56" s="728"/>
      <c r="D56" s="173" t="s">
        <v>397</v>
      </c>
      <c r="F56" s="729"/>
      <c r="G56" s="729"/>
      <c r="H56" s="729"/>
    </row>
    <row r="57" spans="1:8" ht="18" customHeight="1" thickBot="1">
      <c r="A57" s="727"/>
      <c r="B57" s="730"/>
      <c r="C57" s="179"/>
      <c r="D57" s="206" t="s">
        <v>397</v>
      </c>
      <c r="F57" s="60"/>
      <c r="G57" s="60"/>
      <c r="H57" s="60"/>
    </row>
    <row r="58" spans="1:8" ht="15.5" customHeight="1">
      <c r="A58" s="130" t="s">
        <v>396</v>
      </c>
    </row>
    <row r="60" spans="1:8">
      <c r="A60" s="3" t="s">
        <v>923</v>
      </c>
    </row>
    <row r="63" spans="1:8">
      <c r="A63" s="3" t="s">
        <v>395</v>
      </c>
    </row>
    <row r="69" spans="1:4">
      <c r="B69" s="199"/>
      <c r="C69" s="199"/>
      <c r="D69" s="60"/>
    </row>
    <row r="72" spans="1:4" ht="14">
      <c r="A72" s="200"/>
      <c r="B72" s="200"/>
      <c r="C72" s="201"/>
      <c r="D72" s="202"/>
    </row>
  </sheetData>
  <mergeCells count="1">
    <mergeCell ref="A2:B2"/>
  </mergeCells>
  <pageMargins left="0.6" right="0.49" top="0.68" bottom="0.49" header="0.42" footer="0.4921259845"/>
  <pageSetup paperSize="9" scale="71" orientation="portrait"/>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2656-F622-314E-9114-81BD80DBBF22}">
  <dimension ref="A1:K33"/>
  <sheetViews>
    <sheetView topLeftCell="A5" zoomScaleNormal="100" workbookViewId="0">
      <selection activeCell="A31" sqref="A31"/>
    </sheetView>
  </sheetViews>
  <sheetFormatPr baseColWidth="10" defaultColWidth="11.3984375" defaultRowHeight="13"/>
  <cols>
    <col min="1" max="1" width="13.796875" style="3" customWidth="1"/>
    <col min="2" max="6" width="15" style="3" customWidth="1"/>
    <col min="7" max="7" width="15" style="514" customWidth="1"/>
    <col min="8" max="16384" width="11.3984375" style="3"/>
  </cols>
  <sheetData>
    <row r="1" spans="1:11" s="2" customFormat="1" ht="14" customHeight="1">
      <c r="G1" s="608"/>
    </row>
    <row r="2" spans="1:11" s="2" customFormat="1" ht="24.5" customHeight="1">
      <c r="A2" s="164" t="s">
        <v>924</v>
      </c>
      <c r="G2" s="442"/>
    </row>
    <row r="3" spans="1:11" ht="24" customHeight="1">
      <c r="A3" s="109" t="s">
        <v>586</v>
      </c>
      <c r="B3" s="110" t="s">
        <v>925</v>
      </c>
      <c r="C3" s="111"/>
      <c r="D3" s="110" t="s">
        <v>926</v>
      </c>
      <c r="E3" s="111"/>
      <c r="F3" s="110" t="s">
        <v>927</v>
      </c>
      <c r="G3" s="516" t="s">
        <v>256</v>
      </c>
    </row>
    <row r="4" spans="1:11" ht="15" customHeight="1">
      <c r="A4" s="112"/>
      <c r="B4" s="113" t="s">
        <v>928</v>
      </c>
      <c r="C4" s="114" t="s">
        <v>929</v>
      </c>
      <c r="D4" s="113" t="s">
        <v>930</v>
      </c>
      <c r="E4" s="114" t="s">
        <v>931</v>
      </c>
      <c r="F4" s="113" t="s">
        <v>932</v>
      </c>
      <c r="G4" s="518" t="s">
        <v>257</v>
      </c>
    </row>
    <row r="5" spans="1:11" ht="15" customHeight="1">
      <c r="A5" s="112"/>
      <c r="B5" s="113" t="s">
        <v>933</v>
      </c>
      <c r="C5" s="114" t="s">
        <v>933</v>
      </c>
      <c r="D5" s="113" t="s">
        <v>934</v>
      </c>
      <c r="E5" s="114" t="s">
        <v>935</v>
      </c>
      <c r="F5" s="113"/>
      <c r="G5" s="518" t="s">
        <v>258</v>
      </c>
    </row>
    <row r="6" spans="1:11" ht="24" customHeight="1">
      <c r="A6" s="116"/>
      <c r="B6" s="117"/>
      <c r="C6" s="118"/>
      <c r="D6" s="117"/>
      <c r="E6" s="118"/>
      <c r="F6" s="117"/>
      <c r="G6" s="403"/>
    </row>
    <row r="7" spans="1:11" ht="1.25" customHeight="1" thickBot="1">
      <c r="A7" s="120">
        <v>1996</v>
      </c>
      <c r="B7" s="121">
        <v>4170.9064983500002</v>
      </c>
      <c r="C7" s="122">
        <v>8662.5285187900008</v>
      </c>
      <c r="D7" s="121">
        <v>8044.1419523000004</v>
      </c>
      <c r="E7" s="122">
        <v>4789.2930648399997</v>
      </c>
      <c r="F7" s="121">
        <v>12833.435017170003</v>
      </c>
      <c r="G7" s="158">
        <v>-6.5875098254165963E-3</v>
      </c>
      <c r="I7" s="9"/>
      <c r="J7" s="9"/>
      <c r="K7" s="9"/>
    </row>
    <row r="8" spans="1:11" ht="19.5" hidden="1" customHeight="1" thickBot="1">
      <c r="A8" s="123">
        <v>1997</v>
      </c>
      <c r="B8" s="124">
        <v>4394.7098477299996</v>
      </c>
      <c r="C8" s="125">
        <v>9362.3509974099998</v>
      </c>
      <c r="D8" s="124">
        <v>9077.9116548700003</v>
      </c>
      <c r="E8" s="125">
        <v>4679.1491902700009</v>
      </c>
      <c r="F8" s="124">
        <v>13757.060845139998</v>
      </c>
      <c r="G8" s="159">
        <v>7.1970273487516487E-2</v>
      </c>
    </row>
    <row r="9" spans="1:11" ht="0.75" hidden="1" customHeight="1" thickBot="1">
      <c r="A9" s="123">
        <v>1998</v>
      </c>
      <c r="B9" s="124">
        <v>4492.0042062100001</v>
      </c>
      <c r="C9" s="125">
        <v>10278.585833719999</v>
      </c>
      <c r="D9" s="124">
        <v>9968.5479871799998</v>
      </c>
      <c r="E9" s="125">
        <v>4802.0420530199999</v>
      </c>
      <c r="F9" s="124">
        <v>14770.59003996</v>
      </c>
      <c r="G9" s="159">
        <v>7.3673381707696217E-2</v>
      </c>
    </row>
    <row r="10" spans="1:11" ht="19.75" hidden="1" customHeight="1" thickBot="1">
      <c r="A10" s="123">
        <v>1999</v>
      </c>
      <c r="B10" s="124">
        <v>4039.0720529599998</v>
      </c>
      <c r="C10" s="125">
        <v>10698.624229800002</v>
      </c>
      <c r="D10" s="124">
        <v>9829.3330688500009</v>
      </c>
      <c r="E10" s="125">
        <v>4908.3632139400006</v>
      </c>
      <c r="F10" s="124">
        <v>14737.696282749999</v>
      </c>
      <c r="G10" s="159">
        <v>-2.2269765203022374E-3</v>
      </c>
    </row>
    <row r="11" spans="1:11" ht="19.75" hidden="1" customHeight="1" thickBot="1">
      <c r="A11" s="123">
        <v>2000</v>
      </c>
      <c r="B11" s="124">
        <v>4332.0125006399994</v>
      </c>
      <c r="C11" s="125">
        <v>10499.430512299999</v>
      </c>
      <c r="D11" s="124">
        <v>10459.0563088</v>
      </c>
      <c r="E11" s="125">
        <v>4372.38670413</v>
      </c>
      <c r="F11" s="124">
        <v>14831.443012869999</v>
      </c>
      <c r="G11" s="159">
        <v>6.361016560622712E-3</v>
      </c>
    </row>
    <row r="12" spans="1:11" ht="20" hidden="1" customHeight="1" thickBot="1">
      <c r="A12" s="123">
        <v>2001</v>
      </c>
      <c r="B12" s="124">
        <v>4480.2212955000005</v>
      </c>
      <c r="C12" s="125">
        <v>9101.4192862999989</v>
      </c>
      <c r="D12" s="124">
        <v>10583.525388</v>
      </c>
      <c r="E12" s="125">
        <v>2998.1151934999998</v>
      </c>
      <c r="F12" s="124">
        <v>13581.640582</v>
      </c>
      <c r="G12" s="159">
        <v>-8.4267082426536799E-2</v>
      </c>
    </row>
    <row r="13" spans="1:11" ht="20" customHeight="1" thickBot="1">
      <c r="A13" s="123">
        <v>2002</v>
      </c>
      <c r="B13" s="124">
        <v>5055.0187533999997</v>
      </c>
      <c r="C13" s="125">
        <v>8256.3197148999989</v>
      </c>
      <c r="D13" s="124">
        <v>10485.582893000001</v>
      </c>
      <c r="E13" s="125">
        <v>2730.3161460000001</v>
      </c>
      <c r="F13" s="124">
        <v>13311.318467999999</v>
      </c>
      <c r="G13" s="159">
        <v>-1.9903494895768592E-2</v>
      </c>
    </row>
    <row r="14" spans="1:11" ht="20" customHeight="1" thickBot="1">
      <c r="A14" s="123">
        <v>2003</v>
      </c>
      <c r="B14" s="124">
        <v>6067.1959962000001</v>
      </c>
      <c r="C14" s="125">
        <v>8398.4942018000002</v>
      </c>
      <c r="D14" s="124">
        <v>11252.005746999999</v>
      </c>
      <c r="E14" s="125">
        <v>3213.6844504999999</v>
      </c>
      <c r="F14" s="124">
        <v>14465.690198</v>
      </c>
      <c r="G14" s="159">
        <v>8.6721066194537677E-2</v>
      </c>
    </row>
    <row r="15" spans="1:11" ht="20" customHeight="1" thickBot="1">
      <c r="A15" s="123">
        <v>2004</v>
      </c>
      <c r="B15" s="124">
        <v>6542.9172908</v>
      </c>
      <c r="C15" s="125">
        <v>8401.4767168999988</v>
      </c>
      <c r="D15" s="124">
        <v>11192.037166</v>
      </c>
      <c r="E15" s="125">
        <v>3752.3568421999998</v>
      </c>
      <c r="F15" s="124">
        <v>14944.394007999999</v>
      </c>
      <c r="G15" s="159">
        <v>3.3092358777750075E-2</v>
      </c>
    </row>
    <row r="16" spans="1:11" ht="20" customHeight="1" thickBot="1">
      <c r="A16" s="123">
        <v>2005</v>
      </c>
      <c r="B16" s="124">
        <v>6906.5407365000001</v>
      </c>
      <c r="C16" s="125">
        <v>9245.4417635000009</v>
      </c>
      <c r="D16" s="124">
        <v>12133.7989425</v>
      </c>
      <c r="E16" s="125">
        <v>4018.1835572</v>
      </c>
      <c r="F16" s="124">
        <v>16151.982499600001</v>
      </c>
      <c r="G16" s="159">
        <v>8.0805450589268357E-2</v>
      </c>
    </row>
    <row r="17" spans="1:7" ht="20" customHeight="1" thickBot="1">
      <c r="A17" s="123">
        <v>2006</v>
      </c>
      <c r="B17" s="124">
        <v>7617.7471638000006</v>
      </c>
      <c r="C17" s="125">
        <v>10441.159153100001</v>
      </c>
      <c r="D17" s="124">
        <v>13475.7956639</v>
      </c>
      <c r="E17" s="125">
        <v>4583.1106529999997</v>
      </c>
      <c r="F17" s="124">
        <v>18058.9063169</v>
      </c>
      <c r="G17" s="159">
        <v>0.11806128550146866</v>
      </c>
    </row>
    <row r="18" spans="1:7" ht="20" customHeight="1" thickBot="1">
      <c r="A18" s="123">
        <v>2007</v>
      </c>
      <c r="B18" s="124">
        <v>7365.8641676499992</v>
      </c>
      <c r="C18" s="125">
        <v>11399.08539328</v>
      </c>
      <c r="D18" s="124">
        <v>13954.63675686</v>
      </c>
      <c r="E18" s="125">
        <v>4810.3128043300003</v>
      </c>
      <c r="F18" s="124">
        <v>18764.949561189998</v>
      </c>
      <c r="G18" s="159">
        <v>3.9096677943849967E-2</v>
      </c>
    </row>
    <row r="19" spans="1:7" ht="20" customHeight="1" thickBot="1">
      <c r="A19" s="123">
        <v>2008</v>
      </c>
      <c r="B19" s="124">
        <v>7264.3011704499995</v>
      </c>
      <c r="C19" s="125">
        <v>10486.349606420001</v>
      </c>
      <c r="D19" s="124">
        <v>13652.812469889999</v>
      </c>
      <c r="E19" s="125">
        <v>4097.8383069800002</v>
      </c>
      <c r="F19" s="124">
        <v>17750.650776869999</v>
      </c>
      <c r="G19" s="159">
        <v>-5.4052838299005646E-2</v>
      </c>
    </row>
    <row r="20" spans="1:7" ht="20" customHeight="1" thickBot="1">
      <c r="A20" s="123">
        <v>2009</v>
      </c>
      <c r="B20" s="124">
        <v>6894.4859353700003</v>
      </c>
      <c r="C20" s="125">
        <v>10208.640743260001</v>
      </c>
      <c r="D20" s="124">
        <v>13357.56575199</v>
      </c>
      <c r="E20" s="125">
        <v>3745.5609266199999</v>
      </c>
      <c r="F20" s="124">
        <v>17103.126678610002</v>
      </c>
      <c r="G20" s="159">
        <v>-3.6478893444501392E-2</v>
      </c>
    </row>
    <row r="21" spans="1:7" ht="20" customHeight="1" thickBot="1">
      <c r="A21" s="123">
        <v>2010</v>
      </c>
      <c r="B21" s="124">
        <v>8001.951770560001</v>
      </c>
      <c r="C21" s="125">
        <v>10157.524135550002</v>
      </c>
      <c r="D21" s="124">
        <v>14095.938375880005</v>
      </c>
      <c r="E21" s="125">
        <v>4063.5375305399994</v>
      </c>
      <c r="F21" s="124">
        <v>18159.475906430001</v>
      </c>
      <c r="G21" s="159">
        <v>6.1763515389330559E-2</v>
      </c>
    </row>
    <row r="22" spans="1:7" ht="20" customHeight="1" thickBot="1">
      <c r="A22" s="123">
        <v>2011</v>
      </c>
      <c r="B22" s="124">
        <v>8288.6884721999995</v>
      </c>
      <c r="C22" s="125">
        <v>10229.26596449</v>
      </c>
      <c r="D22" s="124">
        <v>14059.089480889999</v>
      </c>
      <c r="E22" s="125">
        <v>4458.8649558100005</v>
      </c>
      <c r="F22" s="124">
        <v>18517.954436700002</v>
      </c>
      <c r="G22" s="159">
        <v>1.974057688212616E-2</v>
      </c>
    </row>
    <row r="23" spans="1:7" s="266" customFormat="1" ht="27.75" customHeight="1" thickBot="1">
      <c r="A23" s="430">
        <v>2012</v>
      </c>
      <c r="B23" s="537" vm="116">
        <v>5684.1836997000009</v>
      </c>
      <c r="C23" s="731" vm="118">
        <v>13302.049702279999</v>
      </c>
      <c r="D23" s="537" vm="118">
        <v>11448.866608409999</v>
      </c>
      <c r="E23" s="752" vm="164">
        <v>7537.3667935699978</v>
      </c>
      <c r="F23" s="537" vm="164">
        <v>18986.23340198</v>
      </c>
      <c r="G23" s="160">
        <v>2.5287834403131093E-2</v>
      </c>
    </row>
    <row r="24" spans="1:7" ht="20" customHeight="1">
      <c r="A24" s="130" t="s">
        <v>396</v>
      </c>
      <c r="B24" s="130"/>
      <c r="C24" s="130"/>
      <c r="D24" s="130"/>
      <c r="E24" s="130"/>
      <c r="F24" s="130"/>
      <c r="G24" s="621"/>
    </row>
    <row r="25" spans="1:7" ht="10.5" customHeight="1">
      <c r="A25" s="131"/>
      <c r="B25" s="131"/>
      <c r="C25" s="131"/>
      <c r="D25" s="131"/>
      <c r="E25" s="131"/>
      <c r="F25" s="131"/>
      <c r="G25" s="513"/>
    </row>
    <row r="26" spans="1:7">
      <c r="A26" s="131" t="s">
        <v>936</v>
      </c>
    </row>
    <row r="27" spans="1:7">
      <c r="A27" s="3" t="s">
        <v>937</v>
      </c>
    </row>
    <row r="28" spans="1:7">
      <c r="A28" s="3" t="s">
        <v>938</v>
      </c>
    </row>
    <row r="30" spans="1:7">
      <c r="A30" s="3" t="s">
        <v>1102</v>
      </c>
    </row>
    <row r="33" spans="1:1">
      <c r="A33" s="3" t="s">
        <v>395</v>
      </c>
    </row>
  </sheetData>
  <pageMargins left="0.65" right="0.61" top="0.99" bottom="0.49" header="0.56000000000000005" footer="0.4921259845"/>
  <pageSetup paperSize="9" scale="80" orientation="portrait" horizontalDpi="4294967292" verticalDpi="4294967292"/>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DF09-33AC-6D46-A189-10FAAF507E2F}">
  <sheetPr>
    <pageSetUpPr fitToPage="1"/>
  </sheetPr>
  <dimension ref="A1:I32"/>
  <sheetViews>
    <sheetView topLeftCell="A4" zoomScaleNormal="100" workbookViewId="0">
      <selection activeCell="H31" sqref="H31"/>
    </sheetView>
  </sheetViews>
  <sheetFormatPr baseColWidth="10" defaultColWidth="11.3984375" defaultRowHeight="13"/>
  <cols>
    <col min="1" max="1" width="14.19921875" style="3" customWidth="1"/>
    <col min="2" max="2" width="14" style="3" customWidth="1"/>
    <col min="3" max="5" width="14" style="514" customWidth="1"/>
    <col min="6" max="8" width="14" style="3" customWidth="1"/>
    <col min="9" max="16384" width="11.3984375" style="3"/>
  </cols>
  <sheetData>
    <row r="1" spans="1:9" s="2" customFormat="1" ht="14" customHeight="1">
      <c r="C1" s="608"/>
      <c r="D1" s="608"/>
      <c r="E1" s="608"/>
    </row>
    <row r="2" spans="1:9" s="2" customFormat="1" ht="25.75" customHeight="1">
      <c r="A2" s="2054" t="s">
        <v>939</v>
      </c>
      <c r="B2" s="2055"/>
      <c r="C2" s="2055"/>
      <c r="D2" s="2055"/>
      <c r="E2" s="2055"/>
      <c r="F2" s="2055"/>
      <c r="G2" s="2055"/>
      <c r="H2" s="442"/>
    </row>
    <row r="3" spans="1:9" ht="24" customHeight="1">
      <c r="A3" s="109" t="s">
        <v>225</v>
      </c>
      <c r="B3" s="110" t="s">
        <v>940</v>
      </c>
      <c r="C3" s="516" t="s">
        <v>256</v>
      </c>
      <c r="D3" s="650" t="s">
        <v>941</v>
      </c>
      <c r="E3" s="516" t="s">
        <v>942</v>
      </c>
      <c r="F3" s="165" t="s">
        <v>256</v>
      </c>
      <c r="G3" s="516" t="s">
        <v>943</v>
      </c>
      <c r="H3" s="165" t="s">
        <v>256</v>
      </c>
    </row>
    <row r="4" spans="1:9" ht="15" customHeight="1">
      <c r="A4" s="112"/>
      <c r="B4" s="113" t="s">
        <v>640</v>
      </c>
      <c r="C4" s="518" t="s">
        <v>257</v>
      </c>
      <c r="D4" s="651" t="s">
        <v>944</v>
      </c>
      <c r="E4" s="518" t="s">
        <v>945</v>
      </c>
      <c r="F4" s="300" t="s">
        <v>257</v>
      </c>
      <c r="G4" s="518" t="s">
        <v>946</v>
      </c>
      <c r="H4" s="300" t="s">
        <v>257</v>
      </c>
    </row>
    <row r="5" spans="1:9" ht="15" customHeight="1">
      <c r="A5" s="112"/>
      <c r="B5" s="113"/>
      <c r="C5" s="518" t="s">
        <v>258</v>
      </c>
      <c r="D5" s="651"/>
      <c r="E5" s="156" t="s">
        <v>640</v>
      </c>
      <c r="F5" s="651" t="s">
        <v>258</v>
      </c>
      <c r="G5" s="156" t="s">
        <v>640</v>
      </c>
      <c r="H5" s="651" t="s">
        <v>258</v>
      </c>
    </row>
    <row r="6" spans="1:9" ht="24" customHeight="1">
      <c r="A6" s="116"/>
      <c r="B6" s="117"/>
      <c r="C6" s="403"/>
      <c r="D6" s="652"/>
      <c r="E6" s="403"/>
      <c r="F6" s="169"/>
      <c r="G6" s="403"/>
      <c r="H6" s="652"/>
    </row>
    <row r="7" spans="1:9" ht="1.5" customHeight="1" thickBot="1">
      <c r="A7" s="120">
        <v>1996</v>
      </c>
      <c r="B7" s="121">
        <v>4007.8366596000001</v>
      </c>
      <c r="C7" s="158">
        <v>-1.767505493939879E-2</v>
      </c>
      <c r="D7" s="505">
        <v>0.24196501185861982</v>
      </c>
      <c r="E7" s="122">
        <v>7634.4120938999995</v>
      </c>
      <c r="F7" s="505" t="s">
        <v>29</v>
      </c>
      <c r="G7" s="122">
        <v>878.70776672</v>
      </c>
      <c r="H7" s="505" t="s">
        <v>29</v>
      </c>
      <c r="I7" s="9"/>
    </row>
    <row r="8" spans="1:9" ht="0.75" hidden="1" customHeight="1" thickBot="1">
      <c r="A8" s="123">
        <v>1997</v>
      </c>
      <c r="B8" s="124">
        <v>4017.3956079</v>
      </c>
      <c r="C8" s="159">
        <v>2.385064340659509E-3</v>
      </c>
      <c r="D8" s="319">
        <v>0.22399999999999998</v>
      </c>
      <c r="E8" s="125">
        <v>8314.1764980999997</v>
      </c>
      <c r="F8" s="319">
        <v>8.9039522079655792E-2</v>
      </c>
      <c r="G8" s="125">
        <v>892.88593902000002</v>
      </c>
      <c r="H8" s="319">
        <v>1.6135253194499075E-2</v>
      </c>
    </row>
    <row r="9" spans="1:9" ht="19.5" hidden="1" customHeight="1" thickBot="1">
      <c r="A9" s="123">
        <v>1998</v>
      </c>
      <c r="B9" s="124">
        <v>4117.6667946999996</v>
      </c>
      <c r="C9" s="159">
        <v>2.4959251362455213E-2</v>
      </c>
      <c r="D9" s="319">
        <v>0.22</v>
      </c>
      <c r="E9" s="125">
        <v>9206.9689780000008</v>
      </c>
      <c r="F9" s="319">
        <v>0.1073819493853693</v>
      </c>
      <c r="G9" s="125">
        <v>910.20990798000003</v>
      </c>
      <c r="H9" s="319">
        <v>1.9402219480591416E-2</v>
      </c>
    </row>
    <row r="10" spans="1:9" ht="19.75" hidden="1" customHeight="1" thickBot="1">
      <c r="A10" s="123">
        <v>1999</v>
      </c>
      <c r="B10" s="124">
        <v>4531.0035571000008</v>
      </c>
      <c r="C10" s="159">
        <v>0.10038130402683909</v>
      </c>
      <c r="D10" s="319">
        <v>0.248</v>
      </c>
      <c r="E10" s="125">
        <v>9587.3624237999993</v>
      </c>
      <c r="F10" s="319">
        <v>4.1315817041302827E-2</v>
      </c>
      <c r="G10" s="125">
        <v>929.94977453999991</v>
      </c>
      <c r="H10" s="319">
        <v>2.168715851908054E-2</v>
      </c>
    </row>
    <row r="11" spans="1:9" ht="0.5" customHeight="1" thickBot="1">
      <c r="A11" s="123">
        <v>2000</v>
      </c>
      <c r="B11" s="124">
        <v>4046.3173426999997</v>
      </c>
      <c r="C11" s="159">
        <v>-0.10697105139997221</v>
      </c>
      <c r="D11" s="319">
        <v>0.22899999999999998</v>
      </c>
      <c r="E11" s="125">
        <v>9383.0818280000003</v>
      </c>
      <c r="F11" s="319">
        <v>-2.1307277932133384E-2</v>
      </c>
      <c r="G11" s="125">
        <v>935.15434852999999</v>
      </c>
      <c r="H11" s="319">
        <v>5.5966183685292048E-3</v>
      </c>
    </row>
    <row r="12" spans="1:9" ht="20" hidden="1" customHeight="1" thickBot="1">
      <c r="A12" s="123">
        <v>2001</v>
      </c>
      <c r="B12" s="124">
        <v>2721.4537870999998</v>
      </c>
      <c r="C12" s="159">
        <v>-0.32742453035479269</v>
      </c>
      <c r="D12" s="319">
        <v>0.16266572127677031</v>
      </c>
      <c r="E12" s="125">
        <v>7961.4574869999997</v>
      </c>
      <c r="F12" s="319">
        <v>-0.15150931933234768</v>
      </c>
      <c r="G12" s="125">
        <v>954.93160932000001</v>
      </c>
      <c r="H12" s="319">
        <v>2.1148659385574753E-2</v>
      </c>
    </row>
    <row r="13" spans="1:9" ht="20" customHeight="1" thickBot="1">
      <c r="A13" s="123">
        <v>2002</v>
      </c>
      <c r="B13" s="124">
        <v>2517.2839804</v>
      </c>
      <c r="C13" s="159">
        <v>-7.5022330957000949E-2</v>
      </c>
      <c r="D13" s="319">
        <v>0.13972376589664312</v>
      </c>
      <c r="E13" s="125">
        <v>7106.5237452000001</v>
      </c>
      <c r="F13" s="319">
        <v>-0.10738407423464769</v>
      </c>
      <c r="G13" s="125">
        <v>984.65094364999993</v>
      </c>
      <c r="H13" s="319">
        <v>3.1121950556399325E-2</v>
      </c>
    </row>
    <row r="14" spans="1:9" ht="20" customHeight="1" thickBot="1">
      <c r="A14" s="123">
        <v>2003</v>
      </c>
      <c r="B14" s="124">
        <v>3007.4782717600006</v>
      </c>
      <c r="C14" s="159">
        <v>0.19473142290529655</v>
      </c>
      <c r="D14" s="319">
        <v>0.15444074863234167</v>
      </c>
      <c r="E14" s="125">
        <v>7378.0453514999999</v>
      </c>
      <c r="F14" s="319">
        <v>3.820737339875846E-2</v>
      </c>
      <c r="G14" s="125">
        <v>885.89521162999995</v>
      </c>
      <c r="H14" s="319">
        <v>-0.1002951682084644</v>
      </c>
    </row>
    <row r="15" spans="1:9" ht="20" customHeight="1" thickBot="1">
      <c r="A15" s="123">
        <v>2004</v>
      </c>
      <c r="B15" s="124">
        <v>3581.7878758600004</v>
      </c>
      <c r="C15" s="159">
        <v>0.19096051648742551</v>
      </c>
      <c r="D15" s="319">
        <v>0.17609858201884715</v>
      </c>
      <c r="E15" s="125">
        <v>7386.4198756999995</v>
      </c>
      <c r="F15" s="319">
        <v>1.1350600058723792E-3</v>
      </c>
      <c r="G15" s="125">
        <v>876.33966492999991</v>
      </c>
      <c r="H15" s="319">
        <v>-1.0786317133849699E-2</v>
      </c>
    </row>
    <row r="16" spans="1:9" ht="20" customHeight="1" thickBot="1">
      <c r="A16" s="123">
        <v>2005</v>
      </c>
      <c r="B16" s="124">
        <v>3869.5470762</v>
      </c>
      <c r="C16" s="159">
        <v>8.0339542796321384E-2</v>
      </c>
      <c r="D16" s="319">
        <v>0.18526823405593668</v>
      </c>
      <c r="E16" s="125">
        <v>8227.3219200000003</v>
      </c>
      <c r="F16" s="319">
        <v>0.11384433303966635</v>
      </c>
      <c r="G16" s="125">
        <v>864.96945500000004</v>
      </c>
      <c r="H16" s="319">
        <v>-1.2974660836455598E-2</v>
      </c>
    </row>
    <row r="17" spans="1:8" ht="20" customHeight="1" thickBot="1">
      <c r="A17" s="123">
        <v>2006</v>
      </c>
      <c r="B17" s="124">
        <v>4510.5379199999998</v>
      </c>
      <c r="C17" s="159">
        <v>0.16565009578058176</v>
      </c>
      <c r="D17" s="319">
        <v>0.20772626624087148</v>
      </c>
      <c r="E17" s="125">
        <v>9466.6831490000004</v>
      </c>
      <c r="F17" s="319">
        <v>0.15063969066133254</v>
      </c>
      <c r="G17" s="125">
        <v>858.28986799999996</v>
      </c>
      <c r="H17" s="319">
        <v>-7.7223385882453366E-3</v>
      </c>
    </row>
    <row r="18" spans="1:8" ht="20" customHeight="1" thickBot="1">
      <c r="A18" s="123">
        <v>2007</v>
      </c>
      <c r="B18" s="124">
        <v>4787.9201766100005</v>
      </c>
      <c r="C18" s="159">
        <v>6.1496491445082624E-2</v>
      </c>
      <c r="D18" s="319">
        <v>0.21638748853648229</v>
      </c>
      <c r="E18" s="125">
        <v>10372.83324</v>
      </c>
      <c r="F18" s="319">
        <v>9.5719913378078836E-2</v>
      </c>
      <c r="G18" s="125">
        <v>895.33742199999995</v>
      </c>
      <c r="H18" s="319">
        <v>4.3164384645864251E-2</v>
      </c>
    </row>
    <row r="19" spans="1:8" ht="20" customHeight="1" thickBot="1">
      <c r="A19" s="123">
        <v>2008</v>
      </c>
      <c r="B19" s="124">
        <v>4080.91032378</v>
      </c>
      <c r="C19" s="159">
        <v>-0.1476653383412474</v>
      </c>
      <c r="D19" s="319">
        <v>0.18391331751178366</v>
      </c>
      <c r="E19" s="125">
        <v>9350.3630895499991</v>
      </c>
      <c r="F19" s="319">
        <v>-9.8571925990974529E-2</v>
      </c>
      <c r="G19" s="125">
        <v>999.65196694000008</v>
      </c>
      <c r="H19" s="319">
        <v>0.11650863951043489</v>
      </c>
    </row>
    <row r="20" spans="1:8" ht="20" customHeight="1" thickBot="1">
      <c r="A20" s="123">
        <v>2009</v>
      </c>
      <c r="B20" s="124">
        <v>3730.97067328</v>
      </c>
      <c r="C20" s="159">
        <v>-8.5750389676748306E-2</v>
      </c>
      <c r="D20" s="319">
        <v>0.16506146744457434</v>
      </c>
      <c r="E20" s="125">
        <v>9018.8227868199992</v>
      </c>
      <c r="F20" s="319">
        <v>-3.5457478982878321E-2</v>
      </c>
      <c r="G20" s="125">
        <v>1016.50244943</v>
      </c>
      <c r="H20" s="319">
        <v>1.6856349056742603E-2</v>
      </c>
    </row>
    <row r="21" spans="1:8" ht="20" customHeight="1" thickBot="1">
      <c r="A21" s="123">
        <v>2010</v>
      </c>
      <c r="B21" s="124">
        <v>4055.8357633599976</v>
      </c>
      <c r="C21" s="159">
        <v>8.7072539166972218E-2</v>
      </c>
      <c r="D21" s="319">
        <v>0.16490555759813022</v>
      </c>
      <c r="E21" s="125">
        <v>9041.5524071900018</v>
      </c>
      <c r="F21" s="319">
        <v>2.5202424869927853E-3</v>
      </c>
      <c r="G21" s="125">
        <v>966.36126515000001</v>
      </c>
      <c r="H21" s="319">
        <v>-4.932716523026226E-2</v>
      </c>
    </row>
    <row r="22" spans="1:8" ht="20" customHeight="1" thickBot="1">
      <c r="A22" s="123">
        <v>2011</v>
      </c>
      <c r="B22" s="124">
        <v>4451.2256192599998</v>
      </c>
      <c r="C22" s="159">
        <v>9.7486653545469926E-2</v>
      </c>
      <c r="D22" s="319">
        <v>0.17129265866854412</v>
      </c>
      <c r="E22" s="125">
        <v>9122.3261908099994</v>
      </c>
      <c r="F22" s="319">
        <v>8.9336189165662994E-3</v>
      </c>
      <c r="G22" s="125">
        <v>973.59030969000003</v>
      </c>
      <c r="H22" s="319">
        <v>7.4806853303230891E-3</v>
      </c>
    </row>
    <row r="23" spans="1:8" s="266" customFormat="1" ht="28.5" customHeight="1" thickBot="1">
      <c r="A23" s="430">
        <v>2012</v>
      </c>
      <c r="B23" s="750" vm="164">
        <v>7537.3667935699978</v>
      </c>
      <c r="C23" s="753">
        <v>0.69332391531819448</v>
      </c>
      <c r="D23" s="751" vm="123">
        <v>0.27969545063761414</v>
      </c>
      <c r="E23" s="752" vm="164">
        <v>13302.049702279999</v>
      </c>
      <c r="F23" s="754">
        <v>0.45818614945831815</v>
      </c>
      <c r="G23" s="732" vm="123">
        <v>1071.0635904800001</v>
      </c>
      <c r="H23" s="655">
        <v>0.1001173489709819</v>
      </c>
    </row>
    <row r="24" spans="1:8" ht="20" customHeight="1">
      <c r="A24" s="130" t="s">
        <v>396</v>
      </c>
      <c r="B24" s="130"/>
      <c r="C24" s="621"/>
      <c r="D24" s="621"/>
      <c r="E24" s="621"/>
    </row>
    <row r="25" spans="1:8" ht="11.25" customHeight="1">
      <c r="A25" s="131"/>
      <c r="B25" s="131"/>
      <c r="C25" s="513"/>
      <c r="D25" s="513"/>
      <c r="E25" s="513"/>
    </row>
    <row r="26" spans="1:8">
      <c r="A26" s="3" t="s">
        <v>947</v>
      </c>
    </row>
    <row r="28" spans="1:8">
      <c r="A28" s="3" t="s">
        <v>1101</v>
      </c>
    </row>
    <row r="29" spans="1:8">
      <c r="A29" s="43" t="s">
        <v>1100</v>
      </c>
    </row>
    <row r="32" spans="1:8">
      <c r="A32" s="3" t="s">
        <v>395</v>
      </c>
    </row>
  </sheetData>
  <mergeCells count="1">
    <mergeCell ref="A2:G2"/>
  </mergeCells>
  <pageMargins left="0.69" right="0.56000000000000005" top="1.08" bottom="0.49" header="0.53" footer="0.4921259845"/>
  <pageSetup paperSize="9" scale="80" orientation="portrait" horizontalDpi="4294967292" verticalDpi="4294967292"/>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04B4-BB86-2A46-99CB-CBD5C1526B35}">
  <sheetPr>
    <pageSetUpPr fitToPage="1"/>
  </sheetPr>
  <dimension ref="A1:H64"/>
  <sheetViews>
    <sheetView zoomScaleNormal="100" workbookViewId="0">
      <selection activeCell="B17" sqref="B17"/>
    </sheetView>
  </sheetViews>
  <sheetFormatPr baseColWidth="10" defaultColWidth="11.3984375" defaultRowHeight="13"/>
  <cols>
    <col min="1" max="1" width="17.3984375" style="3" customWidth="1"/>
    <col min="2" max="2" width="67.19921875" style="181" customWidth="1"/>
    <col min="3" max="3" width="7.19921875" style="181" customWidth="1"/>
    <col min="4" max="4" width="20.19921875" style="182" customWidth="1"/>
    <col min="5" max="5" width="12.19921875" style="3" customWidth="1"/>
    <col min="6" max="16384" width="11.3984375" style="3"/>
  </cols>
  <sheetData>
    <row r="1" spans="1:8" s="2" customFormat="1" ht="14" customHeight="1">
      <c r="B1" s="161"/>
      <c r="C1" s="161"/>
      <c r="D1" s="162"/>
    </row>
    <row r="2" spans="1:8" s="2" customFormat="1" ht="24" customHeight="1">
      <c r="A2" s="2054" t="s">
        <v>948</v>
      </c>
      <c r="B2" s="2055"/>
      <c r="C2" s="161"/>
      <c r="D2" s="164"/>
      <c r="E2" s="164">
        <v>2012</v>
      </c>
    </row>
    <row r="3" spans="1:8" ht="39" customHeight="1">
      <c r="A3" s="642" t="s">
        <v>261</v>
      </c>
      <c r="B3" s="109"/>
      <c r="C3" s="165"/>
      <c r="D3" s="166" t="s">
        <v>230</v>
      </c>
      <c r="E3" s="165" t="s">
        <v>949</v>
      </c>
    </row>
    <row r="4" spans="1:8" ht="38" customHeight="1">
      <c r="A4" s="643"/>
      <c r="B4" s="168"/>
      <c r="C4" s="169"/>
      <c r="D4" s="170" t="s">
        <v>262</v>
      </c>
      <c r="E4" s="169" t="s">
        <v>487</v>
      </c>
    </row>
    <row r="5" spans="1:8" ht="20" customHeight="1" thickBot="1">
      <c r="A5" s="644"/>
      <c r="B5" s="645" t="s">
        <v>950</v>
      </c>
      <c r="C5" s="172"/>
      <c r="D5" s="173" t="s">
        <v>397</v>
      </c>
      <c r="E5" s="172"/>
      <c r="F5" s="60"/>
      <c r="G5" s="60"/>
      <c r="H5" s="60"/>
    </row>
    <row r="6" spans="1:8" ht="20" customHeight="1" thickBot="1">
      <c r="A6" s="724">
        <v>10</v>
      </c>
      <c r="B6" s="174" t="s">
        <v>951</v>
      </c>
      <c r="C6" s="175"/>
      <c r="D6" s="173" vm="117">
        <v>13213878669.019999</v>
      </c>
      <c r="E6" s="653">
        <v>0.69597156999249654</v>
      </c>
      <c r="F6" s="60"/>
      <c r="G6" s="60"/>
      <c r="H6" s="60"/>
    </row>
    <row r="7" spans="1:8" ht="20" customHeight="1" thickBot="1">
      <c r="A7" s="724">
        <v>100</v>
      </c>
      <c r="B7" s="174" t="s">
        <v>952</v>
      </c>
      <c r="C7" s="175"/>
      <c r="D7" s="173" vm="122">
        <v>11231788936.359999</v>
      </c>
      <c r="E7" s="653">
        <v>0.59157541670106506</v>
      </c>
      <c r="F7" s="60"/>
      <c r="G7" s="60"/>
      <c r="H7" s="60"/>
    </row>
    <row r="8" spans="1:8" ht="20" customHeight="1" thickBot="1">
      <c r="A8" s="724">
        <v>101</v>
      </c>
      <c r="B8" s="174" t="s">
        <v>953</v>
      </c>
      <c r="C8" s="175"/>
      <c r="D8" s="173" vm="124">
        <v>1954549407.9400001</v>
      </c>
      <c r="E8" s="653">
        <v>0.10294561151535027</v>
      </c>
      <c r="F8" s="60"/>
      <c r="G8" s="60"/>
      <c r="H8" s="60"/>
    </row>
    <row r="9" spans="1:8" ht="20" customHeight="1" thickBot="1">
      <c r="A9" s="724">
        <v>102</v>
      </c>
      <c r="B9" s="174" t="s">
        <v>954</v>
      </c>
      <c r="C9" s="175"/>
      <c r="D9" s="173" vm="125">
        <v>0</v>
      </c>
      <c r="E9" s="653">
        <v>0</v>
      </c>
      <c r="F9" s="60"/>
      <c r="G9" s="60"/>
      <c r="H9" s="60"/>
    </row>
    <row r="10" spans="1:8" ht="20" customHeight="1" thickBot="1">
      <c r="A10" s="724">
        <v>103</v>
      </c>
      <c r="B10" s="174" t="s">
        <v>955</v>
      </c>
      <c r="C10" s="175"/>
      <c r="D10" s="173" vm="126">
        <v>51739.65</v>
      </c>
      <c r="E10" s="653">
        <v>2.7251139762457715E-6</v>
      </c>
      <c r="F10" s="60"/>
      <c r="G10" s="60"/>
      <c r="H10" s="60"/>
    </row>
    <row r="11" spans="1:8" ht="20" customHeight="1" thickBot="1">
      <c r="A11" s="724">
        <v>104</v>
      </c>
      <c r="B11" s="174" t="s">
        <v>956</v>
      </c>
      <c r="C11" s="175"/>
      <c r="D11" s="173" vm="127">
        <v>27488585.07</v>
      </c>
      <c r="E11" s="653">
        <v>1.4478166621049399E-3</v>
      </c>
      <c r="F11" s="60"/>
      <c r="G11" s="60"/>
      <c r="H11" s="60"/>
    </row>
    <row r="12" spans="1:8" ht="20" customHeight="1" thickBot="1">
      <c r="A12" s="724">
        <v>11</v>
      </c>
      <c r="B12" s="174" t="s">
        <v>957</v>
      </c>
      <c r="C12" s="175"/>
      <c r="D12" s="173" vm="128">
        <v>35108294.599999979</v>
      </c>
      <c r="E12" s="653">
        <v>1.8491447912116509E-3</v>
      </c>
      <c r="F12" s="60"/>
      <c r="G12" s="60"/>
      <c r="H12" s="60"/>
    </row>
    <row r="13" spans="1:8" ht="20" customHeight="1" thickBot="1">
      <c r="A13" s="724">
        <v>110</v>
      </c>
      <c r="B13" s="174" t="s">
        <v>958</v>
      </c>
      <c r="C13" s="175"/>
      <c r="D13" s="173" vm="129">
        <v>845930.04999999981</v>
      </c>
      <c r="E13" s="653">
        <v>4.4554916822616389E-5</v>
      </c>
      <c r="F13" s="60"/>
      <c r="G13" s="60"/>
      <c r="H13" s="60"/>
    </row>
    <row r="14" spans="1:8" ht="20" customHeight="1" thickBot="1">
      <c r="A14" s="724">
        <v>111</v>
      </c>
      <c r="B14" s="174" t="s">
        <v>959</v>
      </c>
      <c r="C14" s="175"/>
      <c r="D14" s="173" vm="130">
        <v>0</v>
      </c>
      <c r="E14" s="653">
        <v>0</v>
      </c>
      <c r="F14" s="60"/>
      <c r="G14" s="60"/>
      <c r="H14" s="60"/>
    </row>
    <row r="15" spans="1:8" ht="20" customHeight="1" thickBot="1">
      <c r="A15" s="724">
        <v>112</v>
      </c>
      <c r="B15" s="174" t="s">
        <v>960</v>
      </c>
      <c r="C15" s="175"/>
      <c r="D15" s="173" vm="131">
        <v>24245122.249999985</v>
      </c>
      <c r="E15" s="653">
        <v>1.2769843147230854E-3</v>
      </c>
      <c r="F15" s="60"/>
      <c r="G15" s="60"/>
      <c r="H15" s="60"/>
    </row>
    <row r="16" spans="1:8" ht="20" customHeight="1" thickBot="1">
      <c r="A16" s="724">
        <v>113</v>
      </c>
      <c r="B16" s="174" t="s">
        <v>961</v>
      </c>
      <c r="C16" s="175"/>
      <c r="D16" s="173" vm="132">
        <v>7616442.299999997</v>
      </c>
      <c r="E16" s="653">
        <v>4.0115604494811007E-4</v>
      </c>
      <c r="F16" s="60"/>
      <c r="G16" s="60"/>
      <c r="H16" s="176"/>
    </row>
    <row r="17" spans="1:8" ht="20" customHeight="1" thickBot="1">
      <c r="A17" s="724">
        <v>114</v>
      </c>
      <c r="B17" s="174" t="s">
        <v>2578</v>
      </c>
      <c r="C17" s="175"/>
      <c r="D17" s="173" vm="133">
        <v>2400800</v>
      </c>
      <c r="E17" s="653">
        <v>1.264495147178392E-4</v>
      </c>
      <c r="F17" s="60"/>
      <c r="G17" s="60"/>
      <c r="H17" s="60"/>
    </row>
    <row r="18" spans="1:8" ht="20" customHeight="1" thickBot="1">
      <c r="A18" s="724">
        <v>115</v>
      </c>
      <c r="B18" s="174" t="s">
        <v>962</v>
      </c>
      <c r="C18" s="175"/>
      <c r="D18" s="173" vm="134">
        <v>0</v>
      </c>
      <c r="E18" s="653">
        <v>0</v>
      </c>
      <c r="F18" s="60"/>
      <c r="G18" s="60"/>
      <c r="H18" s="177"/>
    </row>
    <row r="19" spans="1:8" ht="20" customHeight="1" thickBot="1">
      <c r="A19" s="724">
        <v>13</v>
      </c>
      <c r="B19" s="174" t="s">
        <v>963</v>
      </c>
      <c r="C19" s="175"/>
      <c r="D19" s="173" vm="135">
        <v>53062738.659999996</v>
      </c>
      <c r="E19" s="653">
        <v>2.7948007135773592E-3</v>
      </c>
      <c r="F19" s="60"/>
      <c r="G19" s="60"/>
      <c r="H19" s="60"/>
    </row>
    <row r="20" spans="1:8" ht="20" customHeight="1" thickBot="1">
      <c r="A20" s="724">
        <v>130</v>
      </c>
      <c r="B20" s="174" t="s">
        <v>964</v>
      </c>
      <c r="C20" s="175"/>
      <c r="D20" s="173" vm="136">
        <v>25100635.080000013</v>
      </c>
      <c r="E20" s="653">
        <v>1.322043954088459E-3</v>
      </c>
      <c r="F20" s="60"/>
      <c r="G20" s="60"/>
      <c r="H20" s="60"/>
    </row>
    <row r="21" spans="1:8" ht="20" customHeight="1" thickBot="1">
      <c r="A21" s="724">
        <v>131</v>
      </c>
      <c r="B21" s="174" t="s">
        <v>965</v>
      </c>
      <c r="C21" s="175"/>
      <c r="D21" s="173" vm="137">
        <v>27000967.529999986</v>
      </c>
      <c r="E21" s="653">
        <v>1.4221339724594432E-3</v>
      </c>
      <c r="F21" s="60"/>
      <c r="G21" s="60"/>
      <c r="H21" s="60"/>
    </row>
    <row r="22" spans="1:8" ht="20" customHeight="1" thickBot="1">
      <c r="A22" s="724">
        <v>132</v>
      </c>
      <c r="B22" s="174" t="s">
        <v>966</v>
      </c>
      <c r="C22" s="175"/>
      <c r="D22" s="173" vm="138">
        <v>961136.04999999981</v>
      </c>
      <c r="E22" s="653">
        <v>5.062278702945718E-5</v>
      </c>
      <c r="F22" s="60"/>
      <c r="G22" s="60"/>
      <c r="H22" s="60"/>
    </row>
    <row r="23" spans="1:8" ht="20" customHeight="1" thickBot="1">
      <c r="A23" s="724">
        <v>990</v>
      </c>
      <c r="B23" s="174" t="s">
        <v>967</v>
      </c>
      <c r="C23" s="175"/>
      <c r="D23" s="173" vm="117">
        <v>13302049702.279999</v>
      </c>
      <c r="E23" s="653">
        <v>0.70061551549728551</v>
      </c>
      <c r="F23" s="60"/>
      <c r="G23" s="60"/>
      <c r="H23" s="60"/>
    </row>
    <row r="24" spans="1:8" ht="20" customHeight="1" thickBot="1">
      <c r="A24" s="724"/>
      <c r="B24" s="174"/>
      <c r="C24" s="175"/>
      <c r="D24" s="173" t="s">
        <v>397</v>
      </c>
      <c r="E24" s="653" t="s">
        <v>397</v>
      </c>
      <c r="F24" s="60"/>
      <c r="G24" s="60"/>
      <c r="H24" s="60"/>
    </row>
    <row r="25" spans="1:8" ht="20" customHeight="1" thickBot="1">
      <c r="A25" s="724"/>
      <c r="B25" s="723" t="s">
        <v>968</v>
      </c>
      <c r="C25" s="175"/>
      <c r="D25" s="173" t="s">
        <v>397</v>
      </c>
      <c r="E25" s="653" t="s">
        <v>397</v>
      </c>
      <c r="F25" s="60"/>
      <c r="G25" s="60"/>
      <c r="H25" s="60"/>
    </row>
    <row r="26" spans="1:8" ht="20" customHeight="1" thickBot="1">
      <c r="A26" s="724">
        <v>15</v>
      </c>
      <c r="B26" s="174" t="s">
        <v>969</v>
      </c>
      <c r="C26" s="175"/>
      <c r="D26" s="173" vm="116">
        <v>401012442.29999995</v>
      </c>
      <c r="E26" s="653">
        <v>2.1121221561417228E-2</v>
      </c>
      <c r="F26" s="60"/>
      <c r="G26" s="60"/>
      <c r="H26" s="60"/>
    </row>
    <row r="27" spans="1:8" ht="20" customHeight="1" thickBot="1">
      <c r="A27" s="724">
        <v>150</v>
      </c>
      <c r="B27" s="174" t="s">
        <v>970</v>
      </c>
      <c r="C27" s="175"/>
      <c r="D27" s="173" vm="139">
        <v>83168337.659999982</v>
      </c>
      <c r="E27" s="653">
        <v>4.3804548221411145E-3</v>
      </c>
      <c r="F27" s="60"/>
      <c r="G27" s="60"/>
      <c r="H27" s="60"/>
    </row>
    <row r="28" spans="1:8" ht="20" customHeight="1" thickBot="1">
      <c r="A28" s="724">
        <v>153</v>
      </c>
      <c r="B28" s="174" t="s">
        <v>275</v>
      </c>
      <c r="C28" s="175"/>
      <c r="D28" s="173" vm="140">
        <v>147273720.09</v>
      </c>
      <c r="E28" s="653">
        <v>7.7568687254545923E-3</v>
      </c>
      <c r="F28" s="60"/>
      <c r="G28" s="60"/>
      <c r="H28" s="60"/>
    </row>
    <row r="29" spans="1:8" ht="20" customHeight="1" thickBot="1">
      <c r="A29" s="724">
        <v>157</v>
      </c>
      <c r="B29" s="174" t="s">
        <v>971</v>
      </c>
      <c r="C29" s="175"/>
      <c r="D29" s="173" vm="141">
        <v>170567947.29999998</v>
      </c>
      <c r="E29" s="653">
        <v>8.9837696444947379E-3</v>
      </c>
      <c r="F29" s="60"/>
      <c r="G29" s="60"/>
      <c r="H29" s="60"/>
    </row>
    <row r="30" spans="1:8" ht="20" customHeight="1" thickBot="1">
      <c r="A30" s="724">
        <v>158</v>
      </c>
      <c r="B30" s="174" t="s">
        <v>972</v>
      </c>
      <c r="C30" s="175"/>
      <c r="D30" s="173" vm="142">
        <v>2437.25</v>
      </c>
      <c r="E30" s="653">
        <v>1.2836932678526058E-7</v>
      </c>
      <c r="F30" s="60"/>
      <c r="G30" s="60"/>
      <c r="H30" s="60"/>
    </row>
    <row r="31" spans="1:8" ht="20" customHeight="1" thickBot="1">
      <c r="A31" s="724">
        <v>16</v>
      </c>
      <c r="B31" s="174" t="s">
        <v>973</v>
      </c>
      <c r="C31" s="175"/>
      <c r="D31" s="173" vm="143">
        <v>1752159017.7400002</v>
      </c>
      <c r="E31" s="653">
        <v>9.2285762038365887E-2</v>
      </c>
      <c r="F31" s="60"/>
      <c r="G31" s="60"/>
      <c r="H31" s="60"/>
    </row>
    <row r="32" spans="1:8" ht="20" customHeight="1" thickBot="1">
      <c r="A32" s="724">
        <v>160</v>
      </c>
      <c r="B32" s="174" t="s">
        <v>974</v>
      </c>
      <c r="C32" s="175"/>
      <c r="D32" s="173" vm="144">
        <v>1565646881.6300001</v>
      </c>
      <c r="E32" s="653">
        <v>8.2462216095306448E-2</v>
      </c>
      <c r="F32" s="60"/>
      <c r="G32" s="60"/>
      <c r="H32" s="60"/>
    </row>
    <row r="33" spans="1:8" ht="20" customHeight="1" thickBot="1">
      <c r="A33" s="724">
        <v>161</v>
      </c>
      <c r="B33" s="174" t="s">
        <v>975</v>
      </c>
      <c r="C33" s="175"/>
      <c r="D33" s="173" vm="145">
        <v>2011900</v>
      </c>
      <c r="E33" s="653">
        <v>1.0596625235788931E-4</v>
      </c>
      <c r="F33" s="60"/>
      <c r="G33" s="60"/>
      <c r="H33" s="60"/>
    </row>
    <row r="34" spans="1:8" ht="20" customHeight="1" thickBot="1">
      <c r="A34" s="724">
        <v>164</v>
      </c>
      <c r="B34" s="174" t="s">
        <v>976</v>
      </c>
      <c r="C34" s="175"/>
      <c r="D34" s="173" vm="146">
        <v>13635020.299999999</v>
      </c>
      <c r="E34" s="653">
        <v>7.1815299071263162E-4</v>
      </c>
      <c r="F34" s="60"/>
      <c r="G34" s="60"/>
      <c r="H34" s="60"/>
    </row>
    <row r="35" spans="1:8" ht="20" customHeight="1" thickBot="1">
      <c r="A35" s="724">
        <v>165</v>
      </c>
      <c r="B35" s="174" t="s">
        <v>977</v>
      </c>
      <c r="C35" s="175"/>
      <c r="D35" s="173" vm="145">
        <v>7715329.9500000002</v>
      </c>
      <c r="E35" s="653">
        <v>4.0636443188333496E-4</v>
      </c>
      <c r="F35" s="60"/>
      <c r="G35" s="60"/>
      <c r="H35" s="60"/>
    </row>
    <row r="36" spans="1:8" ht="20" customHeight="1" thickBot="1">
      <c r="A36" s="724">
        <v>167</v>
      </c>
      <c r="B36" s="174" t="s">
        <v>978</v>
      </c>
      <c r="C36" s="175"/>
      <c r="D36" s="173" vm="147">
        <v>108674627.53000003</v>
      </c>
      <c r="E36" s="653">
        <v>5.7238645090429982E-3</v>
      </c>
      <c r="F36" s="60"/>
      <c r="G36" s="60"/>
      <c r="H36" s="60"/>
    </row>
    <row r="37" spans="1:8" ht="20" customHeight="1" thickBot="1">
      <c r="A37" s="724">
        <v>169</v>
      </c>
      <c r="B37" s="174" t="s">
        <v>979</v>
      </c>
      <c r="C37" s="175"/>
      <c r="D37" s="173" vm="148">
        <v>54475258.329999998</v>
      </c>
      <c r="E37" s="653">
        <v>2.8691977590625736E-3</v>
      </c>
      <c r="F37" s="60"/>
      <c r="G37" s="60"/>
      <c r="H37" s="60"/>
    </row>
    <row r="38" spans="1:8" ht="20" customHeight="1" thickBot="1">
      <c r="A38" s="724">
        <v>17</v>
      </c>
      <c r="B38" s="174" t="s">
        <v>980</v>
      </c>
      <c r="C38" s="175"/>
      <c r="D38" s="173" vm="149">
        <v>524170861.83000004</v>
      </c>
      <c r="E38" s="653">
        <v>2.7607943646965612E-2</v>
      </c>
      <c r="F38" s="60"/>
      <c r="G38" s="60"/>
      <c r="H38" s="60"/>
    </row>
    <row r="39" spans="1:8" ht="20" customHeight="1" thickBot="1">
      <c r="A39" s="724">
        <v>170</v>
      </c>
      <c r="B39" s="174" t="s">
        <v>981</v>
      </c>
      <c r="C39" s="175"/>
      <c r="D39" s="173" vm="150">
        <v>436314587.09000003</v>
      </c>
      <c r="E39" s="653">
        <v>2.2980576391971378E-2</v>
      </c>
      <c r="F39" s="60"/>
      <c r="G39" s="60"/>
      <c r="H39" s="60"/>
    </row>
    <row r="40" spans="1:8" ht="20" customHeight="1" thickBot="1">
      <c r="A40" s="724">
        <v>171</v>
      </c>
      <c r="B40" s="174" t="s">
        <v>982</v>
      </c>
      <c r="C40" s="175"/>
      <c r="D40" s="173" vm="151">
        <v>87856274.74000001</v>
      </c>
      <c r="E40" s="653">
        <v>4.6273672549942335E-3</v>
      </c>
      <c r="F40" s="60"/>
      <c r="G40" s="60"/>
      <c r="H40" s="60"/>
    </row>
    <row r="41" spans="1:8" ht="20" customHeight="1" thickBot="1">
      <c r="A41" s="724">
        <v>175</v>
      </c>
      <c r="B41" s="174" t="s">
        <v>983</v>
      </c>
      <c r="C41" s="175"/>
      <c r="D41" s="173" vm="152">
        <v>0</v>
      </c>
      <c r="E41" s="653">
        <v>0</v>
      </c>
      <c r="F41" s="60"/>
      <c r="G41" s="60"/>
      <c r="H41" s="60"/>
    </row>
    <row r="42" spans="1:8" ht="20" customHeight="1" thickBot="1">
      <c r="A42" s="724">
        <v>19</v>
      </c>
      <c r="B42" s="174" t="s">
        <v>984</v>
      </c>
      <c r="C42" s="175"/>
      <c r="D42" s="173" vm="153">
        <v>3006841377.8300009</v>
      </c>
      <c r="E42" s="653">
        <v>0.15836955725596574</v>
      </c>
      <c r="F42" s="60"/>
      <c r="G42" s="60"/>
      <c r="H42" s="60"/>
    </row>
    <row r="43" spans="1:8" ht="20" customHeight="1" thickBot="1">
      <c r="A43" s="724">
        <v>991</v>
      </c>
      <c r="B43" s="174" t="s">
        <v>985</v>
      </c>
      <c r="C43" s="175"/>
      <c r="D43" s="173" vm="116">
        <v>5684183699.7000008</v>
      </c>
      <c r="E43" s="653">
        <v>0.29938448450271443</v>
      </c>
      <c r="F43" s="60"/>
      <c r="G43" s="60"/>
      <c r="H43" s="60"/>
    </row>
    <row r="44" spans="1:8" s="138" customFormat="1" ht="20" customHeight="1" thickBot="1">
      <c r="A44" s="733">
        <v>1</v>
      </c>
      <c r="B44" s="483" t="s">
        <v>986</v>
      </c>
      <c r="C44" s="728"/>
      <c r="D44" s="173" vm="120">
        <v>18986233401.98</v>
      </c>
      <c r="E44" s="653">
        <v>1</v>
      </c>
      <c r="F44" s="729"/>
      <c r="G44" s="729"/>
      <c r="H44" s="729"/>
    </row>
    <row r="45" spans="1:8" ht="20" hidden="1" customHeight="1" thickBot="1">
      <c r="A45" s="724"/>
      <c r="B45" s="174"/>
      <c r="C45" s="175"/>
      <c r="D45" s="173" t="s">
        <v>397</v>
      </c>
      <c r="E45" s="175"/>
      <c r="F45" s="60"/>
      <c r="G45" s="60"/>
      <c r="H45" s="60"/>
    </row>
    <row r="46" spans="1:8" ht="20" hidden="1" customHeight="1" thickBot="1">
      <c r="A46" s="724"/>
      <c r="B46" s="174"/>
      <c r="C46" s="175"/>
      <c r="D46" s="173" t="s">
        <v>397</v>
      </c>
      <c r="E46" s="175"/>
      <c r="F46" s="60"/>
      <c r="G46" s="60"/>
      <c r="H46" s="60"/>
    </row>
    <row r="47" spans="1:8" ht="20" hidden="1" customHeight="1" thickBot="1">
      <c r="A47" s="724"/>
      <c r="B47" s="174"/>
      <c r="C47" s="175"/>
      <c r="D47" s="173" t="s">
        <v>397</v>
      </c>
      <c r="E47" s="175"/>
      <c r="F47" s="60"/>
      <c r="G47" s="60"/>
      <c r="H47" s="60"/>
    </row>
    <row r="48" spans="1:8" ht="20" hidden="1" customHeight="1" thickBot="1">
      <c r="A48" s="724"/>
      <c r="B48" s="174"/>
      <c r="C48" s="175"/>
      <c r="D48" s="173" t="s">
        <v>397</v>
      </c>
      <c r="E48" s="175"/>
      <c r="F48" s="60"/>
      <c r="G48" s="60"/>
      <c r="H48" s="60"/>
    </row>
    <row r="49" spans="1:8" ht="18" customHeight="1" thickBot="1">
      <c r="A49" s="727"/>
      <c r="B49" s="178"/>
      <c r="C49" s="179"/>
      <c r="D49" s="206" t="s">
        <v>397</v>
      </c>
      <c r="E49" s="179"/>
      <c r="F49" s="60"/>
      <c r="G49" s="60"/>
      <c r="H49" s="60"/>
    </row>
    <row r="50" spans="1:8" ht="15.5" customHeight="1">
      <c r="A50" s="3" t="s">
        <v>396</v>
      </c>
    </row>
    <row r="52" spans="1:8">
      <c r="A52" s="3" t="s">
        <v>987</v>
      </c>
    </row>
    <row r="55" spans="1:8">
      <c r="A55" s="3" t="s">
        <v>395</v>
      </c>
    </row>
    <row r="61" spans="1:8">
      <c r="B61" s="199"/>
      <c r="C61" s="199"/>
      <c r="D61" s="60"/>
    </row>
    <row r="64" spans="1:8" ht="14">
      <c r="A64" s="200"/>
      <c r="B64" s="200"/>
      <c r="C64" s="201"/>
      <c r="D64" s="202"/>
    </row>
  </sheetData>
  <mergeCells count="1">
    <mergeCell ref="A2:B2"/>
  </mergeCells>
  <pageMargins left="0.6" right="0.63" top="0.78" bottom="0.49" header="0.42" footer="0.4921259845"/>
  <pageSetup paperSize="9" scale="72" orientation="portrait"/>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3863-9FF4-5940-AC79-3CF8FC0F1119}">
  <sheetPr>
    <pageSetUpPr fitToPage="1"/>
  </sheetPr>
  <dimension ref="A1:H68"/>
  <sheetViews>
    <sheetView zoomScaleNormal="100" workbookViewId="0">
      <selection activeCell="H10" sqref="H10"/>
    </sheetView>
  </sheetViews>
  <sheetFormatPr baseColWidth="10" defaultColWidth="11.3984375" defaultRowHeight="13"/>
  <cols>
    <col min="1" max="1" width="16.3984375" style="3" customWidth="1"/>
    <col min="2" max="2" width="80.796875" style="181" customWidth="1"/>
    <col min="3" max="3" width="7.19921875" style="181" customWidth="1"/>
    <col min="4" max="4" width="20.19921875" style="182" customWidth="1"/>
    <col min="5" max="16384" width="11.3984375" style="3"/>
  </cols>
  <sheetData>
    <row r="1" spans="1:8" s="2" customFormat="1" ht="14" customHeight="1">
      <c r="B1" s="161"/>
      <c r="C1" s="161"/>
      <c r="D1" s="162"/>
    </row>
    <row r="2" spans="1:8" s="2" customFormat="1" ht="27" customHeight="1">
      <c r="A2" s="2054" t="s">
        <v>988</v>
      </c>
      <c r="B2" s="2055"/>
      <c r="C2" s="161"/>
      <c r="D2" s="164"/>
      <c r="E2" s="164">
        <v>2012</v>
      </c>
    </row>
    <row r="3" spans="1:8" ht="39" customHeight="1">
      <c r="A3" s="642" t="s">
        <v>261</v>
      </c>
      <c r="B3" s="109"/>
      <c r="C3" s="165"/>
      <c r="D3" s="166" t="s">
        <v>230</v>
      </c>
      <c r="E3" s="165" t="s">
        <v>949</v>
      </c>
    </row>
    <row r="4" spans="1:8" ht="38" customHeight="1">
      <c r="A4" s="734"/>
      <c r="B4" s="168"/>
      <c r="C4" s="169"/>
      <c r="D4" s="170" t="s">
        <v>262</v>
      </c>
      <c r="E4" s="169" t="s">
        <v>487</v>
      </c>
    </row>
    <row r="5" spans="1:8" ht="20" customHeight="1" thickBot="1">
      <c r="A5" s="735"/>
      <c r="B5" s="645" t="s">
        <v>940</v>
      </c>
      <c r="C5" s="172"/>
      <c r="D5" s="173"/>
      <c r="E5" s="172"/>
      <c r="F5" s="60"/>
      <c r="G5" s="60"/>
      <c r="H5" s="60"/>
    </row>
    <row r="6" spans="1:8" ht="20" customHeight="1" thickBot="1">
      <c r="A6" s="736">
        <v>200</v>
      </c>
      <c r="B6" s="174" t="s">
        <v>989</v>
      </c>
      <c r="C6" s="175"/>
      <c r="D6" s="173" vm="119">
        <v>88692664</v>
      </c>
      <c r="E6" s="653">
        <v>4.6714196608765284E-3</v>
      </c>
      <c r="F6" s="60"/>
      <c r="G6" s="60"/>
      <c r="H6" s="60"/>
    </row>
    <row r="7" spans="1:8" ht="20" customHeight="1" thickBot="1">
      <c r="A7" s="736">
        <v>201</v>
      </c>
      <c r="B7" s="2007" t="s">
        <v>2579</v>
      </c>
      <c r="C7" s="175"/>
      <c r="D7" s="173" vm="154">
        <v>0</v>
      </c>
      <c r="E7" s="653">
        <v>0</v>
      </c>
      <c r="F7" s="60"/>
      <c r="G7" s="60"/>
      <c r="H7" s="60"/>
    </row>
    <row r="8" spans="1:8" ht="20" customHeight="1" thickBot="1">
      <c r="A8" s="736">
        <v>202</v>
      </c>
      <c r="B8" s="174" t="s">
        <v>990</v>
      </c>
      <c r="C8" s="175"/>
      <c r="D8" s="173" vm="155">
        <v>20000</v>
      </c>
      <c r="E8" s="653">
        <v>1.0533948243738689E-6</v>
      </c>
      <c r="F8" s="60"/>
      <c r="G8" s="60"/>
      <c r="H8" s="60"/>
    </row>
    <row r="9" spans="1:8" ht="20" customHeight="1" thickBot="1">
      <c r="A9" s="736">
        <v>205</v>
      </c>
      <c r="B9" s="174" t="s">
        <v>991</v>
      </c>
      <c r="C9" s="175"/>
      <c r="D9" s="173" vm="156">
        <v>257709.85</v>
      </c>
      <c r="E9" s="653">
        <v>1.3573511109008305E-5</v>
      </c>
      <c r="F9" s="60"/>
      <c r="G9" s="60"/>
      <c r="H9" s="60"/>
    </row>
    <row r="10" spans="1:8" ht="20" customHeight="1" thickBot="1">
      <c r="A10" s="736">
        <v>206</v>
      </c>
      <c r="B10" s="174" t="s">
        <v>992</v>
      </c>
      <c r="C10" s="175"/>
      <c r="D10" s="173" vm="157">
        <v>7448396419.7199974</v>
      </c>
      <c r="E10" s="653">
        <v>0.39230511192089501</v>
      </c>
      <c r="F10" s="60"/>
      <c r="G10" s="60"/>
      <c r="H10" s="60"/>
    </row>
    <row r="11" spans="1:8" ht="20" customHeight="1" thickBot="1">
      <c r="A11" s="736">
        <v>2060</v>
      </c>
      <c r="B11" s="174" t="s">
        <v>993</v>
      </c>
      <c r="C11" s="175"/>
      <c r="D11" s="173" vm="121">
        <v>7061820187.2200012</v>
      </c>
      <c r="E11" s="653">
        <v>0.37194424179382274</v>
      </c>
      <c r="F11" s="60"/>
      <c r="G11" s="60"/>
      <c r="H11" s="60"/>
    </row>
    <row r="12" spans="1:8" ht="20" customHeight="1" thickBot="1">
      <c r="A12" s="736">
        <v>20600</v>
      </c>
      <c r="B12" s="174" t="s">
        <v>994</v>
      </c>
      <c r="C12" s="175"/>
      <c r="D12" s="173" vm="121">
        <v>6415324936.7300005</v>
      </c>
      <c r="E12" s="653">
        <v>0.33789350425140002</v>
      </c>
      <c r="F12" s="60"/>
      <c r="G12" s="60"/>
      <c r="H12" s="60"/>
    </row>
    <row r="13" spans="1:8" ht="20" customHeight="1" thickBot="1">
      <c r="A13" s="736">
        <v>20601</v>
      </c>
      <c r="B13" s="174" t="s">
        <v>995</v>
      </c>
      <c r="C13" s="175"/>
      <c r="D13" s="173" vm="158">
        <v>80103939.87999998</v>
      </c>
      <c r="E13" s="653">
        <v>4.2190537840773763E-3</v>
      </c>
      <c r="F13" s="60"/>
      <c r="G13" s="60"/>
      <c r="H13" s="60"/>
    </row>
    <row r="14" spans="1:8" ht="20" customHeight="1" thickBot="1">
      <c r="A14" s="736">
        <v>20602</v>
      </c>
      <c r="B14" s="174" t="s">
        <v>996</v>
      </c>
      <c r="C14" s="175"/>
      <c r="D14" s="173" vm="159">
        <v>575828896.75999999</v>
      </c>
      <c r="E14" s="653">
        <v>3.0328758978594942E-2</v>
      </c>
      <c r="F14" s="60"/>
      <c r="G14" s="60"/>
      <c r="H14" s="60"/>
    </row>
    <row r="15" spans="1:8" ht="20" customHeight="1" thickBot="1">
      <c r="A15" s="736">
        <v>20603</v>
      </c>
      <c r="B15" s="174" t="s">
        <v>997</v>
      </c>
      <c r="C15" s="175"/>
      <c r="D15" s="173" vm="160">
        <v>-9437586.1499999985</v>
      </c>
      <c r="E15" s="653">
        <v>-4.9707522024962532E-4</v>
      </c>
      <c r="F15" s="60"/>
      <c r="G15" s="60"/>
      <c r="H15" s="60"/>
    </row>
    <row r="16" spans="1:8" ht="20" customHeight="1" thickBot="1">
      <c r="A16" s="736">
        <v>2061</v>
      </c>
      <c r="B16" s="174" t="s">
        <v>998</v>
      </c>
      <c r="C16" s="175"/>
      <c r="D16" s="173" vm="161">
        <v>365486184.42999995</v>
      </c>
      <c r="E16" s="653">
        <v>1.9250062752935761E-2</v>
      </c>
      <c r="F16" s="60"/>
      <c r="G16" s="60"/>
      <c r="H16" s="60"/>
    </row>
    <row r="17" spans="1:8" ht="20" customHeight="1" thickBot="1">
      <c r="A17" s="736">
        <v>2062</v>
      </c>
      <c r="B17" s="174" t="s">
        <v>999</v>
      </c>
      <c r="C17" s="175"/>
      <c r="D17" s="173" vm="162">
        <v>21090048.07</v>
      </c>
      <c r="E17" s="653">
        <v>1.110807374136705E-3</v>
      </c>
      <c r="F17" s="60"/>
      <c r="G17" s="60"/>
      <c r="H17" s="60"/>
    </row>
    <row r="18" spans="1:8" ht="20" customHeight="1" thickBot="1">
      <c r="A18" s="737">
        <v>207</v>
      </c>
      <c r="B18" s="174" t="s">
        <v>1000</v>
      </c>
      <c r="C18" s="175"/>
      <c r="D18" s="173" vm="163">
        <v>0</v>
      </c>
      <c r="E18" s="653">
        <v>0</v>
      </c>
      <c r="F18" s="60"/>
      <c r="G18" s="60"/>
      <c r="H18" s="60"/>
    </row>
    <row r="19" spans="1:8" ht="20" customHeight="1" thickBot="1">
      <c r="A19" s="736">
        <v>20</v>
      </c>
      <c r="B19" s="174" t="s">
        <v>1001</v>
      </c>
      <c r="C19" s="175"/>
      <c r="D19" s="173" vm="164">
        <v>7537366793.5699978</v>
      </c>
      <c r="E19" s="653">
        <v>0.39699115848770494</v>
      </c>
      <c r="F19" s="60"/>
      <c r="G19" s="60"/>
      <c r="H19" s="176"/>
    </row>
    <row r="20" spans="1:8" ht="20" customHeight="1" thickBot="1">
      <c r="A20" s="736"/>
      <c r="B20" s="174"/>
      <c r="C20" s="175"/>
      <c r="D20" s="173" t="s">
        <v>397</v>
      </c>
      <c r="E20" s="653" t="s">
        <v>397</v>
      </c>
      <c r="F20" s="60"/>
      <c r="G20" s="60"/>
      <c r="H20" s="60"/>
    </row>
    <row r="21" spans="1:8" ht="20" customHeight="1" thickBot="1">
      <c r="A21" s="736"/>
      <c r="B21" s="723" t="s">
        <v>1002</v>
      </c>
      <c r="C21" s="175"/>
      <c r="D21" s="173" t="s">
        <v>397</v>
      </c>
      <c r="E21" s="653" t="s">
        <v>397</v>
      </c>
      <c r="F21" s="60"/>
      <c r="G21" s="60"/>
      <c r="H21" s="177"/>
    </row>
    <row r="22" spans="1:8" ht="20" customHeight="1" thickBot="1">
      <c r="A22" s="736">
        <v>210</v>
      </c>
      <c r="B22" s="174" t="s">
        <v>1003</v>
      </c>
      <c r="C22" s="175"/>
      <c r="D22" s="173" vm="165">
        <v>6543421075.3800001</v>
      </c>
      <c r="E22" s="653">
        <v>0.34464029472520935</v>
      </c>
      <c r="F22" s="60"/>
      <c r="G22" s="60"/>
      <c r="H22" s="60"/>
    </row>
    <row r="23" spans="1:8" ht="20" customHeight="1" thickBot="1">
      <c r="A23" s="736">
        <v>2100</v>
      </c>
      <c r="B23" s="174" t="s">
        <v>1004</v>
      </c>
      <c r="C23" s="175"/>
      <c r="D23" s="173" vm="166">
        <v>94352724.079999998</v>
      </c>
      <c r="E23" s="653">
        <v>4.9695335605723853E-3</v>
      </c>
      <c r="F23" s="60"/>
      <c r="G23" s="60"/>
      <c r="H23" s="60"/>
    </row>
    <row r="24" spans="1:8" ht="20" customHeight="1" thickBot="1">
      <c r="A24" s="736">
        <v>2101</v>
      </c>
      <c r="B24" s="174" t="s">
        <v>1005</v>
      </c>
      <c r="C24" s="175"/>
      <c r="D24" s="173" vm="167">
        <v>5562609742.0799999</v>
      </c>
      <c r="E24" s="653">
        <v>0.29298121561593665</v>
      </c>
      <c r="F24" s="60"/>
      <c r="G24" s="60"/>
      <c r="H24" s="60"/>
    </row>
    <row r="25" spans="1:8" ht="20" customHeight="1" thickBot="1">
      <c r="A25" s="736">
        <v>21010</v>
      </c>
      <c r="B25" s="174" t="s">
        <v>1006</v>
      </c>
      <c r="C25" s="175"/>
      <c r="D25" s="173" vm="167">
        <v>5476639103.1199999</v>
      </c>
      <c r="E25" s="653">
        <v>0.28845316430950774</v>
      </c>
      <c r="F25" s="60"/>
      <c r="G25" s="60"/>
      <c r="H25" s="60"/>
    </row>
    <row r="26" spans="1:8" ht="20" customHeight="1" thickBot="1">
      <c r="A26" s="736">
        <v>21011</v>
      </c>
      <c r="B26" s="174" t="s">
        <v>1007</v>
      </c>
      <c r="C26" s="175"/>
      <c r="D26" s="173" vm="168">
        <v>85970638.959999993</v>
      </c>
      <c r="E26" s="653">
        <v>4.5280513064289239E-3</v>
      </c>
      <c r="F26" s="60"/>
      <c r="G26" s="60"/>
      <c r="H26" s="60"/>
    </row>
    <row r="27" spans="1:8" ht="20" customHeight="1" thickBot="1">
      <c r="A27" s="736">
        <v>2102</v>
      </c>
      <c r="B27" s="174" t="s">
        <v>1008</v>
      </c>
      <c r="C27" s="175"/>
      <c r="D27" s="173" vm="169">
        <v>3050880</v>
      </c>
      <c r="E27" s="653">
        <v>1.6068906008928746E-4</v>
      </c>
      <c r="F27" s="60"/>
      <c r="G27" s="60"/>
      <c r="H27" s="60"/>
    </row>
    <row r="28" spans="1:8" ht="20" customHeight="1" thickBot="1">
      <c r="A28" s="736">
        <v>2103</v>
      </c>
      <c r="B28" s="174" t="s">
        <v>1009</v>
      </c>
      <c r="C28" s="175"/>
      <c r="D28" s="173" vm="170">
        <v>845988509.22000003</v>
      </c>
      <c r="E28" s="653">
        <v>4.4557995854605653E-2</v>
      </c>
      <c r="F28" s="60"/>
      <c r="G28" s="60"/>
      <c r="H28" s="60"/>
    </row>
    <row r="29" spans="1:8" ht="20" customHeight="1" thickBot="1">
      <c r="A29" s="736">
        <v>2104</v>
      </c>
      <c r="B29" s="174" t="s">
        <v>1010</v>
      </c>
      <c r="C29" s="175"/>
      <c r="D29" s="173" vm="171">
        <v>37419220</v>
      </c>
      <c r="E29" s="653">
        <v>1.9708606340053578E-3</v>
      </c>
      <c r="F29" s="60"/>
      <c r="G29" s="60"/>
      <c r="H29" s="60"/>
    </row>
    <row r="30" spans="1:8" ht="20" customHeight="1" thickBot="1">
      <c r="A30" s="736">
        <v>2110</v>
      </c>
      <c r="B30" s="174" t="s">
        <v>1011</v>
      </c>
      <c r="C30" s="175"/>
      <c r="D30" s="173" vm="172">
        <v>607941618.82999992</v>
      </c>
      <c r="E30" s="653">
        <v>3.2020127739849663E-2</v>
      </c>
      <c r="F30" s="60"/>
      <c r="G30" s="60"/>
      <c r="H30" s="60"/>
    </row>
    <row r="31" spans="1:8" ht="20" customHeight="1" thickBot="1">
      <c r="A31" s="736">
        <v>220</v>
      </c>
      <c r="B31" s="174" t="s">
        <v>1012</v>
      </c>
      <c r="C31" s="175"/>
      <c r="D31" s="173" vm="173">
        <v>85591638.730000004</v>
      </c>
      <c r="E31" s="653">
        <v>4.5080894623929996E-3</v>
      </c>
      <c r="F31" s="60"/>
      <c r="G31" s="60"/>
      <c r="H31" s="60"/>
    </row>
    <row r="32" spans="1:8" ht="20" customHeight="1" thickBot="1">
      <c r="A32" s="736">
        <v>230</v>
      </c>
      <c r="B32" s="174" t="s">
        <v>1013</v>
      </c>
      <c r="C32" s="175"/>
      <c r="D32" s="173" vm="174">
        <v>268557493.39999998</v>
      </c>
      <c r="E32" s="653">
        <v>1.4144853679718971E-2</v>
      </c>
      <c r="F32" s="60"/>
      <c r="G32" s="60"/>
      <c r="H32" s="60"/>
    </row>
    <row r="33" spans="1:8" ht="20" customHeight="1" thickBot="1">
      <c r="A33" s="736">
        <v>240</v>
      </c>
      <c r="B33" s="174" t="s">
        <v>1014</v>
      </c>
      <c r="C33" s="175"/>
      <c r="D33" s="173" vm="175">
        <v>85177778.739999995</v>
      </c>
      <c r="E33" s="653">
        <v>4.4862915638189281E-3</v>
      </c>
      <c r="F33" s="60"/>
      <c r="G33" s="60"/>
      <c r="H33" s="60"/>
    </row>
    <row r="34" spans="1:8" ht="20" customHeight="1" thickBot="1">
      <c r="A34" s="736">
        <v>250</v>
      </c>
      <c r="B34" s="174" t="s">
        <v>1015</v>
      </c>
      <c r="C34" s="175"/>
      <c r="D34" s="173" vm="176">
        <v>228084400.72999999</v>
      </c>
      <c r="E34" s="653">
        <v>1.2013146362469872E-2</v>
      </c>
      <c r="F34" s="60"/>
      <c r="G34" s="60"/>
      <c r="H34" s="60"/>
    </row>
    <row r="35" spans="1:8" ht="20" customHeight="1" thickBot="1">
      <c r="A35" s="736">
        <v>260</v>
      </c>
      <c r="B35" s="174" t="s">
        <v>1016</v>
      </c>
      <c r="C35" s="175"/>
      <c r="D35" s="173" vm="177">
        <v>375374465.91999996</v>
      </c>
      <c r="E35" s="653">
        <v>1.9770875980111659E-2</v>
      </c>
      <c r="F35" s="60"/>
      <c r="G35" s="60"/>
      <c r="H35" s="60"/>
    </row>
    <row r="36" spans="1:8" ht="20" customHeight="1" thickBot="1">
      <c r="A36" s="736">
        <v>261</v>
      </c>
      <c r="B36" s="174" t="s">
        <v>1017</v>
      </c>
      <c r="C36" s="175"/>
      <c r="D36" s="173" vm="178">
        <v>1604609345.0300012</v>
      </c>
      <c r="E36" s="653">
        <v>8.451435895982734E-2</v>
      </c>
      <c r="F36" s="60"/>
      <c r="G36" s="60"/>
      <c r="H36" s="60"/>
    </row>
    <row r="37" spans="1:8" ht="20" customHeight="1" thickBot="1">
      <c r="A37" s="736">
        <v>262</v>
      </c>
      <c r="B37" s="174" t="s">
        <v>1018</v>
      </c>
      <c r="C37" s="175"/>
      <c r="D37" s="173" vm="179">
        <v>176282732.93000001</v>
      </c>
      <c r="E37" s="653">
        <v>9.284765924747149E-3</v>
      </c>
      <c r="F37" s="60"/>
      <c r="G37" s="60"/>
      <c r="H37" s="60"/>
    </row>
    <row r="38" spans="1:8" ht="20" customHeight="1" thickBot="1">
      <c r="A38" s="736">
        <v>263</v>
      </c>
      <c r="B38" s="174" t="s">
        <v>976</v>
      </c>
      <c r="C38" s="175"/>
      <c r="D38" s="173" vm="180">
        <v>11986364.58</v>
      </c>
      <c r="E38" s="653">
        <v>6.3131872058151315E-4</v>
      </c>
      <c r="F38" s="60"/>
      <c r="G38" s="60"/>
      <c r="H38" s="60"/>
    </row>
    <row r="39" spans="1:8" ht="20" customHeight="1" thickBot="1">
      <c r="A39" s="736">
        <v>264</v>
      </c>
      <c r="B39" s="174" t="s">
        <v>977</v>
      </c>
      <c r="C39" s="175"/>
      <c r="D39" s="173" vm="181">
        <v>7117055.8900000006</v>
      </c>
      <c r="E39" s="653">
        <v>3.7485349196527795E-4</v>
      </c>
      <c r="F39" s="60"/>
      <c r="G39" s="60"/>
      <c r="H39" s="60"/>
    </row>
    <row r="40" spans="1:8" ht="20" customHeight="1" thickBot="1">
      <c r="A40" s="736">
        <v>265</v>
      </c>
      <c r="B40" s="174" t="s">
        <v>978</v>
      </c>
      <c r="C40" s="175"/>
      <c r="D40" s="173" vm="182">
        <v>28878899.099999998</v>
      </c>
      <c r="E40" s="653">
        <v>1.5210441422777588E-3</v>
      </c>
      <c r="F40" s="60"/>
      <c r="G40" s="60"/>
      <c r="H40" s="60"/>
    </row>
    <row r="41" spans="1:8" ht="20" customHeight="1" thickBot="1">
      <c r="A41" s="736">
        <v>266</v>
      </c>
      <c r="B41" s="174" t="s">
        <v>1019</v>
      </c>
      <c r="C41" s="175"/>
      <c r="D41" s="173" vm="183">
        <v>22276790</v>
      </c>
      <c r="E41" s="653">
        <v>1.1733127644831779E-3</v>
      </c>
      <c r="F41" s="60"/>
      <c r="G41" s="60"/>
      <c r="H41" s="60"/>
    </row>
    <row r="42" spans="1:8" ht="20" customHeight="1" thickBot="1">
      <c r="A42" s="736">
        <v>268</v>
      </c>
      <c r="B42" s="174" t="s">
        <v>1020</v>
      </c>
      <c r="C42" s="175"/>
      <c r="D42" s="173" vm="184">
        <v>161750099.78999996</v>
      </c>
      <c r="E42" s="653">
        <v>8.5193358980371389E-3</v>
      </c>
      <c r="F42" s="60"/>
      <c r="G42" s="60"/>
      <c r="H42" s="60"/>
    </row>
    <row r="43" spans="1:8" ht="20" customHeight="1" thickBot="1">
      <c r="A43" s="736">
        <v>269</v>
      </c>
      <c r="B43" s="174" t="s">
        <v>1021</v>
      </c>
      <c r="C43" s="175"/>
      <c r="D43" s="173" vm="185">
        <v>781185288.12999988</v>
      </c>
      <c r="E43" s="653">
        <v>4.1144826969657565E-2</v>
      </c>
      <c r="F43" s="60"/>
      <c r="G43" s="60"/>
      <c r="H43" s="60"/>
    </row>
    <row r="44" spans="1:8" ht="20" customHeight="1" thickBot="1">
      <c r="A44" s="736">
        <v>270</v>
      </c>
      <c r="B44" s="174" t="s">
        <v>1022</v>
      </c>
      <c r="C44" s="175"/>
      <c r="D44" s="173" vm="186">
        <v>460631561.23000002</v>
      </c>
      <c r="E44" s="653">
        <v>2.4261345127146845E-2</v>
      </c>
      <c r="F44" s="60"/>
      <c r="G44" s="60"/>
      <c r="H44" s="60"/>
    </row>
    <row r="45" spans="1:8" ht="20" customHeight="1" thickBot="1">
      <c r="A45" s="736">
        <v>21</v>
      </c>
      <c r="B45" s="174" t="s">
        <v>1023</v>
      </c>
      <c r="C45" s="175"/>
      <c r="D45" s="173" vm="118">
        <v>11448866608.409998</v>
      </c>
      <c r="E45" s="653">
        <v>0.60300884151229506</v>
      </c>
      <c r="F45" s="60"/>
      <c r="G45" s="60"/>
      <c r="H45" s="60"/>
    </row>
    <row r="46" spans="1:8" s="138" customFormat="1" ht="20" customHeight="1" thickBot="1">
      <c r="A46" s="738">
        <v>2</v>
      </c>
      <c r="B46" s="483" t="s">
        <v>1024</v>
      </c>
      <c r="C46" s="728"/>
      <c r="D46" s="173" vm="187">
        <v>18986233401.979996</v>
      </c>
      <c r="E46" s="653">
        <v>1</v>
      </c>
      <c r="F46" s="729"/>
      <c r="G46" s="729"/>
      <c r="H46" s="729"/>
    </row>
    <row r="47" spans="1:8" ht="20" hidden="1" customHeight="1" thickBot="1">
      <c r="A47" s="736"/>
      <c r="B47" s="174"/>
      <c r="C47" s="175"/>
      <c r="D47" s="173" t="s">
        <v>397</v>
      </c>
      <c r="E47" s="175"/>
      <c r="F47" s="60"/>
      <c r="G47" s="60"/>
      <c r="H47" s="60"/>
    </row>
    <row r="48" spans="1:8" ht="20" hidden="1" customHeight="1" thickBot="1">
      <c r="A48" s="736"/>
      <c r="B48" s="174"/>
      <c r="C48" s="175"/>
      <c r="D48" s="173" t="s">
        <v>397</v>
      </c>
      <c r="E48" s="175"/>
      <c r="F48" s="60"/>
      <c r="G48" s="60"/>
      <c r="H48" s="60"/>
    </row>
    <row r="49" spans="1:8" ht="20" hidden="1" customHeight="1" thickBot="1">
      <c r="A49" s="736"/>
      <c r="B49" s="174"/>
      <c r="C49" s="175"/>
      <c r="D49" s="173" t="s">
        <v>397</v>
      </c>
      <c r="E49" s="175"/>
      <c r="F49" s="60"/>
      <c r="G49" s="60"/>
      <c r="H49" s="60"/>
    </row>
    <row r="50" spans="1:8" ht="20" hidden="1" customHeight="1" thickBot="1">
      <c r="A50" s="736"/>
      <c r="B50" s="174"/>
      <c r="C50" s="175"/>
      <c r="D50" s="173" t="s">
        <v>397</v>
      </c>
      <c r="E50" s="175"/>
      <c r="F50" s="60"/>
      <c r="G50" s="60"/>
      <c r="H50" s="60"/>
    </row>
    <row r="51" spans="1:8" ht="20" hidden="1" customHeight="1" thickBot="1">
      <c r="A51" s="736"/>
      <c r="B51" s="174"/>
      <c r="C51" s="175"/>
      <c r="D51" s="173" t="s">
        <v>397</v>
      </c>
      <c r="E51" s="175"/>
      <c r="F51" s="60"/>
      <c r="G51" s="60"/>
      <c r="H51" s="60"/>
    </row>
    <row r="52" spans="1:8" ht="20" hidden="1" customHeight="1" thickBot="1">
      <c r="A52" s="736"/>
      <c r="B52" s="174"/>
      <c r="C52" s="175"/>
      <c r="D52" s="173" t="s">
        <v>397</v>
      </c>
      <c r="E52" s="175"/>
      <c r="F52" s="60"/>
      <c r="G52" s="60"/>
      <c r="H52" s="60"/>
    </row>
    <row r="53" spans="1:8" ht="21" customHeight="1" thickBot="1">
      <c r="A53" s="730"/>
      <c r="B53" s="178"/>
      <c r="C53" s="179"/>
      <c r="D53" s="206" t="s">
        <v>397</v>
      </c>
      <c r="E53" s="179"/>
      <c r="F53" s="60"/>
      <c r="G53" s="60"/>
      <c r="H53" s="60"/>
    </row>
    <row r="54" spans="1:8" ht="15.5" customHeight="1">
      <c r="A54" s="3" t="s">
        <v>396</v>
      </c>
    </row>
    <row r="56" spans="1:8">
      <c r="A56" s="3" t="s">
        <v>1025</v>
      </c>
    </row>
    <row r="59" spans="1:8">
      <c r="A59" s="3" t="s">
        <v>395</v>
      </c>
    </row>
    <row r="65" spans="1:4">
      <c r="B65" s="199"/>
      <c r="C65" s="199"/>
      <c r="D65" s="60"/>
    </row>
    <row r="68" spans="1:4" ht="14">
      <c r="A68" s="200"/>
      <c r="B68" s="200"/>
      <c r="C68" s="201"/>
      <c r="D68" s="202"/>
    </row>
  </sheetData>
  <mergeCells count="1">
    <mergeCell ref="A2:B2"/>
  </mergeCells>
  <pageMargins left="0.6" right="0.63" top="0.59" bottom="0.49" header="0.42" footer="0.4921259845"/>
  <pageSetup paperSize="9" scale="66" orientation="portrait"/>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EF83-9D2C-1649-A81B-10EB7644C5C1}">
  <sheetPr>
    <pageSetUpPr fitToPage="1"/>
  </sheetPr>
  <dimension ref="A1:H79"/>
  <sheetViews>
    <sheetView zoomScaleNormal="100" workbookViewId="0">
      <selection activeCell="F16" sqref="F16"/>
    </sheetView>
  </sheetViews>
  <sheetFormatPr baseColWidth="10" defaultColWidth="11.3984375" defaultRowHeight="13"/>
  <cols>
    <col min="1" max="1" width="16.3984375" style="3" customWidth="1"/>
    <col min="2" max="2" width="91.3984375" style="181" customWidth="1"/>
    <col min="3" max="3" width="7.19921875" style="181" customWidth="1"/>
    <col min="4" max="4" width="20.19921875" style="182" customWidth="1"/>
    <col min="5" max="5" width="13" style="3" customWidth="1"/>
    <col min="6" max="16384" width="11.3984375" style="3"/>
  </cols>
  <sheetData>
    <row r="1" spans="1:8" s="2" customFormat="1" ht="14" customHeight="1">
      <c r="B1" s="161"/>
      <c r="C1" s="161"/>
      <c r="D1" s="162"/>
    </row>
    <row r="2" spans="1:8" s="2" customFormat="1" ht="25.75" customHeight="1">
      <c r="A2" s="222" t="s">
        <v>1026</v>
      </c>
      <c r="B2" s="328"/>
      <c r="C2" s="161"/>
      <c r="D2" s="164"/>
      <c r="E2" s="164">
        <v>2012</v>
      </c>
    </row>
    <row r="3" spans="1:8" ht="39" customHeight="1">
      <c r="A3" s="642" t="s">
        <v>261</v>
      </c>
      <c r="B3" s="642"/>
      <c r="C3" s="165"/>
      <c r="D3" s="166" t="s">
        <v>230</v>
      </c>
      <c r="E3" s="165" t="s">
        <v>949</v>
      </c>
    </row>
    <row r="4" spans="1:8" ht="38" customHeight="1">
      <c r="A4" s="734"/>
      <c r="B4" s="168"/>
      <c r="C4" s="169"/>
      <c r="D4" s="170" t="s">
        <v>262</v>
      </c>
      <c r="E4" s="169" t="s">
        <v>487</v>
      </c>
    </row>
    <row r="5" spans="1:8" ht="20" customHeight="1" thickBot="1">
      <c r="A5" s="735"/>
      <c r="B5" s="645" t="s">
        <v>1027</v>
      </c>
      <c r="C5" s="172"/>
      <c r="D5" s="173" t="s">
        <v>397</v>
      </c>
      <c r="E5" s="172"/>
      <c r="F5" s="60"/>
      <c r="G5" s="60"/>
      <c r="H5" s="60"/>
    </row>
    <row r="6" spans="1:8" ht="20" customHeight="1" thickBot="1">
      <c r="A6" s="736" t="s">
        <v>1028</v>
      </c>
      <c r="B6" s="736" t="s">
        <v>1029</v>
      </c>
      <c r="C6" s="175"/>
      <c r="D6" s="173" vm="188">
        <v>324802006.42000008</v>
      </c>
      <c r="E6" s="653">
        <v>2.8918100959726724E-2</v>
      </c>
      <c r="F6" s="60"/>
      <c r="G6" s="60"/>
      <c r="H6" s="60"/>
    </row>
    <row r="7" spans="1:8" ht="20" customHeight="1" thickBot="1">
      <c r="A7" s="736" t="s">
        <v>1030</v>
      </c>
      <c r="B7" s="736" t="s">
        <v>1031</v>
      </c>
      <c r="C7" s="175"/>
      <c r="D7" s="173" vm="189">
        <v>484977466.86000007</v>
      </c>
      <c r="E7" s="653">
        <v>4.3179004663274213E-2</v>
      </c>
      <c r="F7" s="60"/>
      <c r="G7" s="60"/>
      <c r="H7" s="60"/>
    </row>
    <row r="8" spans="1:8" ht="20" customHeight="1" thickBot="1">
      <c r="A8" s="736" t="s">
        <v>1032</v>
      </c>
      <c r="B8" s="736" t="s">
        <v>230</v>
      </c>
      <c r="C8" s="175"/>
      <c r="D8" s="173">
        <v>809779473.28000021</v>
      </c>
      <c r="E8" s="653">
        <v>7.2097105623000937E-2</v>
      </c>
      <c r="F8" s="60"/>
      <c r="G8" s="60"/>
      <c r="H8" s="60"/>
    </row>
    <row r="9" spans="1:8" ht="20" customHeight="1" thickBot="1">
      <c r="A9" s="736"/>
      <c r="B9" s="723" t="s">
        <v>1033</v>
      </c>
      <c r="C9" s="175"/>
      <c r="D9" s="173" t="s">
        <v>397</v>
      </c>
      <c r="E9" s="653" t="s">
        <v>397</v>
      </c>
      <c r="F9" s="60"/>
      <c r="G9" s="60"/>
      <c r="H9" s="60"/>
    </row>
    <row r="10" spans="1:8" ht="20" customHeight="1" thickBot="1">
      <c r="A10" s="736" t="s">
        <v>1034</v>
      </c>
      <c r="B10" s="736" t="s">
        <v>1029</v>
      </c>
      <c r="C10" s="175"/>
      <c r="D10" s="173" vm="190">
        <v>503780341.27999991</v>
      </c>
      <c r="E10" s="653">
        <v>4.4853081208563482E-2</v>
      </c>
      <c r="F10" s="60"/>
      <c r="G10" s="60"/>
      <c r="H10" s="60"/>
    </row>
    <row r="11" spans="1:8" ht="20" customHeight="1" thickBot="1">
      <c r="A11" s="736" t="s">
        <v>1035</v>
      </c>
      <c r="B11" s="736" t="s">
        <v>1031</v>
      </c>
      <c r="C11" s="175"/>
      <c r="D11" s="173" vm="191">
        <v>5422643770.7699986</v>
      </c>
      <c r="E11" s="653">
        <v>0.48279430832390363</v>
      </c>
      <c r="F11" s="60"/>
      <c r="G11" s="60"/>
      <c r="H11" s="60"/>
    </row>
    <row r="12" spans="1:8" s="138" customFormat="1" ht="20" customHeight="1" thickBot="1">
      <c r="A12" s="736" t="s">
        <v>1036</v>
      </c>
      <c r="B12" s="736" t="s">
        <v>230</v>
      </c>
      <c r="C12" s="728"/>
      <c r="D12" s="173">
        <v>5926424112.0499983</v>
      </c>
      <c r="E12" s="653">
        <v>0.52764738953246704</v>
      </c>
      <c r="F12" s="729"/>
      <c r="G12" s="729"/>
      <c r="H12" s="729"/>
    </row>
    <row r="13" spans="1:8" ht="20" customHeight="1" thickBot="1">
      <c r="A13" s="736"/>
      <c r="B13" s="723" t="s">
        <v>1037</v>
      </c>
      <c r="C13" s="175"/>
      <c r="D13" s="173" t="s">
        <v>397</v>
      </c>
      <c r="E13" s="653" t="s">
        <v>397</v>
      </c>
      <c r="F13" s="60"/>
      <c r="G13" s="60"/>
      <c r="H13" s="60"/>
    </row>
    <row r="14" spans="1:8" ht="20" customHeight="1" thickBot="1">
      <c r="A14" s="736" t="s">
        <v>1038</v>
      </c>
      <c r="B14" s="736" t="s">
        <v>1029</v>
      </c>
      <c r="C14" s="175"/>
      <c r="D14" s="173" vm="192">
        <v>84812451.86999999</v>
      </c>
      <c r="E14" s="653">
        <v>7.5511080514913979E-3</v>
      </c>
      <c r="F14" s="60"/>
      <c r="G14" s="60"/>
      <c r="H14" s="60"/>
    </row>
    <row r="15" spans="1:8" ht="20" customHeight="1" thickBot="1">
      <c r="A15" s="737" t="s">
        <v>1039</v>
      </c>
      <c r="B15" s="736" t="s">
        <v>1031</v>
      </c>
      <c r="C15" s="175"/>
      <c r="D15" s="173" vm="193">
        <v>1417330190.6800003</v>
      </c>
      <c r="E15" s="653">
        <v>0.12618917598173182</v>
      </c>
      <c r="F15" s="60"/>
      <c r="G15" s="60"/>
      <c r="H15" s="60"/>
    </row>
    <row r="16" spans="1:8" ht="20" customHeight="1" thickBot="1">
      <c r="A16" s="736" t="s">
        <v>1040</v>
      </c>
      <c r="B16" s="736" t="s">
        <v>230</v>
      </c>
      <c r="C16" s="175"/>
      <c r="D16" s="173">
        <v>1502142642.5500002</v>
      </c>
      <c r="E16" s="653">
        <v>0.13374028403322322</v>
      </c>
      <c r="F16" s="60"/>
      <c r="G16" s="60"/>
      <c r="H16" s="60"/>
    </row>
    <row r="17" spans="1:8" ht="20" customHeight="1" thickBot="1">
      <c r="A17" s="736"/>
      <c r="B17" s="723" t="s">
        <v>1041</v>
      </c>
      <c r="C17" s="175"/>
      <c r="D17" s="173" t="s">
        <v>397</v>
      </c>
      <c r="E17" s="653" t="s">
        <v>397</v>
      </c>
      <c r="F17" s="60"/>
      <c r="G17" s="60"/>
      <c r="H17" s="176"/>
    </row>
    <row r="18" spans="1:8" ht="20" customHeight="1" thickBot="1">
      <c r="A18" s="736">
        <v>100</v>
      </c>
      <c r="B18" s="736" t="s">
        <v>1031</v>
      </c>
      <c r="C18" s="175"/>
      <c r="D18" s="173" vm="123">
        <v>1071063590.48</v>
      </c>
      <c r="E18" s="653">
        <v>9.5360017584795412E-2</v>
      </c>
      <c r="F18" s="60"/>
      <c r="G18" s="60"/>
      <c r="H18" s="60"/>
    </row>
    <row r="19" spans="1:8" ht="20" customHeight="1" thickBot="1">
      <c r="A19" s="736"/>
      <c r="B19" s="736"/>
      <c r="C19" s="175"/>
      <c r="D19" s="173" t="s">
        <v>397</v>
      </c>
      <c r="E19" s="653" t="s">
        <v>397</v>
      </c>
      <c r="F19" s="60"/>
      <c r="G19" s="60"/>
      <c r="H19" s="177"/>
    </row>
    <row r="20" spans="1:8" ht="39.5" customHeight="1" thickBot="1">
      <c r="A20" s="736"/>
      <c r="B20" s="739" t="s">
        <v>1042</v>
      </c>
      <c r="C20" s="175"/>
      <c r="D20" s="173" t="s">
        <v>397</v>
      </c>
      <c r="E20" s="653" t="s">
        <v>397</v>
      </c>
      <c r="F20" s="60"/>
      <c r="G20" s="60"/>
      <c r="H20" s="60"/>
    </row>
    <row r="21" spans="1:8" ht="20" customHeight="1" thickBot="1">
      <c r="A21" s="736">
        <v>120</v>
      </c>
      <c r="B21" s="736" t="s">
        <v>1031</v>
      </c>
      <c r="C21" s="175"/>
      <c r="D21" s="173" vm="194">
        <v>37077155.379999995</v>
      </c>
      <c r="E21" s="653">
        <v>3.3010908226713855E-3</v>
      </c>
      <c r="F21" s="60"/>
      <c r="G21" s="60"/>
      <c r="H21" s="60"/>
    </row>
    <row r="22" spans="1:8" ht="20" customHeight="1" thickBot="1">
      <c r="A22" s="736"/>
      <c r="B22" s="736"/>
      <c r="C22" s="175"/>
      <c r="D22" s="173" t="s">
        <v>397</v>
      </c>
      <c r="E22" s="653" t="s">
        <v>397</v>
      </c>
      <c r="F22" s="60"/>
      <c r="G22" s="60"/>
      <c r="H22" s="60"/>
    </row>
    <row r="23" spans="1:8" ht="20" customHeight="1" thickBot="1">
      <c r="A23" s="736"/>
      <c r="B23" s="723" t="s">
        <v>1043</v>
      </c>
      <c r="C23" s="175"/>
      <c r="D23" s="173" t="s">
        <v>397</v>
      </c>
      <c r="E23" s="653" t="s">
        <v>397</v>
      </c>
      <c r="F23" s="60"/>
      <c r="G23" s="60"/>
      <c r="H23" s="60"/>
    </row>
    <row r="24" spans="1:8" ht="20" customHeight="1" thickBot="1">
      <c r="A24" s="736"/>
      <c r="B24" s="723" t="s">
        <v>1044</v>
      </c>
      <c r="C24" s="175"/>
      <c r="D24" s="173" t="s">
        <v>397</v>
      </c>
      <c r="E24" s="653" t="s">
        <v>397</v>
      </c>
      <c r="F24" s="60"/>
      <c r="G24" s="60"/>
      <c r="H24" s="60"/>
    </row>
    <row r="25" spans="1:8" ht="20" customHeight="1" thickBot="1">
      <c r="A25" s="736">
        <v>140</v>
      </c>
      <c r="B25" s="736" t="s">
        <v>1029</v>
      </c>
      <c r="C25" s="175"/>
      <c r="D25" s="173" vm="195">
        <v>25163546.559999999</v>
      </c>
      <c r="E25" s="653">
        <v>2.2403863447379743E-3</v>
      </c>
      <c r="F25" s="60"/>
      <c r="G25" s="60"/>
      <c r="H25" s="60"/>
    </row>
    <row r="26" spans="1:8" ht="20" customHeight="1" thickBot="1">
      <c r="A26" s="736">
        <v>150</v>
      </c>
      <c r="B26" s="736" t="s">
        <v>1031</v>
      </c>
      <c r="C26" s="175"/>
      <c r="D26" s="173" vm="196">
        <v>132389729.18999998</v>
      </c>
      <c r="E26" s="653">
        <v>1.1787056357640645E-2</v>
      </c>
      <c r="F26" s="60"/>
      <c r="G26" s="60"/>
      <c r="H26" s="60"/>
    </row>
    <row r="27" spans="1:8" ht="20" customHeight="1" thickBot="1">
      <c r="A27" s="736">
        <v>160</v>
      </c>
      <c r="B27" s="736" t="s">
        <v>230</v>
      </c>
      <c r="C27" s="175"/>
      <c r="D27" s="173">
        <v>157553275.74999997</v>
      </c>
      <c r="E27" s="653">
        <v>1.4027442702378618E-2</v>
      </c>
      <c r="F27" s="60"/>
      <c r="G27" s="60"/>
      <c r="H27" s="60"/>
    </row>
    <row r="28" spans="1:8" ht="20" customHeight="1" thickBot="1">
      <c r="A28" s="736"/>
      <c r="B28" s="723" t="s">
        <v>1045</v>
      </c>
      <c r="C28" s="175"/>
      <c r="D28" s="173" t="s">
        <v>397</v>
      </c>
      <c r="E28" s="653" t="s">
        <v>397</v>
      </c>
      <c r="F28" s="60"/>
      <c r="G28" s="60"/>
      <c r="H28" s="60"/>
    </row>
    <row r="29" spans="1:8" ht="20" customHeight="1" thickBot="1">
      <c r="A29" s="736">
        <v>170</v>
      </c>
      <c r="B29" s="736" t="s">
        <v>1029</v>
      </c>
      <c r="C29" s="175"/>
      <c r="D29" s="173" vm="197">
        <v>194079792.00000003</v>
      </c>
      <c r="E29" s="653">
        <v>1.7279508464739496E-2</v>
      </c>
      <c r="F29" s="60"/>
      <c r="G29" s="60"/>
      <c r="H29" s="60"/>
    </row>
    <row r="30" spans="1:8" ht="20" customHeight="1" thickBot="1">
      <c r="A30" s="736">
        <v>180</v>
      </c>
      <c r="B30" s="736" t="s">
        <v>1031</v>
      </c>
      <c r="C30" s="175"/>
      <c r="D30" s="173" vm="198">
        <v>443349179.43000001</v>
      </c>
      <c r="E30" s="653">
        <v>3.9472712845838136E-2</v>
      </c>
      <c r="F30" s="60"/>
      <c r="G30" s="60"/>
      <c r="H30" s="60"/>
    </row>
    <row r="31" spans="1:8" ht="20" customHeight="1" thickBot="1">
      <c r="A31" s="736">
        <v>190</v>
      </c>
      <c r="B31" s="736" t="s">
        <v>230</v>
      </c>
      <c r="C31" s="175"/>
      <c r="D31" s="173">
        <v>637428971.43000007</v>
      </c>
      <c r="E31" s="653">
        <v>5.6752221310577639E-2</v>
      </c>
      <c r="F31" s="60"/>
      <c r="G31" s="60"/>
      <c r="H31" s="60"/>
    </row>
    <row r="32" spans="1:8" ht="20" customHeight="1" thickBot="1">
      <c r="A32" s="736"/>
      <c r="B32" s="739" t="s">
        <v>1046</v>
      </c>
      <c r="C32" s="175"/>
      <c r="D32" s="173" t="s">
        <v>397</v>
      </c>
      <c r="E32" s="653" t="s">
        <v>397</v>
      </c>
      <c r="F32" s="60"/>
      <c r="G32" s="60"/>
      <c r="H32" s="60"/>
    </row>
    <row r="33" spans="1:8" ht="20" customHeight="1" thickBot="1">
      <c r="A33" s="736">
        <v>200</v>
      </c>
      <c r="B33" s="736" t="s">
        <v>1029</v>
      </c>
      <c r="C33" s="175"/>
      <c r="D33" s="173" vm="199">
        <v>61079367.609999999</v>
      </c>
      <c r="E33" s="653">
        <v>5.4380800739828195E-3</v>
      </c>
      <c r="F33" s="60"/>
      <c r="G33" s="60"/>
      <c r="H33" s="60"/>
    </row>
    <row r="34" spans="1:8" ht="20" customHeight="1" thickBot="1">
      <c r="A34" s="736">
        <v>210</v>
      </c>
      <c r="B34" s="736" t="s">
        <v>1031</v>
      </c>
      <c r="C34" s="175"/>
      <c r="D34" s="173" vm="200">
        <v>492959748.73000008</v>
      </c>
      <c r="E34" s="653">
        <v>4.3889691261395677E-2</v>
      </c>
      <c r="F34" s="60"/>
      <c r="G34" s="60"/>
      <c r="H34" s="60"/>
    </row>
    <row r="35" spans="1:8" ht="20" customHeight="1" thickBot="1">
      <c r="A35" s="736">
        <v>220</v>
      </c>
      <c r="B35" s="736" t="s">
        <v>230</v>
      </c>
      <c r="C35" s="175"/>
      <c r="D35" s="173">
        <v>554039116.34000003</v>
      </c>
      <c r="E35" s="653">
        <v>4.9327771335378495E-2</v>
      </c>
      <c r="F35" s="60"/>
      <c r="G35" s="60"/>
      <c r="H35" s="60"/>
    </row>
    <row r="36" spans="1:8" ht="20" customHeight="1" thickBot="1">
      <c r="A36" s="736"/>
      <c r="B36" s="723" t="s">
        <v>1047</v>
      </c>
      <c r="C36" s="175"/>
      <c r="D36" s="173" t="s">
        <v>397</v>
      </c>
      <c r="E36" s="653" t="s">
        <v>397</v>
      </c>
      <c r="F36" s="60"/>
      <c r="G36" s="60"/>
      <c r="H36" s="60"/>
    </row>
    <row r="37" spans="1:8" s="138" customFormat="1" ht="20" customHeight="1" thickBot="1">
      <c r="A37" s="736">
        <v>230</v>
      </c>
      <c r="B37" s="736" t="s">
        <v>1029</v>
      </c>
      <c r="C37" s="728"/>
      <c r="D37" s="173" vm="201">
        <v>109903836.75</v>
      </c>
      <c r="E37" s="653">
        <v>9.7850696245025473E-3</v>
      </c>
      <c r="F37" s="729"/>
      <c r="G37" s="729"/>
      <c r="H37" s="729"/>
    </row>
    <row r="38" spans="1:8" ht="20" customHeight="1" thickBot="1">
      <c r="A38" s="736">
        <v>240</v>
      </c>
      <c r="B38" s="736" t="s">
        <v>1031</v>
      </c>
      <c r="C38" s="175"/>
      <c r="D38" s="173" vm="202">
        <v>406784245.60999995</v>
      </c>
      <c r="E38" s="653">
        <v>3.6217226651503544E-2</v>
      </c>
      <c r="F38" s="60"/>
      <c r="G38" s="60"/>
      <c r="H38" s="60"/>
    </row>
    <row r="39" spans="1:8" ht="20" customHeight="1" thickBot="1">
      <c r="A39" s="736">
        <v>250</v>
      </c>
      <c r="B39" s="736" t="s">
        <v>230</v>
      </c>
      <c r="C39" s="175"/>
      <c r="D39" s="173">
        <v>516688082.35999995</v>
      </c>
      <c r="E39" s="653">
        <v>4.6002296276006091E-2</v>
      </c>
      <c r="F39" s="60"/>
      <c r="G39" s="60"/>
      <c r="H39" s="60"/>
    </row>
    <row r="40" spans="1:8" ht="20" customHeight="1" thickBot="1">
      <c r="A40" s="736">
        <v>260</v>
      </c>
      <c r="B40" s="723" t="s">
        <v>1048</v>
      </c>
      <c r="C40" s="175"/>
      <c r="D40" s="173">
        <v>1865709445.8800001</v>
      </c>
      <c r="E40" s="653">
        <v>0.16610973162434084</v>
      </c>
      <c r="F40" s="60"/>
      <c r="G40" s="60"/>
      <c r="H40" s="60"/>
    </row>
    <row r="41" spans="1:8" ht="20" customHeight="1" thickBot="1">
      <c r="A41" s="736"/>
      <c r="B41" s="736" t="s">
        <v>1049</v>
      </c>
      <c r="C41" s="175"/>
      <c r="D41" s="173" t="s">
        <v>397</v>
      </c>
      <c r="E41" s="653" t="s">
        <v>397</v>
      </c>
      <c r="F41" s="60"/>
      <c r="G41" s="60"/>
      <c r="H41" s="60"/>
    </row>
    <row r="42" spans="1:8" s="138" customFormat="1" ht="20" customHeight="1" thickBot="1">
      <c r="A42" s="736">
        <v>270</v>
      </c>
      <c r="B42" s="736" t="s">
        <v>1050</v>
      </c>
      <c r="C42" s="728"/>
      <c r="D42" s="173" vm="203">
        <v>19592516.739999998</v>
      </c>
      <c r="E42" s="653">
        <v>1.7443807795011457E-3</v>
      </c>
      <c r="F42" s="729"/>
      <c r="G42" s="729"/>
      <c r="H42" s="729"/>
    </row>
    <row r="43" spans="1:8" ht="20" customHeight="1" thickBot="1">
      <c r="A43" s="736"/>
      <c r="B43" s="736"/>
      <c r="C43" s="175"/>
      <c r="D43" s="173" t="s">
        <v>397</v>
      </c>
      <c r="E43" s="653" t="s">
        <v>397</v>
      </c>
      <c r="F43" s="60"/>
      <c r="G43" s="60"/>
      <c r="H43" s="60"/>
    </row>
    <row r="44" spans="1:8" ht="20" customHeight="1" thickBot="1">
      <c r="A44" s="736"/>
      <c r="B44" s="736"/>
      <c r="C44" s="175"/>
      <c r="D44" s="173" t="s">
        <v>397</v>
      </c>
      <c r="E44" s="653" t="s">
        <v>397</v>
      </c>
      <c r="F44" s="60"/>
      <c r="G44" s="60"/>
      <c r="H44" s="60"/>
    </row>
    <row r="45" spans="1:8" ht="20" customHeight="1" thickBot="1">
      <c r="A45" s="736">
        <v>290</v>
      </c>
      <c r="B45" s="723" t="s">
        <v>1051</v>
      </c>
      <c r="C45" s="175"/>
      <c r="D45" s="173" vm="122">
        <v>11231788936.359999</v>
      </c>
      <c r="E45" s="653">
        <v>1</v>
      </c>
      <c r="F45" s="60"/>
      <c r="G45" s="60"/>
      <c r="H45" s="60"/>
    </row>
    <row r="46" spans="1:8" ht="20" hidden="1" customHeight="1" thickBot="1">
      <c r="A46" s="736"/>
      <c r="B46" s="736"/>
      <c r="C46" s="175"/>
      <c r="D46" s="725" vm="122">
        <v>11231788936.359999</v>
      </c>
      <c r="E46" s="653">
        <v>0</v>
      </c>
      <c r="F46" s="60"/>
      <c r="G46" s="60"/>
      <c r="H46" s="60"/>
    </row>
    <row r="47" spans="1:8" ht="20" hidden="1" customHeight="1" thickBot="1">
      <c r="A47" s="736"/>
      <c r="B47" s="726"/>
      <c r="C47" s="175"/>
      <c r="D47" s="173" t="s">
        <v>397</v>
      </c>
      <c r="E47" s="653">
        <v>0</v>
      </c>
      <c r="F47" s="60"/>
      <c r="G47" s="60"/>
      <c r="H47" s="60"/>
    </row>
    <row r="48" spans="1:8" ht="20" hidden="1" customHeight="1" thickBot="1">
      <c r="A48" s="736"/>
      <c r="B48" s="736"/>
      <c r="C48" s="175"/>
      <c r="D48" s="173" t="s">
        <v>397</v>
      </c>
      <c r="E48" s="653">
        <v>0</v>
      </c>
      <c r="F48" s="60"/>
      <c r="G48" s="60"/>
      <c r="H48" s="60"/>
    </row>
    <row r="49" spans="1:8" ht="20" hidden="1" customHeight="1" thickBot="1">
      <c r="A49" s="736"/>
      <c r="B49" s="736"/>
      <c r="C49" s="175"/>
      <c r="D49" s="173" t="s">
        <v>397</v>
      </c>
      <c r="E49" s="653">
        <v>0</v>
      </c>
      <c r="F49" s="60"/>
      <c r="G49" s="60"/>
      <c r="H49" s="60"/>
    </row>
    <row r="50" spans="1:8" s="138" customFormat="1" ht="20" hidden="1" customHeight="1" thickBot="1">
      <c r="A50" s="738"/>
      <c r="B50" s="483"/>
      <c r="C50" s="728"/>
      <c r="D50" s="173" t="s">
        <v>397</v>
      </c>
      <c r="E50" s="653">
        <v>0</v>
      </c>
      <c r="F50" s="729"/>
      <c r="G50" s="729"/>
      <c r="H50" s="729"/>
    </row>
    <row r="51" spans="1:8" ht="20" customHeight="1" thickBot="1">
      <c r="A51" s="730"/>
      <c r="B51" s="730"/>
      <c r="C51" s="179"/>
      <c r="D51" s="206" t="s">
        <v>397</v>
      </c>
      <c r="E51" s="179"/>
      <c r="F51" s="60"/>
      <c r="G51" s="60"/>
      <c r="H51" s="60"/>
    </row>
    <row r="52" spans="1:8" ht="15.5" customHeight="1">
      <c r="A52" s="3" t="s">
        <v>396</v>
      </c>
    </row>
    <row r="54" spans="1:8">
      <c r="A54" s="282" t="s">
        <v>1052</v>
      </c>
    </row>
    <row r="55" spans="1:8" ht="14">
      <c r="A55" s="740" t="s">
        <v>1053</v>
      </c>
      <c r="C55" s="741"/>
    </row>
    <row r="56" spans="1:8" ht="14">
      <c r="A56" s="740" t="s">
        <v>1054</v>
      </c>
      <c r="C56" s="741"/>
    </row>
    <row r="57" spans="1:8" ht="14">
      <c r="A57" s="742" t="s">
        <v>1055</v>
      </c>
      <c r="C57" s="741"/>
    </row>
    <row r="58" spans="1:8" ht="14">
      <c r="A58" s="743" t="s">
        <v>1056</v>
      </c>
      <c r="C58" s="741"/>
    </row>
    <row r="59" spans="1:8" ht="14">
      <c r="A59" s="742" t="s">
        <v>1057</v>
      </c>
      <c r="C59" s="741"/>
    </row>
    <row r="60" spans="1:8" ht="14">
      <c r="A60" s="742" t="s">
        <v>1058</v>
      </c>
      <c r="C60" s="741"/>
    </row>
    <row r="61" spans="1:8" ht="14">
      <c r="A61" s="742" t="s">
        <v>1059</v>
      </c>
      <c r="C61" s="741"/>
    </row>
    <row r="62" spans="1:8" ht="14">
      <c r="A62" s="743" t="s">
        <v>1060</v>
      </c>
      <c r="C62" s="741"/>
    </row>
    <row r="63" spans="1:8" ht="14">
      <c r="A63" s="742" t="s">
        <v>1061</v>
      </c>
      <c r="C63" s="741"/>
    </row>
    <row r="64" spans="1:8" ht="14">
      <c r="A64" s="742" t="s">
        <v>1062</v>
      </c>
      <c r="C64" s="741"/>
    </row>
    <row r="65" spans="1:4" ht="14">
      <c r="A65" s="742" t="s">
        <v>1063</v>
      </c>
      <c r="C65" s="741"/>
    </row>
    <row r="66" spans="1:4">
      <c r="A66" s="205"/>
    </row>
    <row r="67" spans="1:4">
      <c r="A67" s="3" t="s">
        <v>1064</v>
      </c>
    </row>
    <row r="70" spans="1:4">
      <c r="A70" s="3" t="s">
        <v>395</v>
      </c>
    </row>
    <row r="76" spans="1:4">
      <c r="B76" s="199"/>
      <c r="C76" s="199"/>
      <c r="D76" s="60"/>
    </row>
    <row r="79" spans="1:4" ht="14">
      <c r="A79" s="200"/>
      <c r="B79" s="200"/>
      <c r="C79" s="201"/>
      <c r="D79" s="202"/>
    </row>
  </sheetData>
  <pageMargins left="0.52" right="0.49" top="0.61" bottom="0.49" header="0.42" footer="0.4921259845"/>
  <pageSetup paperSize="9" scale="64" orientation="portrait"/>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A699-CB4C-9D46-B8FF-FD8073A625A6}">
  <sheetPr>
    <pageSetUpPr fitToPage="1"/>
  </sheetPr>
  <dimension ref="A1:J21"/>
  <sheetViews>
    <sheetView workbookViewId="0">
      <selection activeCell="J3" sqref="J3:J17"/>
    </sheetView>
  </sheetViews>
  <sheetFormatPr baseColWidth="10" defaultColWidth="11.59765625" defaultRowHeight="13"/>
  <cols>
    <col min="1" max="1" width="5.59765625" style="65" customWidth="1"/>
    <col min="2" max="8" width="11.59765625" style="65"/>
    <col min="9" max="9" width="8.3984375" style="65" customWidth="1"/>
    <col min="10" max="10" width="7.59765625" style="65" customWidth="1"/>
    <col min="11" max="16384" width="11.59765625" style="65"/>
  </cols>
  <sheetData>
    <row r="1" spans="1:10" ht="16">
      <c r="A1" s="601" t="s">
        <v>2126</v>
      </c>
    </row>
    <row r="2" spans="1:10" ht="16">
      <c r="A2" s="66"/>
    </row>
    <row r="3" spans="1:10">
      <c r="A3" s="68">
        <v>9.01</v>
      </c>
      <c r="B3" s="64" t="s">
        <v>2127</v>
      </c>
      <c r="J3" s="441"/>
    </row>
    <row r="4" spans="1:10">
      <c r="A4" s="68">
        <v>9.02</v>
      </c>
      <c r="B4" s="64" t="s">
        <v>2128</v>
      </c>
      <c r="J4" s="441"/>
    </row>
    <row r="5" spans="1:10">
      <c r="A5" s="68">
        <v>9.0299999999999994</v>
      </c>
      <c r="B5" s="64" t="s">
        <v>2129</v>
      </c>
      <c r="J5" s="441"/>
    </row>
    <row r="6" spans="1:10">
      <c r="A6" s="68">
        <v>9.0399999999999991</v>
      </c>
      <c r="B6" s="64" t="s">
        <v>2130</v>
      </c>
      <c r="J6" s="441"/>
    </row>
    <row r="7" spans="1:10">
      <c r="A7" s="68">
        <v>9.0500000000000007</v>
      </c>
      <c r="B7" s="64" t="s">
        <v>2131</v>
      </c>
      <c r="J7" s="441"/>
    </row>
    <row r="8" spans="1:10">
      <c r="A8" s="68">
        <v>9.06</v>
      </c>
      <c r="B8" s="64" t="s">
        <v>2132</v>
      </c>
      <c r="J8" s="441"/>
    </row>
    <row r="9" spans="1:10">
      <c r="A9" s="68">
        <v>9.07</v>
      </c>
      <c r="B9" s="63" t="s">
        <v>2133</v>
      </c>
      <c r="J9" s="441"/>
    </row>
    <row r="10" spans="1:10">
      <c r="A10" s="68">
        <v>9.08</v>
      </c>
      <c r="B10" s="63" t="s">
        <v>2134</v>
      </c>
      <c r="J10" s="441"/>
    </row>
    <row r="11" spans="1:10">
      <c r="A11" s="68">
        <v>9.09</v>
      </c>
      <c r="B11" s="63" t="s">
        <v>2135</v>
      </c>
      <c r="J11" s="441"/>
    </row>
    <row r="12" spans="1:10">
      <c r="A12" s="68">
        <v>9.1</v>
      </c>
      <c r="B12" s="64" t="s">
        <v>2136</v>
      </c>
      <c r="J12" s="441"/>
    </row>
    <row r="13" spans="1:10">
      <c r="A13" s="68">
        <v>9.11</v>
      </c>
      <c r="B13" s="64" t="s">
        <v>2137</v>
      </c>
      <c r="J13" s="441"/>
    </row>
    <row r="14" spans="1:10">
      <c r="A14" s="68">
        <v>9.1199999999999992</v>
      </c>
      <c r="B14" s="64" t="s">
        <v>2138</v>
      </c>
      <c r="J14" s="441"/>
    </row>
    <row r="15" spans="1:10">
      <c r="A15" s="68">
        <v>9.1300000000000008</v>
      </c>
      <c r="B15" s="64" t="s">
        <v>2139</v>
      </c>
      <c r="J15" s="441"/>
    </row>
    <row r="16" spans="1:10">
      <c r="A16" s="68">
        <v>9.14</v>
      </c>
      <c r="B16" s="64" t="s">
        <v>2140</v>
      </c>
      <c r="J16" s="441"/>
    </row>
    <row r="17" spans="1:10">
      <c r="A17" s="68">
        <v>9.15</v>
      </c>
      <c r="B17" s="1600" t="s">
        <v>2141</v>
      </c>
      <c r="J17" s="441"/>
    </row>
    <row r="20" spans="1:10">
      <c r="A20" s="70" t="s">
        <v>395</v>
      </c>
    </row>
    <row r="21" spans="1:10">
      <c r="B21" s="64"/>
    </row>
  </sheetData>
  <pageMargins left="0.46" right="0.3" top="0.78" bottom="0.984251969" header="0.34" footer="0.4921259845"/>
  <pageSetup paperSize="9" orientation="portrait"/>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23CB-DB43-FE4B-8F22-0FF30896171C}">
  <sheetPr>
    <pageSetUpPr fitToPage="1"/>
  </sheetPr>
  <dimension ref="A1:K54"/>
  <sheetViews>
    <sheetView zoomScaleNormal="100" workbookViewId="0">
      <selection activeCell="N8" sqref="N8"/>
    </sheetView>
  </sheetViews>
  <sheetFormatPr baseColWidth="10" defaultColWidth="11.3984375" defaultRowHeight="13"/>
  <cols>
    <col min="1" max="1" width="15.796875" style="3" customWidth="1"/>
    <col min="2" max="2" width="12.796875" style="283" customWidth="1"/>
    <col min="3" max="3" width="11" style="283" customWidth="1"/>
    <col min="4" max="4" width="11.59765625" style="283" customWidth="1"/>
    <col min="5" max="5" width="11.3984375" style="283" customWidth="1"/>
    <col min="6" max="6" width="11" style="283" customWidth="1"/>
    <col min="7" max="7" width="11.59765625" style="283" customWidth="1"/>
    <col min="8" max="8" width="11" style="283" customWidth="1"/>
    <col min="9" max="9" width="11.59765625" style="181" customWidth="1"/>
    <col min="10" max="10" width="9.59765625" style="283" customWidth="1"/>
    <col min="11" max="11" width="11" style="283" customWidth="1"/>
    <col min="12" max="13" width="4.59765625" style="3" customWidth="1"/>
    <col min="14" max="16384" width="11.3984375" style="3"/>
  </cols>
  <sheetData>
    <row r="1" spans="1:11" s="2" customFormat="1" ht="14" customHeight="1">
      <c r="A1" s="272"/>
      <c r="B1" s="1577"/>
      <c r="C1" s="1577"/>
      <c r="D1" s="1577"/>
      <c r="E1" s="1577"/>
      <c r="F1" s="1577"/>
      <c r="G1" s="1577"/>
      <c r="H1" s="1577"/>
      <c r="I1" s="1819"/>
      <c r="J1" s="1577"/>
      <c r="K1" s="1577"/>
    </row>
    <row r="2" spans="1:11" s="2" customFormat="1" ht="27" customHeight="1">
      <c r="A2" s="396" t="s">
        <v>2352</v>
      </c>
      <c r="B2" s="1577"/>
      <c r="C2" s="1577"/>
      <c r="D2" s="1577"/>
      <c r="E2" s="1577"/>
      <c r="F2" s="1577"/>
      <c r="G2" s="1577"/>
      <c r="H2" s="1577"/>
      <c r="I2" s="442">
        <v>2012</v>
      </c>
      <c r="J2" s="1577"/>
    </row>
    <row r="3" spans="1:11" ht="27" customHeight="1">
      <c r="A3" s="1072" t="s">
        <v>426</v>
      </c>
      <c r="B3" s="1209" t="s">
        <v>1829</v>
      </c>
      <c r="C3" s="1242" t="s">
        <v>2353</v>
      </c>
      <c r="D3" s="1209" t="s">
        <v>2353</v>
      </c>
      <c r="E3" s="1242" t="s">
        <v>230</v>
      </c>
      <c r="F3" s="1209" t="s">
        <v>2339</v>
      </c>
      <c r="G3" s="1242" t="s">
        <v>2016</v>
      </c>
      <c r="H3" s="1744" t="s">
        <v>2354</v>
      </c>
      <c r="I3" s="1242" t="s">
        <v>2341</v>
      </c>
      <c r="J3" s="3"/>
      <c r="K3" s="3"/>
    </row>
    <row r="4" spans="1:11" ht="21.75" customHeight="1">
      <c r="A4" s="112"/>
      <c r="B4" s="426" t="s">
        <v>1879</v>
      </c>
      <c r="C4" s="427" t="s">
        <v>2355</v>
      </c>
      <c r="D4" s="426" t="s">
        <v>2356</v>
      </c>
      <c r="E4" s="427" t="s">
        <v>2357</v>
      </c>
      <c r="F4" s="426" t="s">
        <v>2358</v>
      </c>
      <c r="G4" s="427" t="s">
        <v>2359</v>
      </c>
      <c r="H4" s="428" t="s">
        <v>2360</v>
      </c>
      <c r="I4" s="427" t="s">
        <v>2361</v>
      </c>
      <c r="J4" s="3"/>
      <c r="K4" s="3"/>
    </row>
    <row r="5" spans="1:11" ht="20.25" customHeight="1">
      <c r="A5" s="112"/>
      <c r="B5" s="426" t="s">
        <v>2346</v>
      </c>
      <c r="C5" s="427" t="s">
        <v>2362</v>
      </c>
      <c r="D5" s="426" t="s">
        <v>2363</v>
      </c>
      <c r="E5" s="427" t="s">
        <v>2364</v>
      </c>
      <c r="F5" s="426"/>
      <c r="G5" s="427"/>
      <c r="H5" s="428" t="s">
        <v>2365</v>
      </c>
      <c r="I5" s="427"/>
      <c r="J5" s="3"/>
      <c r="K5" s="3"/>
    </row>
    <row r="6" spans="1:11" ht="19.5" customHeight="1">
      <c r="A6" s="112"/>
      <c r="B6" s="426"/>
      <c r="C6" s="427"/>
      <c r="D6" s="426"/>
      <c r="E6" s="427" t="s">
        <v>2366</v>
      </c>
      <c r="F6" s="426"/>
      <c r="G6" s="427"/>
      <c r="H6" s="428"/>
      <c r="I6" s="427"/>
      <c r="J6" s="3"/>
      <c r="K6" s="3"/>
    </row>
    <row r="7" spans="1:11" ht="14.25" customHeight="1">
      <c r="A7" s="112"/>
      <c r="B7" s="143"/>
      <c r="C7" s="780"/>
      <c r="D7" s="143"/>
      <c r="E7" s="780"/>
      <c r="F7" s="143"/>
      <c r="G7" s="780"/>
      <c r="H7" s="143"/>
      <c r="I7" s="780"/>
      <c r="J7" s="3"/>
      <c r="K7" s="3"/>
    </row>
    <row r="8" spans="1:11" ht="30" customHeight="1" thickBot="1">
      <c r="A8" s="1661" t="s">
        <v>434</v>
      </c>
      <c r="B8" s="320">
        <v>1400485.5</v>
      </c>
      <c r="C8" s="321">
        <v>1280</v>
      </c>
      <c r="D8" s="320">
        <v>2245</v>
      </c>
      <c r="E8" s="321">
        <v>3525</v>
      </c>
      <c r="F8" s="1820">
        <v>2.5169842886627527</v>
      </c>
      <c r="G8" s="569">
        <v>228</v>
      </c>
      <c r="H8" s="1821">
        <v>1</v>
      </c>
      <c r="I8" s="1822">
        <v>1.628006859049951</v>
      </c>
      <c r="J8" s="3"/>
      <c r="K8" s="3"/>
    </row>
    <row r="9" spans="1:11" ht="18" customHeight="1" thickBot="1">
      <c r="A9" s="147" t="s">
        <v>435</v>
      </c>
      <c r="B9" s="134">
        <v>988831.5</v>
      </c>
      <c r="C9" s="135">
        <v>908</v>
      </c>
      <c r="D9" s="134">
        <v>1196</v>
      </c>
      <c r="E9" s="135">
        <v>2104</v>
      </c>
      <c r="F9" s="1823">
        <v>2.127763931468607</v>
      </c>
      <c r="G9" s="1824">
        <v>171</v>
      </c>
      <c r="H9" s="1825">
        <v>2</v>
      </c>
      <c r="I9" s="1826">
        <v>1.7293138416403604</v>
      </c>
      <c r="J9" s="3"/>
      <c r="K9" s="3"/>
    </row>
    <row r="10" spans="1:11" ht="18" customHeight="1" thickBot="1">
      <c r="A10" s="147" t="s">
        <v>436</v>
      </c>
      <c r="B10" s="134">
        <v>384024</v>
      </c>
      <c r="C10" s="135">
        <v>295</v>
      </c>
      <c r="D10" s="134">
        <v>314</v>
      </c>
      <c r="E10" s="135">
        <v>609</v>
      </c>
      <c r="F10" s="1823">
        <v>1.5858383851009312</v>
      </c>
      <c r="G10" s="1824">
        <v>35</v>
      </c>
      <c r="H10" s="1825">
        <v>1</v>
      </c>
      <c r="I10" s="1826">
        <v>0.91140137074766159</v>
      </c>
      <c r="J10" s="3"/>
      <c r="K10" s="3"/>
    </row>
    <row r="11" spans="1:11" ht="18" customHeight="1" thickBot="1">
      <c r="A11" s="147" t="s">
        <v>437</v>
      </c>
      <c r="B11" s="134">
        <v>35537.5</v>
      </c>
      <c r="C11" s="135">
        <v>22</v>
      </c>
      <c r="D11" s="134">
        <v>12</v>
      </c>
      <c r="E11" s="135">
        <v>34</v>
      </c>
      <c r="F11" s="1823">
        <v>0.95673584241997889</v>
      </c>
      <c r="G11" s="1824">
        <v>3</v>
      </c>
      <c r="H11" s="1825">
        <v>1</v>
      </c>
      <c r="I11" s="1826">
        <v>0.84417868448821676</v>
      </c>
      <c r="J11" s="3"/>
      <c r="K11" s="3"/>
    </row>
    <row r="12" spans="1:11" ht="18" customHeight="1" thickBot="1">
      <c r="A12" s="147" t="s">
        <v>438</v>
      </c>
      <c r="B12" s="134">
        <v>148867</v>
      </c>
      <c r="C12" s="135">
        <v>106</v>
      </c>
      <c r="D12" s="134">
        <v>92</v>
      </c>
      <c r="E12" s="135">
        <v>198</v>
      </c>
      <c r="F12" s="1823">
        <v>1.3300462829236834</v>
      </c>
      <c r="G12" s="1824">
        <v>12</v>
      </c>
      <c r="H12" s="1825">
        <v>1</v>
      </c>
      <c r="I12" s="1826">
        <v>0.80608865631738391</v>
      </c>
      <c r="J12" s="3"/>
      <c r="K12" s="3"/>
    </row>
    <row r="13" spans="1:11" ht="18" customHeight="1" thickBot="1">
      <c r="A13" s="147" t="s">
        <v>439</v>
      </c>
      <c r="B13" s="134">
        <v>36000</v>
      </c>
      <c r="C13" s="135">
        <v>28</v>
      </c>
      <c r="D13" s="134">
        <v>13</v>
      </c>
      <c r="E13" s="135">
        <v>41</v>
      </c>
      <c r="F13" s="1823">
        <v>1.1388888888888888</v>
      </c>
      <c r="G13" s="1824">
        <v>3</v>
      </c>
      <c r="H13" s="1825">
        <v>1</v>
      </c>
      <c r="I13" s="1826">
        <v>0.83333333333333326</v>
      </c>
      <c r="J13" s="3"/>
      <c r="K13" s="3"/>
    </row>
    <row r="14" spans="1:11" ht="18" customHeight="1" thickBot="1">
      <c r="A14" s="147" t="s">
        <v>440</v>
      </c>
      <c r="B14" s="134">
        <v>41447.5</v>
      </c>
      <c r="C14" s="135">
        <v>27</v>
      </c>
      <c r="D14" s="134">
        <v>26</v>
      </c>
      <c r="E14" s="135">
        <v>53</v>
      </c>
      <c r="F14" s="1823">
        <v>1.2787260992822245</v>
      </c>
      <c r="G14" s="1824">
        <v>3</v>
      </c>
      <c r="H14" s="1825">
        <v>1</v>
      </c>
      <c r="I14" s="1826">
        <v>0.72380722600880631</v>
      </c>
      <c r="J14" s="3"/>
      <c r="K14" s="3"/>
    </row>
    <row r="15" spans="1:11" ht="18" customHeight="1" thickBot="1">
      <c r="A15" s="147" t="s">
        <v>441</v>
      </c>
      <c r="B15" s="134">
        <v>39293</v>
      </c>
      <c r="C15" s="135">
        <v>32</v>
      </c>
      <c r="D15" s="134">
        <v>25</v>
      </c>
      <c r="E15" s="135">
        <v>57</v>
      </c>
      <c r="F15" s="1823">
        <v>1.4506400631155676</v>
      </c>
      <c r="G15" s="1824">
        <v>2</v>
      </c>
      <c r="H15" s="1825">
        <v>1</v>
      </c>
      <c r="I15" s="1826">
        <v>0.50899651337388341</v>
      </c>
      <c r="J15" s="3"/>
      <c r="K15" s="3"/>
    </row>
    <row r="16" spans="1:11" ht="18" customHeight="1" thickBot="1">
      <c r="A16" s="147" t="s">
        <v>442</v>
      </c>
      <c r="B16" s="134">
        <v>115839.5</v>
      </c>
      <c r="C16" s="135">
        <v>92</v>
      </c>
      <c r="D16" s="134">
        <v>134</v>
      </c>
      <c r="E16" s="135">
        <v>226</v>
      </c>
      <c r="F16" s="1823">
        <v>1.9509752718200615</v>
      </c>
      <c r="G16" s="1824">
        <v>14</v>
      </c>
      <c r="H16" s="1825">
        <v>1</v>
      </c>
      <c r="I16" s="1826">
        <v>1.2085687524549054</v>
      </c>
      <c r="J16" s="3"/>
      <c r="K16" s="3"/>
    </row>
    <row r="17" spans="1:11" ht="18" customHeight="1" thickBot="1">
      <c r="A17" s="147" t="s">
        <v>443</v>
      </c>
      <c r="B17" s="134">
        <v>288031.5</v>
      </c>
      <c r="C17" s="135">
        <v>164</v>
      </c>
      <c r="D17" s="134">
        <v>223</v>
      </c>
      <c r="E17" s="135">
        <v>387</v>
      </c>
      <c r="F17" s="1823">
        <v>1.3436030434171262</v>
      </c>
      <c r="G17" s="1824">
        <v>70</v>
      </c>
      <c r="H17" s="1825">
        <v>2</v>
      </c>
      <c r="I17" s="1826">
        <v>2.4302897426149572</v>
      </c>
      <c r="J17" s="3"/>
      <c r="K17" s="3"/>
    </row>
    <row r="18" spans="1:11" ht="18" customHeight="1" thickBot="1">
      <c r="A18" s="147" t="s">
        <v>444</v>
      </c>
      <c r="B18" s="134">
        <v>258136.5</v>
      </c>
      <c r="C18" s="135">
        <v>217</v>
      </c>
      <c r="D18" s="134">
        <v>199</v>
      </c>
      <c r="E18" s="135">
        <v>416</v>
      </c>
      <c r="F18" s="1823">
        <v>1.6115504781385042</v>
      </c>
      <c r="G18" s="1824">
        <v>28</v>
      </c>
      <c r="H18" s="1825">
        <v>1</v>
      </c>
      <c r="I18" s="1826">
        <v>1.0846974372086087</v>
      </c>
      <c r="J18" s="3"/>
      <c r="K18" s="3"/>
    </row>
    <row r="19" spans="1:11" ht="18" customHeight="1" thickBot="1">
      <c r="A19" s="147" t="s">
        <v>445</v>
      </c>
      <c r="B19" s="134">
        <v>186840</v>
      </c>
      <c r="C19" s="135">
        <v>237</v>
      </c>
      <c r="D19" s="134">
        <v>540</v>
      </c>
      <c r="E19" s="135">
        <v>777</v>
      </c>
      <c r="F19" s="1823">
        <v>4.1586384071933207</v>
      </c>
      <c r="G19" s="1824">
        <v>74</v>
      </c>
      <c r="H19" s="1825">
        <v>3</v>
      </c>
      <c r="I19" s="1826">
        <v>3.9606080068507814</v>
      </c>
      <c r="J19" s="3"/>
      <c r="K19" s="3"/>
    </row>
    <row r="20" spans="1:11" ht="18" customHeight="1" thickBot="1">
      <c r="A20" s="147" t="s">
        <v>446</v>
      </c>
      <c r="B20" s="134">
        <v>275948.5</v>
      </c>
      <c r="C20" s="135">
        <v>248</v>
      </c>
      <c r="D20" s="134">
        <v>370</v>
      </c>
      <c r="E20" s="135">
        <v>618</v>
      </c>
      <c r="F20" s="1823">
        <v>2.2395483215165148</v>
      </c>
      <c r="G20" s="1824">
        <v>44</v>
      </c>
      <c r="H20" s="1825">
        <v>1</v>
      </c>
      <c r="I20" s="1826">
        <v>1.5945004230861917</v>
      </c>
      <c r="J20" s="3"/>
      <c r="K20" s="3"/>
    </row>
    <row r="21" spans="1:11" ht="18" customHeight="1" thickBot="1">
      <c r="A21" s="147" t="s">
        <v>447</v>
      </c>
      <c r="B21" s="134">
        <v>77547</v>
      </c>
      <c r="C21" s="135">
        <v>74</v>
      </c>
      <c r="D21" s="134">
        <v>79</v>
      </c>
      <c r="E21" s="135">
        <v>153</v>
      </c>
      <c r="F21" s="1823">
        <v>1.9729970211613601</v>
      </c>
      <c r="G21" s="1824">
        <v>13</v>
      </c>
      <c r="H21" s="1825">
        <v>2</v>
      </c>
      <c r="I21" s="1826">
        <v>1.6764026977188027</v>
      </c>
      <c r="J21" s="3"/>
      <c r="K21" s="3"/>
    </row>
    <row r="22" spans="1:11" ht="18" customHeight="1" thickBot="1">
      <c r="A22" s="147" t="s">
        <v>448</v>
      </c>
      <c r="B22" s="134">
        <v>53375.5</v>
      </c>
      <c r="C22" s="135">
        <v>48</v>
      </c>
      <c r="D22" s="134">
        <v>38</v>
      </c>
      <c r="E22" s="135">
        <v>86</v>
      </c>
      <c r="F22" s="1823">
        <v>1.6112261243454393</v>
      </c>
      <c r="G22" s="1824">
        <v>5</v>
      </c>
      <c r="H22" s="1825">
        <v>1</v>
      </c>
      <c r="I22" s="1826">
        <v>0.93675937461944148</v>
      </c>
      <c r="J22" s="3"/>
      <c r="K22" s="3"/>
    </row>
    <row r="23" spans="1:11" ht="18" customHeight="1" thickBot="1">
      <c r="A23" s="147" t="s">
        <v>449</v>
      </c>
      <c r="B23" s="134">
        <v>15730</v>
      </c>
      <c r="C23" s="135">
        <v>11</v>
      </c>
      <c r="D23" s="134">
        <v>6</v>
      </c>
      <c r="E23" s="135">
        <v>17</v>
      </c>
      <c r="F23" s="1823">
        <v>1.080737444373808</v>
      </c>
      <c r="G23" s="1824">
        <v>1</v>
      </c>
      <c r="H23" s="1825">
        <v>1</v>
      </c>
      <c r="I23" s="1826">
        <v>0.63572790845518123</v>
      </c>
      <c r="J23" s="3"/>
      <c r="K23" s="3"/>
    </row>
    <row r="24" spans="1:11" ht="18" customHeight="1" thickBot="1">
      <c r="A24" s="147" t="s">
        <v>450</v>
      </c>
      <c r="B24" s="134">
        <v>485108</v>
      </c>
      <c r="C24" s="135">
        <v>394</v>
      </c>
      <c r="D24" s="134">
        <v>470</v>
      </c>
      <c r="E24" s="135">
        <v>864</v>
      </c>
      <c r="F24" s="1823">
        <v>1.7810466947566315</v>
      </c>
      <c r="G24" s="1824">
        <v>52</v>
      </c>
      <c r="H24" s="1825">
        <v>1</v>
      </c>
      <c r="I24" s="1826">
        <v>1.0719262514738985</v>
      </c>
      <c r="J24" s="3"/>
      <c r="K24" s="3"/>
    </row>
    <row r="25" spans="1:11" ht="18" customHeight="1" thickBot="1">
      <c r="A25" s="147" t="s">
        <v>451</v>
      </c>
      <c r="B25" s="134">
        <v>193654</v>
      </c>
      <c r="C25" s="135">
        <v>187</v>
      </c>
      <c r="D25" s="134">
        <v>148</v>
      </c>
      <c r="E25" s="135">
        <v>335</v>
      </c>
      <c r="F25" s="1823">
        <v>1.7298893903559958</v>
      </c>
      <c r="G25" s="1824">
        <v>43</v>
      </c>
      <c r="H25" s="1825">
        <v>2</v>
      </c>
      <c r="I25" s="1826">
        <v>2.2204550383673975</v>
      </c>
      <c r="J25" s="3"/>
      <c r="K25" s="3"/>
    </row>
    <row r="26" spans="1:11" ht="18" customHeight="1" thickBot="1">
      <c r="A26" s="147" t="s">
        <v>452</v>
      </c>
      <c r="B26" s="134">
        <v>622819</v>
      </c>
      <c r="C26" s="135">
        <v>400</v>
      </c>
      <c r="D26" s="134">
        <v>582</v>
      </c>
      <c r="E26" s="135">
        <v>982</v>
      </c>
      <c r="F26" s="1823">
        <v>1.576702059506855</v>
      </c>
      <c r="G26" s="1824">
        <v>117</v>
      </c>
      <c r="H26" s="1825">
        <v>2</v>
      </c>
      <c r="I26" s="1826">
        <v>1.8785554069480859</v>
      </c>
      <c r="J26" s="3"/>
      <c r="K26" s="3"/>
    </row>
    <row r="27" spans="1:11" ht="18" customHeight="1" thickBot="1">
      <c r="A27" s="147" t="s">
        <v>453</v>
      </c>
      <c r="B27" s="134">
        <v>254093</v>
      </c>
      <c r="C27" s="135">
        <v>188</v>
      </c>
      <c r="D27" s="134">
        <v>190</v>
      </c>
      <c r="E27" s="135">
        <v>378</v>
      </c>
      <c r="F27" s="1823">
        <v>1.4876442877214249</v>
      </c>
      <c r="G27" s="1824">
        <v>25</v>
      </c>
      <c r="H27" s="1825">
        <v>1</v>
      </c>
      <c r="I27" s="1826">
        <v>0.98389172468348207</v>
      </c>
      <c r="J27" s="3"/>
      <c r="K27" s="3"/>
    </row>
    <row r="28" spans="1:11" ht="18" customHeight="1" thickBot="1">
      <c r="A28" s="147" t="s">
        <v>454</v>
      </c>
      <c r="B28" s="134">
        <v>339297.5</v>
      </c>
      <c r="C28" s="135">
        <v>300</v>
      </c>
      <c r="D28" s="134">
        <v>386</v>
      </c>
      <c r="E28" s="135">
        <v>686</v>
      </c>
      <c r="F28" s="1823">
        <v>2.0218245050435089</v>
      </c>
      <c r="G28" s="1824">
        <v>190</v>
      </c>
      <c r="H28" s="1825">
        <v>3</v>
      </c>
      <c r="I28" s="1826">
        <v>5.5998054804412059</v>
      </c>
      <c r="J28" s="3"/>
      <c r="K28" s="3"/>
    </row>
    <row r="29" spans="1:11" ht="18" customHeight="1" thickBot="1">
      <c r="A29" s="147" t="s">
        <v>455</v>
      </c>
      <c r="B29" s="134">
        <v>730150</v>
      </c>
      <c r="C29" s="135">
        <v>625</v>
      </c>
      <c r="D29" s="134">
        <v>1122</v>
      </c>
      <c r="E29" s="135">
        <v>1747</v>
      </c>
      <c r="F29" s="1823">
        <v>2.3926590426624665</v>
      </c>
      <c r="G29" s="1824">
        <v>247</v>
      </c>
      <c r="H29" s="1825">
        <v>3</v>
      </c>
      <c r="I29" s="1826">
        <v>3.3828665342737794</v>
      </c>
      <c r="J29" s="3"/>
      <c r="K29" s="3"/>
    </row>
    <row r="30" spans="1:11" ht="18" customHeight="1" thickBot="1">
      <c r="A30" s="147" t="s">
        <v>456</v>
      </c>
      <c r="B30" s="134">
        <v>319377</v>
      </c>
      <c r="C30" s="135">
        <v>233</v>
      </c>
      <c r="D30" s="134">
        <v>253</v>
      </c>
      <c r="E30" s="135">
        <v>486</v>
      </c>
      <c r="F30" s="1823">
        <v>1.5217125841873398</v>
      </c>
      <c r="G30" s="1824">
        <v>115</v>
      </c>
      <c r="H30" s="1825">
        <v>2</v>
      </c>
      <c r="I30" s="1826">
        <v>3.6007602300729231</v>
      </c>
      <c r="J30" s="3"/>
      <c r="K30" s="3"/>
    </row>
    <row r="31" spans="1:11" ht="18" customHeight="1" thickBot="1">
      <c r="A31" s="147" t="s">
        <v>457</v>
      </c>
      <c r="B31" s="134">
        <v>173868.5</v>
      </c>
      <c r="C31" s="135">
        <v>153</v>
      </c>
      <c r="D31" s="134">
        <v>197</v>
      </c>
      <c r="E31" s="135">
        <v>350</v>
      </c>
      <c r="F31" s="1823">
        <v>2.0130155836163537</v>
      </c>
      <c r="G31" s="1824">
        <v>55</v>
      </c>
      <c r="H31" s="1825">
        <v>3</v>
      </c>
      <c r="I31" s="1826">
        <v>3.163310202825699</v>
      </c>
      <c r="J31" s="3"/>
      <c r="K31" s="3"/>
    </row>
    <row r="32" spans="1:11" ht="18" customHeight="1" thickBot="1">
      <c r="A32" s="147" t="s">
        <v>458</v>
      </c>
      <c r="B32" s="134">
        <v>461817.5</v>
      </c>
      <c r="C32" s="135">
        <v>505</v>
      </c>
      <c r="D32" s="134">
        <v>1166</v>
      </c>
      <c r="E32" s="135">
        <v>1671</v>
      </c>
      <c r="F32" s="1823">
        <v>3.618312428610869</v>
      </c>
      <c r="G32" s="1824">
        <v>170</v>
      </c>
      <c r="H32" s="1825">
        <v>3</v>
      </c>
      <c r="I32" s="1826">
        <v>3.6811077969111174</v>
      </c>
      <c r="J32" s="3"/>
      <c r="K32" s="3"/>
    </row>
    <row r="33" spans="1:11" ht="18" customHeight="1" thickBot="1">
      <c r="A33" s="147" t="s">
        <v>459</v>
      </c>
      <c r="B33" s="134">
        <v>70742</v>
      </c>
      <c r="C33" s="135">
        <v>55</v>
      </c>
      <c r="D33" s="134">
        <v>55</v>
      </c>
      <c r="E33" s="135">
        <v>110</v>
      </c>
      <c r="F33" s="1823">
        <v>1.5549461423199795</v>
      </c>
      <c r="G33" s="1824">
        <v>20</v>
      </c>
      <c r="H33" s="1825">
        <v>2</v>
      </c>
      <c r="I33" s="1826">
        <v>2.8271748042181444</v>
      </c>
      <c r="J33" s="3"/>
      <c r="K33" s="3"/>
    </row>
    <row r="34" spans="1:11" ht="30" customHeight="1" thickBot="1">
      <c r="A34" s="150" t="s">
        <v>462</v>
      </c>
      <c r="B34" s="136">
        <v>7996861</v>
      </c>
      <c r="C34" s="137">
        <v>6829</v>
      </c>
      <c r="D34" s="136">
        <v>10081</v>
      </c>
      <c r="E34" s="137">
        <v>16910</v>
      </c>
      <c r="F34" s="1827">
        <v>2.11457970821301</v>
      </c>
      <c r="G34" s="180">
        <v>1740</v>
      </c>
      <c r="H34" s="1828" t="s">
        <v>29</v>
      </c>
      <c r="I34" s="1829">
        <v>2.1758537506153979</v>
      </c>
      <c r="J34" s="131"/>
      <c r="K34" s="131"/>
    </row>
    <row r="35" spans="1:11" ht="17.5" customHeight="1">
      <c r="A35" s="1585" t="s">
        <v>2378</v>
      </c>
      <c r="B35" s="1586"/>
      <c r="C35" s="1586"/>
      <c r="D35" s="1586"/>
      <c r="E35" s="1586"/>
      <c r="F35" s="1586"/>
      <c r="G35" s="1586"/>
      <c r="H35" s="1586"/>
      <c r="I35" s="1830"/>
      <c r="J35" s="1340"/>
      <c r="K35" s="1340"/>
    </row>
    <row r="36" spans="1:11" ht="13.75" customHeight="1">
      <c r="A36" s="1587"/>
      <c r="B36" s="1340"/>
      <c r="C36" s="1340"/>
      <c r="D36" s="1340"/>
      <c r="E36" s="1340"/>
      <c r="F36" s="1340"/>
      <c r="G36" s="1340"/>
      <c r="H36" s="1340"/>
      <c r="I36" s="1831"/>
      <c r="J36" s="1340"/>
      <c r="K36" s="1340"/>
    </row>
    <row r="37" spans="1:11" ht="12" customHeight="1">
      <c r="A37" s="131" t="s">
        <v>2367</v>
      </c>
      <c r="B37" s="1340"/>
      <c r="C37" s="1340"/>
      <c r="D37" s="1340"/>
      <c r="E37" s="1340"/>
      <c r="F37" s="1340"/>
      <c r="G37" s="1340"/>
      <c r="H37" s="1340"/>
      <c r="I37" s="1831"/>
      <c r="J37" s="1340"/>
      <c r="K37" s="1340"/>
    </row>
    <row r="38" spans="1:11" ht="12" customHeight="1">
      <c r="A38" s="131" t="s">
        <v>2368</v>
      </c>
      <c r="B38" s="1340"/>
      <c r="C38" s="1340"/>
      <c r="D38" s="1340"/>
      <c r="E38" s="1340"/>
      <c r="F38" s="1340"/>
      <c r="G38" s="1340"/>
      <c r="H38" s="1340"/>
      <c r="I38" s="1831"/>
      <c r="J38" s="1340"/>
      <c r="K38" s="1340"/>
    </row>
    <row r="39" spans="1:11" ht="13.75" customHeight="1">
      <c r="A39" s="1587" t="s">
        <v>2369</v>
      </c>
      <c r="B39" s="1340"/>
      <c r="C39" s="1340"/>
      <c r="D39" s="1340"/>
      <c r="E39" s="1340"/>
      <c r="F39" s="1340"/>
      <c r="G39" s="1340"/>
      <c r="H39" s="1340"/>
      <c r="I39" s="1831"/>
      <c r="J39" s="1340"/>
      <c r="K39" s="1340"/>
    </row>
    <row r="40" spans="1:11" ht="12" customHeight="1">
      <c r="A40" s="1587" t="s">
        <v>2370</v>
      </c>
      <c r="B40" s="1340"/>
      <c r="C40" s="1340"/>
      <c r="D40" s="1340"/>
      <c r="E40" s="1340"/>
      <c r="F40" s="1340"/>
      <c r="G40" s="1340"/>
      <c r="H40" s="1340"/>
      <c r="I40" s="1831"/>
      <c r="J40" s="1340"/>
      <c r="K40" s="1340"/>
    </row>
    <row r="41" spans="1:11" ht="12" customHeight="1">
      <c r="A41" s="1587" t="s">
        <v>2371</v>
      </c>
      <c r="B41" s="1340"/>
      <c r="C41" s="1340"/>
      <c r="D41" s="1340"/>
      <c r="E41" s="1340"/>
      <c r="F41" s="1340"/>
      <c r="G41" s="1340"/>
      <c r="H41" s="1340"/>
      <c r="I41" s="1831"/>
      <c r="J41" s="1340"/>
      <c r="K41" s="1340"/>
    </row>
    <row r="42" spans="1:11" ht="13.75" customHeight="1">
      <c r="A42" s="1587" t="s">
        <v>2372</v>
      </c>
      <c r="B42" s="1340"/>
      <c r="C42" s="1340"/>
      <c r="D42" s="1340"/>
      <c r="E42" s="1340"/>
      <c r="F42" s="1340"/>
      <c r="G42" s="1340"/>
      <c r="H42" s="1340"/>
      <c r="I42" s="1831"/>
      <c r="J42" s="1340"/>
      <c r="K42" s="1340"/>
    </row>
    <row r="43" spans="1:11" ht="13.25" customHeight="1">
      <c r="A43" s="1587" t="s">
        <v>2348</v>
      </c>
      <c r="B43" s="1340"/>
      <c r="C43" s="1340"/>
      <c r="D43" s="1340"/>
      <c r="E43" s="1340"/>
      <c r="F43" s="1340"/>
      <c r="G43" s="1340"/>
      <c r="H43" s="1340"/>
      <c r="I43" s="1831"/>
      <c r="J43" s="1340"/>
      <c r="K43" s="1340"/>
    </row>
    <row r="44" spans="1:11" ht="12.5" customHeight="1">
      <c r="A44" s="1587" t="s">
        <v>2373</v>
      </c>
      <c r="B44" s="1340"/>
      <c r="C44" s="1340"/>
      <c r="D44" s="1340"/>
      <c r="E44" s="1340"/>
      <c r="F44" s="1340"/>
      <c r="G44" s="1340"/>
      <c r="H44" s="1340"/>
      <c r="I44" s="1831"/>
      <c r="J44" s="1340"/>
      <c r="K44" s="1340"/>
    </row>
    <row r="45" spans="1:11" ht="12" customHeight="1">
      <c r="A45" s="1587" t="s">
        <v>2374</v>
      </c>
      <c r="B45" s="1340"/>
      <c r="C45" s="1340"/>
      <c r="D45" s="1340"/>
      <c r="E45" s="1340"/>
      <c r="F45" s="1340"/>
      <c r="G45" s="1340"/>
      <c r="H45" s="1340"/>
      <c r="I45" s="1831"/>
      <c r="J45" s="1340"/>
      <c r="K45" s="1340"/>
    </row>
    <row r="46" spans="1:11" ht="13.75" customHeight="1">
      <c r="A46" s="1587" t="s">
        <v>2375</v>
      </c>
      <c r="B46" s="1340"/>
      <c r="C46" s="1340"/>
      <c r="D46" s="1340"/>
      <c r="E46" s="1340"/>
      <c r="F46" s="1340"/>
      <c r="G46" s="1340"/>
      <c r="H46" s="1340"/>
      <c r="I46" s="1831"/>
      <c r="J46" s="1340"/>
      <c r="K46" s="1340"/>
    </row>
    <row r="47" spans="1:11" ht="12" customHeight="1">
      <c r="A47" s="1588" t="s">
        <v>2376</v>
      </c>
      <c r="B47" s="1340"/>
      <c r="C47" s="1340"/>
      <c r="D47" s="1340"/>
      <c r="E47" s="1340"/>
      <c r="F47" s="1340"/>
      <c r="G47" s="1340"/>
      <c r="H47" s="1340"/>
      <c r="I47" s="1831"/>
      <c r="J47" s="1340"/>
      <c r="K47" s="1340"/>
    </row>
    <row r="48" spans="1:11" ht="13.75" customHeight="1">
      <c r="A48" s="1587" t="s">
        <v>2377</v>
      </c>
      <c r="B48" s="1340"/>
      <c r="C48" s="1340"/>
      <c r="D48" s="1340"/>
      <c r="E48" s="1340"/>
      <c r="F48" s="1340"/>
      <c r="G48" s="1340"/>
      <c r="H48" s="1340"/>
      <c r="I48" s="1831"/>
      <c r="J48" s="1340"/>
      <c r="K48" s="1340"/>
    </row>
    <row r="49" spans="1:11" ht="12" customHeight="1">
      <c r="A49" s="1587"/>
      <c r="B49" s="1340"/>
      <c r="C49" s="1340"/>
      <c r="D49" s="1340"/>
      <c r="E49" s="1340"/>
      <c r="F49" s="1340"/>
      <c r="G49" s="1340"/>
      <c r="H49" s="1340"/>
      <c r="I49" s="1831"/>
      <c r="J49" s="1340"/>
      <c r="K49" s="1340"/>
    </row>
    <row r="50" spans="1:11" ht="12" customHeight="1">
      <c r="A50" s="1587"/>
      <c r="B50" s="1340"/>
      <c r="C50" s="1340"/>
      <c r="D50" s="1340"/>
      <c r="E50" s="1340"/>
      <c r="F50" s="1340"/>
      <c r="G50" s="1340"/>
      <c r="H50" s="1340"/>
      <c r="I50" s="1831"/>
      <c r="J50" s="1340"/>
      <c r="K50" s="1340"/>
    </row>
    <row r="51" spans="1:11" ht="12" customHeight="1">
      <c r="A51" s="1587" t="s">
        <v>395</v>
      </c>
      <c r="B51" s="1340"/>
      <c r="C51" s="1340"/>
      <c r="D51" s="1340"/>
      <c r="E51" s="1340"/>
      <c r="F51" s="1340"/>
      <c r="G51" s="1340"/>
      <c r="H51" s="1340"/>
      <c r="I51" s="1831"/>
      <c r="J51" s="1340"/>
      <c r="K51" s="1340"/>
    </row>
    <row r="52" spans="1:11" ht="12" customHeight="1">
      <c r="A52" s="1587"/>
      <c r="B52" s="1340"/>
      <c r="C52" s="1340"/>
      <c r="D52" s="1340"/>
      <c r="E52" s="1340"/>
      <c r="F52" s="1340"/>
      <c r="G52" s="1340"/>
      <c r="H52" s="1340"/>
      <c r="I52" s="1831"/>
      <c r="J52" s="1340"/>
      <c r="K52" s="1340"/>
    </row>
    <row r="53" spans="1:11" ht="12" customHeight="1">
      <c r="A53" s="1588"/>
      <c r="B53" s="1597"/>
      <c r="C53" s="1597"/>
      <c r="D53" s="1597"/>
      <c r="E53" s="1597"/>
      <c r="F53" s="1597"/>
      <c r="G53" s="1597"/>
      <c r="H53" s="1597"/>
      <c r="I53" s="1832"/>
      <c r="J53" s="1597"/>
      <c r="K53" s="1597"/>
    </row>
    <row r="54" spans="1:11">
      <c r="A54" s="336"/>
      <c r="B54" s="626"/>
      <c r="C54" s="626"/>
      <c r="D54" s="626"/>
      <c r="E54" s="626"/>
      <c r="F54" s="626"/>
      <c r="G54" s="626"/>
      <c r="H54" s="626"/>
      <c r="I54" s="1096"/>
      <c r="J54" s="626"/>
      <c r="K54" s="626"/>
    </row>
  </sheetData>
  <pageMargins left="0.43307086614173229" right="0.43307086614173229" top="0.74803149606299213" bottom="0.47244094488188981" header="0.47244094488188981" footer="0.51181102362204722"/>
  <pageSetup paperSize="9" scale="81" orientation="portrait" horizontalDpi="1200" verticalDpi="1200"/>
  <headerFooter alignWithMargins="0"/>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95D31-897F-4648-B9D7-9D941951F537}">
  <sheetPr>
    <pageSetUpPr fitToPage="1"/>
  </sheetPr>
  <dimension ref="A1:N44"/>
  <sheetViews>
    <sheetView zoomScaleNormal="100" workbookViewId="0">
      <selection activeCell="O17" sqref="O17"/>
    </sheetView>
  </sheetViews>
  <sheetFormatPr baseColWidth="10" defaultColWidth="11.3984375" defaultRowHeight="13"/>
  <cols>
    <col min="1" max="1" width="12.59765625" style="3" customWidth="1"/>
    <col min="2" max="2" width="13.796875" style="283" customWidth="1"/>
    <col min="3" max="3" width="14.19921875" style="283" customWidth="1"/>
    <col min="4" max="5" width="11.59765625" style="283" customWidth="1"/>
    <col min="6" max="6" width="14" style="283" customWidth="1"/>
    <col min="7" max="8" width="11.59765625" style="283" customWidth="1"/>
    <col min="9" max="9" width="14.3984375" style="283" customWidth="1"/>
    <col min="10" max="10" width="7.19921875" style="3" customWidth="1"/>
    <col min="11" max="16384" width="11.3984375" style="3"/>
  </cols>
  <sheetData>
    <row r="1" spans="1:9" s="2" customFormat="1" ht="14" customHeight="1">
      <c r="A1" s="272"/>
      <c r="B1" s="1577"/>
      <c r="C1" s="1577"/>
      <c r="D1" s="1577"/>
      <c r="E1" s="1577"/>
      <c r="F1" s="1577"/>
      <c r="G1" s="1577"/>
      <c r="H1" s="1577"/>
      <c r="I1" s="1577"/>
    </row>
    <row r="2" spans="1:9" s="2" customFormat="1" ht="25.75" customHeight="1">
      <c r="A2" s="2056" t="s">
        <v>2338</v>
      </c>
      <c r="B2" s="2055"/>
      <c r="C2" s="2055"/>
      <c r="D2" s="2055"/>
      <c r="E2" s="2055"/>
      <c r="F2" s="2055"/>
      <c r="G2" s="2055"/>
      <c r="H2" s="2055"/>
      <c r="I2" s="2055"/>
    </row>
    <row r="3" spans="1:9" ht="27" customHeight="1">
      <c r="A3" s="109" t="s">
        <v>241</v>
      </c>
      <c r="B3" s="110" t="s">
        <v>1829</v>
      </c>
      <c r="C3" s="155" t="s">
        <v>256</v>
      </c>
      <c r="D3" s="110" t="s">
        <v>2016</v>
      </c>
      <c r="E3" s="1812" t="s">
        <v>2339</v>
      </c>
      <c r="F3" s="165" t="s">
        <v>2340</v>
      </c>
      <c r="G3" s="111" t="s">
        <v>2016</v>
      </c>
      <c r="H3" s="113" t="s">
        <v>2341</v>
      </c>
      <c r="I3" s="155" t="s">
        <v>2340</v>
      </c>
    </row>
    <row r="4" spans="1:9" ht="18" customHeight="1">
      <c r="A4" s="112"/>
      <c r="B4" s="426" t="s">
        <v>1879</v>
      </c>
      <c r="C4" s="771" t="s">
        <v>257</v>
      </c>
      <c r="D4" s="426" t="s">
        <v>2342</v>
      </c>
      <c r="E4" s="1243" t="s">
        <v>2343</v>
      </c>
      <c r="F4" s="428" t="s">
        <v>257</v>
      </c>
      <c r="G4" s="1243" t="s">
        <v>2344</v>
      </c>
      <c r="H4" s="426" t="s">
        <v>2345</v>
      </c>
      <c r="I4" s="771" t="s">
        <v>257</v>
      </c>
    </row>
    <row r="5" spans="1:9" ht="18.75" customHeight="1">
      <c r="A5" s="112"/>
      <c r="B5" s="426" t="s">
        <v>2346</v>
      </c>
      <c r="C5" s="771" t="s">
        <v>258</v>
      </c>
      <c r="D5" s="426"/>
      <c r="E5" s="1243"/>
      <c r="F5" s="428" t="s">
        <v>258</v>
      </c>
      <c r="G5" s="1243"/>
      <c r="H5" s="426"/>
      <c r="I5" s="771" t="s">
        <v>258</v>
      </c>
    </row>
    <row r="6" spans="1:9" ht="16.75" customHeight="1">
      <c r="A6" s="167"/>
      <c r="B6" s="117"/>
      <c r="C6" s="157"/>
      <c r="D6" s="117"/>
      <c r="E6" s="118"/>
      <c r="F6" s="169"/>
      <c r="G6" s="118"/>
      <c r="H6" s="117"/>
      <c r="I6" s="157"/>
    </row>
    <row r="7" spans="1:9" ht="1.5" customHeight="1" thickBot="1">
      <c r="A7" s="144">
        <v>1996</v>
      </c>
      <c r="B7" s="132">
        <v>7105446</v>
      </c>
      <c r="C7" s="158">
        <v>3.459706242723432E-3</v>
      </c>
      <c r="D7" s="132">
        <v>12711</v>
      </c>
      <c r="E7" s="1813">
        <v>1.7889095209505499</v>
      </c>
      <c r="F7" s="505">
        <v>2.7595951533686547E-2</v>
      </c>
      <c r="G7" s="133">
        <v>1649</v>
      </c>
      <c r="H7" s="1814">
        <v>2.3207550940503947</v>
      </c>
      <c r="I7" s="158">
        <v>1.4104900491136441E-3</v>
      </c>
    </row>
    <row r="8" spans="1:9" ht="0.75" customHeight="1" thickBot="1">
      <c r="A8" s="147">
        <v>1997</v>
      </c>
      <c r="B8" s="134">
        <v>7113565</v>
      </c>
      <c r="C8" s="159">
        <v>1.142644670017899E-3</v>
      </c>
      <c r="D8" s="134">
        <v>13038</v>
      </c>
      <c r="E8" s="1264">
        <v>1.8328362782936545</v>
      </c>
      <c r="F8" s="319">
        <v>2.4555046987375651E-2</v>
      </c>
      <c r="G8" s="135">
        <v>1651</v>
      </c>
      <c r="H8" s="1815">
        <v>2.3209178520193463</v>
      </c>
      <c r="I8" s="159">
        <v>7.0131471161527514E-5</v>
      </c>
    </row>
    <row r="9" spans="1:9" ht="18" hidden="1" customHeight="1" thickBot="1">
      <c r="A9" s="147">
        <v>1998</v>
      </c>
      <c r="B9" s="134">
        <v>7131888</v>
      </c>
      <c r="C9" s="159">
        <v>2.5757830286220764E-3</v>
      </c>
      <c r="D9" s="134">
        <v>13357</v>
      </c>
      <c r="E9" s="1264">
        <v>1.8728561076674226</v>
      </c>
      <c r="F9" s="319">
        <v>2.1834917743458249E-2</v>
      </c>
      <c r="G9" s="135">
        <v>1653</v>
      </c>
      <c r="H9" s="1815">
        <v>2.3177593366581193</v>
      </c>
      <c r="I9" s="159">
        <v>-1.3608906314710456E-3</v>
      </c>
    </row>
    <row r="10" spans="1:9" ht="18" hidden="1" customHeight="1" thickBot="1">
      <c r="A10" s="147">
        <v>1999</v>
      </c>
      <c r="B10" s="134">
        <v>7166738</v>
      </c>
      <c r="C10" s="159">
        <v>4.8865041066264644E-3</v>
      </c>
      <c r="D10" s="134">
        <v>13622</v>
      </c>
      <c r="E10" s="1264">
        <v>1.9007252671996662</v>
      </c>
      <c r="F10" s="319">
        <v>1.4880566327625466E-2</v>
      </c>
      <c r="G10" s="135">
        <v>1654</v>
      </c>
      <c r="H10" s="1815">
        <v>2.3078840052475758</v>
      </c>
      <c r="I10" s="159">
        <v>-4.260723386743992E-3</v>
      </c>
    </row>
    <row r="11" spans="1:9" ht="18" hidden="1" customHeight="1" thickBot="1">
      <c r="A11" s="147">
        <v>2000</v>
      </c>
      <c r="B11" s="134">
        <v>7209042</v>
      </c>
      <c r="C11" s="159">
        <v>5.9028249672305588E-3</v>
      </c>
      <c r="D11" s="134">
        <v>13935</v>
      </c>
      <c r="E11" s="1264">
        <v>1.9329891544535323</v>
      </c>
      <c r="F11" s="319">
        <v>1.6974513787255674E-2</v>
      </c>
      <c r="G11" s="135">
        <v>1664</v>
      </c>
      <c r="H11" s="1815">
        <v>2.3082123810625603</v>
      </c>
      <c r="I11" s="159">
        <v>1.4228436708174641E-4</v>
      </c>
    </row>
    <row r="12" spans="1:9" ht="18" hidden="1" customHeight="1" thickBot="1">
      <c r="A12" s="147">
        <v>2001</v>
      </c>
      <c r="B12" s="134">
        <v>7260339</v>
      </c>
      <c r="C12" s="159">
        <v>7.1156472663080617E-3</v>
      </c>
      <c r="D12" s="134">
        <v>14178</v>
      </c>
      <c r="E12" s="1264">
        <v>1.952801377456342</v>
      </c>
      <c r="F12" s="319">
        <v>1.0249526210306614E-2</v>
      </c>
      <c r="G12" s="135">
        <v>1653</v>
      </c>
      <c r="H12" s="1815">
        <v>2.2767531929294211</v>
      </c>
      <c r="I12" s="159">
        <v>-1.362924330154458E-2</v>
      </c>
    </row>
    <row r="13" spans="1:9" ht="18" customHeight="1" thickBot="1">
      <c r="A13" s="147">
        <v>2002</v>
      </c>
      <c r="B13" s="134">
        <v>7347770</v>
      </c>
      <c r="C13" s="159">
        <v>1.2042275160980775E-2</v>
      </c>
      <c r="D13" s="134">
        <v>14408</v>
      </c>
      <c r="E13" s="1264">
        <v>1.9608670385708864</v>
      </c>
      <c r="F13" s="319">
        <v>4.1303028601149538E-3</v>
      </c>
      <c r="G13" s="135">
        <v>1648</v>
      </c>
      <c r="H13" s="1815">
        <v>2.2428573567218355</v>
      </c>
      <c r="I13" s="159">
        <v>-1.4887795617395394E-2</v>
      </c>
    </row>
    <row r="14" spans="1:9" ht="18" customHeight="1" thickBot="1">
      <c r="A14" s="147">
        <v>2003</v>
      </c>
      <c r="B14" s="134">
        <v>7405051</v>
      </c>
      <c r="C14" s="159">
        <v>7.7956985588824908E-3</v>
      </c>
      <c r="D14" s="134">
        <v>14879</v>
      </c>
      <c r="E14" s="1264">
        <v>2.0093041898023394</v>
      </c>
      <c r="F14" s="319">
        <v>2.4701904962793897E-2</v>
      </c>
      <c r="G14" s="135">
        <v>1653</v>
      </c>
      <c r="H14" s="1815">
        <v>2.2322601154266191</v>
      </c>
      <c r="I14" s="159">
        <v>-4.7248842033830174E-3</v>
      </c>
    </row>
    <row r="15" spans="1:9" ht="18" customHeight="1" thickBot="1">
      <c r="A15" s="147">
        <v>2004</v>
      </c>
      <c r="B15" s="134">
        <v>7454112</v>
      </c>
      <c r="C15" s="159">
        <v>6.6253426208678374E-3</v>
      </c>
      <c r="D15" s="134">
        <v>15199</v>
      </c>
      <c r="E15" s="1264">
        <v>2.03900880480465</v>
      </c>
      <c r="F15" s="319">
        <v>1.4783533102189272E-2</v>
      </c>
      <c r="G15" s="135">
        <v>1656</v>
      </c>
      <c r="H15" s="1815">
        <v>2.2215925921155999</v>
      </c>
      <c r="I15" s="159">
        <v>-4.7787994048267279E-3</v>
      </c>
    </row>
    <row r="16" spans="1:9" ht="18" customHeight="1" thickBot="1">
      <c r="A16" s="147">
        <v>2005</v>
      </c>
      <c r="B16" s="134">
        <v>7501255</v>
      </c>
      <c r="C16" s="159">
        <v>6.3244287180015402E-3</v>
      </c>
      <c r="D16" s="134">
        <v>15313</v>
      </c>
      <c r="E16" s="1264">
        <v>2.0413917404487649</v>
      </c>
      <c r="F16" s="319">
        <v>1.1686735429978778E-3</v>
      </c>
      <c r="G16" s="135">
        <v>1672</v>
      </c>
      <c r="H16" s="1815">
        <v>2.2289603539674361</v>
      </c>
      <c r="I16" s="159">
        <v>3.3164324899102038E-3</v>
      </c>
    </row>
    <row r="17" spans="1:14" ht="18" customHeight="1" thickBot="1">
      <c r="A17" s="147">
        <v>2006</v>
      </c>
      <c r="B17" s="134">
        <v>7557609</v>
      </c>
      <c r="C17" s="159">
        <v>7.5126095566675488E-3</v>
      </c>
      <c r="D17" s="134">
        <v>15532</v>
      </c>
      <c r="E17" s="1264">
        <v>2.0551473356189769</v>
      </c>
      <c r="F17" s="319">
        <v>6.7383417389490496E-3</v>
      </c>
      <c r="G17" s="135">
        <v>1692</v>
      </c>
      <c r="H17" s="1815">
        <v>2.2388033040608479</v>
      </c>
      <c r="I17" s="159">
        <v>4.415937715487761E-3</v>
      </c>
    </row>
    <row r="18" spans="1:14" ht="18" customHeight="1" thickBot="1">
      <c r="A18" s="147">
        <v>2007</v>
      </c>
      <c r="B18" s="134">
        <v>7618599</v>
      </c>
      <c r="C18" s="159">
        <v>8.0700126190704768E-3</v>
      </c>
      <c r="D18" s="134">
        <v>15588</v>
      </c>
      <c r="E18" s="1264">
        <v>2.0460454737150493</v>
      </c>
      <c r="F18" s="319">
        <v>-4.4288123513958055E-3</v>
      </c>
      <c r="G18" s="135">
        <v>1700</v>
      </c>
      <c r="H18" s="1815">
        <v>2.2313813865252654</v>
      </c>
      <c r="I18" s="159">
        <v>-3.3151271137219496E-3</v>
      </c>
    </row>
    <row r="19" spans="1:14" ht="18" customHeight="1" thickBot="1">
      <c r="A19" s="147">
        <v>2008</v>
      </c>
      <c r="B19" s="134">
        <v>7711056</v>
      </c>
      <c r="C19" s="159">
        <v>1.2135695814939229E-2</v>
      </c>
      <c r="D19" s="134">
        <v>15090</v>
      </c>
      <c r="E19" s="1264">
        <v>1.9569304126438714</v>
      </c>
      <c r="F19" s="319">
        <v>-4.3554780290083084E-2</v>
      </c>
      <c r="G19" s="135">
        <v>1721</v>
      </c>
      <c r="H19" s="1815">
        <v>2.2318603314513603</v>
      </c>
      <c r="I19" s="159">
        <v>2.1464054911768393E-4</v>
      </c>
    </row>
    <row r="20" spans="1:14" ht="18" customHeight="1" thickBot="1">
      <c r="A20" s="147">
        <v>2009</v>
      </c>
      <c r="B20" s="134">
        <v>7801278</v>
      </c>
      <c r="C20" s="159">
        <v>1.1700342988042012E-2</v>
      </c>
      <c r="D20" s="134">
        <v>15912</v>
      </c>
      <c r="E20" s="1264">
        <v>2.0396658086021291</v>
      </c>
      <c r="F20" s="319">
        <v>4.2278149199224568E-2</v>
      </c>
      <c r="G20" s="135">
        <v>1731</v>
      </c>
      <c r="H20" s="1815">
        <v>2.2188672163714713</v>
      </c>
      <c r="I20" s="159">
        <v>-5.821652411125422E-3</v>
      </c>
    </row>
    <row r="21" spans="1:14" ht="18" customHeight="1" thickBot="1">
      <c r="A21" s="147">
        <v>2010</v>
      </c>
      <c r="B21" s="134">
        <v>7877571</v>
      </c>
      <c r="C21" s="159">
        <v>9.7795515042535808E-3</v>
      </c>
      <c r="D21" s="134">
        <v>16087</v>
      </c>
      <c r="E21" s="1264">
        <v>2.0421269449681887</v>
      </c>
      <c r="F21" s="319">
        <v>1.2066370655821057E-3</v>
      </c>
      <c r="G21" s="135">
        <v>1733</v>
      </c>
      <c r="H21" s="1815">
        <v>2.1999167002112707</v>
      </c>
      <c r="I21" s="159">
        <v>-8.5406265054429609E-3</v>
      </c>
    </row>
    <row r="22" spans="1:14" ht="18" customHeight="1" thickBot="1">
      <c r="A22" s="147">
        <v>2011</v>
      </c>
      <c r="B22" s="134">
        <v>7912398</v>
      </c>
      <c r="C22" s="159">
        <v>4.4210328285203548E-3</v>
      </c>
      <c r="D22" s="134">
        <v>16232</v>
      </c>
      <c r="E22" s="1264">
        <v>2.0514640441494474</v>
      </c>
      <c r="F22" s="319">
        <v>4.5722422909435512E-3</v>
      </c>
      <c r="G22" s="135">
        <v>1743</v>
      </c>
      <c r="H22" s="1815">
        <v>2.2028719991082348</v>
      </c>
      <c r="I22" s="159">
        <v>1.3433685451273991E-3</v>
      </c>
    </row>
    <row r="23" spans="1:14" ht="25.75" customHeight="1" thickBot="1">
      <c r="A23" s="150">
        <v>2012</v>
      </c>
      <c r="B23" s="136">
        <v>7996861</v>
      </c>
      <c r="C23" s="455">
        <v>1.0674766360337262E-2</v>
      </c>
      <c r="D23" s="136">
        <v>16910</v>
      </c>
      <c r="E23" s="1816">
        <v>2.11457970821301</v>
      </c>
      <c r="F23" s="1817">
        <v>3.0766156610719797E-2</v>
      </c>
      <c r="G23" s="137">
        <v>1740</v>
      </c>
      <c r="H23" s="1818">
        <v>2.1758537506153979</v>
      </c>
      <c r="I23" s="455">
        <v>-1.2265010633288886E-2</v>
      </c>
    </row>
    <row r="24" spans="1:14" ht="20" customHeight="1">
      <c r="A24" s="1585" t="s">
        <v>2378</v>
      </c>
      <c r="B24" s="1586"/>
      <c r="C24" s="1586"/>
      <c r="D24" s="1586"/>
      <c r="E24" s="1586"/>
      <c r="F24" s="1586"/>
      <c r="G24" s="1586"/>
      <c r="H24" s="1586"/>
      <c r="I24" s="1586"/>
    </row>
    <row r="25" spans="1:14" ht="17.25" customHeight="1">
      <c r="A25" s="1587"/>
      <c r="B25" s="1340"/>
      <c r="C25" s="1340"/>
      <c r="D25" s="1340"/>
      <c r="E25" s="1340"/>
      <c r="F25" s="1340"/>
      <c r="G25" s="1340"/>
      <c r="H25" s="1340"/>
      <c r="I25" s="1340"/>
    </row>
    <row r="26" spans="1:14" ht="12" customHeight="1">
      <c r="A26" s="1587" t="s">
        <v>2347</v>
      </c>
      <c r="B26" s="1340"/>
      <c r="C26" s="1340"/>
      <c r="D26" s="1340"/>
      <c r="E26" s="1340"/>
      <c r="F26" s="1340"/>
      <c r="G26" s="1340"/>
      <c r="H26" s="1340"/>
      <c r="I26" s="1340"/>
    </row>
    <row r="27" spans="1:14" ht="13.75" customHeight="1">
      <c r="A27" s="1587" t="s">
        <v>2348</v>
      </c>
      <c r="B27" s="1340"/>
      <c r="C27" s="1340"/>
      <c r="D27" s="1340"/>
      <c r="E27" s="1340"/>
      <c r="F27" s="1340"/>
      <c r="G27" s="1340"/>
      <c r="H27" s="1340"/>
      <c r="I27" s="1340"/>
    </row>
    <row r="28" spans="1:14" ht="14.5" customHeight="1">
      <c r="A28" s="60" t="s">
        <v>2349</v>
      </c>
      <c r="B28" s="1340"/>
      <c r="C28" s="1340"/>
      <c r="D28" s="1340"/>
      <c r="E28" s="1340"/>
      <c r="F28" s="1340"/>
      <c r="G28" s="1340"/>
      <c r="H28" s="1340"/>
      <c r="I28" s="1340"/>
    </row>
    <row r="29" spans="1:14" ht="12.5" customHeight="1">
      <c r="A29" s="60" t="s">
        <v>2350</v>
      </c>
      <c r="B29" s="1340"/>
      <c r="C29" s="1340"/>
      <c r="D29" s="1340"/>
      <c r="E29" s="1340"/>
      <c r="F29" s="1340"/>
      <c r="G29" s="1340"/>
      <c r="H29" s="1340"/>
      <c r="I29" s="1340"/>
    </row>
    <row r="30" spans="1:14" ht="13.25" customHeight="1">
      <c r="A30" s="60" t="s">
        <v>2351</v>
      </c>
      <c r="B30" s="1340"/>
      <c r="C30" s="1340"/>
      <c r="D30" s="1340"/>
      <c r="E30" s="1340"/>
      <c r="F30" s="1340"/>
      <c r="G30" s="1340"/>
      <c r="H30" s="1340"/>
      <c r="I30" s="1340"/>
    </row>
    <row r="31" spans="1:14" ht="15" customHeight="1">
      <c r="A31" s="541"/>
      <c r="B31" s="176"/>
      <c r="C31" s="176"/>
      <c r="D31" s="176"/>
      <c r="E31" s="176"/>
      <c r="F31" s="176"/>
      <c r="G31" s="176"/>
      <c r="H31" s="176"/>
      <c r="I31" s="176"/>
    </row>
    <row r="32" spans="1:14" ht="15" customHeight="1">
      <c r="A32" s="4"/>
      <c r="B32" s="1598"/>
      <c r="C32" s="1598"/>
      <c r="D32" s="1598"/>
      <c r="E32" s="1598"/>
      <c r="F32" s="1598"/>
      <c r="G32" s="1598"/>
      <c r="H32" s="1598"/>
      <c r="I32" s="1598"/>
      <c r="J32" s="4"/>
      <c r="K32" s="4"/>
      <c r="L32" s="4"/>
      <c r="M32" s="4"/>
      <c r="N32" s="4"/>
    </row>
    <row r="33" spans="1:14" ht="15" customHeight="1">
      <c r="A33" s="4" t="s">
        <v>395</v>
      </c>
      <c r="B33" s="1598"/>
      <c r="C33" s="1598"/>
      <c r="D33" s="1598"/>
      <c r="E33" s="1598"/>
      <c r="F33" s="1598"/>
      <c r="G33" s="1598"/>
      <c r="H33" s="1598"/>
      <c r="I33" s="1598"/>
      <c r="J33" s="4"/>
      <c r="K33" s="4"/>
      <c r="L33" s="1599"/>
      <c r="M33" s="4"/>
      <c r="N33" s="4"/>
    </row>
    <row r="34" spans="1:14" ht="31" customHeight="1">
      <c r="A34" s="4"/>
      <c r="B34" s="1598"/>
      <c r="C34" s="1598"/>
      <c r="D34" s="1598"/>
      <c r="E34" s="1598"/>
      <c r="F34" s="1598"/>
      <c r="G34" s="1598"/>
      <c r="H34" s="1598"/>
      <c r="I34" s="1598"/>
      <c r="J34" s="4"/>
      <c r="K34" s="4"/>
      <c r="L34" s="4"/>
      <c r="M34" s="4"/>
      <c r="N34" s="4"/>
    </row>
    <row r="35" spans="1:14" ht="31" customHeight="1">
      <c r="A35" s="4"/>
      <c r="B35" s="1598"/>
      <c r="C35" s="1598"/>
      <c r="D35" s="1598"/>
      <c r="E35" s="1598"/>
      <c r="F35" s="1598"/>
      <c r="G35" s="1598"/>
      <c r="H35" s="1598"/>
      <c r="I35" s="1598"/>
      <c r="J35" s="4"/>
      <c r="K35" s="4"/>
      <c r="L35" s="4"/>
      <c r="M35" s="4"/>
      <c r="N35" s="4"/>
    </row>
    <row r="36" spans="1:14" ht="31" customHeight="1">
      <c r="A36" s="4"/>
      <c r="B36" s="1598"/>
      <c r="C36" s="1598"/>
      <c r="D36" s="1598"/>
      <c r="E36" s="1598"/>
      <c r="F36" s="1598"/>
      <c r="G36" s="1598"/>
      <c r="H36" s="1598"/>
      <c r="I36" s="1598"/>
      <c r="J36" s="4"/>
      <c r="K36" s="4"/>
      <c r="L36" s="4"/>
      <c r="M36" s="4"/>
      <c r="N36" s="4"/>
    </row>
    <row r="37" spans="1:14" ht="31" customHeight="1">
      <c r="A37" s="4"/>
      <c r="B37" s="1598"/>
      <c r="C37" s="1598"/>
      <c r="D37" s="1598"/>
      <c r="E37" s="1598"/>
      <c r="F37" s="1598"/>
      <c r="G37" s="1598"/>
      <c r="H37" s="1598"/>
      <c r="I37" s="1598"/>
      <c r="J37" s="4"/>
      <c r="K37" s="4"/>
      <c r="L37" s="4"/>
      <c r="M37" s="4"/>
      <c r="N37" s="4"/>
    </row>
    <row r="38" spans="1:14" ht="31" customHeight="1">
      <c r="A38" s="4"/>
      <c r="B38" s="1598"/>
      <c r="C38" s="1598"/>
      <c r="D38" s="1598"/>
      <c r="E38" s="1598"/>
      <c r="F38" s="1598"/>
      <c r="G38" s="1598"/>
      <c r="H38" s="1598"/>
      <c r="I38" s="1598"/>
      <c r="J38" s="4"/>
      <c r="K38" s="4"/>
      <c r="L38" s="4"/>
      <c r="M38" s="4"/>
      <c r="N38" s="4"/>
    </row>
    <row r="39" spans="1:14" ht="18" customHeight="1">
      <c r="A39" s="4"/>
      <c r="B39" s="1598"/>
      <c r="C39" s="1598"/>
      <c r="D39" s="1598"/>
      <c r="E39" s="1598"/>
      <c r="F39" s="1598"/>
      <c r="G39" s="1598"/>
      <c r="H39" s="1598"/>
      <c r="I39" s="1598"/>
      <c r="J39" s="4"/>
      <c r="K39" s="4"/>
      <c r="L39" s="4"/>
      <c r="M39" s="4"/>
      <c r="N39" s="4"/>
    </row>
    <row r="40" spans="1:14">
      <c r="A40" s="4"/>
      <c r="B40" s="1598"/>
      <c r="C40" s="1598"/>
      <c r="D40" s="1598"/>
      <c r="E40" s="1598"/>
      <c r="F40" s="1598"/>
      <c r="G40" s="1598"/>
      <c r="H40" s="1598"/>
      <c r="I40" s="1598"/>
      <c r="J40" s="4"/>
      <c r="K40" s="4"/>
      <c r="L40" s="4"/>
      <c r="M40" s="4"/>
      <c r="N40" s="4"/>
    </row>
    <row r="41" spans="1:14">
      <c r="A41" s="4"/>
      <c r="B41" s="1598"/>
      <c r="C41" s="1598"/>
      <c r="D41" s="1598"/>
      <c r="E41" s="1598"/>
      <c r="F41" s="1598"/>
      <c r="G41" s="1598"/>
      <c r="H41" s="1598"/>
      <c r="I41" s="1598"/>
      <c r="J41" s="4"/>
      <c r="K41" s="4"/>
      <c r="L41" s="4"/>
      <c r="M41" s="4"/>
      <c r="N41" s="4"/>
    </row>
    <row r="42" spans="1:14">
      <c r="A42" s="4"/>
      <c r="B42" s="1598"/>
      <c r="C42" s="1598"/>
      <c r="D42" s="1598"/>
      <c r="E42" s="1598"/>
      <c r="F42" s="1598"/>
      <c r="G42" s="1598"/>
      <c r="H42" s="1598"/>
      <c r="I42" s="1598"/>
      <c r="J42" s="4"/>
      <c r="K42" s="4"/>
      <c r="L42" s="4"/>
      <c r="M42" s="4"/>
      <c r="N42" s="4"/>
    </row>
    <row r="43" spans="1:14">
      <c r="A43" s="4"/>
      <c r="B43" s="1598"/>
      <c r="C43" s="1598"/>
      <c r="D43" s="1598"/>
      <c r="E43" s="1598"/>
      <c r="F43" s="1598"/>
      <c r="G43" s="1598"/>
      <c r="H43" s="1598"/>
      <c r="I43" s="1598"/>
      <c r="J43" s="4"/>
      <c r="K43" s="4"/>
      <c r="L43" s="4"/>
      <c r="M43" s="4"/>
      <c r="N43" s="4"/>
    </row>
    <row r="44" spans="1:14">
      <c r="A44" s="4"/>
      <c r="B44" s="1598"/>
      <c r="C44" s="1598"/>
      <c r="D44" s="1598"/>
      <c r="E44" s="1598"/>
      <c r="F44" s="1598"/>
      <c r="G44" s="1598"/>
      <c r="H44" s="1598"/>
      <c r="I44" s="1598"/>
      <c r="J44" s="4"/>
      <c r="K44" s="4"/>
      <c r="L44" s="4"/>
      <c r="M44" s="4"/>
      <c r="N44" s="4"/>
    </row>
  </sheetData>
  <mergeCells count="1">
    <mergeCell ref="A2:I2"/>
  </mergeCells>
  <pageMargins left="0.55118110236220474" right="0.59055118110236227" top="0.87" bottom="0.47244094488188981" header="0.55118110236220474" footer="0.51181102362204722"/>
  <pageSetup paperSize="9" scale="78" orientation="portrait" horizontalDpi="4294967292" verticalDpi="4294967292"/>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C56D8-096D-B140-8FCF-7350A12A4DCA}">
  <sheetPr>
    <pageSetUpPr fitToPage="1"/>
  </sheetPr>
  <dimension ref="A1:L48"/>
  <sheetViews>
    <sheetView topLeftCell="A21" zoomScaleNormal="100" workbookViewId="0">
      <selection activeCell="A40" sqref="A40"/>
    </sheetView>
  </sheetViews>
  <sheetFormatPr baseColWidth="10" defaultColWidth="11.3984375" defaultRowHeight="13"/>
  <cols>
    <col min="1" max="1" width="17.59765625" style="3" customWidth="1"/>
    <col min="2" max="7" width="18.3984375" style="283" customWidth="1"/>
    <col min="8" max="9" width="18.3984375" style="3" customWidth="1"/>
    <col min="10" max="10" width="18.3984375" customWidth="1"/>
    <col min="11" max="12" width="11.796875" style="3" customWidth="1"/>
    <col min="13" max="13" width="11.3984375" style="3"/>
    <col min="14" max="14" width="8.3984375" style="3" customWidth="1"/>
    <col min="15" max="16384" width="11.3984375" style="3"/>
  </cols>
  <sheetData>
    <row r="1" spans="1:12" s="2" customFormat="1" ht="15.75" customHeight="1">
      <c r="A1" s="272"/>
      <c r="B1" s="1577"/>
      <c r="C1" s="1577"/>
      <c r="D1" s="1577"/>
      <c r="E1" s="1577"/>
      <c r="F1" s="1577"/>
      <c r="G1" s="1577"/>
      <c r="H1" s="272"/>
      <c r="J1"/>
      <c r="K1"/>
    </row>
    <row r="2" spans="1:12" s="2" customFormat="1" ht="29.25" customHeight="1">
      <c r="A2" s="1656" t="s">
        <v>2278</v>
      </c>
      <c r="B2" s="1712"/>
      <c r="C2" s="1712"/>
      <c r="D2" s="1712"/>
      <c r="E2" s="1712"/>
      <c r="F2" s="1712"/>
      <c r="G2" s="1712"/>
      <c r="H2" s="1712"/>
      <c r="I2" s="1712"/>
      <c r="J2" s="1712"/>
      <c r="K2" s="1713"/>
      <c r="L2" s="277"/>
    </row>
    <row r="3" spans="1:12" ht="24.75" customHeight="1">
      <c r="A3" s="109" t="s">
        <v>241</v>
      </c>
      <c r="B3" s="1209" t="s">
        <v>1472</v>
      </c>
      <c r="C3" s="1714" t="s">
        <v>2279</v>
      </c>
      <c r="D3" s="1715"/>
      <c r="E3" s="1716"/>
      <c r="F3" s="1716"/>
      <c r="G3" s="1717" t="s">
        <v>2280</v>
      </c>
      <c r="H3" s="1718"/>
      <c r="I3" s="1719"/>
      <c r="J3" s="1719"/>
      <c r="K3" s="131"/>
      <c r="L3" s="131"/>
    </row>
    <row r="4" spans="1:12" ht="20.25" customHeight="1">
      <c r="A4" s="112"/>
      <c r="B4" s="426" t="s">
        <v>1485</v>
      </c>
      <c r="C4" s="1720"/>
      <c r="D4" s="143"/>
      <c r="E4" s="114"/>
      <c r="F4" s="113"/>
      <c r="G4" s="1720"/>
      <c r="H4" s="143"/>
      <c r="I4" s="114"/>
      <c r="J4" s="113"/>
    </row>
    <row r="5" spans="1:12" s="266" customFormat="1" ht="15" customHeight="1">
      <c r="A5" s="1721"/>
      <c r="B5" s="426" t="s">
        <v>2281</v>
      </c>
      <c r="C5" s="1722" t="s">
        <v>520</v>
      </c>
      <c r="D5" s="113" t="s">
        <v>520</v>
      </c>
      <c r="E5" s="114" t="s">
        <v>520</v>
      </c>
      <c r="F5" s="426" t="s">
        <v>2282</v>
      </c>
      <c r="G5" s="1722" t="s">
        <v>520</v>
      </c>
      <c r="H5" s="113" t="s">
        <v>520</v>
      </c>
      <c r="I5" s="114" t="s">
        <v>520</v>
      </c>
      <c r="J5" s="426" t="s">
        <v>2282</v>
      </c>
    </row>
    <row r="6" spans="1:12" s="266" customFormat="1" ht="18" customHeight="1">
      <c r="A6" s="1721"/>
      <c r="B6" s="426" t="s">
        <v>2283</v>
      </c>
      <c r="C6" s="1722" t="s">
        <v>2239</v>
      </c>
      <c r="D6" s="143" t="s">
        <v>2240</v>
      </c>
      <c r="E6" s="114" t="s">
        <v>2241</v>
      </c>
      <c r="F6" s="426" t="s">
        <v>2284</v>
      </c>
      <c r="G6" s="1722" t="s">
        <v>2239</v>
      </c>
      <c r="H6" s="143" t="s">
        <v>2240</v>
      </c>
      <c r="I6" s="114" t="s">
        <v>2241</v>
      </c>
      <c r="J6" s="426" t="s">
        <v>2284</v>
      </c>
    </row>
    <row r="7" spans="1:12" s="266" customFormat="1" ht="18" customHeight="1">
      <c r="A7" s="1721"/>
      <c r="B7" s="1723"/>
      <c r="C7" s="1722" t="s">
        <v>2285</v>
      </c>
      <c r="D7" s="1724"/>
      <c r="E7" s="1725"/>
      <c r="F7" s="426"/>
      <c r="G7" s="1722" t="s">
        <v>2285</v>
      </c>
      <c r="H7" s="1724"/>
      <c r="I7" s="1725"/>
      <c r="J7" s="1659"/>
    </row>
    <row r="8" spans="1:12" s="266" customFormat="1" ht="23.25" customHeight="1">
      <c r="A8" s="1721"/>
      <c r="B8" s="426"/>
      <c r="C8" s="1726"/>
      <c r="D8" s="426"/>
      <c r="E8" s="427"/>
      <c r="F8" s="426"/>
      <c r="G8" s="1722"/>
      <c r="H8" s="426"/>
      <c r="I8" s="427"/>
      <c r="J8" s="426"/>
    </row>
    <row r="9" spans="1:12" ht="1.25" customHeight="1" thickBot="1">
      <c r="A9" s="1727">
        <v>1996</v>
      </c>
      <c r="B9" s="1728">
        <v>7194754</v>
      </c>
      <c r="C9" s="1729" t="s">
        <v>29</v>
      </c>
      <c r="D9" s="1730">
        <v>0.18782351696805755</v>
      </c>
      <c r="E9" s="1731">
        <v>0.10061414191506757</v>
      </c>
      <c r="F9" s="1730" t="s">
        <v>29</v>
      </c>
      <c r="G9" s="1729" t="s">
        <v>29</v>
      </c>
      <c r="H9" s="1730" t="s">
        <v>29</v>
      </c>
      <c r="I9" s="1731" t="s">
        <v>29</v>
      </c>
      <c r="J9" s="1730" t="s">
        <v>29</v>
      </c>
    </row>
    <row r="10" spans="1:12" ht="22.5" hidden="1" customHeight="1" thickBot="1">
      <c r="A10" s="1727">
        <v>1997</v>
      </c>
      <c r="B10" s="1728">
        <v>7214805</v>
      </c>
      <c r="C10" s="1729" t="s">
        <v>29</v>
      </c>
      <c r="D10" s="1730">
        <v>0.17122098241047401</v>
      </c>
      <c r="E10" s="1731">
        <v>8.6709897218289339E-2</v>
      </c>
      <c r="F10" s="1730" t="s">
        <v>29</v>
      </c>
      <c r="G10" s="1729" t="s">
        <v>29</v>
      </c>
      <c r="H10" s="1730" t="s">
        <v>29</v>
      </c>
      <c r="I10" s="1731" t="s">
        <v>29</v>
      </c>
      <c r="J10" s="1730" t="s">
        <v>29</v>
      </c>
    </row>
    <row r="11" spans="1:12" ht="0.75" hidden="1" customHeight="1" thickBot="1">
      <c r="A11" s="1727">
        <v>1998</v>
      </c>
      <c r="B11" s="1728">
        <v>7248603</v>
      </c>
      <c r="C11" s="1729" t="s">
        <v>29</v>
      </c>
      <c r="D11" s="1730">
        <v>0.16889778623549945</v>
      </c>
      <c r="E11" s="1731">
        <v>8.0429428953413512E-2</v>
      </c>
      <c r="F11" s="1730" t="s">
        <v>29</v>
      </c>
      <c r="G11" s="1729" t="s">
        <v>29</v>
      </c>
      <c r="H11" s="1730" t="s">
        <v>29</v>
      </c>
      <c r="I11" s="1731" t="s">
        <v>29</v>
      </c>
      <c r="J11" s="1730" t="s">
        <v>29</v>
      </c>
    </row>
    <row r="12" spans="1:12" ht="0.5" hidden="1" customHeight="1" thickBot="1">
      <c r="A12" s="147">
        <v>1999</v>
      </c>
      <c r="B12" s="1728">
        <v>7266534</v>
      </c>
      <c r="C12" s="1729" t="s">
        <v>29</v>
      </c>
      <c r="D12" s="1730">
        <v>0.15472314586293823</v>
      </c>
      <c r="E12" s="1731">
        <v>7.4331173569132131E-2</v>
      </c>
      <c r="F12" s="1730" t="s">
        <v>29</v>
      </c>
      <c r="G12" s="1729" t="s">
        <v>29</v>
      </c>
      <c r="H12" s="1730" t="s">
        <v>29</v>
      </c>
      <c r="I12" s="1731" t="s">
        <v>29</v>
      </c>
      <c r="J12" s="1730" t="s">
        <v>29</v>
      </c>
    </row>
    <row r="13" spans="1:12" ht="22.25" hidden="1" customHeight="1" thickBot="1">
      <c r="A13" s="147">
        <v>2000</v>
      </c>
      <c r="B13" s="1728">
        <v>7268111</v>
      </c>
      <c r="C13" s="1729" t="s">
        <v>29</v>
      </c>
      <c r="D13" s="1730">
        <v>0.12321647261578696</v>
      </c>
      <c r="E13" s="1731">
        <v>6.2163057223534421E-2</v>
      </c>
      <c r="F13" s="1730" t="s">
        <v>29</v>
      </c>
      <c r="G13" s="1729" t="s">
        <v>29</v>
      </c>
      <c r="H13" s="1730" t="s">
        <v>29</v>
      </c>
      <c r="I13" s="1731" t="s">
        <v>29</v>
      </c>
      <c r="J13" s="1730" t="s">
        <v>29</v>
      </c>
    </row>
    <row r="14" spans="1:12" ht="22.5" hidden="1" customHeight="1" thickBot="1">
      <c r="A14" s="147">
        <v>2001</v>
      </c>
      <c r="B14" s="1728">
        <v>7321287</v>
      </c>
      <c r="C14" s="1729" t="s">
        <v>29</v>
      </c>
      <c r="D14" s="1730">
        <v>0.11914653803354519</v>
      </c>
      <c r="E14" s="1731">
        <v>6.1670168100226096E-2</v>
      </c>
      <c r="F14" s="1730" t="s">
        <v>29</v>
      </c>
      <c r="G14" s="1729" t="s">
        <v>29</v>
      </c>
      <c r="H14" s="1730" t="s">
        <v>29</v>
      </c>
      <c r="I14" s="1731" t="s">
        <v>29</v>
      </c>
      <c r="J14" s="1730" t="s">
        <v>29</v>
      </c>
    </row>
    <row r="15" spans="1:12" ht="22.5" customHeight="1" thickBot="1">
      <c r="A15" s="147">
        <v>2002</v>
      </c>
      <c r="B15" s="1728">
        <v>7359365</v>
      </c>
      <c r="C15" s="1729">
        <v>0.41612068432534599</v>
      </c>
      <c r="D15" s="1730">
        <v>0.10741619691372829</v>
      </c>
      <c r="E15" s="1731">
        <v>5.1274804279988831E-2</v>
      </c>
      <c r="F15" s="1730" t="s">
        <v>29</v>
      </c>
      <c r="G15" s="1729" t="s">
        <v>29</v>
      </c>
      <c r="H15" s="1730" t="s">
        <v>29</v>
      </c>
      <c r="I15" s="1731" t="s">
        <v>29</v>
      </c>
      <c r="J15" s="1730" t="s">
        <v>29</v>
      </c>
    </row>
    <row r="16" spans="1:12" ht="22.5" customHeight="1" thickBot="1">
      <c r="A16" s="147">
        <v>2003</v>
      </c>
      <c r="B16" s="1728">
        <v>7393188</v>
      </c>
      <c r="C16" s="1729">
        <v>0.40096288637594502</v>
      </c>
      <c r="D16" s="1730">
        <v>0.10284683684494429</v>
      </c>
      <c r="E16" s="1731">
        <v>4.5843416940026416E-2</v>
      </c>
      <c r="F16" s="1730" t="s">
        <v>29</v>
      </c>
      <c r="G16" s="1729" t="s">
        <v>29</v>
      </c>
      <c r="H16" s="1730" t="s">
        <v>29</v>
      </c>
      <c r="I16" s="1731" t="s">
        <v>29</v>
      </c>
      <c r="J16" s="1730" t="s">
        <v>29</v>
      </c>
    </row>
    <row r="17" spans="1:11" ht="22.5" customHeight="1" thickBot="1">
      <c r="A17" s="147">
        <v>2004</v>
      </c>
      <c r="B17" s="1728">
        <v>7419974</v>
      </c>
      <c r="C17" s="1729">
        <v>0.41515172425132485</v>
      </c>
      <c r="D17" s="1730">
        <v>8.8858128074303225E-2</v>
      </c>
      <c r="E17" s="1731">
        <v>3.8901214478649117E-2</v>
      </c>
      <c r="F17" s="1730" t="s">
        <v>29</v>
      </c>
      <c r="G17" s="1729" t="s">
        <v>29</v>
      </c>
      <c r="H17" s="1730" t="s">
        <v>29</v>
      </c>
      <c r="I17" s="1731" t="s">
        <v>29</v>
      </c>
      <c r="J17" s="1730" t="s">
        <v>29</v>
      </c>
    </row>
    <row r="18" spans="1:11" ht="22.5" customHeight="1" thickBot="1">
      <c r="A18" s="147">
        <v>2005</v>
      </c>
      <c r="B18" s="1728">
        <v>7458475</v>
      </c>
      <c r="C18" s="1729">
        <v>0.40559658643355379</v>
      </c>
      <c r="D18" s="1730">
        <v>8.7504349079402965E-2</v>
      </c>
      <c r="E18" s="1731">
        <v>3.6415889307130481E-2</v>
      </c>
      <c r="F18" s="1730" t="s">
        <v>29</v>
      </c>
      <c r="G18" s="1729" t="s">
        <v>29</v>
      </c>
      <c r="H18" s="1730" t="s">
        <v>29</v>
      </c>
      <c r="I18" s="1731" t="s">
        <v>29</v>
      </c>
      <c r="J18" s="1730" t="s">
        <v>29</v>
      </c>
    </row>
    <row r="19" spans="1:11" ht="22.5" customHeight="1" thickBot="1">
      <c r="A19" s="147">
        <v>2006</v>
      </c>
      <c r="B19" s="1728">
        <v>7507545</v>
      </c>
      <c r="C19" s="1729">
        <v>0.35229745542650759</v>
      </c>
      <c r="D19" s="1730">
        <v>8.0637811694768399E-2</v>
      </c>
      <c r="E19" s="1731">
        <v>3.4424568883702995E-2</v>
      </c>
      <c r="F19" s="1730">
        <v>1.1072461104129246E-2</v>
      </c>
      <c r="G19" s="1729">
        <v>2.8267829230460822E-2</v>
      </c>
      <c r="H19" s="1730">
        <v>7.3543348724516471E-3</v>
      </c>
      <c r="I19" s="1731">
        <v>3.3165302372479954E-3</v>
      </c>
      <c r="J19" s="1730">
        <v>8.6433048353356525E-4</v>
      </c>
    </row>
    <row r="20" spans="1:11" ht="22.5" customHeight="1" thickBot="1">
      <c r="A20" s="147">
        <v>2007</v>
      </c>
      <c r="B20" s="1728">
        <v>7577132</v>
      </c>
      <c r="C20" s="1729">
        <v>0.34950084015957489</v>
      </c>
      <c r="D20" s="1730">
        <v>7.9577602713005402E-2</v>
      </c>
      <c r="E20" s="1731">
        <v>3.4038868532315393E-2</v>
      </c>
      <c r="F20" s="1730">
        <v>2.0345824779085281E-2</v>
      </c>
      <c r="G20" s="1729">
        <v>3.0507453215807775E-2</v>
      </c>
      <c r="H20" s="1730">
        <v>7.6386421669834975E-3</v>
      </c>
      <c r="I20" s="1731">
        <v>4.5006474745325807E-3</v>
      </c>
      <c r="J20" s="1730">
        <v>4.7718582703851539E-3</v>
      </c>
    </row>
    <row r="21" spans="1:11" ht="22.5" customHeight="1" thickBot="1">
      <c r="A21" s="147">
        <v>2008</v>
      </c>
      <c r="B21" s="1728">
        <v>7669611</v>
      </c>
      <c r="C21" s="1729">
        <v>0.32124333294087537</v>
      </c>
      <c r="D21" s="1730">
        <v>7.2603422781155391E-2</v>
      </c>
      <c r="E21" s="1731">
        <v>3.1619807054099613E-2</v>
      </c>
      <c r="F21" s="1730">
        <v>1.5602015538988875E-2</v>
      </c>
      <c r="G21" s="1729">
        <v>3.4330945858922962E-2</v>
      </c>
      <c r="H21" s="1730">
        <v>7.8339044835520344E-3</v>
      </c>
      <c r="I21" s="1731">
        <v>4.7705157406288268E-3</v>
      </c>
      <c r="J21" s="1730">
        <v>5.1662333330856026E-3</v>
      </c>
    </row>
    <row r="22" spans="1:11" ht="22.5" customHeight="1" thickBot="1">
      <c r="A22" s="147">
        <v>2009</v>
      </c>
      <c r="B22" s="1728">
        <v>7748921.9299999997</v>
      </c>
      <c r="C22" s="1732">
        <v>0.31741512202846522</v>
      </c>
      <c r="D22" s="1733">
        <v>7.1110407999684155E-2</v>
      </c>
      <c r="E22" s="1734">
        <v>3.0618710853368994E-2</v>
      </c>
      <c r="F22" s="1733">
        <v>2.0811540167368806E-2</v>
      </c>
      <c r="G22" s="1732">
        <v>4.2848928276658996E-2</v>
      </c>
      <c r="H22" s="1733">
        <v>9.3020681652421812E-3</v>
      </c>
      <c r="I22" s="1734">
        <v>5.3513250455473364E-3</v>
      </c>
      <c r="J22" s="1730">
        <v>6.1051073203934065E-3</v>
      </c>
    </row>
    <row r="23" spans="1:11" ht="22.5" customHeight="1" thickBot="1">
      <c r="A23" s="147">
        <v>2010</v>
      </c>
      <c r="B23" s="1728">
        <v>7822633</v>
      </c>
      <c r="C23" s="1735">
        <v>0.31214197444773389</v>
      </c>
      <c r="D23" s="1736">
        <v>6.8765860548487948E-2</v>
      </c>
      <c r="E23" s="1737">
        <v>2.9352490395497272E-2</v>
      </c>
      <c r="F23" s="1736">
        <v>2.729913061241656E-2</v>
      </c>
      <c r="G23" s="1735">
        <v>4.9063747462011829E-2</v>
      </c>
      <c r="H23" s="1736">
        <v>1.1165858094071395E-2</v>
      </c>
      <c r="I23" s="1737">
        <v>5.153749383359797E-3</v>
      </c>
      <c r="J23" s="1730">
        <v>9.7869093436954019E-3</v>
      </c>
    </row>
    <row r="24" spans="1:11" ht="22.5" customHeight="1" thickBot="1">
      <c r="A24" s="147">
        <v>2011</v>
      </c>
      <c r="B24" s="1728">
        <v>7907019.0999999996</v>
      </c>
      <c r="C24" s="1735">
        <v>0.29312185802105878</v>
      </c>
      <c r="D24" s="1736">
        <v>6.5631617103340506E-2</v>
      </c>
      <c r="E24" s="1737">
        <v>2.7667165999384017E-2</v>
      </c>
      <c r="F24" s="1736">
        <v>3.3288772503407761E-2</v>
      </c>
      <c r="G24" s="1735">
        <v>5.8352776712022873E-2</v>
      </c>
      <c r="H24" s="1736">
        <v>1.7299736888203548E-2</v>
      </c>
      <c r="I24" s="1737">
        <v>8.6689521212867712E-3</v>
      </c>
      <c r="J24" s="1730">
        <v>1.1379309808420723E-2</v>
      </c>
    </row>
    <row r="25" spans="1:11" s="411" customFormat="1" ht="29.25" customHeight="1" thickBot="1">
      <c r="A25" s="150">
        <v>2012</v>
      </c>
      <c r="B25" s="353">
        <v>7999269</v>
      </c>
      <c r="C25" s="1738">
        <v>0.30916440739772594</v>
      </c>
      <c r="D25" s="1739">
        <v>7.478918761201804E-2</v>
      </c>
      <c r="E25" s="1740">
        <v>3.2788077260559684E-2</v>
      </c>
      <c r="F25" s="1739">
        <v>4.2797608131443003E-2</v>
      </c>
      <c r="G25" s="1738">
        <v>5.2014575331820946E-2</v>
      </c>
      <c r="H25" s="1739">
        <v>1.0883048188528225E-2</v>
      </c>
      <c r="I25" s="1741">
        <v>3.630915524906088E-3</v>
      </c>
      <c r="J25" s="691">
        <v>5.2357959208522683E-3</v>
      </c>
      <c r="K25" s="1650"/>
    </row>
    <row r="26" spans="1:11" ht="20" customHeight="1">
      <c r="A26" s="1585" t="s">
        <v>396</v>
      </c>
      <c r="B26" s="1586"/>
      <c r="C26" s="1586"/>
      <c r="D26" s="1586"/>
      <c r="E26" s="1586"/>
      <c r="F26" s="1586"/>
      <c r="G26" s="1586"/>
      <c r="H26" s="1586"/>
      <c r="J26" s="154"/>
    </row>
    <row r="27" spans="1:11" ht="13.5" customHeight="1">
      <c r="A27" s="1588"/>
      <c r="B27" s="1597"/>
      <c r="C27" s="1597"/>
      <c r="D27" s="1597"/>
      <c r="E27" s="1597"/>
      <c r="F27" s="1597"/>
      <c r="G27" s="1597"/>
      <c r="H27" s="1597"/>
    </row>
    <row r="28" spans="1:11" ht="12.75" customHeight="1">
      <c r="A28" s="1588" t="s">
        <v>2286</v>
      </c>
      <c r="B28" s="1597"/>
      <c r="C28" s="1597"/>
      <c r="D28" s="1597"/>
      <c r="E28" s="1597"/>
      <c r="F28" s="1597"/>
      <c r="G28" s="1597"/>
      <c r="H28" s="1597"/>
    </row>
    <row r="29" spans="1:11" ht="12.75" customHeight="1">
      <c r="A29" s="1588" t="s">
        <v>2287</v>
      </c>
      <c r="B29" s="1597"/>
      <c r="C29" s="1597"/>
      <c r="D29" s="1597"/>
      <c r="E29" s="1597"/>
      <c r="F29" s="1597"/>
      <c r="G29" s="1597"/>
      <c r="H29" s="1597"/>
    </row>
    <row r="30" spans="1:11" ht="12.75" customHeight="1">
      <c r="A30" s="1588" t="s">
        <v>2288</v>
      </c>
      <c r="B30" s="1597"/>
      <c r="C30" s="1597"/>
      <c r="D30" s="1597"/>
      <c r="E30" s="1597"/>
      <c r="F30" s="1597"/>
      <c r="G30" s="1597"/>
      <c r="H30" s="1597"/>
    </row>
    <row r="31" spans="1:11" ht="12.75" customHeight="1">
      <c r="A31" s="1742" t="s">
        <v>2289</v>
      </c>
      <c r="B31" s="1597"/>
      <c r="C31" s="1597"/>
      <c r="D31" s="1597"/>
      <c r="E31" s="1597"/>
      <c r="F31" s="1597"/>
      <c r="G31" s="1597"/>
      <c r="H31" s="1597"/>
    </row>
    <row r="32" spans="1:11" ht="12.75" customHeight="1">
      <c r="A32" s="3" t="s">
        <v>2290</v>
      </c>
      <c r="B32" s="1597"/>
      <c r="C32" s="1597"/>
      <c r="D32" s="1597"/>
      <c r="E32" s="1597"/>
      <c r="F32" s="1597"/>
      <c r="G32" s="1597"/>
      <c r="H32" s="1597"/>
    </row>
    <row r="33" spans="1:8" ht="13.5" customHeight="1">
      <c r="A33" s="1587" t="s">
        <v>2291</v>
      </c>
      <c r="B33" s="1597"/>
      <c r="C33" s="1597"/>
      <c r="D33" s="1597"/>
      <c r="E33" s="1597"/>
      <c r="F33" s="1597"/>
      <c r="G33" s="1597"/>
      <c r="H33" s="1597"/>
    </row>
    <row r="34" spans="1:8" ht="13.5" customHeight="1">
      <c r="A34" s="3" t="s">
        <v>2292</v>
      </c>
      <c r="B34" s="1597"/>
      <c r="C34" s="1597"/>
      <c r="D34" s="1597"/>
      <c r="E34" s="1597"/>
      <c r="F34" s="1597"/>
      <c r="G34" s="1597"/>
      <c r="H34" s="1597"/>
    </row>
    <row r="35" spans="1:8" ht="13.5" customHeight="1">
      <c r="A35" s="1588" t="s">
        <v>2293</v>
      </c>
      <c r="B35" s="1597"/>
      <c r="C35" s="1597"/>
      <c r="D35" s="1597"/>
      <c r="E35" s="1597"/>
      <c r="F35" s="1597"/>
      <c r="G35" s="1597"/>
      <c r="H35" s="1597"/>
    </row>
    <row r="36" spans="1:8" ht="13.5" customHeight="1">
      <c r="A36" s="1587" t="s">
        <v>2294</v>
      </c>
      <c r="B36" s="1597"/>
      <c r="C36" s="1597"/>
      <c r="D36" s="1597"/>
      <c r="E36" s="1597"/>
      <c r="F36" s="1597"/>
      <c r="G36" s="1597"/>
      <c r="H36" s="1597"/>
    </row>
    <row r="37" spans="1:8" ht="13.5" customHeight="1">
      <c r="A37" s="4" t="s">
        <v>2295</v>
      </c>
      <c r="B37" s="1597"/>
      <c r="C37" s="1597"/>
      <c r="D37" s="1597"/>
      <c r="E37" s="1597"/>
      <c r="F37" s="1597"/>
      <c r="G37" s="1597"/>
      <c r="H37" s="1597"/>
    </row>
    <row r="38" spans="1:8" ht="13.5" customHeight="1">
      <c r="A38" s="4" t="s">
        <v>2296</v>
      </c>
      <c r="B38" s="1597"/>
      <c r="C38" s="1597"/>
      <c r="D38" s="1597"/>
      <c r="E38" s="1597"/>
      <c r="F38" s="1597"/>
      <c r="G38" s="1597"/>
      <c r="H38" s="1597"/>
    </row>
    <row r="39" spans="1:8" ht="13.5" customHeight="1">
      <c r="A39" s="1743" t="s">
        <v>2297</v>
      </c>
      <c r="B39" s="1597"/>
      <c r="C39" s="1597"/>
      <c r="D39" s="1597"/>
      <c r="E39" s="1597"/>
      <c r="F39" s="1597"/>
      <c r="G39" s="1597"/>
      <c r="H39" s="1597"/>
    </row>
    <row r="40" spans="1:8" ht="13.5" customHeight="1">
      <c r="A40" s="947" t="s">
        <v>2298</v>
      </c>
      <c r="B40" s="1597"/>
      <c r="C40" s="1597"/>
      <c r="D40" s="1597"/>
      <c r="E40" s="1597"/>
      <c r="F40" s="1597"/>
      <c r="G40" s="1597"/>
      <c r="H40" s="1597"/>
    </row>
    <row r="41" spans="1:8" ht="13.5" customHeight="1">
      <c r="A41" s="1743" t="s">
        <v>2299</v>
      </c>
      <c r="B41" s="1597"/>
      <c r="C41" s="1597"/>
      <c r="D41" s="1597"/>
      <c r="E41" s="1597"/>
      <c r="F41" s="1597"/>
      <c r="G41" s="1597"/>
      <c r="H41" s="1597"/>
    </row>
    <row r="42" spans="1:8" ht="13.5" customHeight="1">
      <c r="A42" s="1743" t="s">
        <v>2300</v>
      </c>
      <c r="B42" s="1597"/>
      <c r="C42" s="1597"/>
      <c r="D42" s="1597"/>
      <c r="E42" s="1597"/>
      <c r="F42" s="1597"/>
      <c r="G42" s="1597"/>
      <c r="H42" s="1597"/>
    </row>
    <row r="43" spans="1:8" ht="13.5" customHeight="1">
      <c r="A43" s="1743" t="s">
        <v>2301</v>
      </c>
      <c r="B43" s="1597"/>
      <c r="C43" s="1597"/>
      <c r="D43" s="1597"/>
      <c r="E43" s="1597"/>
      <c r="F43" s="1597"/>
      <c r="G43" s="1597"/>
      <c r="H43" s="1597"/>
    </row>
    <row r="44" spans="1:8" ht="12.75" customHeight="1">
      <c r="B44" s="1597"/>
      <c r="C44" s="1597"/>
      <c r="D44" s="1597"/>
      <c r="E44" s="1597"/>
      <c r="F44" s="1597"/>
      <c r="G44" s="1597"/>
      <c r="H44" s="4"/>
    </row>
    <row r="45" spans="1:8" ht="15" customHeight="1">
      <c r="A45" s="841"/>
      <c r="B45" s="1598"/>
      <c r="C45" s="1598"/>
      <c r="D45" s="1598"/>
      <c r="E45" s="1598"/>
      <c r="F45" s="1598"/>
      <c r="G45" s="1598"/>
      <c r="H45" s="4"/>
    </row>
    <row r="46" spans="1:8" ht="15" customHeight="1">
      <c r="A46" s="409" t="s">
        <v>395</v>
      </c>
      <c r="B46" s="1598"/>
      <c r="C46" s="1598"/>
      <c r="D46" s="1598"/>
      <c r="E46" s="1598"/>
      <c r="F46" s="1598"/>
      <c r="G46" s="1598"/>
      <c r="H46" s="4"/>
    </row>
    <row r="47" spans="1:8" ht="15" customHeight="1">
      <c r="A47" s="409"/>
      <c r="B47" s="1598"/>
      <c r="C47" s="1598"/>
      <c r="D47" s="1598"/>
      <c r="E47" s="1598"/>
      <c r="F47" s="1598"/>
      <c r="G47" s="1598"/>
      <c r="H47" s="4"/>
    </row>
    <row r="48" spans="1:8" ht="15" customHeight="1">
      <c r="A48" s="409"/>
      <c r="B48" s="1598"/>
      <c r="C48" s="1598"/>
      <c r="D48" s="1598"/>
      <c r="E48" s="1598"/>
      <c r="F48" s="1598"/>
      <c r="G48" s="1598"/>
      <c r="H48" s="4"/>
    </row>
  </sheetData>
  <pageMargins left="0.39370078740157483" right="0.27559055118110237" top="0.70866141732283472" bottom="0.47244094488188981" header="0.51181102362204722" footer="0.51181102362204722"/>
  <pageSetup paperSize="9" scale="72" orientation="landscape"/>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3BBA-6C85-F543-9C4C-72BD0EF10B92}">
  <sheetPr>
    <pageSetUpPr fitToPage="1"/>
  </sheetPr>
  <dimension ref="A1:K62"/>
  <sheetViews>
    <sheetView topLeftCell="A20" zoomScaleNormal="100" workbookViewId="0">
      <selection activeCell="A30" sqref="A30:IV30"/>
    </sheetView>
  </sheetViews>
  <sheetFormatPr baseColWidth="10" defaultColWidth="11.3984375" defaultRowHeight="13"/>
  <cols>
    <col min="1" max="1" width="12.3984375" style="3" customWidth="1"/>
    <col min="2" max="2" width="13.3984375" style="283" customWidth="1"/>
    <col min="3" max="3" width="12.59765625" style="283" customWidth="1"/>
    <col min="4" max="4" width="14" style="283" customWidth="1"/>
    <col min="5" max="5" width="13.3984375" style="283" customWidth="1"/>
    <col min="6" max="6" width="13.59765625" style="283" customWidth="1"/>
    <col min="7" max="7" width="13.19921875" style="283" customWidth="1"/>
    <col min="8" max="8" width="14" style="283" customWidth="1"/>
    <col min="9" max="9" width="13.59765625" style="283" customWidth="1"/>
    <col min="10" max="16384" width="11.3984375" style="3"/>
  </cols>
  <sheetData>
    <row r="1" spans="1:9" s="2" customFormat="1" ht="14" customHeight="1">
      <c r="A1" s="272"/>
      <c r="B1" s="1577"/>
      <c r="C1" s="1577"/>
      <c r="D1" s="1577"/>
      <c r="E1" s="1577"/>
      <c r="F1" s="1577"/>
      <c r="G1" s="1577"/>
      <c r="H1" s="1577"/>
      <c r="I1" s="1577"/>
    </row>
    <row r="2" spans="1:9" s="2" customFormat="1" ht="25.25" customHeight="1">
      <c r="A2" s="461" t="s">
        <v>2254</v>
      </c>
      <c r="B2" s="1601"/>
      <c r="C2" s="1601"/>
      <c r="D2" s="1601"/>
      <c r="E2" s="1601"/>
      <c r="F2" s="1601"/>
      <c r="G2" s="1601"/>
      <c r="H2" s="1601"/>
      <c r="I2" s="140"/>
    </row>
    <row r="3" spans="1:9" s="1704" customFormat="1" ht="64.25" customHeight="1">
      <c r="A3" s="1701" t="s">
        <v>241</v>
      </c>
      <c r="B3" s="1702" t="s">
        <v>521</v>
      </c>
      <c r="C3" s="1703" t="s">
        <v>2255</v>
      </c>
      <c r="D3" s="1702" t="s">
        <v>2256</v>
      </c>
      <c r="E3" s="1703" t="s">
        <v>2257</v>
      </c>
      <c r="F3" s="1702" t="s">
        <v>2258</v>
      </c>
      <c r="G3" s="1703" t="s">
        <v>2259</v>
      </c>
      <c r="H3" s="1702" t="s">
        <v>2260</v>
      </c>
      <c r="I3" s="1703" t="s">
        <v>2261</v>
      </c>
    </row>
    <row r="4" spans="1:9" ht="12" customHeight="1">
      <c r="A4" s="116"/>
      <c r="B4" s="117"/>
      <c r="C4" s="118"/>
      <c r="D4" s="117"/>
      <c r="E4" s="118" t="s">
        <v>626</v>
      </c>
      <c r="F4" s="117"/>
      <c r="G4" s="118"/>
      <c r="H4" s="117"/>
      <c r="I4" s="118"/>
    </row>
    <row r="5" spans="1:9" ht="1.5" customHeight="1" thickBot="1">
      <c r="A5" s="144">
        <v>1996</v>
      </c>
      <c r="B5" s="121">
        <v>100</v>
      </c>
      <c r="C5" s="122">
        <v>100</v>
      </c>
      <c r="D5" s="121">
        <v>100</v>
      </c>
      <c r="E5" s="122">
        <v>100</v>
      </c>
      <c r="F5" s="121">
        <v>100</v>
      </c>
      <c r="G5" s="122">
        <v>100</v>
      </c>
      <c r="H5" s="121">
        <v>100</v>
      </c>
      <c r="I5" s="122">
        <v>100</v>
      </c>
    </row>
    <row r="6" spans="1:9" ht="18" hidden="1" customHeight="1" thickBot="1">
      <c r="A6" s="147">
        <v>1997</v>
      </c>
      <c r="B6" s="124">
        <v>99.603751768772071</v>
      </c>
      <c r="C6" s="125">
        <v>100.38008221695314</v>
      </c>
      <c r="D6" s="124">
        <v>100.54808570359472</v>
      </c>
      <c r="E6" s="125">
        <v>101.42789940293106</v>
      </c>
      <c r="F6" s="124">
        <v>99.259050938587137</v>
      </c>
      <c r="G6" s="125">
        <v>99.621819781936267</v>
      </c>
      <c r="H6" s="124">
        <v>100.76095634245317</v>
      </c>
      <c r="I6" s="125">
        <v>100.52020451848172</v>
      </c>
    </row>
    <row r="7" spans="1:9" ht="18.75" hidden="1" customHeight="1" thickBot="1">
      <c r="A7" s="147">
        <v>1998</v>
      </c>
      <c r="B7" s="124">
        <v>96.927242504783251</v>
      </c>
      <c r="C7" s="125">
        <v>100.33490779124649</v>
      </c>
      <c r="D7" s="124">
        <v>101.27038445552139</v>
      </c>
      <c r="E7" s="125">
        <v>102.99618303138374</v>
      </c>
      <c r="F7" s="124">
        <v>98.452579284674385</v>
      </c>
      <c r="G7" s="125">
        <v>100.44765774993816</v>
      </c>
      <c r="H7" s="124">
        <v>101.24816209588769</v>
      </c>
      <c r="I7" s="125">
        <v>100.538234878222</v>
      </c>
    </row>
    <row r="8" spans="1:9" ht="18.5" hidden="1" customHeight="1" thickBot="1">
      <c r="A8" s="147">
        <v>1999</v>
      </c>
      <c r="B8" s="124">
        <v>95.844672232466905</v>
      </c>
      <c r="C8" s="125">
        <v>100.33187275209576</v>
      </c>
      <c r="D8" s="124">
        <v>101.87444222283719</v>
      </c>
      <c r="E8" s="125">
        <v>104.14320934906627</v>
      </c>
      <c r="F8" s="124">
        <v>98.676778256833302</v>
      </c>
      <c r="G8" s="125">
        <v>98.097369567529682</v>
      </c>
      <c r="H8" s="124">
        <v>101.67388949401801</v>
      </c>
      <c r="I8" s="125">
        <v>101.34904536554785</v>
      </c>
    </row>
    <row r="9" spans="1:9" ht="0.5" customHeight="1" thickBot="1">
      <c r="A9" s="147">
        <v>2000</v>
      </c>
      <c r="B9" s="124">
        <v>96.254772438034038</v>
      </c>
      <c r="C9" s="125">
        <v>100.33187275209576</v>
      </c>
      <c r="D9" s="124">
        <v>103.57018844964638</v>
      </c>
      <c r="E9" s="125">
        <v>104.72011004030597</v>
      </c>
      <c r="F9" s="124">
        <v>98.363608314160032</v>
      </c>
      <c r="G9" s="125">
        <v>97.073589844089597</v>
      </c>
      <c r="H9" s="124">
        <v>102.16099312393871</v>
      </c>
      <c r="I9" s="125">
        <v>102.92856130382158</v>
      </c>
    </row>
    <row r="10" spans="1:9" ht="18.75" hidden="1" customHeight="1" thickBot="1">
      <c r="A10" s="147">
        <v>2001</v>
      </c>
      <c r="B10" s="124">
        <v>95.617677812696272</v>
      </c>
      <c r="C10" s="125">
        <v>100.39157021638326</v>
      </c>
      <c r="D10" s="124">
        <v>105.66882988327751</v>
      </c>
      <c r="E10" s="125">
        <v>105.48310266577438</v>
      </c>
      <c r="F10" s="124">
        <v>99.731930662678707</v>
      </c>
      <c r="G10" s="125">
        <v>97.957928816735219</v>
      </c>
      <c r="H10" s="124">
        <v>102.72634889630439</v>
      </c>
      <c r="I10" s="125">
        <v>103.94658841484843</v>
      </c>
    </row>
    <row r="11" spans="1:9" ht="18.75" customHeight="1" thickBot="1">
      <c r="A11" s="147">
        <v>2002</v>
      </c>
      <c r="B11" s="124">
        <v>92.551966547481953</v>
      </c>
      <c r="C11" s="125">
        <v>100.41926181326284</v>
      </c>
      <c r="D11" s="124">
        <v>106.79946557044345</v>
      </c>
      <c r="E11" s="125">
        <v>107.26502318301614</v>
      </c>
      <c r="F11" s="124">
        <v>100.07068960129637</v>
      </c>
      <c r="G11" s="125">
        <v>98.584756517798724</v>
      </c>
      <c r="H11" s="124">
        <v>103.14270646204406</v>
      </c>
      <c r="I11" s="125">
        <v>104.61466069154169</v>
      </c>
    </row>
    <row r="12" spans="1:9" ht="18.75" customHeight="1" thickBot="1">
      <c r="A12" s="147">
        <v>2003</v>
      </c>
      <c r="B12" s="124">
        <v>91.45775676895002</v>
      </c>
      <c r="C12" s="125">
        <v>100.41926181326284</v>
      </c>
      <c r="D12" s="124">
        <v>107.42707824790855</v>
      </c>
      <c r="E12" s="125">
        <v>109.53160933947478</v>
      </c>
      <c r="F12" s="124">
        <v>99.942646202359242</v>
      </c>
      <c r="G12" s="125">
        <v>101.42505436052258</v>
      </c>
      <c r="H12" s="124">
        <v>104.03822755450696</v>
      </c>
      <c r="I12" s="125">
        <v>105.28242519538023</v>
      </c>
    </row>
    <row r="13" spans="1:9" ht="18.75" customHeight="1" thickBot="1">
      <c r="A13" s="147">
        <v>2004</v>
      </c>
      <c r="B13" s="124">
        <v>91.277873491072683</v>
      </c>
      <c r="C13" s="125">
        <v>100.41926181326284</v>
      </c>
      <c r="D13" s="124">
        <v>108.0206930792616</v>
      </c>
      <c r="E13" s="125">
        <v>111.84653649880872</v>
      </c>
      <c r="F13" s="124">
        <v>99.616681761713792</v>
      </c>
      <c r="G13" s="125">
        <v>102.9912008077947</v>
      </c>
      <c r="H13" s="124">
        <v>105.00309051283621</v>
      </c>
      <c r="I13" s="125">
        <v>106.12777463640488</v>
      </c>
    </row>
    <row r="14" spans="1:9" ht="18.75" customHeight="1" thickBot="1">
      <c r="A14" s="147">
        <v>2005</v>
      </c>
      <c r="B14" s="124">
        <v>90.545065570821578</v>
      </c>
      <c r="C14" s="125">
        <v>100.41926181326284</v>
      </c>
      <c r="D14" s="124">
        <v>108.68924828481903</v>
      </c>
      <c r="E14" s="125">
        <v>113.62688750297009</v>
      </c>
      <c r="F14" s="124">
        <v>99.312074290760378</v>
      </c>
      <c r="G14" s="125">
        <v>104.286528158435</v>
      </c>
      <c r="H14" s="124">
        <v>105.64575378514422</v>
      </c>
      <c r="I14" s="125">
        <v>107.37148474241722</v>
      </c>
    </row>
    <row r="15" spans="1:9" ht="18.75" customHeight="1" thickBot="1">
      <c r="A15" s="147">
        <v>2006</v>
      </c>
      <c r="B15" s="124">
        <v>86.696332978376475</v>
      </c>
      <c r="C15" s="125">
        <v>100.71403685540849</v>
      </c>
      <c r="D15" s="124">
        <v>109.14873746718119</v>
      </c>
      <c r="E15" s="125">
        <v>115.28983892872013</v>
      </c>
      <c r="F15" s="124">
        <v>98.680124510149113</v>
      </c>
      <c r="G15" s="125">
        <v>106.00372327689165</v>
      </c>
      <c r="H15" s="124">
        <v>105.66566787033413</v>
      </c>
      <c r="I15" s="125">
        <v>108.50911580449518</v>
      </c>
    </row>
    <row r="16" spans="1:9" ht="18.75" customHeight="1" thickBot="1">
      <c r="A16" s="147">
        <v>2007</v>
      </c>
      <c r="B16" s="124">
        <v>83.233835471503482</v>
      </c>
      <c r="C16" s="125">
        <v>100.42267684759494</v>
      </c>
      <c r="D16" s="124">
        <v>110.00800794644306</v>
      </c>
      <c r="E16" s="125">
        <v>116.63437045741058</v>
      </c>
      <c r="F16" s="124">
        <v>99.187764413075584</v>
      </c>
      <c r="G16" s="125">
        <v>105.50553429064226</v>
      </c>
      <c r="H16" s="124">
        <v>105.43881893306715</v>
      </c>
      <c r="I16" s="125">
        <v>109.30370285388793</v>
      </c>
    </row>
    <row r="17" spans="1:9" ht="18.75" customHeight="1" thickBot="1">
      <c r="A17" s="147">
        <v>2008</v>
      </c>
      <c r="B17" s="124">
        <v>80.876503293860637</v>
      </c>
      <c r="C17" s="125">
        <v>100.27174673364941</v>
      </c>
      <c r="D17" s="124">
        <v>110.60728313222906</v>
      </c>
      <c r="E17" s="125">
        <v>117.20461917762597</v>
      </c>
      <c r="F17" s="124">
        <v>100.09938833310221</v>
      </c>
      <c r="G17" s="125">
        <v>106.37901466085199</v>
      </c>
      <c r="H17" s="124">
        <v>105.25410470313801</v>
      </c>
      <c r="I17" s="125">
        <v>111.95546669777498</v>
      </c>
    </row>
    <row r="18" spans="1:9" ht="18.75" customHeight="1" thickBot="1">
      <c r="A18" s="147">
        <v>2009</v>
      </c>
      <c r="B18" s="124">
        <v>79.774559305345349</v>
      </c>
      <c r="C18" s="125">
        <v>100.24578836075855</v>
      </c>
      <c r="D18" s="124">
        <v>111.95824700734549</v>
      </c>
      <c r="E18" s="125">
        <v>118.31872254158185</v>
      </c>
      <c r="F18" s="124">
        <v>99.579677577575481</v>
      </c>
      <c r="G18" s="125">
        <v>107.51319620704622</v>
      </c>
      <c r="H18" s="124">
        <v>105.58870631204552</v>
      </c>
      <c r="I18" s="125">
        <v>111.41755622659586</v>
      </c>
    </row>
    <row r="19" spans="1:9" ht="18.75" customHeight="1" thickBot="1">
      <c r="A19" s="147">
        <v>2010</v>
      </c>
      <c r="B19" s="124">
        <v>75.837832454358434</v>
      </c>
      <c r="C19" s="125">
        <v>100.23725272557202</v>
      </c>
      <c r="D19" s="124">
        <v>113.02277156346835</v>
      </c>
      <c r="E19" s="125">
        <v>119.53575426201748</v>
      </c>
      <c r="F19" s="124">
        <v>99.007991606364158</v>
      </c>
      <c r="G19" s="125">
        <v>109.36105925946448</v>
      </c>
      <c r="H19" s="124">
        <v>105.34544603494989</v>
      </c>
      <c r="I19" s="125">
        <v>112.18439310242962</v>
      </c>
    </row>
    <row r="20" spans="1:9" ht="18.75" customHeight="1" thickBot="1">
      <c r="A20" s="147">
        <v>2011</v>
      </c>
      <c r="B20" s="124">
        <v>71.894274383338143</v>
      </c>
      <c r="C20" s="125">
        <v>100.25103329205794</v>
      </c>
      <c r="D20" s="124">
        <v>113.93513276157225</v>
      </c>
      <c r="E20" s="125">
        <v>120.99860480691905</v>
      </c>
      <c r="F20" s="124">
        <v>97.339502993664723</v>
      </c>
      <c r="G20" s="125">
        <v>110.89891872952356</v>
      </c>
      <c r="H20" s="124">
        <v>105.10575308260573</v>
      </c>
      <c r="I20" s="125">
        <v>112.44390147519579</v>
      </c>
    </row>
    <row r="21" spans="1:9" s="138" customFormat="1" ht="24" customHeight="1" thickBot="1">
      <c r="A21" s="150">
        <v>2012</v>
      </c>
      <c r="B21" s="127">
        <v>69.926573761825424</v>
      </c>
      <c r="C21" s="128">
        <v>100.26253884627525</v>
      </c>
      <c r="D21" s="127">
        <v>114.26125718297475</v>
      </c>
      <c r="E21" s="128">
        <v>121.18415282605635</v>
      </c>
      <c r="F21" s="127">
        <v>95.501580599478203</v>
      </c>
      <c r="G21" s="128">
        <v>112.23897449388407</v>
      </c>
      <c r="H21" s="127">
        <v>104.77388228341906</v>
      </c>
      <c r="I21" s="128">
        <v>111.66517188465812</v>
      </c>
    </row>
    <row r="22" spans="1:9" ht="20" customHeight="1">
      <c r="A22" s="1585"/>
      <c r="B22" s="1586"/>
      <c r="C22" s="1586"/>
      <c r="D22" s="1586"/>
      <c r="E22" s="1586"/>
      <c r="F22" s="1586"/>
      <c r="G22" s="1586"/>
      <c r="H22" s="1586"/>
      <c r="I22" s="1586"/>
    </row>
    <row r="23" spans="1:9" ht="28.5" customHeight="1">
      <c r="A23" s="1705" t="s">
        <v>2262</v>
      </c>
      <c r="B23" s="1340"/>
      <c r="C23" s="1340"/>
      <c r="D23" s="1340"/>
      <c r="E23" s="1340"/>
      <c r="F23" s="1340"/>
      <c r="G23" s="1340"/>
      <c r="H23" s="1340"/>
      <c r="I23" s="1706"/>
    </row>
    <row r="24" spans="1:9" ht="63.5" customHeight="1">
      <c r="A24" s="1707" t="s">
        <v>241</v>
      </c>
      <c r="B24" s="1708" t="s">
        <v>521</v>
      </c>
      <c r="C24" s="1709" t="s">
        <v>2255</v>
      </c>
      <c r="D24" s="1708" t="s">
        <v>2256</v>
      </c>
      <c r="E24" s="1709" t="s">
        <v>2257</v>
      </c>
      <c r="F24" s="1708" t="s">
        <v>2258</v>
      </c>
      <c r="G24" s="1709" t="s">
        <v>2259</v>
      </c>
      <c r="H24" s="1708" t="s">
        <v>2260</v>
      </c>
      <c r="I24" s="1703" t="s">
        <v>2263</v>
      </c>
    </row>
    <row r="25" spans="1:9" ht="12.5" customHeight="1">
      <c r="A25" s="116"/>
      <c r="B25" s="117"/>
      <c r="C25" s="118"/>
      <c r="D25" s="117"/>
      <c r="E25" s="118"/>
      <c r="F25" s="117"/>
      <c r="G25" s="118"/>
      <c r="H25" s="117"/>
      <c r="I25" s="118"/>
    </row>
    <row r="26" spans="1:9" ht="1.25" customHeight="1" thickBot="1">
      <c r="A26" s="144">
        <v>1997</v>
      </c>
      <c r="B26" s="657">
        <v>-3.9624823122792474E-3</v>
      </c>
      <c r="C26" s="146">
        <v>3.8008221695313704E-3</v>
      </c>
      <c r="D26" s="657">
        <v>5.4808570359472508E-3</v>
      </c>
      <c r="E26" s="146">
        <v>1.4278994029310654E-2</v>
      </c>
      <c r="F26" s="657">
        <v>-7.4094906141286554E-3</v>
      </c>
      <c r="G26" s="146">
        <v>-3.7818021806372837E-3</v>
      </c>
      <c r="H26" s="657">
        <v>7.6095634245316734E-3</v>
      </c>
      <c r="I26" s="146">
        <v>5.2020451848171501E-3</v>
      </c>
    </row>
    <row r="27" spans="1:9" ht="20.25" hidden="1" customHeight="1" thickBot="1">
      <c r="A27" s="147">
        <v>1998</v>
      </c>
      <c r="B27" s="658">
        <v>-2.6871570763742691E-2</v>
      </c>
      <c r="C27" s="659">
        <v>-4.5003375877905594E-4</v>
      </c>
      <c r="D27" s="658">
        <v>7.1836151516193603E-3</v>
      </c>
      <c r="E27" s="659">
        <v>1.5462053711893686E-2</v>
      </c>
      <c r="F27" s="658">
        <v>-8.1249180431084422E-3</v>
      </c>
      <c r="G27" s="659">
        <v>8.2897297982467144E-3</v>
      </c>
      <c r="H27" s="658">
        <v>4.8352632916530691E-3</v>
      </c>
      <c r="I27" s="659">
        <v>1.7937050393657117E-4</v>
      </c>
    </row>
    <row r="28" spans="1:9" ht="0.5" hidden="1" customHeight="1" thickBot="1">
      <c r="A28" s="147">
        <v>1999</v>
      </c>
      <c r="B28" s="658">
        <v>-1.1168895806180856E-2</v>
      </c>
      <c r="C28" s="659">
        <v>-3.0249084964961703E-5</v>
      </c>
      <c r="D28" s="658">
        <v>5.9648017588114222E-3</v>
      </c>
      <c r="E28" s="659">
        <v>1.1136590540768099E-2</v>
      </c>
      <c r="F28" s="658">
        <v>2.2772280197012051E-3</v>
      </c>
      <c r="G28" s="659">
        <v>-2.3398138244890232E-2</v>
      </c>
      <c r="H28" s="658">
        <v>4.2047913692213612E-3</v>
      </c>
      <c r="I28" s="659">
        <v>8.0646978565712679E-3</v>
      </c>
    </row>
    <row r="29" spans="1:9" ht="19.75" hidden="1" customHeight="1" thickBot="1">
      <c r="A29" s="147">
        <v>2000</v>
      </c>
      <c r="B29" s="658">
        <v>4.2788002297347028E-3</v>
      </c>
      <c r="C29" s="659">
        <v>0</v>
      </c>
      <c r="D29" s="658">
        <v>1.6645452871290045E-2</v>
      </c>
      <c r="E29" s="659">
        <v>5.5394940759512235E-3</v>
      </c>
      <c r="F29" s="658">
        <v>-3.1736944416462798E-3</v>
      </c>
      <c r="G29" s="659">
        <v>-1.0436362646149444E-2</v>
      </c>
      <c r="H29" s="658">
        <v>4.7908428835050643E-3</v>
      </c>
      <c r="I29" s="659">
        <v>1.5584911851677541E-2</v>
      </c>
    </row>
    <row r="30" spans="1:9" ht="20.25" hidden="1" customHeight="1" thickBot="1">
      <c r="A30" s="147">
        <v>2001</v>
      </c>
      <c r="B30" s="658">
        <v>-6.618836751683288E-3</v>
      </c>
      <c r="C30" s="659">
        <v>5.9499999999990116E-4</v>
      </c>
      <c r="D30" s="658">
        <v>2.0262987497135176E-2</v>
      </c>
      <c r="E30" s="659">
        <v>7.2860181790750378E-3</v>
      </c>
      <c r="F30" s="658">
        <v>1.3910859635694051E-2</v>
      </c>
      <c r="G30" s="659">
        <v>9.1099852603160336E-3</v>
      </c>
      <c r="H30" s="658">
        <v>5.5339690333648939E-3</v>
      </c>
      <c r="I30" s="659">
        <v>9.8906182903097939E-3</v>
      </c>
    </row>
    <row r="31" spans="1:9" ht="20.25" customHeight="1" thickBot="1">
      <c r="A31" s="147">
        <v>2002</v>
      </c>
      <c r="B31" s="658">
        <v>-3.206218071118272E-2</v>
      </c>
      <c r="C31" s="659">
        <v>2.7583587765289685E-4</v>
      </c>
      <c r="D31" s="658">
        <v>1.0699803228774618E-2</v>
      </c>
      <c r="E31" s="659">
        <v>1.6892947516796264E-2</v>
      </c>
      <c r="F31" s="658">
        <v>3.3966948836419153E-3</v>
      </c>
      <c r="G31" s="659">
        <v>6.3989480855215497E-3</v>
      </c>
      <c r="H31" s="658">
        <v>4.0530747000455669E-3</v>
      </c>
      <c r="I31" s="659">
        <v>6.4270726618462781E-3</v>
      </c>
    </row>
    <row r="32" spans="1:9" ht="20.25" customHeight="1" thickBot="1">
      <c r="A32" s="147">
        <v>2003</v>
      </c>
      <c r="B32" s="658">
        <v>-1.1822652930562727E-2</v>
      </c>
      <c r="C32" s="659">
        <v>0</v>
      </c>
      <c r="D32" s="658">
        <v>5.8765526036377302E-3</v>
      </c>
      <c r="E32" s="659">
        <v>2.1130710544772668E-2</v>
      </c>
      <c r="F32" s="658">
        <v>-1.2795294950727065E-3</v>
      </c>
      <c r="G32" s="659">
        <v>2.8810720268006795E-2</v>
      </c>
      <c r="H32" s="658">
        <v>8.6823501455475238E-3</v>
      </c>
      <c r="I32" s="659">
        <v>6.3830872214694079E-3</v>
      </c>
    </row>
    <row r="33" spans="1:9" ht="20.25" customHeight="1" thickBot="1">
      <c r="A33" s="147">
        <v>2004</v>
      </c>
      <c r="B33" s="658">
        <v>-1.966845505863235E-3</v>
      </c>
      <c r="C33" s="659">
        <v>0</v>
      </c>
      <c r="D33" s="658">
        <v>5.5257467766476331E-3</v>
      </c>
      <c r="E33" s="659">
        <v>2.1134786326011179E-2</v>
      </c>
      <c r="F33" s="658">
        <v>-3.2615150091729328E-3</v>
      </c>
      <c r="G33" s="659">
        <v>1.5441415902082145E-2</v>
      </c>
      <c r="H33" s="658">
        <v>9.2741195328778225E-3</v>
      </c>
      <c r="I33" s="659">
        <v>8.0293500026797915E-3</v>
      </c>
    </row>
    <row r="34" spans="1:9" ht="20.25" customHeight="1" thickBot="1">
      <c r="A34" s="147">
        <v>2005</v>
      </c>
      <c r="B34" s="658">
        <v>-8.0283193749334236E-3</v>
      </c>
      <c r="C34" s="659">
        <v>0</v>
      </c>
      <c r="D34" s="658">
        <v>6.1891401221325637E-3</v>
      </c>
      <c r="E34" s="659">
        <v>1.5917801837165957E-2</v>
      </c>
      <c r="F34" s="658">
        <v>-3.0577957985193915E-3</v>
      </c>
      <c r="G34" s="659">
        <v>1.2577068142527015E-2</v>
      </c>
      <c r="H34" s="658">
        <v>6.1204224482274139E-3</v>
      </c>
      <c r="I34" s="659">
        <v>1.1718987892409105E-2</v>
      </c>
    </row>
    <row r="35" spans="1:9" ht="20.25" customHeight="1" thickBot="1">
      <c r="A35" s="147">
        <v>2006</v>
      </c>
      <c r="B35" s="658">
        <v>-4.2506265451149772E-2</v>
      </c>
      <c r="C35" s="659">
        <v>2.9354432289476762E-3</v>
      </c>
      <c r="D35" s="658">
        <v>4.227549547109577E-3</v>
      </c>
      <c r="E35" s="659">
        <v>1.4635192974959965E-2</v>
      </c>
      <c r="F35" s="658">
        <v>-6.3632723928520596E-3</v>
      </c>
      <c r="G35" s="659">
        <v>1.6466126054631269E-2</v>
      </c>
      <c r="H35" s="658">
        <v>1.8849868050940799E-4</v>
      </c>
      <c r="I35" s="659">
        <v>1.059528109168939E-2</v>
      </c>
    </row>
    <row r="36" spans="1:9" ht="20.25" customHeight="1" thickBot="1">
      <c r="A36" s="147">
        <v>2007</v>
      </c>
      <c r="B36" s="658">
        <v>-3.9938223312589227E-2</v>
      </c>
      <c r="C36" s="659">
        <v>-2.8929433960813711E-3</v>
      </c>
      <c r="D36" s="658">
        <v>7.8724729135801752E-3</v>
      </c>
      <c r="E36" s="659">
        <v>1.1662185854225404E-2</v>
      </c>
      <c r="F36" s="658">
        <v>5.1442973491004906E-3</v>
      </c>
      <c r="G36" s="659">
        <v>-4.6997310174480278E-3</v>
      </c>
      <c r="H36" s="658">
        <v>-2.1468556612480594E-3</v>
      </c>
      <c r="I36" s="659">
        <v>7.3227677094371835E-3</v>
      </c>
    </row>
    <row r="37" spans="1:9" ht="20.25" customHeight="1" thickBot="1">
      <c r="A37" s="147">
        <v>2008</v>
      </c>
      <c r="B37" s="658">
        <v>-2.8321801636185806E-2</v>
      </c>
      <c r="C37" s="659">
        <v>-1.5029485240131146E-3</v>
      </c>
      <c r="D37" s="658">
        <v>5.4475596547276517E-3</v>
      </c>
      <c r="E37" s="659">
        <v>4.8891996242532709E-3</v>
      </c>
      <c r="F37" s="658">
        <v>9.1908908868043593E-3</v>
      </c>
      <c r="G37" s="659">
        <v>8.279000491135502E-3</v>
      </c>
      <c r="H37" s="658">
        <v>-1.7518617127758596E-3</v>
      </c>
      <c r="I37" s="659">
        <v>2.4260512449718163E-2</v>
      </c>
    </row>
    <row r="38" spans="1:9" ht="20.25" customHeight="1" thickBot="1">
      <c r="A38" s="147">
        <v>2009</v>
      </c>
      <c r="B38" s="658">
        <v>-1.3625020168236412E-2</v>
      </c>
      <c r="C38" s="659">
        <v>-2.5888023033859842E-4</v>
      </c>
      <c r="D38" s="658">
        <v>1.2214058937704664E-2</v>
      </c>
      <c r="E38" s="659">
        <v>9.505626755780261E-3</v>
      </c>
      <c r="F38" s="658">
        <v>-5.1919473653253556E-3</v>
      </c>
      <c r="G38" s="659">
        <v>1.0661703812637535E-2</v>
      </c>
      <c r="H38" s="658">
        <v>3.1789886945619017E-3</v>
      </c>
      <c r="I38" s="659">
        <v>-4.8046824960429335E-3</v>
      </c>
    </row>
    <row r="39" spans="1:9" ht="20.25" customHeight="1" thickBot="1">
      <c r="A39" s="147">
        <v>2010</v>
      </c>
      <c r="B39" s="658">
        <v>-4.9348149150140519E-2</v>
      </c>
      <c r="C39" s="659">
        <v>-8.5147070277069581E-5</v>
      </c>
      <c r="D39" s="658">
        <v>9.508228152706133E-3</v>
      </c>
      <c r="E39" s="659">
        <v>1.0286045135484922E-2</v>
      </c>
      <c r="F39" s="658">
        <v>-5.7409903819578556E-3</v>
      </c>
      <c r="G39" s="659">
        <v>1.7187313907584878E-2</v>
      </c>
      <c r="H39" s="658">
        <v>-2.3038475002877812E-3</v>
      </c>
      <c r="I39" s="659">
        <v>6.8825497686755277E-3</v>
      </c>
    </row>
    <row r="40" spans="1:9" ht="20.25" customHeight="1" thickBot="1">
      <c r="A40" s="147">
        <v>2011</v>
      </c>
      <c r="B40" s="658">
        <v>-5.1999878469544125E-2</v>
      </c>
      <c r="C40" s="659">
        <v>1.3747949101960977E-4</v>
      </c>
      <c r="D40" s="658">
        <v>8.0723661743824504E-3</v>
      </c>
      <c r="E40" s="659">
        <v>1.2237765628642538E-2</v>
      </c>
      <c r="F40" s="658">
        <v>-1.6852059976461331E-2</v>
      </c>
      <c r="G40" s="659">
        <v>1.4062221786005358E-2</v>
      </c>
      <c r="H40" s="658">
        <v>-2.2753043569119225E-3</v>
      </c>
      <c r="I40" s="659">
        <v>2.3132306160378313E-3</v>
      </c>
    </row>
    <row r="41" spans="1:9" ht="22.5" customHeight="1" thickBot="1">
      <c r="A41" s="1710">
        <v>2012</v>
      </c>
      <c r="B41" s="691">
        <v>-2.7369364784475048E-2</v>
      </c>
      <c r="C41" s="538">
        <v>1.1476743769600617E-4</v>
      </c>
      <c r="D41" s="691">
        <v>2.8623692578211291E-3</v>
      </c>
      <c r="E41" s="538">
        <v>1.5334723853501764E-3</v>
      </c>
      <c r="F41" s="691">
        <v>-1.8881567479403949E-2</v>
      </c>
      <c r="G41" s="538">
        <v>1.2083578268502704E-2</v>
      </c>
      <c r="H41" s="691">
        <v>-3.157494137603023E-3</v>
      </c>
      <c r="I41" s="538">
        <v>-6.9254942270875475E-3</v>
      </c>
    </row>
    <row r="42" spans="1:9" ht="20" customHeight="1">
      <c r="A42" s="1585" t="s">
        <v>2304</v>
      </c>
      <c r="B42" s="1340"/>
      <c r="C42" s="1340"/>
      <c r="D42" s="1340"/>
      <c r="E42" s="1340"/>
      <c r="F42" s="1340"/>
      <c r="G42" s="1340"/>
      <c r="H42" s="1340"/>
      <c r="I42" s="1340"/>
    </row>
    <row r="43" spans="1:9" ht="11.25" customHeight="1">
      <c r="A43" s="1587"/>
      <c r="B43" s="1340"/>
      <c r="C43" s="1340"/>
      <c r="D43" s="1340"/>
      <c r="E43" s="1340"/>
      <c r="F43" s="1340"/>
      <c r="G43" s="1340"/>
      <c r="H43" s="1340"/>
      <c r="I43" s="1340"/>
    </row>
    <row r="44" spans="1:9" ht="13.5" customHeight="1">
      <c r="A44" s="1587" t="s">
        <v>2264</v>
      </c>
      <c r="B44" s="1340"/>
      <c r="C44" s="1340"/>
      <c r="D44" s="1340"/>
      <c r="E44" s="1340"/>
      <c r="F44" s="1340"/>
      <c r="G44" s="1340"/>
      <c r="H44" s="1340"/>
      <c r="I44" s="1340"/>
    </row>
    <row r="45" spans="1:9" ht="12.75" customHeight="1">
      <c r="A45" s="1587"/>
      <c r="B45" s="1340"/>
      <c r="C45" s="1340"/>
      <c r="D45" s="1340"/>
      <c r="E45" s="1340"/>
      <c r="F45" s="1340"/>
      <c r="G45" s="1340"/>
      <c r="H45" s="1340"/>
      <c r="I45" s="1340"/>
    </row>
    <row r="46" spans="1:9" ht="13.5" customHeight="1">
      <c r="A46" s="43" t="s">
        <v>2265</v>
      </c>
      <c r="B46" s="176"/>
      <c r="C46" s="176"/>
      <c r="D46" s="176"/>
      <c r="E46" s="176"/>
      <c r="F46" s="176"/>
      <c r="G46" s="176"/>
      <c r="H46" s="176"/>
      <c r="I46" s="176"/>
    </row>
    <row r="47" spans="1:9" ht="13.5" customHeight="1">
      <c r="A47" s="1711" t="s">
        <v>2266</v>
      </c>
      <c r="B47" s="176"/>
      <c r="C47" s="176"/>
      <c r="D47" s="176"/>
      <c r="E47" s="176"/>
      <c r="F47" s="176"/>
      <c r="G47" s="176"/>
      <c r="H47" s="176"/>
      <c r="I47" s="176"/>
    </row>
    <row r="48" spans="1:9" ht="13.5" customHeight="1">
      <c r="A48" s="1711" t="s">
        <v>2267</v>
      </c>
      <c r="B48" s="176"/>
      <c r="C48" s="176"/>
      <c r="D48" s="176"/>
      <c r="E48" s="176"/>
      <c r="F48" s="176"/>
      <c r="G48" s="176"/>
      <c r="H48" s="176"/>
      <c r="I48" s="176"/>
    </row>
    <row r="49" spans="1:11" ht="13.5" customHeight="1">
      <c r="A49" s="3" t="s">
        <v>2268</v>
      </c>
      <c r="B49" s="176"/>
      <c r="C49" s="176"/>
      <c r="D49" s="176"/>
      <c r="E49" s="176"/>
      <c r="F49" s="176"/>
      <c r="G49" s="176"/>
      <c r="H49" s="176"/>
      <c r="I49" s="176"/>
    </row>
    <row r="50" spans="1:11" ht="13.5" customHeight="1">
      <c r="A50" s="3" t="s">
        <v>2269</v>
      </c>
      <c r="B50" s="176"/>
      <c r="C50" s="176"/>
      <c r="D50" s="176"/>
      <c r="E50" s="176"/>
      <c r="F50" s="176"/>
      <c r="G50" s="176"/>
      <c r="H50" s="176"/>
      <c r="I50" s="176"/>
    </row>
    <row r="51" spans="1:11" ht="13.5" customHeight="1">
      <c r="A51" s="1711" t="s">
        <v>2270</v>
      </c>
      <c r="B51" s="176"/>
      <c r="C51" s="176"/>
      <c r="D51" s="176"/>
      <c r="E51" s="176"/>
      <c r="F51" s="176"/>
      <c r="G51" s="176"/>
      <c r="H51" s="176"/>
      <c r="I51" s="176"/>
    </row>
    <row r="52" spans="1:11" ht="13.5" customHeight="1">
      <c r="A52" s="1711" t="s">
        <v>2271</v>
      </c>
      <c r="B52" s="176"/>
      <c r="C52" s="176"/>
      <c r="D52" s="176"/>
      <c r="E52" s="176"/>
      <c r="F52" s="176"/>
      <c r="G52" s="176"/>
      <c r="H52" s="176"/>
      <c r="I52" s="176"/>
    </row>
    <row r="53" spans="1:11" ht="13.5" customHeight="1">
      <c r="A53" s="1711" t="s">
        <v>2272</v>
      </c>
      <c r="B53" s="176"/>
      <c r="C53" s="176"/>
      <c r="D53" s="176"/>
      <c r="E53" s="176"/>
      <c r="F53" s="176"/>
      <c r="G53" s="176"/>
      <c r="H53" s="176"/>
      <c r="I53" s="176"/>
    </row>
    <row r="54" spans="1:11" ht="13.5" customHeight="1">
      <c r="A54" s="1711" t="s">
        <v>2273</v>
      </c>
      <c r="B54" s="176"/>
      <c r="C54" s="176"/>
      <c r="D54" s="176"/>
      <c r="E54" s="176"/>
      <c r="F54" s="176"/>
      <c r="G54" s="176"/>
      <c r="H54" s="176"/>
      <c r="I54" s="176"/>
    </row>
    <row r="55" spans="1:11" ht="13.5" customHeight="1">
      <c r="A55" s="3" t="s">
        <v>2274</v>
      </c>
      <c r="B55" s="176"/>
      <c r="C55" s="176"/>
      <c r="D55" s="176"/>
      <c r="E55" s="176"/>
      <c r="F55" s="176"/>
      <c r="G55" s="176"/>
      <c r="H55" s="176"/>
      <c r="I55" s="176"/>
    </row>
    <row r="56" spans="1:11" ht="13.5" customHeight="1">
      <c r="A56" s="3" t="s">
        <v>2275</v>
      </c>
      <c r="B56" s="176"/>
      <c r="C56" s="176"/>
      <c r="D56" s="176"/>
      <c r="E56" s="176"/>
      <c r="F56" s="176"/>
      <c r="G56" s="176"/>
      <c r="H56" s="176"/>
      <c r="I56" s="176"/>
    </row>
    <row r="57" spans="1:11" ht="13.5" customHeight="1">
      <c r="A57" s="1711" t="s">
        <v>2276</v>
      </c>
      <c r="B57" s="176"/>
      <c r="C57" s="176"/>
      <c r="D57" s="176"/>
      <c r="E57" s="176"/>
      <c r="F57" s="176"/>
      <c r="G57" s="176"/>
      <c r="H57" s="176"/>
      <c r="I57" s="176"/>
    </row>
    <row r="59" spans="1:11">
      <c r="A59" s="1587" t="s">
        <v>2277</v>
      </c>
    </row>
    <row r="62" spans="1:11" ht="16">
      <c r="A62" s="336" t="s">
        <v>395</v>
      </c>
      <c r="K62" s="541"/>
    </row>
  </sheetData>
  <pageMargins left="0.51181102362204722" right="0.43307086614173229" top="0.74803149606299213" bottom="0.47244094488188981" header="0.39370078740157483" footer="0.51181102362204722"/>
  <pageSetup paperSize="9" scale="78" orientation="portrait"/>
  <headerFooter alignWithMargins="0"/>
  <rowBreaks count="1" manualBreakCount="1">
    <brk id="59" max="16383"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67C5-F386-4748-A02E-6B61D1ACBC8F}">
  <sheetPr>
    <pageSetUpPr fitToPage="1"/>
  </sheetPr>
  <dimension ref="A1:K74"/>
  <sheetViews>
    <sheetView zoomScaleNormal="100" workbookViewId="0">
      <selection activeCell="A50" sqref="A50"/>
    </sheetView>
  </sheetViews>
  <sheetFormatPr baseColWidth="10" defaultColWidth="11.3984375" defaultRowHeight="13"/>
  <cols>
    <col min="1" max="1" width="11.3984375" style="3"/>
    <col min="2" max="7" width="13.59765625" style="283" customWidth="1"/>
    <col min="8" max="9" width="13.59765625" style="3" customWidth="1"/>
    <col min="10" max="10" width="2.59765625" style="3" customWidth="1"/>
    <col min="11" max="11" width="13.59765625" style="3" customWidth="1"/>
    <col min="12" max="16384" width="11.3984375" style="3"/>
  </cols>
  <sheetData>
    <row r="1" spans="1:11" s="2" customFormat="1" ht="14" customHeight="1">
      <c r="A1" s="272"/>
      <c r="B1" s="1577"/>
      <c r="C1" s="1577"/>
      <c r="D1" s="1577"/>
      <c r="E1" s="1577"/>
      <c r="F1" s="1577"/>
      <c r="G1" s="1577"/>
    </row>
    <row r="2" spans="1:11" s="2" customFormat="1" ht="25.25" customHeight="1">
      <c r="A2" s="1656" t="s">
        <v>2235</v>
      </c>
      <c r="B2" s="328"/>
      <c r="C2" s="328"/>
      <c r="D2" s="328"/>
      <c r="E2" s="328"/>
      <c r="F2" s="328"/>
      <c r="G2" s="328"/>
      <c r="H2" s="328"/>
      <c r="I2" s="328"/>
      <c r="J2" s="1657"/>
      <c r="K2" s="164"/>
    </row>
    <row r="3" spans="1:11" ht="27" customHeight="1">
      <c r="A3" s="1072" t="s">
        <v>241</v>
      </c>
      <c r="B3" s="668" t="s">
        <v>2236</v>
      </c>
      <c r="C3" s="1207"/>
      <c r="D3" s="1207"/>
      <c r="E3" s="1658"/>
      <c r="F3" s="1625" t="s">
        <v>2237</v>
      </c>
      <c r="G3" s="1209"/>
      <c r="H3" s="1659"/>
      <c r="I3" s="1659"/>
      <c r="J3" s="336"/>
    </row>
    <row r="4" spans="1:11" ht="22.75" customHeight="1">
      <c r="A4" s="112"/>
      <c r="B4" s="426" t="s">
        <v>242</v>
      </c>
      <c r="C4" s="427" t="s">
        <v>429</v>
      </c>
      <c r="D4" s="426" t="s">
        <v>619</v>
      </c>
      <c r="E4" s="427" t="s">
        <v>2238</v>
      </c>
      <c r="F4" s="1660" t="s">
        <v>242</v>
      </c>
      <c r="G4" s="427" t="s">
        <v>520</v>
      </c>
      <c r="H4" s="426" t="s">
        <v>520</v>
      </c>
      <c r="I4" s="427" t="s">
        <v>520</v>
      </c>
      <c r="J4" s="1299"/>
    </row>
    <row r="5" spans="1:11" ht="16.25" customHeight="1">
      <c r="A5" s="112"/>
      <c r="B5" s="426" t="s">
        <v>620</v>
      </c>
      <c r="C5" s="427"/>
      <c r="D5" s="426" t="s">
        <v>429</v>
      </c>
      <c r="E5" s="427"/>
      <c r="F5" s="1660" t="s">
        <v>620</v>
      </c>
      <c r="G5" s="427" t="s">
        <v>2239</v>
      </c>
      <c r="H5" s="426" t="s">
        <v>2240</v>
      </c>
      <c r="I5" s="427" t="s">
        <v>2241</v>
      </c>
      <c r="J5" s="1299"/>
    </row>
    <row r="6" spans="1:11" s="129" customFormat="1" ht="22.75" customHeight="1">
      <c r="A6" s="401"/>
      <c r="B6" s="426"/>
      <c r="C6" s="427"/>
      <c r="D6" s="426"/>
      <c r="E6" s="427"/>
      <c r="F6" s="1660"/>
      <c r="G6" s="427" t="s">
        <v>2242</v>
      </c>
      <c r="H6" s="363"/>
      <c r="I6" s="364"/>
      <c r="J6" s="1031"/>
    </row>
    <row r="7" spans="1:11" ht="1.25" customHeight="1" thickBot="1">
      <c r="A7" s="1661">
        <v>1996</v>
      </c>
      <c r="B7" s="1257">
        <v>85.845027995215389</v>
      </c>
      <c r="C7" s="1258" t="s">
        <v>29</v>
      </c>
      <c r="D7" s="1257" t="s">
        <v>29</v>
      </c>
      <c r="E7" s="1258" t="s">
        <v>29</v>
      </c>
      <c r="F7" s="1662" t="s">
        <v>29</v>
      </c>
      <c r="G7" s="1258" t="s">
        <v>29</v>
      </c>
      <c r="H7" s="121" t="s">
        <v>29</v>
      </c>
      <c r="I7" s="122" t="s">
        <v>29</v>
      </c>
      <c r="J7" s="1597"/>
    </row>
    <row r="8" spans="1:11" ht="0.75" hidden="1" customHeight="1" thickBot="1">
      <c r="A8" s="147">
        <v>1997</v>
      </c>
      <c r="B8" s="1257">
        <v>92.815135115864891</v>
      </c>
      <c r="C8" s="125">
        <v>92.444560110674317</v>
      </c>
      <c r="D8" s="124">
        <v>92.272278855639584</v>
      </c>
      <c r="E8" s="125">
        <v>94.708135081815001</v>
      </c>
      <c r="F8" s="1662" t="s">
        <v>29</v>
      </c>
      <c r="G8" s="1258" t="s">
        <v>29</v>
      </c>
      <c r="H8" s="121" t="s">
        <v>29</v>
      </c>
      <c r="I8" s="122" t="s">
        <v>29</v>
      </c>
      <c r="J8" s="1597"/>
    </row>
    <row r="9" spans="1:11" ht="18" hidden="1" customHeight="1" thickBot="1">
      <c r="A9" s="1663">
        <v>1998</v>
      </c>
      <c r="B9" s="1257">
        <v>97.82364594098182</v>
      </c>
      <c r="C9" s="1637">
        <v>97.816191141488716</v>
      </c>
      <c r="D9" s="1638">
        <v>98.901550603293458</v>
      </c>
      <c r="E9" s="1637">
        <v>97.609376813276072</v>
      </c>
      <c r="F9" s="1662" t="s">
        <v>29</v>
      </c>
      <c r="G9" s="1258" t="s">
        <v>29</v>
      </c>
      <c r="H9" s="121" t="s">
        <v>29</v>
      </c>
      <c r="I9" s="122" t="s">
        <v>29</v>
      </c>
      <c r="J9" s="1597"/>
    </row>
    <row r="10" spans="1:11" ht="18" hidden="1" customHeight="1" thickBot="1">
      <c r="A10" s="147">
        <v>1999</v>
      </c>
      <c r="B10" s="1257">
        <v>100</v>
      </c>
      <c r="C10" s="125">
        <v>100</v>
      </c>
      <c r="D10" s="124">
        <v>100</v>
      </c>
      <c r="E10" s="125">
        <v>100</v>
      </c>
      <c r="F10" s="1618">
        <v>100</v>
      </c>
      <c r="G10" s="125">
        <v>100</v>
      </c>
      <c r="H10" s="124">
        <v>100</v>
      </c>
      <c r="I10" s="125">
        <v>100</v>
      </c>
      <c r="J10" s="1597"/>
    </row>
    <row r="11" spans="1:11" ht="0.5" hidden="1" customHeight="1" thickBot="1">
      <c r="A11" s="144">
        <v>2000</v>
      </c>
      <c r="B11" s="121">
        <v>103.20562026598945</v>
      </c>
      <c r="C11" s="122">
        <v>103.03441222531174</v>
      </c>
      <c r="D11" s="121">
        <v>99.091265525004431</v>
      </c>
      <c r="E11" s="122">
        <v>103.07365838293074</v>
      </c>
      <c r="F11" s="1664">
        <v>106.4</v>
      </c>
      <c r="G11" s="122">
        <v>104.3</v>
      </c>
      <c r="H11" s="121">
        <v>107.5</v>
      </c>
      <c r="I11" s="122">
        <v>106.7</v>
      </c>
      <c r="J11" s="1597"/>
    </row>
    <row r="12" spans="1:11" ht="18" hidden="1" customHeight="1" thickBot="1">
      <c r="A12" s="147">
        <v>2001</v>
      </c>
      <c r="B12" s="124">
        <v>106.94335020000455</v>
      </c>
      <c r="C12" s="125">
        <v>107.41253121846763</v>
      </c>
      <c r="D12" s="124">
        <v>99.966483697164392</v>
      </c>
      <c r="E12" s="125">
        <v>108.20305376415389</v>
      </c>
      <c r="F12" s="1618">
        <v>111.1</v>
      </c>
      <c r="G12" s="125">
        <v>107.5</v>
      </c>
      <c r="H12" s="124">
        <v>112.5</v>
      </c>
      <c r="I12" s="125">
        <v>112.5</v>
      </c>
      <c r="J12" s="1597"/>
    </row>
    <row r="13" spans="1:11" ht="18" customHeight="1" thickBot="1">
      <c r="A13" s="1663">
        <v>2002</v>
      </c>
      <c r="B13" s="1638">
        <v>116.62017344016445</v>
      </c>
      <c r="C13" s="1637">
        <v>116.60890964793332</v>
      </c>
      <c r="D13" s="1638">
        <v>112.72607694837224</v>
      </c>
      <c r="E13" s="1637">
        <v>118.09048558497321</v>
      </c>
      <c r="F13" s="1665">
        <v>115.4</v>
      </c>
      <c r="G13" s="1637">
        <v>107.9</v>
      </c>
      <c r="H13" s="1638">
        <v>117.5</v>
      </c>
      <c r="I13" s="1637">
        <v>119.3</v>
      </c>
      <c r="J13" s="1597"/>
    </row>
    <row r="14" spans="1:11" ht="18" customHeight="1" thickBot="1">
      <c r="A14" s="1663">
        <v>2003</v>
      </c>
      <c r="B14" s="1638">
        <v>127.26432081149086</v>
      </c>
      <c r="C14" s="1637">
        <v>126.36094255801954</v>
      </c>
      <c r="D14" s="1638">
        <v>128.18468115245491</v>
      </c>
      <c r="E14" s="1637">
        <v>128.50511447470944</v>
      </c>
      <c r="F14" s="1665">
        <v>116.38</v>
      </c>
      <c r="G14" s="1637">
        <v>110</v>
      </c>
      <c r="H14" s="1638">
        <v>117.9</v>
      </c>
      <c r="I14" s="1637">
        <v>120.1</v>
      </c>
      <c r="J14" s="1597"/>
    </row>
    <row r="15" spans="1:11" ht="15.75" customHeight="1" thickBot="1">
      <c r="A15" s="1663">
        <v>2004</v>
      </c>
      <c r="B15" s="1638">
        <v>136.21209815526825</v>
      </c>
      <c r="C15" s="1637">
        <v>134.46062249738608</v>
      </c>
      <c r="D15" s="1638">
        <v>140.98790883565627</v>
      </c>
      <c r="E15" s="1637">
        <v>134.59274855352376</v>
      </c>
      <c r="F15" s="1665">
        <v>117.9</v>
      </c>
      <c r="G15" s="1637">
        <v>113.3</v>
      </c>
      <c r="H15" s="1638">
        <v>118.6</v>
      </c>
      <c r="I15" s="1637">
        <v>121.2</v>
      </c>
      <c r="J15" s="1597"/>
    </row>
    <row r="16" spans="1:11" s="138" customFormat="1" ht="19.5" customHeight="1" thickBot="1">
      <c r="A16" s="1663">
        <v>2005</v>
      </c>
      <c r="B16" s="1638">
        <v>138.755283887497</v>
      </c>
      <c r="C16" s="1637">
        <v>137.01928125613529</v>
      </c>
      <c r="D16" s="1638">
        <v>145.19388864998862</v>
      </c>
      <c r="E16" s="1637">
        <v>134.35401780533496</v>
      </c>
      <c r="F16" s="1665">
        <v>118.91</v>
      </c>
      <c r="G16" s="1637">
        <v>114.2</v>
      </c>
      <c r="H16" s="1638">
        <v>119.4</v>
      </c>
      <c r="I16" s="1637">
        <v>122.7</v>
      </c>
      <c r="J16" s="1597"/>
    </row>
    <row r="17" spans="1:11" ht="19.5" customHeight="1" thickBot="1">
      <c r="A17" s="1663">
        <v>2006</v>
      </c>
      <c r="B17" s="1638">
        <v>144.06903358290245</v>
      </c>
      <c r="C17" s="1637">
        <v>142.457115984312</v>
      </c>
      <c r="D17" s="1638">
        <v>151.60878253610909</v>
      </c>
      <c r="E17" s="1637">
        <v>137.84213929276015</v>
      </c>
      <c r="F17" s="1665">
        <v>122.4</v>
      </c>
      <c r="G17" s="1637">
        <v>113.4</v>
      </c>
      <c r="H17" s="1638">
        <v>123.8</v>
      </c>
      <c r="I17" s="1637">
        <v>128.5</v>
      </c>
      <c r="J17" s="1597"/>
    </row>
    <row r="18" spans="1:11" ht="19.5" customHeight="1" thickBot="1">
      <c r="A18" s="1663">
        <v>2007</v>
      </c>
      <c r="B18" s="1638">
        <v>145.70957931673081</v>
      </c>
      <c r="C18" s="1637">
        <v>143.74603348537357</v>
      </c>
      <c r="D18" s="1638">
        <v>152.46313206688083</v>
      </c>
      <c r="E18" s="1637">
        <v>137.76256237669722</v>
      </c>
      <c r="F18" s="1665">
        <v>123</v>
      </c>
      <c r="G18" s="1637">
        <v>113.3</v>
      </c>
      <c r="H18" s="1638">
        <v>124.8</v>
      </c>
      <c r="I18" s="1637">
        <v>128.80000000000001</v>
      </c>
      <c r="J18" s="1597"/>
    </row>
    <row r="19" spans="1:11" ht="19.5" customHeight="1" thickBot="1">
      <c r="A19" s="1663">
        <v>2008</v>
      </c>
      <c r="B19" s="1638">
        <v>144.2402840216258</v>
      </c>
      <c r="C19" s="1637">
        <v>142.13751192807996</v>
      </c>
      <c r="D19" s="1638">
        <v>151.18824779298308</v>
      </c>
      <c r="E19" s="1637">
        <v>133.56819575921349</v>
      </c>
      <c r="F19" s="1665">
        <v>124.4</v>
      </c>
      <c r="G19" s="1637">
        <v>114.4</v>
      </c>
      <c r="H19" s="1638">
        <v>125.1</v>
      </c>
      <c r="I19" s="1637">
        <v>132</v>
      </c>
      <c r="J19" s="1597"/>
    </row>
    <row r="20" spans="1:11" ht="19.5" customHeight="1" thickBot="1">
      <c r="A20" s="1663">
        <v>2009</v>
      </c>
      <c r="B20" s="1638">
        <v>145.62457246467343</v>
      </c>
      <c r="C20" s="1637">
        <v>142.63879062206922</v>
      </c>
      <c r="D20" s="1638">
        <v>152.86418891088371</v>
      </c>
      <c r="E20" s="1637">
        <v>133.17503978163364</v>
      </c>
      <c r="F20" s="1665">
        <v>126.6</v>
      </c>
      <c r="G20" s="1637">
        <v>114.3</v>
      </c>
      <c r="H20" s="1638">
        <v>127.8</v>
      </c>
      <c r="I20" s="1637">
        <v>135.6</v>
      </c>
      <c r="J20" s="1597"/>
    </row>
    <row r="21" spans="1:11" ht="19.5" customHeight="1" thickBot="1">
      <c r="A21" s="1663">
        <v>2010</v>
      </c>
      <c r="B21" s="1638">
        <v>158.11372025519123</v>
      </c>
      <c r="C21" s="1637">
        <v>154.20278530169568</v>
      </c>
      <c r="D21" s="1638">
        <v>170.07906968946978</v>
      </c>
      <c r="E21" s="1637">
        <v>144.32918357213987</v>
      </c>
      <c r="F21" s="1665">
        <v>134.80000000000001</v>
      </c>
      <c r="G21" s="1637">
        <v>120.5</v>
      </c>
      <c r="H21" s="1638">
        <v>136.4</v>
      </c>
      <c r="I21" s="1637">
        <v>145.19999999999999</v>
      </c>
      <c r="J21" s="1597"/>
    </row>
    <row r="22" spans="1:11" ht="19.5" customHeight="1" thickBot="1">
      <c r="A22" s="1663">
        <v>2011</v>
      </c>
      <c r="B22" s="1638">
        <v>167.64989451725353</v>
      </c>
      <c r="C22" s="1637">
        <v>162.68382625079579</v>
      </c>
      <c r="D22" s="1638">
        <v>186.6931998189595</v>
      </c>
      <c r="E22" s="1637">
        <v>152.14455191259268</v>
      </c>
      <c r="F22" s="1665">
        <v>141.30000000000001</v>
      </c>
      <c r="G22" s="1637">
        <v>124.7</v>
      </c>
      <c r="H22" s="1638">
        <v>143.30000000000001</v>
      </c>
      <c r="I22" s="1637">
        <v>153.1</v>
      </c>
      <c r="J22" s="1597"/>
    </row>
    <row r="23" spans="1:11" s="138" customFormat="1" ht="20.5" customHeight="1" thickBot="1">
      <c r="A23" s="1666">
        <v>2012</v>
      </c>
      <c r="B23" s="1667">
        <v>171.54215255556073</v>
      </c>
      <c r="C23" s="1668">
        <v>165.86768576507157</v>
      </c>
      <c r="D23" s="1667">
        <v>194.96375002541825</v>
      </c>
      <c r="E23" s="1668">
        <v>155.39413085523285</v>
      </c>
      <c r="F23" s="1669">
        <v>142.69999999999999</v>
      </c>
      <c r="G23" s="1668">
        <v>123.8</v>
      </c>
      <c r="H23" s="1667">
        <v>145.6</v>
      </c>
      <c r="I23" s="1668">
        <v>155.30000000000001</v>
      </c>
      <c r="J23" s="1670"/>
    </row>
    <row r="24" spans="1:11" s="266" customFormat="1" ht="21.75" customHeight="1" thickBot="1">
      <c r="A24" s="1671">
        <v>2013</v>
      </c>
      <c r="B24" s="1672" t="s">
        <v>29</v>
      </c>
      <c r="C24" s="1673" t="s">
        <v>29</v>
      </c>
      <c r="D24" s="1674" t="s">
        <v>29</v>
      </c>
      <c r="E24" s="1673" t="s">
        <v>29</v>
      </c>
      <c r="F24" s="1675">
        <v>144.9</v>
      </c>
      <c r="G24" s="1673">
        <v>123.7</v>
      </c>
      <c r="H24" s="1674">
        <v>148.69999999999999</v>
      </c>
      <c r="I24" s="1673">
        <v>158.1</v>
      </c>
      <c r="J24" s="1676"/>
    </row>
    <row r="25" spans="1:11" ht="18" customHeight="1">
      <c r="A25" s="1677"/>
      <c r="B25" s="1597"/>
      <c r="C25" s="1032"/>
      <c r="D25" s="1597"/>
      <c r="E25" s="1032"/>
      <c r="F25" s="1597"/>
      <c r="G25" s="1032"/>
      <c r="H25" s="1597"/>
      <c r="I25" s="1032"/>
      <c r="J25" s="332"/>
    </row>
    <row r="26" spans="1:11" ht="18" customHeight="1">
      <c r="A26" s="1677"/>
      <c r="B26" s="1597"/>
      <c r="C26" s="1032"/>
      <c r="D26" s="1597"/>
      <c r="E26" s="1032"/>
      <c r="F26" s="1597"/>
      <c r="G26" s="1032"/>
      <c r="H26" s="1597"/>
      <c r="I26" s="1032"/>
      <c r="J26" s="332"/>
    </row>
    <row r="27" spans="1:11" ht="18" customHeight="1">
      <c r="A27" s="1678" t="s">
        <v>2243</v>
      </c>
      <c r="B27" s="1597"/>
      <c r="C27" s="1032"/>
      <c r="D27" s="1597"/>
      <c r="E27" s="1032"/>
      <c r="F27" s="1597"/>
      <c r="G27" s="1032"/>
      <c r="H27" s="1597"/>
      <c r="I27" s="1032"/>
      <c r="J27" s="332"/>
    </row>
    <row r="28" spans="1:11" ht="10.75" customHeight="1">
      <c r="A28" s="1679"/>
      <c r="B28" s="1680"/>
      <c r="C28" s="1681"/>
      <c r="D28" s="1680"/>
      <c r="E28" s="1681"/>
      <c r="F28" s="1680"/>
      <c r="G28" s="1681"/>
      <c r="H28" s="1680"/>
      <c r="I28" s="1681"/>
      <c r="J28" s="332"/>
      <c r="K28" s="221"/>
    </row>
    <row r="29" spans="1:11" ht="27" customHeight="1">
      <c r="A29" s="1072" t="s">
        <v>241</v>
      </c>
      <c r="B29" s="668" t="s">
        <v>2236</v>
      </c>
      <c r="C29" s="1207"/>
      <c r="D29" s="1207"/>
      <c r="E29" s="1658"/>
      <c r="F29" s="1625" t="s">
        <v>2237</v>
      </c>
      <c r="G29" s="1209"/>
      <c r="H29" s="1659"/>
      <c r="I29" s="1659"/>
      <c r="J29" s="332"/>
      <c r="K29" s="1682" t="s">
        <v>2244</v>
      </c>
    </row>
    <row r="30" spans="1:11" ht="23.5" customHeight="1">
      <c r="A30" s="112"/>
      <c r="B30" s="426" t="s">
        <v>242</v>
      </c>
      <c r="C30" s="427" t="s">
        <v>429</v>
      </c>
      <c r="D30" s="426" t="s">
        <v>619</v>
      </c>
      <c r="E30" s="427" t="s">
        <v>2238</v>
      </c>
      <c r="F30" s="1660" t="s">
        <v>242</v>
      </c>
      <c r="G30" s="427" t="s">
        <v>520</v>
      </c>
      <c r="H30" s="426" t="s">
        <v>520</v>
      </c>
      <c r="I30" s="427" t="s">
        <v>520</v>
      </c>
      <c r="J30" s="332"/>
      <c r="K30" s="1683" t="s">
        <v>2245</v>
      </c>
    </row>
    <row r="31" spans="1:11" ht="15" customHeight="1">
      <c r="A31" s="112"/>
      <c r="B31" s="426" t="s">
        <v>620</v>
      </c>
      <c r="C31" s="427"/>
      <c r="D31" s="426" t="s">
        <v>429</v>
      </c>
      <c r="E31" s="427"/>
      <c r="F31" s="1660" t="s">
        <v>620</v>
      </c>
      <c r="G31" s="427" t="s">
        <v>2239</v>
      </c>
      <c r="H31" s="426" t="s">
        <v>2240</v>
      </c>
      <c r="I31" s="427" t="s">
        <v>2241</v>
      </c>
      <c r="J31" s="332"/>
      <c r="K31" s="1683" t="s">
        <v>2246</v>
      </c>
    </row>
    <row r="32" spans="1:11" s="129" customFormat="1" ht="26.25" customHeight="1">
      <c r="A32" s="116"/>
      <c r="B32" s="363"/>
      <c r="C32" s="364"/>
      <c r="D32" s="363"/>
      <c r="E32" s="364"/>
      <c r="F32" s="1684"/>
      <c r="G32" s="364" t="s">
        <v>2242</v>
      </c>
      <c r="H32" s="363"/>
      <c r="I32" s="364"/>
      <c r="J32" s="332"/>
      <c r="K32" s="1685" t="s">
        <v>2247</v>
      </c>
    </row>
    <row r="33" spans="1:11" ht="2.25" customHeight="1" thickBot="1">
      <c r="A33" s="144">
        <v>1997</v>
      </c>
      <c r="B33" s="657">
        <v>8.1194068933590158E-2</v>
      </c>
      <c r="C33" s="146" t="s">
        <v>29</v>
      </c>
      <c r="D33" s="657" t="s">
        <v>29</v>
      </c>
      <c r="E33" s="146" t="s">
        <v>29</v>
      </c>
      <c r="F33" s="1686" t="s">
        <v>29</v>
      </c>
      <c r="G33" s="146" t="s">
        <v>29</v>
      </c>
      <c r="H33" s="657" t="s">
        <v>29</v>
      </c>
      <c r="I33" s="146" t="s">
        <v>29</v>
      </c>
      <c r="J33" s="332"/>
      <c r="K33" s="121" t="s">
        <v>29</v>
      </c>
    </row>
    <row r="34" spans="1:11" ht="18" hidden="1" customHeight="1" thickBot="1">
      <c r="A34" s="147">
        <v>1998</v>
      </c>
      <c r="B34" s="657">
        <v>5.3962220912188608E-2</v>
      </c>
      <c r="C34" s="659">
        <v>5.8106512967161184E-2</v>
      </c>
      <c r="D34" s="658">
        <v>7.1844673501836986E-2</v>
      </c>
      <c r="E34" s="659">
        <v>3.0633500796471091E-2</v>
      </c>
      <c r="F34" s="1686" t="s">
        <v>29</v>
      </c>
      <c r="G34" s="146" t="s">
        <v>29</v>
      </c>
      <c r="H34" s="657" t="s">
        <v>29</v>
      </c>
      <c r="I34" s="146" t="s">
        <v>29</v>
      </c>
      <c r="J34" s="332"/>
      <c r="K34" s="121" t="s">
        <v>29</v>
      </c>
    </row>
    <row r="35" spans="1:11" ht="18" hidden="1" customHeight="1" thickBot="1">
      <c r="A35" s="144">
        <v>1999</v>
      </c>
      <c r="B35" s="657">
        <v>2.2247729964299134E-2</v>
      </c>
      <c r="C35" s="659">
        <v>2.2325637842026236E-2</v>
      </c>
      <c r="D35" s="658">
        <v>1.1106493174334098E-2</v>
      </c>
      <c r="E35" s="659">
        <v>2.4491737011057113E-2</v>
      </c>
      <c r="F35" s="1686" t="s">
        <v>29</v>
      </c>
      <c r="G35" s="146" t="s">
        <v>29</v>
      </c>
      <c r="H35" s="657" t="s">
        <v>29</v>
      </c>
      <c r="I35" s="146" t="s">
        <v>29</v>
      </c>
      <c r="J35" s="332"/>
      <c r="K35" s="124" t="s">
        <v>29</v>
      </c>
    </row>
    <row r="36" spans="1:11" ht="18" hidden="1" customHeight="1" thickBot="1">
      <c r="A36" s="147">
        <v>2000</v>
      </c>
      <c r="B36" s="657">
        <v>3.2056202659894506E-2</v>
      </c>
      <c r="C36" s="659">
        <v>3.0344122253117334E-2</v>
      </c>
      <c r="D36" s="658">
        <v>-9.0873447499556503E-3</v>
      </c>
      <c r="E36" s="659">
        <v>3.073658382930744E-2</v>
      </c>
      <c r="F36" s="1687">
        <v>6.4000000000000001E-2</v>
      </c>
      <c r="G36" s="659">
        <v>4.2999999999999997E-2</v>
      </c>
      <c r="H36" s="658">
        <v>7.4999999999999997E-2</v>
      </c>
      <c r="I36" s="659">
        <v>6.7000000000000004E-2</v>
      </c>
      <c r="J36" s="332"/>
      <c r="K36" s="657">
        <v>-3.0000000000000001E-3</v>
      </c>
    </row>
    <row r="37" spans="1:11" ht="18" hidden="1" customHeight="1" thickBot="1">
      <c r="A37" s="144">
        <v>2001</v>
      </c>
      <c r="B37" s="657">
        <v>3.6216340974279504E-2</v>
      </c>
      <c r="C37" s="659">
        <v>4.2491813158326064E-2</v>
      </c>
      <c r="D37" s="658">
        <v>8.8324451960815065E-3</v>
      </c>
      <c r="E37" s="659">
        <v>4.9764367169028212E-2</v>
      </c>
      <c r="F37" s="1687">
        <v>4.4000000000000004E-2</v>
      </c>
      <c r="G37" s="659">
        <v>0.03</v>
      </c>
      <c r="H37" s="658">
        <v>4.7E-2</v>
      </c>
      <c r="I37" s="659">
        <v>5.5E-2</v>
      </c>
      <c r="J37" s="332"/>
      <c r="K37" s="658">
        <v>-4.0000000000000001E-3</v>
      </c>
    </row>
    <row r="38" spans="1:11" ht="18" customHeight="1" thickBot="1">
      <c r="A38" s="147">
        <v>2002</v>
      </c>
      <c r="B38" s="657">
        <v>9.0485506785250358E-2</v>
      </c>
      <c r="C38" s="659">
        <v>8.5617370013942429E-2</v>
      </c>
      <c r="D38" s="658">
        <v>0.12763871228942492</v>
      </c>
      <c r="E38" s="659">
        <v>9.1378491427520858E-2</v>
      </c>
      <c r="F38" s="1687">
        <v>3.9E-2</v>
      </c>
      <c r="G38" s="659">
        <v>4.0000000000000001E-3</v>
      </c>
      <c r="H38" s="658">
        <v>4.4000000000000004E-2</v>
      </c>
      <c r="I38" s="659">
        <v>0.06</v>
      </c>
      <c r="J38" s="332"/>
      <c r="K38" s="1688">
        <v>-5.0000000000000001E-3</v>
      </c>
    </row>
    <row r="39" spans="1:11" ht="18" customHeight="1" thickBot="1">
      <c r="A39" s="147">
        <v>2003</v>
      </c>
      <c r="B39" s="657">
        <v>9.1271921978299142E-2</v>
      </c>
      <c r="C39" s="659">
        <v>8.3630255522752606E-2</v>
      </c>
      <c r="D39" s="658">
        <v>0.13713423391078017</v>
      </c>
      <c r="E39" s="659">
        <v>8.8191938903005695E-2</v>
      </c>
      <c r="F39" s="1687">
        <v>8.492201039861369E-3</v>
      </c>
      <c r="G39" s="659">
        <v>1.9462465245597693E-2</v>
      </c>
      <c r="H39" s="658">
        <v>3.4042553191488967E-3</v>
      </c>
      <c r="I39" s="659">
        <v>6.7057837384743024E-3</v>
      </c>
      <c r="J39" s="332"/>
      <c r="K39" s="1688">
        <v>-5.0000000000000001E-3</v>
      </c>
    </row>
    <row r="40" spans="1:11" ht="18" customHeight="1" thickBot="1">
      <c r="A40" s="1663">
        <v>2004</v>
      </c>
      <c r="B40" s="657">
        <v>7.0308608781491921E-2</v>
      </c>
      <c r="C40" s="659">
        <v>6.4099553037502144E-2</v>
      </c>
      <c r="D40" s="658">
        <v>9.9881105667954051E-2</v>
      </c>
      <c r="E40" s="659">
        <v>4.7372698773109123E-2</v>
      </c>
      <c r="F40" s="1687">
        <v>1.3060663344217405E-2</v>
      </c>
      <c r="G40" s="659">
        <v>3.0000000000000027E-2</v>
      </c>
      <c r="H40" s="658">
        <v>5.9372349448685302E-3</v>
      </c>
      <c r="I40" s="659">
        <v>9.1590341382181695E-3</v>
      </c>
      <c r="J40" s="1689"/>
      <c r="K40" s="1688">
        <v>-4.0000000000000001E-3</v>
      </c>
    </row>
    <row r="41" spans="1:11" ht="18" customHeight="1" thickBot="1">
      <c r="A41" s="1663">
        <v>2005</v>
      </c>
      <c r="B41" s="657">
        <v>1.8670777167897112E-2</v>
      </c>
      <c r="C41" s="659">
        <v>1.9029056323154769E-2</v>
      </c>
      <c r="D41" s="658">
        <v>2.9832202272288999E-2</v>
      </c>
      <c r="E41" s="659">
        <v>-1.773726673646614E-3</v>
      </c>
      <c r="F41" s="1687">
        <v>8.5665818490245904E-3</v>
      </c>
      <c r="G41" s="659">
        <v>7.9435127978817466E-3</v>
      </c>
      <c r="H41" s="658">
        <v>6.7453625632378778E-3</v>
      </c>
      <c r="I41" s="659">
        <v>1.2376237623762387E-2</v>
      </c>
      <c r="J41" s="332"/>
      <c r="K41" s="1688">
        <v>-2E-3</v>
      </c>
    </row>
    <row r="42" spans="1:11" ht="18" customHeight="1" thickBot="1">
      <c r="A42" s="1663">
        <v>2006</v>
      </c>
      <c r="B42" s="657">
        <v>3.8295836717208154E-2</v>
      </c>
      <c r="C42" s="659">
        <v>3.9686638831593068E-2</v>
      </c>
      <c r="D42" s="658">
        <v>4.4181569525866937E-2</v>
      </c>
      <c r="E42" s="659">
        <v>2.5962167298034355E-2</v>
      </c>
      <c r="F42" s="1687">
        <v>2.9349928517366175E-2</v>
      </c>
      <c r="G42" s="659">
        <v>-7.0052539404553693E-3</v>
      </c>
      <c r="H42" s="658">
        <v>3.6850921273031689E-2</v>
      </c>
      <c r="I42" s="659">
        <v>4.7269763651181629E-2</v>
      </c>
      <c r="J42" s="1689"/>
      <c r="K42" s="1688">
        <v>-3.0000000000000001E-3</v>
      </c>
    </row>
    <row r="43" spans="1:11" ht="21" customHeight="1" thickBot="1">
      <c r="A43" s="1663">
        <v>2007</v>
      </c>
      <c r="B43" s="657">
        <v>1.1387219675381033E-2</v>
      </c>
      <c r="C43" s="659">
        <v>9.0477579316117218E-3</v>
      </c>
      <c r="D43" s="658">
        <v>5.6352245330395512E-3</v>
      </c>
      <c r="E43" s="659">
        <v>-5.7730470864159056E-4</v>
      </c>
      <c r="F43" s="1687">
        <v>4.9019607843137081E-3</v>
      </c>
      <c r="G43" s="659">
        <v>-8.8183421516763172E-4</v>
      </c>
      <c r="H43" s="658">
        <v>8.0775444264944429E-3</v>
      </c>
      <c r="I43" s="659">
        <v>2.3346303501945442E-3</v>
      </c>
      <c r="J43" s="1689"/>
      <c r="K43" s="1688">
        <v>0</v>
      </c>
    </row>
    <row r="44" spans="1:11" ht="21" customHeight="1" thickBot="1">
      <c r="A44" s="1663">
        <v>2008</v>
      </c>
      <c r="B44" s="657">
        <v>-1.0083724776331904E-2</v>
      </c>
      <c r="C44" s="659">
        <v>-1.1190023949128935E-2</v>
      </c>
      <c r="D44" s="658">
        <v>-8.3619184298174831E-3</v>
      </c>
      <c r="E44" s="659">
        <v>-3.0446345836793287E-2</v>
      </c>
      <c r="F44" s="1687">
        <v>1.1382113821138296E-2</v>
      </c>
      <c r="G44" s="659">
        <v>9.7087378640776656E-3</v>
      </c>
      <c r="H44" s="658">
        <v>2.4038461538460343E-3</v>
      </c>
      <c r="I44" s="659">
        <v>2.4844720496894235E-2</v>
      </c>
      <c r="J44" s="1689"/>
      <c r="K44" s="1688">
        <v>0</v>
      </c>
    </row>
    <row r="45" spans="1:11" ht="21" customHeight="1" thickBot="1">
      <c r="A45" s="1663">
        <v>2009</v>
      </c>
      <c r="B45" s="657">
        <v>9.5971000919554683E-3</v>
      </c>
      <c r="C45" s="659">
        <v>3.5267163973076165E-3</v>
      </c>
      <c r="D45" s="658">
        <v>1.1085128258086829E-2</v>
      </c>
      <c r="E45" s="659">
        <v>-2.9434849766826199E-3</v>
      </c>
      <c r="F45" s="1687">
        <v>1.7684887459807008E-2</v>
      </c>
      <c r="G45" s="659">
        <v>-8.7412587412594167E-4</v>
      </c>
      <c r="H45" s="658">
        <v>2.1582733812949728E-2</v>
      </c>
      <c r="I45" s="659">
        <v>2.7272727272727337E-2</v>
      </c>
      <c r="J45" s="1689"/>
      <c r="K45" s="1688">
        <v>-1E-3</v>
      </c>
    </row>
    <row r="46" spans="1:11" ht="21" customHeight="1" thickBot="1">
      <c r="A46" s="1663">
        <v>2010</v>
      </c>
      <c r="B46" s="657">
        <v>8.5762640048591354E-2</v>
      </c>
      <c r="C46" s="659">
        <v>8.1071878338242698E-2</v>
      </c>
      <c r="D46" s="658">
        <v>0.11261552428490584</v>
      </c>
      <c r="E46" s="659">
        <v>8.3755513111132718E-2</v>
      </c>
      <c r="F46" s="1687">
        <v>6.4770932069510456E-2</v>
      </c>
      <c r="G46" s="659">
        <v>5.4243219597550407E-2</v>
      </c>
      <c r="H46" s="658">
        <v>6.7292644757433573E-2</v>
      </c>
      <c r="I46" s="659">
        <v>7.0796460176991038E-2</v>
      </c>
      <c r="J46" s="1689"/>
      <c r="K46" s="1688">
        <v>-6.0000000000000001E-3</v>
      </c>
    </row>
    <row r="47" spans="1:11" ht="21" customHeight="1" thickBot="1">
      <c r="A47" s="1663">
        <v>2011</v>
      </c>
      <c r="B47" s="657">
        <v>6.0312123746574242E-2</v>
      </c>
      <c r="C47" s="659">
        <v>5.4999272111116992E-2</v>
      </c>
      <c r="D47" s="658">
        <v>9.7684742513136857E-2</v>
      </c>
      <c r="E47" s="659">
        <v>5.4149605416055513E-2</v>
      </c>
      <c r="F47" s="1687">
        <v>4.8219584569732854E-2</v>
      </c>
      <c r="G47" s="659">
        <v>3.4854771784232463E-2</v>
      </c>
      <c r="H47" s="658">
        <v>5.0586510263929574E-2</v>
      </c>
      <c r="I47" s="659">
        <v>5.4407713498622723E-2</v>
      </c>
      <c r="J47" s="1689"/>
      <c r="K47" s="1688">
        <v>-4.0000000000000001E-3</v>
      </c>
    </row>
    <row r="48" spans="1:11" s="138" customFormat="1" ht="21" customHeight="1" thickBot="1">
      <c r="A48" s="1666">
        <v>2012</v>
      </c>
      <c r="B48" s="1690">
        <v>2.3216585071615725E-2</v>
      </c>
      <c r="C48" s="1691">
        <v>1.9570842336640748E-2</v>
      </c>
      <c r="D48" s="1692">
        <v>4.4300222046003146E-2</v>
      </c>
      <c r="E48" s="1691">
        <v>2.1358496914875236E-2</v>
      </c>
      <c r="F48" s="1693">
        <v>9.9079971691435897E-3</v>
      </c>
      <c r="G48" s="1691">
        <v>-7.2173215717723505E-3</v>
      </c>
      <c r="H48" s="1692">
        <v>1.6050244242846956E-2</v>
      </c>
      <c r="I48" s="1691">
        <v>1.4369693011103912E-2</v>
      </c>
      <c r="J48" s="1694"/>
      <c r="K48" s="1695">
        <v>-2E-3</v>
      </c>
    </row>
    <row r="49" spans="1:11" s="266" customFormat="1" ht="22.75" customHeight="1" thickBot="1">
      <c r="A49" s="1671" t="s">
        <v>2248</v>
      </c>
      <c r="B49" s="1696">
        <v>1.03E-2</v>
      </c>
      <c r="C49" s="1697" t="s">
        <v>29</v>
      </c>
      <c r="D49" s="1698" t="s">
        <v>29</v>
      </c>
      <c r="E49" s="1697" t="s">
        <v>29</v>
      </c>
      <c r="F49" s="1699">
        <v>1.5416958654520085E-2</v>
      </c>
      <c r="G49" s="1697">
        <v>-8.0775444264935548E-4</v>
      </c>
      <c r="H49" s="374">
        <v>2.1291208791208716E-2</v>
      </c>
      <c r="I49" s="418">
        <v>1.8029620090147969E-2</v>
      </c>
      <c r="J49" s="185"/>
      <c r="K49" s="374">
        <v>-1E-3</v>
      </c>
    </row>
    <row r="50" spans="1:11" ht="17.25" customHeight="1">
      <c r="A50" s="1595" t="s">
        <v>2303</v>
      </c>
      <c r="B50" s="1596"/>
      <c r="C50" s="1596"/>
      <c r="D50" s="1596"/>
      <c r="E50" s="1596"/>
      <c r="F50" s="1596"/>
      <c r="G50" s="1596"/>
    </row>
    <row r="51" spans="1:11" ht="12" customHeight="1">
      <c r="A51" s="1588"/>
      <c r="B51" s="1597"/>
      <c r="C51" s="1597"/>
      <c r="D51" s="1597"/>
      <c r="E51" s="1597"/>
      <c r="F51" s="1597"/>
      <c r="G51" s="1597"/>
    </row>
    <row r="52" spans="1:11" ht="14.25" customHeight="1">
      <c r="A52" s="1588" t="s">
        <v>2249</v>
      </c>
      <c r="B52" s="1597"/>
      <c r="C52" s="1597"/>
      <c r="D52" s="1597"/>
      <c r="E52" s="1597"/>
      <c r="F52" s="1597"/>
      <c r="G52" s="1597"/>
    </row>
    <row r="53" spans="1:11" ht="15" customHeight="1">
      <c r="A53" s="1700" t="s">
        <v>2250</v>
      </c>
      <c r="B53"/>
      <c r="C53"/>
      <c r="D53"/>
      <c r="E53"/>
      <c r="F53"/>
      <c r="G53"/>
      <c r="I53" s="336"/>
    </row>
    <row r="54" spans="1:11" ht="15.75" customHeight="1">
      <c r="A54" s="4" t="s">
        <v>2251</v>
      </c>
      <c r="B54" s="1598"/>
      <c r="C54" s="1598"/>
      <c r="D54" s="1598"/>
      <c r="E54" s="1598"/>
      <c r="F54" s="1598"/>
      <c r="G54" s="1598"/>
      <c r="I54" s="515"/>
    </row>
    <row r="55" spans="1:11" ht="15" customHeight="1">
      <c r="A55" s="1588" t="s">
        <v>2252</v>
      </c>
      <c r="B55" s="1598"/>
      <c r="C55" s="1598"/>
      <c r="D55" s="1598"/>
      <c r="E55" s="1598"/>
      <c r="F55" s="1598"/>
      <c r="G55" s="1598"/>
    </row>
    <row r="56" spans="1:11" ht="15" customHeight="1">
      <c r="A56" s="1588" t="s">
        <v>2253</v>
      </c>
      <c r="B56" s="1598"/>
      <c r="C56" s="1598"/>
      <c r="D56" s="1598"/>
      <c r="E56" s="1598"/>
      <c r="F56" s="1598"/>
      <c r="G56" s="1598"/>
    </row>
    <row r="57" spans="1:11" ht="15.75" customHeight="1">
      <c r="A57" s="4"/>
      <c r="B57" s="1598"/>
      <c r="C57" s="1598"/>
      <c r="D57" s="1598"/>
      <c r="E57" s="1598"/>
      <c r="F57" s="1598"/>
      <c r="G57" s="1598"/>
      <c r="I57" s="336"/>
    </row>
    <row r="58" spans="1:11" ht="15" customHeight="1">
      <c r="A58" s="1588"/>
      <c r="B58" s="1598"/>
      <c r="C58" s="1598"/>
      <c r="D58" s="1598"/>
      <c r="E58" s="1598"/>
      <c r="F58" s="1598"/>
      <c r="G58" s="1598"/>
    </row>
    <row r="59" spans="1:11" ht="16.5" customHeight="1">
      <c r="A59" s="4" t="s">
        <v>395</v>
      </c>
      <c r="B59" s="1598"/>
      <c r="C59" s="1598"/>
      <c r="D59" s="1598"/>
      <c r="E59" s="1598"/>
      <c r="F59" s="1598"/>
      <c r="G59" s="1598"/>
    </row>
    <row r="60" spans="1:11" ht="31" customHeight="1">
      <c r="A60" s="4"/>
      <c r="B60" s="1598"/>
      <c r="C60" s="1598"/>
      <c r="D60" s="1598"/>
      <c r="E60" s="1598"/>
      <c r="F60" s="1598"/>
      <c r="G60" s="1598"/>
    </row>
    <row r="61" spans="1:11" ht="31" customHeight="1">
      <c r="A61" s="4"/>
      <c r="B61" s="1598"/>
      <c r="C61" s="1598"/>
      <c r="D61" s="1598"/>
      <c r="E61" s="1598"/>
      <c r="F61" s="1598"/>
      <c r="G61" s="1598"/>
    </row>
    <row r="62" spans="1:11">
      <c r="A62" s="4"/>
      <c r="B62" s="1598"/>
      <c r="C62" s="1598"/>
      <c r="D62" s="1598"/>
      <c r="E62" s="1598"/>
      <c r="F62" s="1598"/>
      <c r="G62" s="1598"/>
    </row>
    <row r="63" spans="1:11">
      <c r="A63" s="4"/>
      <c r="B63" s="1598"/>
      <c r="C63" s="1598"/>
      <c r="D63" s="1598"/>
      <c r="E63" s="1598"/>
      <c r="F63" s="1598"/>
      <c r="G63" s="1598"/>
    </row>
    <row r="64" spans="1:11">
      <c r="A64" s="4"/>
      <c r="B64" s="1598"/>
      <c r="C64" s="1598"/>
      <c r="D64" s="1598"/>
      <c r="E64" s="1598"/>
      <c r="F64" s="1598"/>
      <c r="G64" s="1598"/>
    </row>
    <row r="65" spans="1:7">
      <c r="A65" s="4"/>
      <c r="B65" s="1598"/>
      <c r="C65" s="1598"/>
      <c r="D65" s="1598"/>
      <c r="E65" s="1598"/>
      <c r="F65" s="1598"/>
      <c r="G65" s="1598"/>
    </row>
    <row r="66" spans="1:7">
      <c r="A66" s="4"/>
      <c r="B66" s="1598"/>
      <c r="C66" s="1598"/>
      <c r="D66" s="1598"/>
      <c r="E66" s="1598"/>
      <c r="F66" s="1598"/>
      <c r="G66" s="1598"/>
    </row>
    <row r="67" spans="1:7">
      <c r="A67" s="4"/>
      <c r="B67" s="1598"/>
      <c r="C67" s="1598"/>
      <c r="D67" s="1598"/>
      <c r="E67" s="1598"/>
      <c r="F67" s="1598"/>
      <c r="G67" s="1598"/>
    </row>
    <row r="68" spans="1:7">
      <c r="A68" s="4"/>
      <c r="B68" s="1598"/>
      <c r="C68" s="1598"/>
      <c r="D68" s="1598"/>
      <c r="E68" s="1598"/>
      <c r="F68" s="1598"/>
      <c r="G68" s="1598"/>
    </row>
    <row r="69" spans="1:7">
      <c r="A69" s="4"/>
      <c r="B69" s="1598"/>
      <c r="C69" s="1598"/>
      <c r="D69" s="1598"/>
      <c r="E69" s="1598"/>
      <c r="F69" s="1598"/>
      <c r="G69" s="1598"/>
    </row>
    <row r="70" spans="1:7">
      <c r="A70" s="4"/>
      <c r="B70" s="1598"/>
      <c r="C70" s="1598"/>
      <c r="D70" s="1598"/>
      <c r="E70" s="1598"/>
      <c r="F70" s="1598"/>
      <c r="G70" s="1598"/>
    </row>
    <row r="71" spans="1:7">
      <c r="A71" s="4"/>
      <c r="B71" s="1598"/>
      <c r="C71" s="1598"/>
      <c r="D71" s="1598"/>
      <c r="E71" s="1598"/>
      <c r="F71" s="1598"/>
      <c r="G71" s="1598"/>
    </row>
    <row r="72" spans="1:7">
      <c r="A72" s="4"/>
      <c r="B72" s="1598"/>
      <c r="C72" s="1598"/>
      <c r="D72" s="1598"/>
      <c r="E72" s="1598"/>
      <c r="F72" s="1598"/>
      <c r="G72" s="1598"/>
    </row>
    <row r="73" spans="1:7">
      <c r="A73" s="4"/>
      <c r="B73" s="1598"/>
      <c r="C73" s="1598"/>
      <c r="D73" s="1598"/>
      <c r="E73" s="1598"/>
      <c r="F73" s="1598"/>
      <c r="G73" s="1598"/>
    </row>
    <row r="74" spans="1:7">
      <c r="A74" s="4"/>
      <c r="B74" s="1598"/>
      <c r="C74" s="1598"/>
      <c r="D74" s="1598"/>
      <c r="E74" s="1598"/>
      <c r="F74" s="1598"/>
      <c r="G74" s="1598"/>
    </row>
  </sheetData>
  <pageMargins left="0.46" right="0.44" top="0.67" bottom="0.68" header="0.41" footer="0.33"/>
  <pageSetup paperSize="9" scale="69" orientation="portrait" horizontalDpi="1200" verticalDpi="12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4354F-2407-7A46-AEAA-56917C0EA88C}">
  <sheetPr>
    <pageSetUpPr fitToPage="1"/>
  </sheetPr>
  <dimension ref="A1:O40"/>
  <sheetViews>
    <sheetView topLeftCell="A14" zoomScaleNormal="100" workbookViewId="0">
      <selection activeCell="I34" sqref="I34"/>
    </sheetView>
  </sheetViews>
  <sheetFormatPr baseColWidth="10" defaultColWidth="11.3984375" defaultRowHeight="13"/>
  <cols>
    <col min="1" max="1" width="17.3984375" style="3" customWidth="1"/>
    <col min="2" max="2" width="13.3984375" style="283" customWidth="1"/>
    <col min="3" max="3" width="13" style="283" customWidth="1"/>
    <col min="4" max="4" width="14.796875" style="283" customWidth="1"/>
    <col min="5" max="5" width="13.19921875" style="283" customWidth="1"/>
    <col min="6" max="6" width="15" style="283" customWidth="1"/>
    <col min="7" max="7" width="12.796875" style="283" customWidth="1"/>
    <col min="8" max="8" width="13.3984375" style="283" customWidth="1"/>
    <col min="9" max="10" width="13" style="283" customWidth="1"/>
    <col min="11" max="11" width="13.3984375" style="283" customWidth="1"/>
    <col min="12" max="12" width="12.59765625" style="3" customWidth="1"/>
    <col min="13" max="13" width="14" style="3" customWidth="1"/>
    <col min="14" max="15" width="12.3984375" style="3" customWidth="1"/>
    <col min="16" max="16384" width="11.3984375" style="3"/>
  </cols>
  <sheetData>
    <row r="1" spans="1:15" s="2" customFormat="1" ht="14" customHeight="1">
      <c r="A1" s="272"/>
      <c r="B1" s="1577"/>
      <c r="C1" s="1577"/>
      <c r="D1" s="1577"/>
      <c r="E1" s="1577"/>
      <c r="F1" s="1577"/>
      <c r="G1" s="1577"/>
      <c r="H1" s="1577"/>
      <c r="I1" s="1577"/>
      <c r="J1" s="1577"/>
      <c r="K1" s="1577"/>
    </row>
    <row r="2" spans="1:15" s="2" customFormat="1" ht="27" customHeight="1">
      <c r="A2" s="461" t="s">
        <v>2208</v>
      </c>
      <c r="B2" s="328"/>
      <c r="C2" s="328"/>
      <c r="D2" s="328"/>
      <c r="E2" s="328"/>
      <c r="F2" s="328"/>
      <c r="G2" s="328"/>
      <c r="H2" s="328"/>
      <c r="I2" s="328"/>
      <c r="J2" s="328"/>
      <c r="K2" s="442"/>
      <c r="M2" s="442"/>
    </row>
    <row r="3" spans="1:15" s="947" customFormat="1" ht="27" customHeight="1">
      <c r="A3" s="109" t="s">
        <v>241</v>
      </c>
      <c r="B3" s="110" t="s">
        <v>2209</v>
      </c>
      <c r="C3" s="155" t="s">
        <v>256</v>
      </c>
      <c r="D3" s="110" t="s">
        <v>2210</v>
      </c>
      <c r="E3" s="155" t="s">
        <v>256</v>
      </c>
      <c r="F3" s="110" t="s">
        <v>2211</v>
      </c>
      <c r="G3" s="155" t="s">
        <v>256</v>
      </c>
      <c r="H3" s="110" t="s">
        <v>2212</v>
      </c>
      <c r="I3" s="155" t="s">
        <v>256</v>
      </c>
      <c r="J3" s="110" t="s">
        <v>1451</v>
      </c>
      <c r="K3" s="155" t="s">
        <v>256</v>
      </c>
      <c r="L3" s="110" t="s">
        <v>2213</v>
      </c>
      <c r="M3" s="155" t="s">
        <v>256</v>
      </c>
      <c r="N3" s="110" t="s">
        <v>1450</v>
      </c>
      <c r="O3" s="155" t="s">
        <v>256</v>
      </c>
    </row>
    <row r="4" spans="1:15" s="947" customFormat="1" ht="19.5" customHeight="1">
      <c r="A4" s="112"/>
      <c r="B4" s="113" t="s">
        <v>2214</v>
      </c>
      <c r="C4" s="156" t="s">
        <v>257</v>
      </c>
      <c r="D4" s="113" t="s">
        <v>2215</v>
      </c>
      <c r="E4" s="156" t="s">
        <v>257</v>
      </c>
      <c r="F4" s="113" t="s">
        <v>642</v>
      </c>
      <c r="G4" s="156" t="s">
        <v>257</v>
      </c>
      <c r="H4" s="113" t="s">
        <v>1235</v>
      </c>
      <c r="I4" s="156" t="s">
        <v>257</v>
      </c>
      <c r="J4" s="113" t="s">
        <v>1463</v>
      </c>
      <c r="K4" s="156" t="s">
        <v>257</v>
      </c>
      <c r="L4" s="113" t="s">
        <v>2216</v>
      </c>
      <c r="M4" s="156" t="s">
        <v>257</v>
      </c>
      <c r="N4" s="113" t="s">
        <v>1462</v>
      </c>
      <c r="O4" s="156" t="s">
        <v>257</v>
      </c>
    </row>
    <row r="5" spans="1:15" s="947" customFormat="1" ht="19.5" customHeight="1">
      <c r="A5" s="112"/>
      <c r="B5" s="113" t="s">
        <v>2217</v>
      </c>
      <c r="C5" s="156" t="s">
        <v>258</v>
      </c>
      <c r="D5" s="113" t="s">
        <v>2218</v>
      </c>
      <c r="E5" s="156" t="s">
        <v>258</v>
      </c>
      <c r="F5" s="113" t="s">
        <v>2219</v>
      </c>
      <c r="G5" s="156" t="s">
        <v>258</v>
      </c>
      <c r="H5" s="113"/>
      <c r="I5" s="156" t="s">
        <v>258</v>
      </c>
      <c r="J5" s="113" t="s">
        <v>2220</v>
      </c>
      <c r="K5" s="156" t="s">
        <v>258</v>
      </c>
      <c r="L5" s="113" t="s">
        <v>2221</v>
      </c>
      <c r="M5" s="156" t="s">
        <v>258</v>
      </c>
      <c r="N5" s="113" t="s">
        <v>2222</v>
      </c>
      <c r="O5" s="156" t="s">
        <v>258</v>
      </c>
    </row>
    <row r="6" spans="1:15" ht="33.75" customHeight="1">
      <c r="A6" s="167"/>
      <c r="B6" s="117" t="s">
        <v>2223</v>
      </c>
      <c r="C6" s="157"/>
      <c r="D6" s="117"/>
      <c r="E6" s="157"/>
      <c r="F6" s="117" t="s">
        <v>2224</v>
      </c>
      <c r="G6" s="157"/>
      <c r="H6" s="117" t="s">
        <v>2225</v>
      </c>
      <c r="I6" s="157"/>
      <c r="J6" s="117" t="s">
        <v>2226</v>
      </c>
      <c r="K6" s="157"/>
      <c r="L6" s="117"/>
      <c r="M6" s="157"/>
      <c r="N6" s="117" t="s">
        <v>2227</v>
      </c>
      <c r="O6" s="157"/>
    </row>
    <row r="7" spans="1:15" ht="21" customHeight="1" thickBot="1">
      <c r="A7" s="144">
        <v>1996</v>
      </c>
      <c r="B7" s="121">
        <v>100</v>
      </c>
      <c r="C7" s="158" t="s">
        <v>1153</v>
      </c>
      <c r="D7" s="121">
        <v>100</v>
      </c>
      <c r="E7" s="158" t="s">
        <v>1153</v>
      </c>
      <c r="F7" s="121">
        <v>100</v>
      </c>
      <c r="G7" s="158" t="s">
        <v>1153</v>
      </c>
      <c r="H7" s="121">
        <v>100</v>
      </c>
      <c r="I7" s="158" t="s">
        <v>1153</v>
      </c>
      <c r="J7" s="121">
        <v>100</v>
      </c>
      <c r="K7" s="158" t="s">
        <v>1153</v>
      </c>
      <c r="L7" s="121">
        <v>100</v>
      </c>
      <c r="M7" s="158" t="s">
        <v>1153</v>
      </c>
      <c r="N7" s="121">
        <v>100</v>
      </c>
      <c r="O7" s="158" t="s">
        <v>1153</v>
      </c>
    </row>
    <row r="8" spans="1:15" ht="20.25" customHeight="1" thickBot="1">
      <c r="A8" s="147">
        <v>1997</v>
      </c>
      <c r="B8" s="124">
        <v>105.39794339791686</v>
      </c>
      <c r="C8" s="159">
        <v>5.3979433979168601E-2</v>
      </c>
      <c r="D8" s="124">
        <v>101.86202823875851</v>
      </c>
      <c r="E8" s="159">
        <v>1.8620282387585174E-2</v>
      </c>
      <c r="F8" s="124">
        <v>107.8243544179355</v>
      </c>
      <c r="G8" s="159">
        <v>7.8243544179354974E-2</v>
      </c>
      <c r="H8" s="124">
        <v>108.11940689335901</v>
      </c>
      <c r="I8" s="159">
        <v>8.1194068933590158E-2</v>
      </c>
      <c r="J8" s="124">
        <v>105.86780210602365</v>
      </c>
      <c r="K8" s="159">
        <v>5.8678021060236452E-2</v>
      </c>
      <c r="L8" s="124">
        <v>100.47120418848168</v>
      </c>
      <c r="M8" s="159">
        <v>4.7120418848167755E-3</v>
      </c>
      <c r="N8" s="124">
        <v>105.32478620076284</v>
      </c>
      <c r="O8" s="159">
        <v>5.3247862007628433E-2</v>
      </c>
    </row>
    <row r="9" spans="1:15" ht="20.25" customHeight="1" thickBot="1">
      <c r="A9" s="147">
        <v>1998</v>
      </c>
      <c r="B9" s="124">
        <v>112.34514562910323</v>
      </c>
      <c r="C9" s="159">
        <v>6.5914020778926163E-2</v>
      </c>
      <c r="D9" s="124">
        <v>105.86830875441009</v>
      </c>
      <c r="E9" s="159">
        <v>3.9330460868706618E-2</v>
      </c>
      <c r="F9" s="124">
        <v>115.36251956603556</v>
      </c>
      <c r="G9" s="159">
        <v>6.9911525914466033E-2</v>
      </c>
      <c r="H9" s="124">
        <v>113.95377021303325</v>
      </c>
      <c r="I9" s="159">
        <v>5.3962220912188608E-2</v>
      </c>
      <c r="J9" s="124">
        <v>124.70421988413921</v>
      </c>
      <c r="K9" s="159">
        <v>0.17792395235759617</v>
      </c>
      <c r="L9" s="124">
        <v>101.15183246073298</v>
      </c>
      <c r="M9" s="159">
        <v>6.774361646690874E-3</v>
      </c>
      <c r="N9" s="124">
        <v>110.42083260410833</v>
      </c>
      <c r="O9" s="159">
        <v>4.8384113437759613E-2</v>
      </c>
    </row>
    <row r="10" spans="1:15" ht="20.25" customHeight="1" thickBot="1">
      <c r="A10" s="147">
        <v>1999</v>
      </c>
      <c r="B10" s="124">
        <v>116.73767747746584</v>
      </c>
      <c r="C10" s="159">
        <v>3.9098546036551829E-2</v>
      </c>
      <c r="D10" s="124">
        <v>108.76544952296268</v>
      </c>
      <c r="E10" s="159">
        <v>2.7365514785669065E-2</v>
      </c>
      <c r="F10" s="124">
        <v>118.23129090839484</v>
      </c>
      <c r="G10" s="159">
        <v>2.4867447010960442E-2</v>
      </c>
      <c r="H10" s="124">
        <v>116.48898292114663</v>
      </c>
      <c r="I10" s="159">
        <v>2.2247729964299356E-2</v>
      </c>
      <c r="J10" s="124">
        <v>129.78488562275899</v>
      </c>
      <c r="K10" s="159">
        <v>4.0741730659476838E-2</v>
      </c>
      <c r="L10" s="124">
        <v>101.46596858638743</v>
      </c>
      <c r="M10" s="159">
        <v>3.1055900621119736E-3</v>
      </c>
      <c r="N10" s="124">
        <v>114.70622171826312</v>
      </c>
      <c r="O10" s="159">
        <v>3.8809606965374055E-2</v>
      </c>
    </row>
    <row r="11" spans="1:15" ht="20.25" customHeight="1" thickBot="1">
      <c r="A11" s="147">
        <v>2000</v>
      </c>
      <c r="B11" s="124">
        <v>123.67905954399367</v>
      </c>
      <c r="C11" s="159">
        <v>5.9461368570295159E-2</v>
      </c>
      <c r="D11" s="124">
        <v>112.70035278561646</v>
      </c>
      <c r="E11" s="159">
        <v>3.6177878912025507E-2</v>
      </c>
      <c r="F11" s="124">
        <v>122.25148214575734</v>
      </c>
      <c r="G11" s="159">
        <v>3.4002768695787333E-2</v>
      </c>
      <c r="H11" s="124">
        <v>120.22317736531187</v>
      </c>
      <c r="I11" s="159">
        <v>3.2056202659894284E-2</v>
      </c>
      <c r="J11" s="124">
        <v>135.7015791217149</v>
      </c>
      <c r="K11" s="159">
        <v>4.5588463329649498E-2</v>
      </c>
      <c r="L11" s="124">
        <v>102.77486910994764</v>
      </c>
      <c r="M11" s="159">
        <v>1.2899896800825594E-2</v>
      </c>
      <c r="N11" s="124">
        <v>121.80714822286554</v>
      </c>
      <c r="O11" s="159">
        <v>6.1905329965827205E-2</v>
      </c>
    </row>
    <row r="12" spans="1:15" ht="20.25" customHeight="1" thickBot="1">
      <c r="A12" s="147">
        <v>2001</v>
      </c>
      <c r="B12" s="124">
        <v>130.2910910770666</v>
      </c>
      <c r="C12" s="159">
        <v>5.3461204810673513E-2</v>
      </c>
      <c r="D12" s="124">
        <v>119.03449432568512</v>
      </c>
      <c r="E12" s="159">
        <v>5.6203386977126346E-2</v>
      </c>
      <c r="F12" s="124">
        <v>126.81505316810784</v>
      </c>
      <c r="G12" s="159">
        <v>3.7329371736446237E-2</v>
      </c>
      <c r="H12" s="124">
        <v>124.57722094978531</v>
      </c>
      <c r="I12" s="159">
        <v>3.6216340974279726E-2</v>
      </c>
      <c r="J12" s="124">
        <v>141.65456872934899</v>
      </c>
      <c r="K12" s="159">
        <v>4.3868241225805349E-2</v>
      </c>
      <c r="L12" s="124">
        <v>105.28795811518326</v>
      </c>
      <c r="M12" s="159">
        <v>2.4452368823229875E-2</v>
      </c>
      <c r="N12" s="124">
        <v>128.52179281376732</v>
      </c>
      <c r="O12" s="159">
        <v>5.5125209717711066E-2</v>
      </c>
    </row>
    <row r="13" spans="1:15" ht="20.25" customHeight="1" thickBot="1">
      <c r="A13" s="147">
        <v>2002</v>
      </c>
      <c r="B13" s="124">
        <v>135.12284583994762</v>
      </c>
      <c r="C13" s="159">
        <v>3.7084306554951318E-2</v>
      </c>
      <c r="D13" s="124">
        <v>122.30444994955147</v>
      </c>
      <c r="E13" s="159">
        <v>2.7470655816116407E-2</v>
      </c>
      <c r="F13" s="124">
        <v>137.28928000877301</v>
      </c>
      <c r="G13" s="159">
        <v>8.2594507347486523E-2</v>
      </c>
      <c r="H13" s="124">
        <v>135.84965392132474</v>
      </c>
      <c r="I13" s="159">
        <v>9.0485506785250358E-2</v>
      </c>
      <c r="J13" s="124">
        <v>146.83573016358903</v>
      </c>
      <c r="K13" s="159">
        <v>3.6576027732218019E-2</v>
      </c>
      <c r="L13" s="124">
        <v>107.17277486910994</v>
      </c>
      <c r="M13" s="159">
        <v>1.7901541521630815E-2</v>
      </c>
      <c r="N13" s="124">
        <v>133.29917496812052</v>
      </c>
      <c r="O13" s="159">
        <v>3.7171767135833589E-2</v>
      </c>
    </row>
    <row r="14" spans="1:15" ht="20.25" customHeight="1" thickBot="1">
      <c r="A14" s="147">
        <v>2003</v>
      </c>
      <c r="B14" s="124">
        <v>141.13594015958546</v>
      </c>
      <c r="C14" s="159">
        <v>4.4500944916156637E-2</v>
      </c>
      <c r="D14" s="124">
        <v>126.16400951454192</v>
      </c>
      <c r="E14" s="159">
        <v>3.1556983957512941E-2</v>
      </c>
      <c r="F14" s="124">
        <v>148.64710880687124</v>
      </c>
      <c r="G14" s="159">
        <v>8.2729174465569821E-2</v>
      </c>
      <c r="H14" s="124">
        <v>148.24891293481085</v>
      </c>
      <c r="I14" s="159">
        <v>9.1271921978299142E-2</v>
      </c>
      <c r="J14" s="124">
        <v>151.28762572832832</v>
      </c>
      <c r="K14" s="159">
        <v>3.0318884645988087E-2</v>
      </c>
      <c r="L14" s="124">
        <v>108.6910994764398</v>
      </c>
      <c r="M14" s="159">
        <v>1.4167073766487626E-2</v>
      </c>
      <c r="N14" s="124">
        <v>139.55532245127495</v>
      </c>
      <c r="O14" s="159">
        <v>4.6933129816074448E-2</v>
      </c>
    </row>
    <row r="15" spans="1:15" ht="20.25" customHeight="1" thickBot="1">
      <c r="A15" s="147">
        <v>2004</v>
      </c>
      <c r="B15" s="124">
        <v>150.48255750594851</v>
      </c>
      <c r="C15" s="159">
        <v>6.6224218549822522E-2</v>
      </c>
      <c r="D15" s="124">
        <v>129.76680025721751</v>
      </c>
      <c r="E15" s="159">
        <v>2.8556406510371168E-2</v>
      </c>
      <c r="F15" s="124">
        <v>159.53922129347404</v>
      </c>
      <c r="G15" s="159">
        <v>7.3274970324207933E-2</v>
      </c>
      <c r="H15" s="124">
        <v>158.6720877566259</v>
      </c>
      <c r="I15" s="159">
        <v>7.0308608781491699E-2</v>
      </c>
      <c r="J15" s="124">
        <v>165.28935819309285</v>
      </c>
      <c r="K15" s="159">
        <v>9.2550414466202602E-2</v>
      </c>
      <c r="L15" s="124">
        <v>109.68586387434556</v>
      </c>
      <c r="M15" s="159">
        <v>9.1522157996146714E-3</v>
      </c>
      <c r="N15" s="124">
        <v>148.17711435357148</v>
      </c>
      <c r="O15" s="159">
        <v>6.1780459181747016E-2</v>
      </c>
    </row>
    <row r="16" spans="1:15" ht="20.25" customHeight="1" thickBot="1">
      <c r="A16" s="147">
        <v>2005</v>
      </c>
      <c r="B16" s="124">
        <v>158.85411997758723</v>
      </c>
      <c r="C16" s="159">
        <v>5.5631447327759487E-2</v>
      </c>
      <c r="D16" s="124">
        <v>131.56863292998989</v>
      </c>
      <c r="E16" s="159">
        <v>1.3885159140865522E-2</v>
      </c>
      <c r="F16" s="124">
        <v>163.19650081000955</v>
      </c>
      <c r="G16" s="159">
        <v>2.2924015090984406E-2</v>
      </c>
      <c r="H16" s="124">
        <v>161.63461894989487</v>
      </c>
      <c r="I16" s="159">
        <v>1.8670777167897112E-2</v>
      </c>
      <c r="J16" s="124">
        <v>173.55365358411964</v>
      </c>
      <c r="K16" s="159">
        <v>4.9998956262945482E-2</v>
      </c>
      <c r="L16" s="124">
        <v>110.73298429319371</v>
      </c>
      <c r="M16" s="159">
        <v>9.5465393794746944E-3</v>
      </c>
      <c r="N16" s="124">
        <v>156.56555204739018</v>
      </c>
      <c r="O16" s="159">
        <v>5.6610885766088748E-2</v>
      </c>
    </row>
    <row r="17" spans="1:15" ht="20.25" customHeight="1" thickBot="1">
      <c r="A17" s="147">
        <v>2006</v>
      </c>
      <c r="B17" s="124">
        <v>159.92892738162934</v>
      </c>
      <c r="C17" s="159">
        <v>6.7660026960192354E-3</v>
      </c>
      <c r="D17" s="124">
        <v>132.42007975142448</v>
      </c>
      <c r="E17" s="159">
        <v>6.4715031423003833E-3</v>
      </c>
      <c r="F17" s="124">
        <v>168.77599451425854</v>
      </c>
      <c r="G17" s="159">
        <v>3.4188807214344141E-2</v>
      </c>
      <c r="H17" s="124">
        <v>167.82455192504821</v>
      </c>
      <c r="I17" s="159">
        <v>3.8295836717208154E-2</v>
      </c>
      <c r="J17" s="124">
        <v>175.08520169816336</v>
      </c>
      <c r="K17" s="159">
        <v>8.8246376979981278E-3</v>
      </c>
      <c r="L17" s="124">
        <v>112.04188481675392</v>
      </c>
      <c r="M17" s="159">
        <v>1.1820330969267268E-2</v>
      </c>
      <c r="N17" s="124">
        <v>157.56912262112198</v>
      </c>
      <c r="O17" s="159">
        <v>6.409906653208175E-3</v>
      </c>
    </row>
    <row r="18" spans="1:15" ht="20.25" customHeight="1" thickBot="1">
      <c r="A18" s="147">
        <v>2007</v>
      </c>
      <c r="B18" s="124">
        <v>166.19096335942064</v>
      </c>
      <c r="C18" s="159">
        <v>3.915511771581226E-2</v>
      </c>
      <c r="D18" s="124">
        <v>137.4374713918709</v>
      </c>
      <c r="E18" s="159">
        <v>3.7889960871983597E-2</v>
      </c>
      <c r="F18" s="124">
        <v>171.12819099456249</v>
      </c>
      <c r="G18" s="159">
        <v>1.3936795259738455E-2</v>
      </c>
      <c r="H18" s="124">
        <v>169.73560696474115</v>
      </c>
      <c r="I18" s="159">
        <v>1.1387219675381255E-2</v>
      </c>
      <c r="J18" s="124">
        <v>180.36269580313146</v>
      </c>
      <c r="K18" s="159">
        <v>3.014243381954218E-2</v>
      </c>
      <c r="L18" s="124">
        <v>113.87434554973821</v>
      </c>
      <c r="M18" s="159">
        <v>1.6355140186915751E-2</v>
      </c>
      <c r="N18" s="124">
        <v>163.98455355690925</v>
      </c>
      <c r="O18" s="159">
        <v>4.071502607280042E-2</v>
      </c>
    </row>
    <row r="19" spans="1:15" ht="20.25" customHeight="1" thickBot="1">
      <c r="A19" s="147">
        <v>2008</v>
      </c>
      <c r="B19" s="124">
        <v>173.20418822710363</v>
      </c>
      <c r="C19" s="159">
        <v>4.2199796703239034E-2</v>
      </c>
      <c r="D19" s="124">
        <v>143.68661612885961</v>
      </c>
      <c r="E19" s="159">
        <v>4.5469002548589765E-2</v>
      </c>
      <c r="F19" s="124">
        <v>170.40272566721498</v>
      </c>
      <c r="G19" s="159">
        <v>-4.2393092752938122E-3</v>
      </c>
      <c r="H19" s="124">
        <v>168.02403981936502</v>
      </c>
      <c r="I19" s="159">
        <v>-1.0083724776332126E-2</v>
      </c>
      <c r="J19" s="124">
        <v>186.17626997740183</v>
      </c>
      <c r="K19" s="159">
        <v>3.223268619036368E-2</v>
      </c>
      <c r="L19" s="124">
        <v>116.1780104712042</v>
      </c>
      <c r="M19" s="159">
        <v>2.0229885057471586E-2</v>
      </c>
      <c r="N19" s="124">
        <v>171.18417748466891</v>
      </c>
      <c r="O19" s="159">
        <v>4.3904281053282812E-2</v>
      </c>
    </row>
    <row r="20" spans="1:15" ht="20.25" customHeight="1" thickBot="1">
      <c r="A20" s="147">
        <v>2009</v>
      </c>
      <c r="B20" s="124">
        <v>178.14457174882662</v>
      </c>
      <c r="C20" s="159">
        <v>2.8523464543739552E-2</v>
      </c>
      <c r="D20" s="124">
        <v>148.24252210037352</v>
      </c>
      <c r="E20" s="159">
        <v>3.1707239645953678E-2</v>
      </c>
      <c r="F20" s="124">
        <v>172.18272475452474</v>
      </c>
      <c r="G20" s="159">
        <v>1.0445836945037978E-2</v>
      </c>
      <c r="H20" s="124">
        <v>169.63658334736624</v>
      </c>
      <c r="I20" s="159">
        <v>9.5971000919559124E-3</v>
      </c>
      <c r="J20" s="124">
        <v>189.06670056079494</v>
      </c>
      <c r="K20" s="159">
        <v>1.5525236292165179E-2</v>
      </c>
      <c r="L20" s="124">
        <v>118.63874345549739</v>
      </c>
      <c r="M20" s="159">
        <v>2.118071203244698E-2</v>
      </c>
      <c r="N20" s="124">
        <v>176.44399172965743</v>
      </c>
      <c r="O20" s="159">
        <v>3.0726053787649699E-2</v>
      </c>
    </row>
    <row r="21" spans="1:15" ht="20.25" customHeight="1" thickBot="1">
      <c r="A21" s="147">
        <v>2010</v>
      </c>
      <c r="B21" s="124">
        <v>181.26989827085112</v>
      </c>
      <c r="C21" s="159">
        <v>1.7543765107987719E-2</v>
      </c>
      <c r="D21" s="124">
        <v>150.44438815411891</v>
      </c>
      <c r="E21" s="159">
        <v>1.4853134057274842E-2</v>
      </c>
      <c r="F21" s="124">
        <v>184.78971423770679</v>
      </c>
      <c r="G21" s="159">
        <v>7.3218666397313781E-2</v>
      </c>
      <c r="H21" s="124">
        <v>184.18506458405923</v>
      </c>
      <c r="I21" s="159">
        <v>8.5762640048591132E-2</v>
      </c>
      <c r="J21" s="124">
        <v>188.79926771134839</v>
      </c>
      <c r="K21" s="159">
        <v>-1.4144894296738153E-3</v>
      </c>
      <c r="L21" s="124">
        <v>119.63350785340315</v>
      </c>
      <c r="M21" s="159">
        <v>8.3848190644306708E-3</v>
      </c>
      <c r="N21" s="124">
        <v>180.09757230327764</v>
      </c>
      <c r="O21" s="159">
        <v>2.0706744037043423E-2</v>
      </c>
    </row>
    <row r="22" spans="1:15" ht="20.25" customHeight="1" thickBot="1">
      <c r="A22" s="147">
        <v>2011</v>
      </c>
      <c r="B22" s="124">
        <v>184.07205165862686</v>
      </c>
      <c r="C22" s="159">
        <v>1.5458459537439628E-2</v>
      </c>
      <c r="D22" s="124">
        <v>154.76518478635367</v>
      </c>
      <c r="E22" s="159">
        <v>2.8720224697304397E-2</v>
      </c>
      <c r="F22" s="124">
        <v>195.37601142650229</v>
      </c>
      <c r="G22" s="159">
        <v>5.7288346553627356E-2</v>
      </c>
      <c r="H22" s="124">
        <v>195.29365699152376</v>
      </c>
      <c r="I22" s="159">
        <v>6.031212374657402E-2</v>
      </c>
      <c r="J22" s="124">
        <v>195.92212024976232</v>
      </c>
      <c r="K22" s="159">
        <v>3.7727119520950314E-2</v>
      </c>
      <c r="L22" s="124">
        <v>120.73298429319372</v>
      </c>
      <c r="M22" s="159">
        <v>9.1903719912473925E-3</v>
      </c>
      <c r="N22" s="124">
        <v>182.2269910281583</v>
      </c>
      <c r="O22" s="159">
        <v>1.1823694776378124E-2</v>
      </c>
    </row>
    <row r="23" spans="1:15" s="138" customFormat="1" ht="26.25" customHeight="1" thickBot="1">
      <c r="A23" s="150">
        <v>2012</v>
      </c>
      <c r="B23" s="127">
        <v>189.05350030018215</v>
      </c>
      <c r="C23" s="455">
        <v>2.7062493174106139E-2</v>
      </c>
      <c r="D23" s="1269" t="s">
        <v>29</v>
      </c>
      <c r="E23" s="1295" t="s">
        <v>29</v>
      </c>
      <c r="F23" s="127">
        <v>199.94737452301126</v>
      </c>
      <c r="G23" s="455">
        <v>2.3397770602091805E-2</v>
      </c>
      <c r="H23" s="127">
        <v>199.82770879301444</v>
      </c>
      <c r="I23" s="455">
        <v>2.3216585071615947E-2</v>
      </c>
      <c r="J23" s="127">
        <v>200.74090204839757</v>
      </c>
      <c r="K23" s="455">
        <v>2.4595394294897766E-2</v>
      </c>
      <c r="L23" s="153">
        <v>121.78010471204188</v>
      </c>
      <c r="M23" s="512">
        <v>8.6730268863832727E-3</v>
      </c>
      <c r="N23" s="153">
        <v>187.23376696511667</v>
      </c>
      <c r="O23" s="512">
        <v>2.7475490368958022E-2</v>
      </c>
    </row>
    <row r="24" spans="1:15" ht="20" customHeight="1">
      <c r="A24" s="1585" t="s">
        <v>2302</v>
      </c>
      <c r="B24" s="1586"/>
      <c r="C24" s="1586"/>
      <c r="D24" s="1586"/>
      <c r="E24" s="1586"/>
      <c r="F24" s="1586"/>
      <c r="G24" s="1586"/>
      <c r="H24" s="1586"/>
      <c r="I24" s="1586"/>
      <c r="J24" s="1586"/>
      <c r="K24" s="1586"/>
    </row>
    <row r="25" spans="1:15" ht="12.75" customHeight="1">
      <c r="A25" s="1587"/>
      <c r="B25" s="1340"/>
      <c r="C25" s="1340"/>
      <c r="D25" s="1340"/>
      <c r="E25" s="1340"/>
      <c r="F25" s="1340"/>
      <c r="G25" s="1340"/>
      <c r="H25" s="1340"/>
      <c r="I25" s="1340"/>
      <c r="J25" s="1340"/>
      <c r="K25" s="1340"/>
    </row>
    <row r="26" spans="1:15" ht="12" customHeight="1">
      <c r="A26" s="1587" t="s">
        <v>2228</v>
      </c>
      <c r="B26" s="1340"/>
      <c r="C26" s="1340"/>
      <c r="D26" s="1340"/>
      <c r="E26" s="1340"/>
      <c r="F26" s="1340"/>
      <c r="G26" s="1340"/>
      <c r="H26" s="1340"/>
      <c r="I26" s="1340"/>
      <c r="J26" s="1340"/>
      <c r="K26" s="1340"/>
    </row>
    <row r="27" spans="1:15" ht="12" customHeight="1">
      <c r="A27" s="1587" t="s">
        <v>2229</v>
      </c>
      <c r="B27" s="1340"/>
      <c r="C27" s="1340"/>
      <c r="D27" s="1340"/>
      <c r="E27" s="1340"/>
      <c r="F27" s="1340"/>
      <c r="G27" s="1340"/>
      <c r="H27" s="1340"/>
      <c r="I27" s="1340"/>
      <c r="J27" s="1340"/>
      <c r="K27" s="1340"/>
    </row>
    <row r="28" spans="1:15" ht="12" customHeight="1">
      <c r="A28" s="1587" t="s">
        <v>2230</v>
      </c>
      <c r="B28" s="1340"/>
      <c r="C28" s="1340"/>
      <c r="D28" s="1340"/>
      <c r="E28" s="1340"/>
      <c r="F28" s="1340"/>
      <c r="G28" s="1340"/>
      <c r="H28" s="1340"/>
      <c r="I28" s="1340"/>
      <c r="J28" s="1340"/>
      <c r="K28" s="1340"/>
    </row>
    <row r="29" spans="1:15" ht="12" customHeight="1">
      <c r="A29" s="1587" t="s">
        <v>2231</v>
      </c>
      <c r="B29" s="176"/>
      <c r="C29" s="176"/>
      <c r="D29" s="176"/>
      <c r="E29" s="176"/>
      <c r="F29" s="176"/>
      <c r="G29" s="176"/>
      <c r="H29" s="176"/>
      <c r="I29" s="176"/>
      <c r="J29" s="176"/>
      <c r="K29" s="176"/>
    </row>
    <row r="30" spans="1:15" ht="12" customHeight="1">
      <c r="A30" s="1587" t="s">
        <v>2232</v>
      </c>
      <c r="B30" s="1340"/>
      <c r="C30" s="1340"/>
      <c r="D30" s="1340"/>
      <c r="E30" s="1340"/>
      <c r="F30" s="1340"/>
      <c r="G30" s="1340"/>
      <c r="H30" s="1340"/>
      <c r="I30" s="1340"/>
      <c r="J30" s="1340"/>
      <c r="K30" s="1340"/>
    </row>
    <row r="31" spans="1:15" ht="12" customHeight="1">
      <c r="A31" s="1587" t="s">
        <v>2233</v>
      </c>
      <c r="B31" s="1340"/>
      <c r="C31" s="1340"/>
      <c r="D31" s="1340"/>
      <c r="E31" s="1340"/>
      <c r="F31" s="1340"/>
      <c r="G31" s="1340"/>
      <c r="H31" s="1340"/>
      <c r="I31" s="1340"/>
      <c r="J31" s="1340"/>
      <c r="K31" s="1340"/>
    </row>
    <row r="32" spans="1:15" ht="12" customHeight="1">
      <c r="A32" s="1587" t="s">
        <v>2234</v>
      </c>
      <c r="B32" s="1340"/>
      <c r="C32" s="1340"/>
      <c r="D32" s="1340"/>
      <c r="E32" s="1340"/>
      <c r="F32" s="1340"/>
      <c r="G32" s="1340"/>
      <c r="H32" s="1340"/>
      <c r="I32" s="1340"/>
      <c r="J32" s="1340"/>
      <c r="K32" s="1340"/>
    </row>
    <row r="33" spans="1:13" ht="15.75" customHeight="1">
      <c r="A33" s="1587"/>
      <c r="B33" s="176"/>
      <c r="C33" s="176"/>
      <c r="D33" s="176"/>
      <c r="E33" s="176"/>
      <c r="F33" s="176"/>
      <c r="G33" s="176"/>
      <c r="H33" s="176"/>
      <c r="I33" s="176"/>
      <c r="J33" s="176"/>
      <c r="K33" s="176"/>
    </row>
    <row r="34" spans="1:13" ht="15.75" customHeight="1">
      <c r="A34" s="60"/>
      <c r="B34" s="176"/>
      <c r="C34" s="176"/>
      <c r="D34" s="176"/>
      <c r="E34" s="176"/>
      <c r="F34" s="176"/>
      <c r="G34" s="176"/>
      <c r="H34" s="176"/>
      <c r="I34" s="176"/>
      <c r="J34" s="176"/>
      <c r="K34" s="176"/>
      <c r="M34" s="541"/>
    </row>
    <row r="35" spans="1:13" ht="15.75" customHeight="1">
      <c r="A35" s="336" t="s">
        <v>395</v>
      </c>
      <c r="B35" s="176"/>
      <c r="C35" s="176"/>
      <c r="D35" s="176"/>
      <c r="E35" s="176"/>
      <c r="F35" s="176"/>
      <c r="G35" s="176"/>
      <c r="H35" s="176"/>
      <c r="I35" s="176"/>
      <c r="J35" s="176"/>
      <c r="K35" s="176"/>
    </row>
    <row r="36" spans="1:13" ht="31" customHeight="1">
      <c r="A36" s="60"/>
      <c r="B36" s="176"/>
      <c r="C36" s="176"/>
      <c r="D36" s="176"/>
      <c r="E36" s="176"/>
      <c r="F36" s="176"/>
      <c r="G36" s="176"/>
      <c r="H36" s="176"/>
      <c r="I36" s="176"/>
      <c r="J36" s="176"/>
      <c r="K36" s="176"/>
    </row>
    <row r="37" spans="1:13" ht="31" customHeight="1">
      <c r="A37" s="60"/>
      <c r="B37" s="176"/>
      <c r="C37" s="176"/>
      <c r="D37" s="176"/>
      <c r="E37" s="176"/>
      <c r="F37" s="176"/>
      <c r="G37" s="176"/>
      <c r="H37" s="176"/>
      <c r="I37" s="176"/>
      <c r="J37" s="176"/>
      <c r="K37" s="176"/>
    </row>
    <row r="38" spans="1:13" ht="31" customHeight="1">
      <c r="A38" s="60"/>
      <c r="B38" s="176"/>
      <c r="C38" s="176"/>
      <c r="D38" s="176"/>
      <c r="E38" s="176"/>
      <c r="F38" s="176"/>
      <c r="G38" s="176"/>
      <c r="H38" s="176"/>
      <c r="I38" s="176"/>
      <c r="J38" s="176"/>
      <c r="K38" s="176"/>
    </row>
    <row r="39" spans="1:13" ht="31" customHeight="1">
      <c r="A39" s="60"/>
      <c r="B39" s="176"/>
      <c r="C39" s="176"/>
      <c r="D39" s="176"/>
      <c r="E39" s="176"/>
      <c r="F39" s="176"/>
      <c r="G39" s="176"/>
      <c r="H39" s="176"/>
      <c r="I39" s="176"/>
      <c r="J39" s="176"/>
      <c r="K39" s="176"/>
    </row>
    <row r="40" spans="1:13" ht="31" customHeight="1">
      <c r="A40" s="60"/>
      <c r="B40" s="176"/>
      <c r="C40" s="176"/>
      <c r="D40" s="176"/>
      <c r="E40" s="176"/>
      <c r="F40" s="176"/>
      <c r="G40" s="176"/>
      <c r="H40" s="176"/>
      <c r="I40" s="176"/>
      <c r="J40" s="176"/>
      <c r="K40" s="176"/>
    </row>
  </sheetData>
  <pageMargins left="0.55118110236220474" right="0.59055118110236227" top="0.82" bottom="0.47244094488188981" header="0.47244094488188981" footer="0.51181102362204722"/>
  <pageSetup paperSize="9" scale="67" orientation="landscape"/>
  <headerFooter alignWithMargins="0"/>
  <rowBreaks count="1" manualBreakCount="1">
    <brk id="28" max="16383"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3CC1-8C16-EF44-96DC-1B7EC9675208}">
  <sheetPr>
    <pageSetUpPr fitToPage="1"/>
  </sheetPr>
  <dimension ref="A1:J59"/>
  <sheetViews>
    <sheetView topLeftCell="A30" zoomScaleNormal="100" workbookViewId="0">
      <selection activeCell="A21" sqref="A21"/>
    </sheetView>
  </sheetViews>
  <sheetFormatPr baseColWidth="10" defaultColWidth="11.3984375" defaultRowHeight="13"/>
  <cols>
    <col min="1" max="1" width="23.59765625" style="3" customWidth="1"/>
    <col min="2" max="2" width="20" style="3" customWidth="1"/>
    <col min="3" max="3" width="15.796875" style="3" customWidth="1"/>
    <col min="4" max="4" width="18.796875" style="3" customWidth="1"/>
    <col min="5" max="5" width="14.3984375" style="3" customWidth="1"/>
    <col min="6" max="6" width="20" style="3" customWidth="1"/>
    <col min="7" max="7" width="15" style="3" customWidth="1"/>
    <col min="8" max="8" width="13.19921875" style="3" customWidth="1"/>
    <col min="9" max="10" width="13.3984375" style="3" customWidth="1"/>
    <col min="11" max="16384" width="11.3984375" style="3"/>
  </cols>
  <sheetData>
    <row r="1" spans="1:10" s="2" customFormat="1" ht="14" customHeight="1"/>
    <row r="2" spans="1:10" s="2" customFormat="1" ht="25.25" customHeight="1">
      <c r="A2" s="222" t="s">
        <v>2205</v>
      </c>
      <c r="B2" s="328"/>
      <c r="C2" s="328"/>
      <c r="D2" s="328"/>
      <c r="E2" s="328"/>
      <c r="F2" s="328"/>
      <c r="G2" s="139"/>
    </row>
    <row r="3" spans="1:10" ht="24" customHeight="1">
      <c r="A3" s="109" t="s">
        <v>225</v>
      </c>
      <c r="B3" s="110" t="s">
        <v>226</v>
      </c>
      <c r="C3" s="111" t="s">
        <v>227</v>
      </c>
      <c r="D3" s="110" t="s">
        <v>228</v>
      </c>
      <c r="E3" s="111" t="s">
        <v>229</v>
      </c>
      <c r="F3" s="110" t="s">
        <v>430</v>
      </c>
      <c r="G3" s="155" t="s">
        <v>256</v>
      </c>
    </row>
    <row r="4" spans="1:10" ht="15" customHeight="1">
      <c r="A4" s="112"/>
      <c r="B4" s="113" t="s">
        <v>231</v>
      </c>
      <c r="C4" s="114" t="s">
        <v>232</v>
      </c>
      <c r="D4" s="113" t="s">
        <v>233</v>
      </c>
      <c r="E4" s="115" t="s">
        <v>234</v>
      </c>
      <c r="F4" s="113"/>
      <c r="G4" s="156" t="s">
        <v>257</v>
      </c>
    </row>
    <row r="5" spans="1:10" ht="15" customHeight="1">
      <c r="A5" s="112"/>
      <c r="B5" s="113" t="s">
        <v>235</v>
      </c>
      <c r="C5" s="114" t="s">
        <v>236</v>
      </c>
      <c r="D5" s="113"/>
      <c r="E5" s="115" t="s">
        <v>244</v>
      </c>
      <c r="F5" s="113"/>
      <c r="G5" s="156" t="s">
        <v>258</v>
      </c>
    </row>
    <row r="6" spans="1:10" ht="24" customHeight="1">
      <c r="A6" s="167"/>
      <c r="B6" s="117"/>
      <c r="C6" s="118"/>
      <c r="D6" s="117"/>
      <c r="E6" s="119" t="s">
        <v>238</v>
      </c>
      <c r="F6" s="117"/>
      <c r="G6" s="504"/>
    </row>
    <row r="7" spans="1:10" ht="1.5" customHeight="1" thickBot="1">
      <c r="A7" s="120">
        <v>1996</v>
      </c>
      <c r="B7" s="132">
        <v>1753.1648672625149</v>
      </c>
      <c r="C7" s="133">
        <v>1842.1623355260151</v>
      </c>
      <c r="D7" s="132">
        <v>1515.4959144221264</v>
      </c>
      <c r="E7" s="133">
        <v>1176.4588298743031</v>
      </c>
      <c r="F7" s="132">
        <v>1771.0161788756484</v>
      </c>
      <c r="G7" s="158" t="s">
        <v>29</v>
      </c>
    </row>
    <row r="8" spans="1:10" ht="19.5" hidden="1" customHeight="1" thickBot="1">
      <c r="A8" s="123">
        <v>1997</v>
      </c>
      <c r="B8" s="134">
        <v>1811.5958116334416</v>
      </c>
      <c r="C8" s="135">
        <v>2130.0081643172375</v>
      </c>
      <c r="D8" s="134">
        <v>1576.8168903289518</v>
      </c>
      <c r="E8" s="135">
        <v>1389.6088488110106</v>
      </c>
      <c r="F8" s="134">
        <v>1909.5867615098578</v>
      </c>
      <c r="G8" s="159">
        <v>7.8243544179354974E-2</v>
      </c>
      <c r="H8" s="9"/>
      <c r="I8" s="9"/>
      <c r="J8" s="9"/>
    </row>
    <row r="9" spans="1:10" ht="21" hidden="1" customHeight="1" thickBot="1">
      <c r="A9" s="123">
        <v>1998</v>
      </c>
      <c r="B9" s="134">
        <v>1918.0694163570959</v>
      </c>
      <c r="C9" s="135">
        <v>2297.6573623558743</v>
      </c>
      <c r="D9" s="134">
        <v>1557.6743377537739</v>
      </c>
      <c r="E9" s="135">
        <v>1666.142713790621</v>
      </c>
      <c r="F9" s="134">
        <v>2043.088885873075</v>
      </c>
      <c r="G9" s="159">
        <v>6.9911525914465811E-2</v>
      </c>
    </row>
    <row r="10" spans="1:10" ht="21" hidden="1" customHeight="1" thickBot="1">
      <c r="A10" s="123">
        <v>1999</v>
      </c>
      <c r="B10" s="134">
        <v>1950.8999883727415</v>
      </c>
      <c r="C10" s="135">
        <v>2374.4763783142644</v>
      </c>
      <c r="D10" s="134">
        <v>1570.8419091195699</v>
      </c>
      <c r="E10" s="135">
        <v>1752.9616538234313</v>
      </c>
      <c r="F10" s="134">
        <v>2093.8952904812063</v>
      </c>
      <c r="G10" s="159">
        <v>2.4867447010960664E-2</v>
      </c>
    </row>
    <row r="11" spans="1:10" ht="21" hidden="1" customHeight="1" thickBot="1">
      <c r="A11" s="123">
        <v>2000</v>
      </c>
      <c r="B11" s="134">
        <v>2027.0193294058211</v>
      </c>
      <c r="C11" s="135">
        <v>2433.7171249231678</v>
      </c>
      <c r="D11" s="134">
        <v>1662.9240904226378</v>
      </c>
      <c r="E11" s="135">
        <v>1828.3919207533229</v>
      </c>
      <c r="F11" s="134">
        <v>2165.0935277166373</v>
      </c>
      <c r="G11" s="159">
        <v>3.4002768695787333E-2</v>
      </c>
    </row>
    <row r="12" spans="1:10" ht="21" hidden="1" customHeight="1" thickBot="1">
      <c r="A12" s="123">
        <v>2001</v>
      </c>
      <c r="B12" s="134">
        <v>2122.8464393209329</v>
      </c>
      <c r="C12" s="135">
        <v>2484.2689833767849</v>
      </c>
      <c r="D12" s="134">
        <v>1731.3120166424887</v>
      </c>
      <c r="E12" s="135">
        <v>1922.2028434326885</v>
      </c>
      <c r="F12" s="134">
        <v>2245.9151088569452</v>
      </c>
      <c r="G12" s="159">
        <v>3.7329371736446237E-2</v>
      </c>
    </row>
    <row r="13" spans="1:10" ht="21" customHeight="1" thickBot="1">
      <c r="A13" s="123">
        <v>2002</v>
      </c>
      <c r="B13" s="134">
        <v>2285.7395632640332</v>
      </c>
      <c r="C13" s="135">
        <v>2654.9017890161094</v>
      </c>
      <c r="D13" s="134">
        <v>1950.7839810299843</v>
      </c>
      <c r="E13" s="135">
        <v>2240.2987240624661</v>
      </c>
      <c r="F13" s="134">
        <v>2431.415360817261</v>
      </c>
      <c r="G13" s="159">
        <v>8.2594507347486523E-2</v>
      </c>
    </row>
    <row r="14" spans="1:10" ht="21" customHeight="1" thickBot="1">
      <c r="A14" s="123">
        <v>2003</v>
      </c>
      <c r="B14" s="134">
        <v>2510.8199696536694</v>
      </c>
      <c r="C14" s="135">
        <v>2859.9015075571601</v>
      </c>
      <c r="D14" s="134">
        <v>2124.4793305026888</v>
      </c>
      <c r="E14" s="135">
        <v>2210.374964555655</v>
      </c>
      <c r="F14" s="134">
        <v>2632.5643464005784</v>
      </c>
      <c r="G14" s="159">
        <v>8.2729174465569821E-2</v>
      </c>
    </row>
    <row r="15" spans="1:10" ht="21" customHeight="1" thickBot="1">
      <c r="A15" s="123">
        <v>2004</v>
      </c>
      <c r="B15" s="134">
        <v>2690.5459375499613</v>
      </c>
      <c r="C15" s="135">
        <v>3090.7636553345851</v>
      </c>
      <c r="D15" s="134">
        <v>2246.9396743730986</v>
      </c>
      <c r="E15" s="135">
        <v>2415.1482194113514</v>
      </c>
      <c r="F15" s="134">
        <v>2825.4654207596486</v>
      </c>
      <c r="G15" s="159">
        <v>7.3274970324207933E-2</v>
      </c>
    </row>
    <row r="16" spans="1:10" ht="21" customHeight="1" thickBot="1">
      <c r="A16" s="123">
        <v>2005</v>
      </c>
      <c r="B16" s="134">
        <v>2840.2952473424793</v>
      </c>
      <c r="C16" s="135">
        <v>3103.8126743937628</v>
      </c>
      <c r="D16" s="134">
        <v>2376.2836440132501</v>
      </c>
      <c r="E16" s="135">
        <v>2400.5917441113538</v>
      </c>
      <c r="F16" s="134">
        <v>2890.2364327041978</v>
      </c>
      <c r="G16" s="159">
        <v>2.2924015090984629E-2</v>
      </c>
    </row>
    <row r="17" spans="1:7" ht="21" customHeight="1" thickBot="1">
      <c r="A17" s="123">
        <v>2006</v>
      </c>
      <c r="B17" s="134">
        <v>3011.1782609964857</v>
      </c>
      <c r="C17" s="135">
        <v>3242.7971622539844</v>
      </c>
      <c r="D17" s="134">
        <v>2532.6355623862773</v>
      </c>
      <c r="E17" s="135">
        <v>2415.428916702369</v>
      </c>
      <c r="F17" s="134">
        <v>2989.0501689057955</v>
      </c>
      <c r="G17" s="159">
        <v>3.4188807214344141E-2</v>
      </c>
    </row>
    <row r="18" spans="1:7" ht="21" customHeight="1" thickBot="1">
      <c r="A18" s="123">
        <v>2007</v>
      </c>
      <c r="B18" s="134">
        <v>3123.9745528614731</v>
      </c>
      <c r="C18" s="135">
        <v>3317.638542693885</v>
      </c>
      <c r="D18" s="134">
        <v>2650.6385932147032</v>
      </c>
      <c r="E18" s="135">
        <v>2470.5095950288969</v>
      </c>
      <c r="F18" s="134">
        <v>3030.7079491309219</v>
      </c>
      <c r="G18" s="159">
        <v>1.3936795259738233E-2</v>
      </c>
    </row>
    <row r="19" spans="1:7" ht="21" customHeight="1" thickBot="1">
      <c r="A19" s="123">
        <v>2008</v>
      </c>
      <c r="B19" s="134">
        <v>3180.5156961243692</v>
      </c>
      <c r="C19" s="135">
        <v>3344.9015527889869</v>
      </c>
      <c r="D19" s="134">
        <v>2727.0156464501351</v>
      </c>
      <c r="E19" s="135">
        <v>2468.4220560673621</v>
      </c>
      <c r="F19" s="134">
        <v>3017.8598408114649</v>
      </c>
      <c r="G19" s="159">
        <v>-4.2393092752937012E-3</v>
      </c>
    </row>
    <row r="20" spans="1:7" ht="21" customHeight="1" thickBot="1">
      <c r="A20" s="123">
        <v>2009</v>
      </c>
      <c r="B20" s="134">
        <v>3243.4047860779601</v>
      </c>
      <c r="C20" s="135">
        <v>3381.8730613579137</v>
      </c>
      <c r="D20" s="134">
        <v>2806.1776808293953</v>
      </c>
      <c r="E20" s="135">
        <v>2595.8313806278784</v>
      </c>
      <c r="F20" s="134">
        <v>3049.3839126315593</v>
      </c>
      <c r="G20" s="159">
        <v>1.0445836945037756E-2</v>
      </c>
    </row>
    <row r="21" spans="1:7" ht="21" customHeight="1" thickBot="1">
      <c r="A21" s="123">
        <v>2010</v>
      </c>
      <c r="B21" s="134">
        <v>3580.9467455800068</v>
      </c>
      <c r="C21" s="135">
        <v>3784.2286980765448</v>
      </c>
      <c r="D21" s="134">
        <v>3041.1445773385881</v>
      </c>
      <c r="E21" s="135">
        <v>2814.6296923683039</v>
      </c>
      <c r="F21" s="134">
        <v>3272.655736047865</v>
      </c>
      <c r="G21" s="159">
        <v>7.3218666397313781E-2</v>
      </c>
    </row>
    <row r="22" spans="1:7" ht="21" customHeight="1" thickBot="1">
      <c r="A22" s="123">
        <v>2011</v>
      </c>
      <c r="B22" s="134">
        <v>3856.1776135371192</v>
      </c>
      <c r="C22" s="135">
        <v>4048.3761099951839</v>
      </c>
      <c r="D22" s="134">
        <v>3250.9157740142191</v>
      </c>
      <c r="E22" s="135">
        <v>3032.2458588100644</v>
      </c>
      <c r="F22" s="134">
        <v>3460.1407720052912</v>
      </c>
      <c r="G22" s="159">
        <v>5.7288346553627134E-2</v>
      </c>
    </row>
    <row r="23" spans="1:7" ht="21.75" customHeight="1" thickBot="1">
      <c r="A23" s="126">
        <v>2012</v>
      </c>
      <c r="B23" s="136">
        <v>3998.8900709168629</v>
      </c>
      <c r="C23" s="137">
        <v>4211.2079286548915</v>
      </c>
      <c r="D23" s="136">
        <v>3342.0720243318706</v>
      </c>
      <c r="E23" s="137">
        <v>3132.1371464909557</v>
      </c>
      <c r="F23" s="136">
        <v>3541.1003520396157</v>
      </c>
      <c r="G23" s="512">
        <v>2.3397770602091805E-2</v>
      </c>
    </row>
    <row r="24" spans="1:7" ht="20" customHeight="1">
      <c r="A24" s="130" t="s">
        <v>396</v>
      </c>
      <c r="B24" s="130"/>
      <c r="C24" s="130"/>
      <c r="D24" s="130"/>
      <c r="E24" s="130"/>
      <c r="F24" s="130"/>
      <c r="G24" s="513"/>
    </row>
    <row r="25" spans="1:7">
      <c r="G25" s="514"/>
    </row>
    <row r="26" spans="1:7">
      <c r="A26" s="3" t="s">
        <v>2206</v>
      </c>
      <c r="G26" s="514"/>
    </row>
    <row r="27" spans="1:7">
      <c r="G27" s="514"/>
    </row>
    <row r="28" spans="1:7">
      <c r="G28" s="514"/>
    </row>
    <row r="29" spans="1:7" ht="16">
      <c r="A29" s="515" t="s">
        <v>2207</v>
      </c>
      <c r="G29" s="514"/>
    </row>
    <row r="30" spans="1:7">
      <c r="G30" s="514"/>
    </row>
    <row r="31" spans="1:7" ht="18" customHeight="1">
      <c r="A31" s="109" t="s">
        <v>241</v>
      </c>
      <c r="B31" s="110" t="s">
        <v>427</v>
      </c>
      <c r="C31" s="516" t="s">
        <v>256</v>
      </c>
      <c r="D31" s="110" t="s">
        <v>428</v>
      </c>
      <c r="E31" s="516" t="s">
        <v>256</v>
      </c>
      <c r="F31" s="110" t="s">
        <v>629</v>
      </c>
      <c r="G31" s="516" t="s">
        <v>256</v>
      </c>
    </row>
    <row r="32" spans="1:7" ht="18" customHeight="1">
      <c r="A32" s="517"/>
      <c r="B32" s="113" t="s">
        <v>431</v>
      </c>
      <c r="C32" s="518" t="s">
        <v>257</v>
      </c>
      <c r="D32" s="113" t="s">
        <v>432</v>
      </c>
      <c r="E32" s="518" t="s">
        <v>257</v>
      </c>
      <c r="F32" s="113" t="s">
        <v>630</v>
      </c>
      <c r="G32" s="518" t="s">
        <v>257</v>
      </c>
    </row>
    <row r="33" spans="1:7" ht="18" customHeight="1">
      <c r="A33" s="112"/>
      <c r="B33" s="113"/>
      <c r="C33" s="518" t="s">
        <v>258</v>
      </c>
      <c r="D33" s="113"/>
      <c r="E33" s="518" t="s">
        <v>258</v>
      </c>
      <c r="F33" s="113"/>
      <c r="G33" s="518" t="s">
        <v>258</v>
      </c>
    </row>
    <row r="34" spans="1:7" ht="22.75" customHeight="1">
      <c r="A34" s="116"/>
      <c r="B34" s="117"/>
      <c r="C34" s="403"/>
      <c r="D34" s="117"/>
      <c r="E34" s="403"/>
      <c r="F34" s="117"/>
      <c r="G34" s="403"/>
    </row>
    <row r="35" spans="1:7" ht="1.75" customHeight="1" thickBot="1">
      <c r="A35" s="120">
        <v>1996</v>
      </c>
      <c r="B35" s="132" t="s">
        <v>29</v>
      </c>
      <c r="C35" s="133" t="s">
        <v>29</v>
      </c>
      <c r="D35" s="132" t="s">
        <v>29</v>
      </c>
      <c r="E35" s="133" t="s">
        <v>29</v>
      </c>
      <c r="F35" s="132" t="s">
        <v>29</v>
      </c>
      <c r="G35" s="158" t="s">
        <v>29</v>
      </c>
    </row>
    <row r="36" spans="1:7" ht="22.75" hidden="1" customHeight="1" thickBot="1">
      <c r="A36" s="123">
        <v>1997</v>
      </c>
      <c r="B36" s="132">
        <v>635</v>
      </c>
      <c r="C36" s="159" t="s">
        <v>29</v>
      </c>
      <c r="D36" s="132">
        <v>1640.1499999999999</v>
      </c>
      <c r="E36" s="159" t="s">
        <v>29</v>
      </c>
      <c r="F36" s="132">
        <v>2340.06</v>
      </c>
      <c r="G36" s="159" t="s">
        <v>29</v>
      </c>
    </row>
    <row r="37" spans="1:7" ht="22.75" hidden="1" customHeight="1" thickBot="1">
      <c r="A37" s="123">
        <v>1998</v>
      </c>
      <c r="B37" s="132">
        <v>656.52</v>
      </c>
      <c r="C37" s="159">
        <v>3.388976377952746E-2</v>
      </c>
      <c r="D37" s="132">
        <v>1784.45</v>
      </c>
      <c r="E37" s="159">
        <v>8.7979757948968285E-2</v>
      </c>
      <c r="F37" s="132">
        <v>2512.02</v>
      </c>
      <c r="G37" s="159">
        <v>7.3485295248839844E-2</v>
      </c>
    </row>
    <row r="38" spans="1:7" ht="22.75" hidden="1" customHeight="1" thickBot="1">
      <c r="A38" s="123">
        <v>1999</v>
      </c>
      <c r="B38" s="132">
        <v>671.71</v>
      </c>
      <c r="C38" s="159">
        <v>2.3137147383171852E-2</v>
      </c>
      <c r="D38" s="132">
        <v>1815.1499999999999</v>
      </c>
      <c r="E38" s="159">
        <v>1.7204180559836191E-2</v>
      </c>
      <c r="F38" s="132">
        <v>2575.1999999999998</v>
      </c>
      <c r="G38" s="159">
        <v>2.5151073637948773E-2</v>
      </c>
    </row>
    <row r="39" spans="1:7" ht="22.75" hidden="1" customHeight="1" thickBot="1">
      <c r="A39" s="123">
        <v>2000</v>
      </c>
      <c r="B39" s="132">
        <v>693.68000000000006</v>
      </c>
      <c r="C39" s="159">
        <v>3.2707567253725589E-2</v>
      </c>
      <c r="D39" s="132">
        <v>1808.28</v>
      </c>
      <c r="E39" s="159">
        <v>-3.784811172630298E-3</v>
      </c>
      <c r="F39" s="132">
        <v>2662.32</v>
      </c>
      <c r="G39" s="159">
        <v>3.3830382106244228E-2</v>
      </c>
    </row>
    <row r="40" spans="1:7" ht="21" hidden="1" customHeight="1" thickBot="1">
      <c r="A40" s="123">
        <v>2001</v>
      </c>
      <c r="B40" s="132">
        <v>727.81999999999994</v>
      </c>
      <c r="C40" s="159">
        <v>4.9215776727020932E-2</v>
      </c>
      <c r="D40" s="132">
        <v>1832.96</v>
      </c>
      <c r="E40" s="159">
        <v>1.364832879863731E-2</v>
      </c>
      <c r="F40" s="132">
        <v>2775.24</v>
      </c>
      <c r="G40" s="159">
        <v>4.2414135040115264E-2</v>
      </c>
    </row>
    <row r="41" spans="1:7" ht="21" customHeight="1" thickBot="1">
      <c r="A41" s="123">
        <v>2002</v>
      </c>
      <c r="B41" s="132">
        <v>787.46999999999991</v>
      </c>
      <c r="C41" s="159">
        <v>8.1957077299332326E-2</v>
      </c>
      <c r="D41" s="132">
        <v>2041.33</v>
      </c>
      <c r="E41" s="159">
        <v>0.11367951291899425</v>
      </c>
      <c r="F41" s="132">
        <v>2988.54</v>
      </c>
      <c r="G41" s="159">
        <v>7.6858217667661322E-2</v>
      </c>
    </row>
    <row r="42" spans="1:7" ht="21" customHeight="1" thickBot="1">
      <c r="A42" s="123">
        <v>2003</v>
      </c>
      <c r="B42" s="132">
        <v>852.56</v>
      </c>
      <c r="C42" s="159">
        <v>8.2657117096524457E-2</v>
      </c>
      <c r="D42" s="132">
        <v>2294.29</v>
      </c>
      <c r="E42" s="159">
        <v>0.12391920953496016</v>
      </c>
      <c r="F42" s="132">
        <v>3212.78</v>
      </c>
      <c r="G42" s="159">
        <v>7.5033293849170679E-2</v>
      </c>
    </row>
    <row r="43" spans="1:7" ht="21" customHeight="1" thickBot="1">
      <c r="A43" s="123">
        <v>2004</v>
      </c>
      <c r="B43" s="132">
        <v>892.68000000000006</v>
      </c>
      <c r="C43" s="159">
        <v>4.7058271558600095E-2</v>
      </c>
      <c r="D43" s="132">
        <v>2519.2999999999997</v>
      </c>
      <c r="E43" s="159">
        <v>9.8073913934158208E-2</v>
      </c>
      <c r="F43" s="132">
        <v>3430.62</v>
      </c>
      <c r="G43" s="159">
        <v>6.7804206948499424E-2</v>
      </c>
    </row>
    <row r="44" spans="1:7" ht="21" customHeight="1" thickBot="1">
      <c r="A44" s="123">
        <v>2005</v>
      </c>
      <c r="B44" s="132">
        <v>898.43</v>
      </c>
      <c r="C44" s="159">
        <v>6.4412779495450767E-3</v>
      </c>
      <c r="D44" s="132">
        <v>2598.67</v>
      </c>
      <c r="E44" s="159">
        <v>3.1504783074663756E-2</v>
      </c>
      <c r="F44" s="132">
        <v>3506.0200000000004</v>
      </c>
      <c r="G44" s="159">
        <v>2.1978534492307578E-2</v>
      </c>
    </row>
    <row r="45" spans="1:7" ht="21" customHeight="1" thickBot="1">
      <c r="A45" s="123">
        <v>2006</v>
      </c>
      <c r="B45" s="132">
        <v>921.03000000000009</v>
      </c>
      <c r="C45" s="159">
        <v>2.5154992598199311E-2</v>
      </c>
      <c r="D45" s="132">
        <v>2701.55</v>
      </c>
      <c r="E45" s="159">
        <v>3.9589482312105906E-2</v>
      </c>
      <c r="F45" s="132">
        <v>3630.2000000000003</v>
      </c>
      <c r="G45" s="159">
        <v>3.5419079183803825E-2</v>
      </c>
    </row>
    <row r="46" spans="1:7" ht="21" customHeight="1" thickBot="1">
      <c r="A46" s="123">
        <v>2007</v>
      </c>
      <c r="B46" s="132">
        <v>923.76</v>
      </c>
      <c r="C46" s="159">
        <v>2.9640728315036835E-3</v>
      </c>
      <c r="D46" s="132">
        <v>2720.47</v>
      </c>
      <c r="E46" s="159">
        <v>7.0033869445316199E-3</v>
      </c>
      <c r="F46" s="132">
        <v>3670.5600000000004</v>
      </c>
      <c r="G46" s="159">
        <v>1.1117844746845851E-2</v>
      </c>
    </row>
    <row r="47" spans="1:7" ht="21" customHeight="1" thickBot="1">
      <c r="A47" s="123">
        <v>2008</v>
      </c>
      <c r="B47" s="132">
        <v>900.7570192948325</v>
      </c>
      <c r="C47" s="159">
        <v>-2.4901468677110405E-2</v>
      </c>
      <c r="D47" s="132">
        <v>2711.5696629149288</v>
      </c>
      <c r="E47" s="159">
        <v>-3.2716174356162142E-3</v>
      </c>
      <c r="F47" s="132">
        <v>3651.1711467075061</v>
      </c>
      <c r="G47" s="159">
        <v>-5.2822602797650831E-3</v>
      </c>
    </row>
    <row r="48" spans="1:7" ht="21" customHeight="1" thickBot="1">
      <c r="A48" s="123">
        <v>2009</v>
      </c>
      <c r="B48" s="132">
        <v>899.0236454390664</v>
      </c>
      <c r="C48" s="159">
        <v>-1.9243523154813813E-3</v>
      </c>
      <c r="D48" s="132">
        <v>2751.4413723136295</v>
      </c>
      <c r="E48" s="159">
        <v>1.4704291003108105E-2</v>
      </c>
      <c r="F48" s="132">
        <v>3668.3142766978899</v>
      </c>
      <c r="G48" s="159">
        <v>4.6952414174949997E-3</v>
      </c>
    </row>
    <row r="49" spans="1:7" ht="21" customHeight="1" thickBot="1">
      <c r="A49" s="123">
        <v>2010</v>
      </c>
      <c r="B49" s="132">
        <v>964.51625034648475</v>
      </c>
      <c r="C49" s="159">
        <v>7.284858995608845E-2</v>
      </c>
      <c r="D49" s="132">
        <v>3021.122471904001</v>
      </c>
      <c r="E49" s="159">
        <v>9.8014481538308162E-2</v>
      </c>
      <c r="F49" s="132">
        <v>3920.1467433099961</v>
      </c>
      <c r="G49" s="159">
        <v>6.8650733720339474E-2</v>
      </c>
    </row>
    <row r="50" spans="1:7" ht="21" customHeight="1" thickBot="1">
      <c r="A50" s="123">
        <v>2011</v>
      </c>
      <c r="B50" s="132">
        <v>1011.9738750344361</v>
      </c>
      <c r="C50" s="159">
        <v>4.9203551180089677E-2</v>
      </c>
      <c r="D50" s="132">
        <v>3292.6015089816101</v>
      </c>
      <c r="E50" s="159">
        <v>8.9860321652738273E-2</v>
      </c>
      <c r="F50" s="132">
        <v>4126.358810998554</v>
      </c>
      <c r="G50" s="159">
        <v>5.2603150134742593E-2</v>
      </c>
    </row>
    <row r="51" spans="1:7" ht="21.75" customHeight="1" thickBot="1">
      <c r="A51" s="520">
        <v>2012</v>
      </c>
      <c r="B51" s="353">
        <v>1032.6157461849584</v>
      </c>
      <c r="C51" s="512">
        <v>2.0397632448584613E-2</v>
      </c>
      <c r="D51" s="353">
        <v>3436.607284583095</v>
      </c>
      <c r="E51" s="512">
        <v>4.3736168864851654E-2</v>
      </c>
      <c r="F51" s="353">
        <v>4208.5317910464873</v>
      </c>
      <c r="G51" s="512">
        <v>1.9914162536933677E-2</v>
      </c>
    </row>
    <row r="52" spans="1:7" ht="16.75" customHeight="1">
      <c r="A52" s="359" t="s">
        <v>396</v>
      </c>
    </row>
    <row r="54" spans="1:7">
      <c r="A54" s="131" t="str">
        <f>A26</f>
        <v>Quelle: T 3.05 + 2.02</v>
      </c>
    </row>
    <row r="56" spans="1:7">
      <c r="A56" s="336" t="s">
        <v>1624</v>
      </c>
    </row>
    <row r="59" spans="1:7">
      <c r="A59" s="3" t="s">
        <v>395</v>
      </c>
    </row>
  </sheetData>
  <pageMargins left="0.56000000000000005" right="0.54" top="0.5" bottom="0.49" header="0.36" footer="0.4921259845"/>
  <pageSetup paperSize="9" scale="72" orientation="portrait" horizontalDpi="1200" verticalDpi="1200"/>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CD40-6BAA-2143-B796-045CD170A31B}">
  <sheetPr>
    <pageSetUpPr fitToPage="1"/>
  </sheetPr>
  <dimension ref="A1:K32"/>
  <sheetViews>
    <sheetView zoomScaleNormal="100" workbookViewId="0">
      <selection activeCell="G29" sqref="G29"/>
    </sheetView>
  </sheetViews>
  <sheetFormatPr baseColWidth="10" defaultColWidth="11.3984375" defaultRowHeight="13"/>
  <cols>
    <col min="1" max="1" width="20.796875" style="3" customWidth="1"/>
    <col min="2" max="2" width="14.796875" style="3" customWidth="1"/>
    <col min="3" max="3" width="14.796875" style="181" customWidth="1"/>
    <col min="4" max="4" width="14.796875" style="3" customWidth="1"/>
    <col min="5" max="5" width="14.796875" style="181" customWidth="1"/>
    <col min="6" max="6" width="14.796875" style="3" customWidth="1"/>
    <col min="7" max="7" width="14.796875" style="181" customWidth="1"/>
    <col min="8" max="16384" width="11.3984375" style="3"/>
  </cols>
  <sheetData>
    <row r="1" spans="1:11" s="2" customFormat="1" ht="14" customHeight="1">
      <c r="C1" s="161"/>
      <c r="E1" s="161"/>
      <c r="G1" s="161"/>
    </row>
    <row r="2" spans="1:11" s="2" customFormat="1" ht="22.75" customHeight="1">
      <c r="A2" s="164" t="s">
        <v>2196</v>
      </c>
      <c r="C2" s="161"/>
      <c r="E2" s="161"/>
      <c r="G2" s="1653"/>
    </row>
    <row r="3" spans="1:11" ht="24" customHeight="1">
      <c r="A3" s="109" t="s">
        <v>241</v>
      </c>
      <c r="B3" s="110" t="s">
        <v>2197</v>
      </c>
      <c r="C3" s="155" t="s">
        <v>256</v>
      </c>
      <c r="D3" s="110" t="s">
        <v>2198</v>
      </c>
      <c r="E3" s="155" t="s">
        <v>256</v>
      </c>
      <c r="F3" s="110" t="s">
        <v>2199</v>
      </c>
      <c r="G3" s="155" t="s">
        <v>256</v>
      </c>
    </row>
    <row r="4" spans="1:11" ht="15" customHeight="1">
      <c r="A4" s="112"/>
      <c r="B4" s="113"/>
      <c r="C4" s="156" t="s">
        <v>257</v>
      </c>
      <c r="D4" s="113" t="s">
        <v>2200</v>
      </c>
      <c r="E4" s="156" t="s">
        <v>257</v>
      </c>
      <c r="F4" s="113"/>
      <c r="G4" s="156" t="s">
        <v>257</v>
      </c>
    </row>
    <row r="5" spans="1:11" ht="15" customHeight="1">
      <c r="A5" s="112"/>
      <c r="B5" s="113"/>
      <c r="C5" s="156" t="s">
        <v>258</v>
      </c>
      <c r="D5" s="113"/>
      <c r="E5" s="156" t="s">
        <v>258</v>
      </c>
      <c r="F5" s="113"/>
      <c r="G5" s="156" t="s">
        <v>258</v>
      </c>
    </row>
    <row r="6" spans="1:11" ht="24" customHeight="1">
      <c r="A6" s="116"/>
      <c r="B6" s="117"/>
      <c r="C6" s="157"/>
      <c r="D6" s="117"/>
      <c r="E6" s="157"/>
      <c r="F6" s="117"/>
      <c r="G6" s="157"/>
    </row>
    <row r="7" spans="1:11" ht="1.5" customHeight="1" thickBot="1">
      <c r="A7" s="120">
        <v>1996</v>
      </c>
      <c r="B7" s="132">
        <v>5599991</v>
      </c>
      <c r="C7" s="158">
        <v>-1.7950663164953688E-2</v>
      </c>
      <c r="D7" s="132">
        <v>1117084</v>
      </c>
      <c r="E7" s="158">
        <v>-7.0395014962435803E-2</v>
      </c>
      <c r="F7" s="132">
        <v>18812841</v>
      </c>
      <c r="G7" s="158">
        <v>-0.15548674078736344</v>
      </c>
    </row>
    <row r="8" spans="1:11" ht="0.75" hidden="1" customHeight="1" thickBot="1">
      <c r="A8" s="123">
        <v>1997</v>
      </c>
      <c r="B8" s="134">
        <v>5669325</v>
      </c>
      <c r="C8" s="159">
        <v>1.2381091326753918E-2</v>
      </c>
      <c r="D8" s="134">
        <v>1150122</v>
      </c>
      <c r="E8" s="159">
        <v>2.9575215471710273E-2</v>
      </c>
      <c r="F8" s="134">
        <v>18987651</v>
      </c>
      <c r="G8" s="159">
        <v>9.2920574835028899E-3</v>
      </c>
      <c r="I8" s="9"/>
      <c r="J8" s="9"/>
      <c r="K8" s="9"/>
    </row>
    <row r="9" spans="1:11" ht="19.5" hidden="1" customHeight="1" thickBot="1">
      <c r="A9" s="123">
        <v>1998</v>
      </c>
      <c r="B9" s="134">
        <v>5768621</v>
      </c>
      <c r="C9" s="159">
        <v>1.7514607118131346E-2</v>
      </c>
      <c r="D9" s="134">
        <v>1154759</v>
      </c>
      <c r="E9" s="159">
        <v>4.0317461973599323E-3</v>
      </c>
      <c r="F9" s="134">
        <v>17067058</v>
      </c>
      <c r="G9" s="159">
        <v>-0.10114958401120813</v>
      </c>
    </row>
    <row r="10" spans="1:11" ht="19.75" hidden="1" customHeight="1" thickBot="1">
      <c r="A10" s="123">
        <v>1999</v>
      </c>
      <c r="B10" s="134">
        <v>5833167</v>
      </c>
      <c r="C10" s="159">
        <v>1.1189155952523141E-2</v>
      </c>
      <c r="D10" s="134">
        <v>1096033</v>
      </c>
      <c r="E10" s="159">
        <v>-5.085563308014919E-2</v>
      </c>
      <c r="F10" s="134">
        <v>12747160</v>
      </c>
      <c r="G10" s="159">
        <v>-0.25311321963047173</v>
      </c>
    </row>
    <row r="11" spans="1:11" ht="19.25" hidden="1" customHeight="1" thickBot="1">
      <c r="A11" s="123">
        <v>2000</v>
      </c>
      <c r="B11" s="134">
        <v>5947035</v>
      </c>
      <c r="C11" s="159">
        <v>1.9520785192674923E-2</v>
      </c>
      <c r="D11" s="134">
        <v>1097932</v>
      </c>
      <c r="E11" s="159">
        <v>1.7326120655126261E-3</v>
      </c>
      <c r="F11" s="134">
        <v>12447351</v>
      </c>
      <c r="G11" s="159">
        <v>-2.3519670263807781E-2</v>
      </c>
    </row>
    <row r="12" spans="1:11" ht="19.5" hidden="1" customHeight="1" thickBot="1">
      <c r="A12" s="123">
        <v>2001</v>
      </c>
      <c r="B12" s="134">
        <v>6043905</v>
      </c>
      <c r="C12" s="159">
        <v>1.6288789287434831E-2</v>
      </c>
      <c r="D12" s="134">
        <v>1193315</v>
      </c>
      <c r="E12" s="159">
        <v>8.6875143451507014E-2</v>
      </c>
      <c r="F12" s="134">
        <v>12514126</v>
      </c>
      <c r="G12" s="159">
        <v>5.3645952460085683E-3</v>
      </c>
    </row>
    <row r="13" spans="1:11" ht="19.5" customHeight="1" thickBot="1">
      <c r="A13" s="123">
        <v>2002</v>
      </c>
      <c r="B13" s="134">
        <v>6170788</v>
      </c>
      <c r="C13" s="159">
        <v>2.0993546390950885E-2</v>
      </c>
      <c r="D13" s="134">
        <v>1207239</v>
      </c>
      <c r="E13" s="159">
        <v>1.1668335686721444E-2</v>
      </c>
      <c r="F13" s="134">
        <v>12391461</v>
      </c>
      <c r="G13" s="159">
        <v>-9.8021228170469109E-3</v>
      </c>
    </row>
    <row r="14" spans="1:11" ht="19.5" customHeight="1" thickBot="1">
      <c r="A14" s="123">
        <v>2003</v>
      </c>
      <c r="B14" s="134">
        <v>6105077</v>
      </c>
      <c r="C14" s="159">
        <v>-1.0648721038544834E-2</v>
      </c>
      <c r="D14" s="134">
        <v>1148028</v>
      </c>
      <c r="E14" s="159">
        <v>-4.904662622728391E-2</v>
      </c>
      <c r="F14" s="134">
        <v>11395671</v>
      </c>
      <c r="G14" s="159">
        <v>-8.0360984067980368E-2</v>
      </c>
    </row>
    <row r="15" spans="1:11" ht="19.5" customHeight="1" thickBot="1">
      <c r="A15" s="123">
        <v>2004</v>
      </c>
      <c r="B15" s="134">
        <v>6076231</v>
      </c>
      <c r="C15" s="159">
        <v>-4.7249199313948043E-3</v>
      </c>
      <c r="D15" s="134">
        <v>1196146</v>
      </c>
      <c r="E15" s="159">
        <v>4.191361186312529E-2</v>
      </c>
      <c r="F15" s="134">
        <v>11754955</v>
      </c>
      <c r="G15" s="159">
        <v>3.1528112736845422E-2</v>
      </c>
    </row>
    <row r="16" spans="1:11" ht="19.5" customHeight="1" thickBot="1">
      <c r="A16" s="123">
        <v>2005</v>
      </c>
      <c r="B16" s="134">
        <v>6104057</v>
      </c>
      <c r="C16" s="159">
        <v>4.5794835647294807E-3</v>
      </c>
      <c r="D16" s="134">
        <v>1219455</v>
      </c>
      <c r="E16" s="159">
        <v>1.948675161727742E-2</v>
      </c>
      <c r="F16" s="134">
        <v>11492862</v>
      </c>
      <c r="G16" s="159">
        <v>-2.2296384801132829E-2</v>
      </c>
    </row>
    <row r="17" spans="1:7" ht="19.5" customHeight="1" thickBot="1">
      <c r="A17" s="123">
        <v>2006</v>
      </c>
      <c r="B17" s="134">
        <v>6139775</v>
      </c>
      <c r="C17" s="159">
        <v>5.8515180968985447E-3</v>
      </c>
      <c r="D17" s="134">
        <v>1147933</v>
      </c>
      <c r="E17" s="159">
        <v>-5.86507907220849E-2</v>
      </c>
      <c r="F17" s="134">
        <v>11050113</v>
      </c>
      <c r="G17" s="159">
        <v>-3.8523824613921231E-2</v>
      </c>
    </row>
    <row r="18" spans="1:7" ht="19.5" customHeight="1" thickBot="1">
      <c r="A18" s="123">
        <v>2007</v>
      </c>
      <c r="B18" s="134">
        <v>6170950</v>
      </c>
      <c r="C18" s="159">
        <v>5.0775476300026767E-3</v>
      </c>
      <c r="D18" s="134">
        <v>1232442</v>
      </c>
      <c r="E18" s="159">
        <v>7.3618408042978034E-2</v>
      </c>
      <c r="F18" s="134">
        <v>11706006</v>
      </c>
      <c r="G18" s="159">
        <v>5.935622558791942E-2</v>
      </c>
    </row>
    <row r="19" spans="1:7" ht="19.5" customHeight="1" thickBot="1">
      <c r="A19" s="123">
        <v>2008</v>
      </c>
      <c r="B19" s="1088">
        <v>6246787.7832813188</v>
      </c>
      <c r="C19" s="1654">
        <v>1.2289482702228849E-2</v>
      </c>
      <c r="D19" s="134">
        <v>1283429</v>
      </c>
      <c r="E19" s="159">
        <v>4.1370709534404027E-2</v>
      </c>
      <c r="F19" s="134">
        <v>11789734</v>
      </c>
      <c r="G19" s="159">
        <v>7.152567664838072E-3</v>
      </c>
    </row>
    <row r="20" spans="1:7" ht="19.5" customHeight="1" thickBot="1">
      <c r="A20" s="123">
        <v>2009</v>
      </c>
      <c r="B20" s="134">
        <v>6463073</v>
      </c>
      <c r="C20" s="1654">
        <v>3.4623429548469531E-2</v>
      </c>
      <c r="D20" s="134">
        <v>1289334</v>
      </c>
      <c r="E20" s="159">
        <v>4.6009557209631957E-3</v>
      </c>
      <c r="F20" s="134">
        <v>11966875</v>
      </c>
      <c r="G20" s="159">
        <v>1.5025020920743426E-2</v>
      </c>
    </row>
    <row r="21" spans="1:7" ht="19.5" customHeight="1" thickBot="1">
      <c r="A21" s="123">
        <v>2010</v>
      </c>
      <c r="B21" s="134">
        <v>6497094</v>
      </c>
      <c r="C21" s="159">
        <v>5.2639046472164885E-3</v>
      </c>
      <c r="D21" s="134">
        <v>1211453</v>
      </c>
      <c r="E21" s="159">
        <v>-6.0404053565639271E-2</v>
      </c>
      <c r="F21" s="134">
        <v>10978202</v>
      </c>
      <c r="G21" s="159">
        <v>-8.2617475322504852E-2</v>
      </c>
    </row>
    <row r="22" spans="1:7" ht="19.5" customHeight="1" thickBot="1">
      <c r="A22" s="123">
        <v>2011</v>
      </c>
      <c r="B22" s="134">
        <v>6573455</v>
      </c>
      <c r="C22" s="159">
        <v>1.1753100693941088E-2</v>
      </c>
      <c r="D22" s="134">
        <v>1231733</v>
      </c>
      <c r="E22" s="159">
        <v>1.6740228469449558E-2</v>
      </c>
      <c r="F22" s="134">
        <v>11005083.609999999</v>
      </c>
      <c r="G22" s="159">
        <v>2.4486350314922856E-3</v>
      </c>
    </row>
    <row r="23" spans="1:7" ht="27.5" customHeight="1" thickBot="1">
      <c r="A23" s="126">
        <v>2012</v>
      </c>
      <c r="B23" s="136">
        <v>6578622</v>
      </c>
      <c r="C23" s="160">
        <v>7.8604021781547573E-4</v>
      </c>
      <c r="D23" s="136">
        <v>1235537</v>
      </c>
      <c r="E23" s="160">
        <v>3.0883316433025776E-3</v>
      </c>
      <c r="F23" s="136">
        <v>10705859</v>
      </c>
      <c r="G23" s="160">
        <v>-2.7189671664838877E-2</v>
      </c>
    </row>
    <row r="24" spans="1:7" ht="17.5" customHeight="1">
      <c r="A24" s="130" t="s">
        <v>396</v>
      </c>
      <c r="B24" s="130"/>
      <c r="C24" s="194"/>
      <c r="D24" s="130"/>
      <c r="E24" s="194"/>
      <c r="F24" s="130"/>
      <c r="G24" s="194"/>
    </row>
    <row r="25" spans="1:7" ht="12.75" customHeight="1">
      <c r="A25" s="131"/>
      <c r="B25" s="131"/>
      <c r="C25" s="540"/>
      <c r="D25" s="131"/>
      <c r="E25" s="540"/>
      <c r="F25" s="131"/>
      <c r="G25" s="540"/>
    </row>
    <row r="26" spans="1:7" ht="12.75" customHeight="1">
      <c r="A26" s="131" t="s">
        <v>2201</v>
      </c>
      <c r="B26" s="131"/>
      <c r="C26" s="540"/>
      <c r="D26" s="131"/>
      <c r="E26" s="540"/>
      <c r="F26" s="131"/>
      <c r="G26" s="540"/>
    </row>
    <row r="27" spans="1:7" ht="12.75" customHeight="1">
      <c r="A27" s="1655" t="s">
        <v>2202</v>
      </c>
      <c r="B27" s="131"/>
      <c r="C27" s="540"/>
      <c r="D27" s="131"/>
      <c r="E27" s="540"/>
      <c r="F27" s="131"/>
      <c r="G27" s="540"/>
    </row>
    <row r="29" spans="1:7">
      <c r="A29" s="3" t="s">
        <v>2203</v>
      </c>
    </row>
    <row r="32" spans="1:7">
      <c r="A32" s="3" t="s">
        <v>395</v>
      </c>
    </row>
  </sheetData>
  <pageMargins left="0.53" right="0.47" top="0.92" bottom="0.49" header="0.54" footer="0.4921259845"/>
  <pageSetup paperSize="9" scale="85" orientation="portrait" horizontalDpi="4294967292" verticalDpi="4294967292"/>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1AEF-90D9-3046-90B5-62C0F1FE29A3}">
  <sheetPr>
    <pageSetUpPr fitToPage="1"/>
  </sheetPr>
  <dimension ref="A1:G34"/>
  <sheetViews>
    <sheetView zoomScaleNormal="100" workbookViewId="0">
      <selection activeCell="I20" sqref="I20"/>
    </sheetView>
  </sheetViews>
  <sheetFormatPr baseColWidth="10" defaultColWidth="10.796875" defaultRowHeight="13"/>
  <cols>
    <col min="1" max="1" width="36.3984375" style="3" customWidth="1"/>
    <col min="2" max="6" width="14.19921875" style="8" customWidth="1"/>
    <col min="7" max="7" width="14.19921875" style="3" customWidth="1"/>
    <col min="8" max="16384" width="10.796875" style="3"/>
  </cols>
  <sheetData>
    <row r="1" spans="1:7" ht="14" customHeight="1">
      <c r="A1" s="1748"/>
      <c r="B1" s="1749"/>
      <c r="C1" s="1749"/>
      <c r="D1" s="1749"/>
      <c r="E1" s="1749"/>
      <c r="F1" s="1749"/>
      <c r="G1" s="1750"/>
    </row>
    <row r="2" spans="1:7" ht="24" customHeight="1">
      <c r="A2" s="1751" t="s">
        <v>2173</v>
      </c>
      <c r="B2" s="1749"/>
      <c r="C2" s="1749"/>
      <c r="D2" s="1749"/>
      <c r="E2" s="1749"/>
      <c r="F2" s="1749"/>
      <c r="G2" s="1752">
        <v>2012</v>
      </c>
    </row>
    <row r="3" spans="1:7" s="181" customFormat="1" ht="25" customHeight="1">
      <c r="A3" s="671" t="s">
        <v>2174</v>
      </c>
      <c r="B3" s="1753" t="s">
        <v>482</v>
      </c>
      <c r="C3" s="1754" t="s">
        <v>483</v>
      </c>
      <c r="D3" s="1753" t="s">
        <v>429</v>
      </c>
      <c r="E3" s="1755" t="s">
        <v>2175</v>
      </c>
      <c r="F3" s="1756" t="s">
        <v>230</v>
      </c>
      <c r="G3" s="1757" t="s">
        <v>256</v>
      </c>
    </row>
    <row r="4" spans="1:7" s="181" customFormat="1" ht="15" customHeight="1">
      <c r="A4" s="1758"/>
      <c r="B4" s="1759"/>
      <c r="C4" s="1760"/>
      <c r="D4" s="1759"/>
      <c r="E4" s="1760"/>
      <c r="F4" s="1761"/>
      <c r="G4" s="1762" t="s">
        <v>257</v>
      </c>
    </row>
    <row r="5" spans="1:7" s="181" customFormat="1" ht="15" customHeight="1">
      <c r="A5" s="1758"/>
      <c r="B5" s="1759"/>
      <c r="C5" s="1760"/>
      <c r="D5" s="1759"/>
      <c r="E5" s="1760"/>
      <c r="F5" s="1761"/>
      <c r="G5" s="1762" t="s">
        <v>258</v>
      </c>
    </row>
    <row r="6" spans="1:7" s="181" customFormat="1" ht="24" customHeight="1">
      <c r="A6" s="1763"/>
      <c r="B6" s="1764"/>
      <c r="C6" s="1765"/>
      <c r="D6" s="1764"/>
      <c r="E6" s="1765"/>
      <c r="F6" s="1766"/>
      <c r="G6" s="1767"/>
    </row>
    <row r="7" spans="1:7" ht="28.25" customHeight="1" thickBot="1">
      <c r="A7" s="1768" t="s">
        <v>2176</v>
      </c>
      <c r="B7" s="1769">
        <v>3151552.15</v>
      </c>
      <c r="C7" s="1770">
        <v>3292915.95</v>
      </c>
      <c r="D7" s="1769">
        <v>6444468.0999999996</v>
      </c>
      <c r="E7" s="1770">
        <v>1508889.28</v>
      </c>
      <c r="F7" s="1771">
        <v>7953357.3899999997</v>
      </c>
      <c r="G7" s="1772">
        <v>1.1520993835549373E-2</v>
      </c>
    </row>
    <row r="8" spans="1:7" ht="24" customHeight="1" thickBot="1">
      <c r="A8" s="1773" t="s">
        <v>2177</v>
      </c>
      <c r="B8" s="1774">
        <v>2263948</v>
      </c>
      <c r="C8" s="1775">
        <v>2949422</v>
      </c>
      <c r="D8" s="1774">
        <v>5213370</v>
      </c>
      <c r="E8" s="1775">
        <v>1365252</v>
      </c>
      <c r="F8" s="1776">
        <v>6578622</v>
      </c>
      <c r="G8" s="1772">
        <v>7.8604021781544103E-4</v>
      </c>
    </row>
    <row r="9" spans="1:7" ht="23.25" customHeight="1" thickBot="1">
      <c r="A9" s="1773" t="s">
        <v>2178</v>
      </c>
      <c r="B9" s="1777">
        <v>71.84</v>
      </c>
      <c r="C9" s="1778">
        <v>89.57</v>
      </c>
      <c r="D9" s="1777">
        <v>80.896823742521136</v>
      </c>
      <c r="E9" s="1778">
        <v>90.48</v>
      </c>
      <c r="F9" s="1779">
        <v>82.72</v>
      </c>
      <c r="G9" s="1772">
        <v>-1.052631578947363E-2</v>
      </c>
    </row>
    <row r="10" spans="1:7" ht="24" customHeight="1" thickBot="1">
      <c r="A10" s="1773" t="s">
        <v>2179</v>
      </c>
      <c r="B10" s="1774">
        <v>497880</v>
      </c>
      <c r="C10" s="1775">
        <v>658976</v>
      </c>
      <c r="D10" s="1774">
        <v>1156856</v>
      </c>
      <c r="E10" s="1775">
        <v>78681</v>
      </c>
      <c r="F10" s="1776">
        <v>1235537</v>
      </c>
      <c r="G10" s="1772">
        <v>3.0883316433025663E-3</v>
      </c>
    </row>
    <row r="11" spans="1:7" ht="20" hidden="1" customHeight="1" thickBot="1">
      <c r="A11" s="1780"/>
      <c r="B11" s="1781"/>
      <c r="C11" s="1782"/>
      <c r="D11" s="1781"/>
      <c r="E11" s="1782"/>
      <c r="F11" s="1783"/>
      <c r="G11" s="1784"/>
    </row>
    <row r="12" spans="1:7" ht="24" customHeight="1" thickBot="1">
      <c r="A12" s="1773" t="s">
        <v>2180</v>
      </c>
      <c r="B12" s="1777">
        <v>15.8</v>
      </c>
      <c r="C12" s="1778">
        <v>20.010000000000002</v>
      </c>
      <c r="D12" s="1777">
        <v>17.951147900010554</v>
      </c>
      <c r="E12" s="1778">
        <v>5.21</v>
      </c>
      <c r="F12" s="1779">
        <v>15.53</v>
      </c>
      <c r="G12" s="1772">
        <v>-8.9342693044033548E-3</v>
      </c>
    </row>
    <row r="13" spans="1:7" ht="24" customHeight="1" thickBot="1">
      <c r="A13" s="1773" t="s">
        <v>2181</v>
      </c>
      <c r="B13" s="1774">
        <v>4479782</v>
      </c>
      <c r="C13" s="1775">
        <v>5771973</v>
      </c>
      <c r="D13" s="1774">
        <v>10251755</v>
      </c>
      <c r="E13" s="1775">
        <v>454104</v>
      </c>
      <c r="F13" s="1776">
        <v>10705859</v>
      </c>
      <c r="G13" s="1772">
        <v>-2.7189671664838849E-2</v>
      </c>
    </row>
    <row r="14" spans="1:7" ht="20" hidden="1" customHeight="1" thickBot="1">
      <c r="A14" s="1780"/>
      <c r="B14" s="1785"/>
      <c r="C14" s="1782"/>
      <c r="D14" s="1781"/>
      <c r="E14" s="1782"/>
      <c r="F14" s="1783"/>
      <c r="G14" s="1784"/>
    </row>
    <row r="15" spans="1:7" ht="24.5" customHeight="1" thickBot="1">
      <c r="A15" s="1773" t="s">
        <v>2182</v>
      </c>
      <c r="B15" s="1777">
        <v>142.15</v>
      </c>
      <c r="C15" s="1778">
        <v>175.28</v>
      </c>
      <c r="D15" s="1777">
        <v>159.07837296921372</v>
      </c>
      <c r="E15" s="1778">
        <v>30.1</v>
      </c>
      <c r="F15" s="1779">
        <v>134.61000000000001</v>
      </c>
      <c r="G15" s="1772">
        <v>-3.8225207202057687E-2</v>
      </c>
    </row>
    <row r="16" spans="1:7" ht="30" customHeight="1" thickBot="1">
      <c r="A16" s="1786" t="s">
        <v>2183</v>
      </c>
      <c r="B16" s="1787">
        <v>9</v>
      </c>
      <c r="C16" s="1788">
        <v>8.76</v>
      </c>
      <c r="D16" s="1787">
        <v>8.861738193863367</v>
      </c>
      <c r="E16" s="1788">
        <v>5.77</v>
      </c>
      <c r="F16" s="1789">
        <v>8.66</v>
      </c>
      <c r="G16" s="1790">
        <v>-3.0235162374020109E-2</v>
      </c>
    </row>
    <row r="17" spans="1:7" ht="20" customHeight="1">
      <c r="A17" s="1791" t="s">
        <v>396</v>
      </c>
      <c r="B17" s="1792"/>
      <c r="C17" s="1792"/>
      <c r="D17" s="1792"/>
      <c r="E17" s="1792"/>
      <c r="F17" s="1792"/>
      <c r="G17" s="1791"/>
    </row>
    <row r="18" spans="1:7" ht="13.5" customHeight="1">
      <c r="A18" s="1793"/>
      <c r="B18" s="1794"/>
      <c r="C18" s="1794"/>
      <c r="D18" s="1794"/>
      <c r="E18" s="1794"/>
      <c r="F18" s="1794"/>
      <c r="G18" s="1793"/>
    </row>
    <row r="19" spans="1:7" ht="13.5" customHeight="1">
      <c r="A19" s="1793" t="s">
        <v>2184</v>
      </c>
      <c r="B19" s="1794"/>
      <c r="C19" s="1794"/>
      <c r="D19" s="1794"/>
      <c r="E19" s="1794"/>
      <c r="F19" s="1794"/>
      <c r="G19" s="1793"/>
    </row>
    <row r="20" spans="1:7" ht="12.75" customHeight="1">
      <c r="A20" s="1793" t="s">
        <v>2185</v>
      </c>
      <c r="B20" s="1794"/>
      <c r="C20" s="1794"/>
      <c r="D20" s="1794"/>
      <c r="E20" s="1794"/>
      <c r="F20" s="1794"/>
      <c r="G20" s="1793"/>
    </row>
    <row r="21" spans="1:7" ht="12.75" customHeight="1">
      <c r="A21" s="1793" t="s">
        <v>2186</v>
      </c>
      <c r="B21" s="1794"/>
      <c r="C21" s="1794"/>
      <c r="D21" s="1794"/>
      <c r="E21" s="1794"/>
      <c r="F21" s="1794"/>
      <c r="G21" s="1793"/>
    </row>
    <row r="22" spans="1:7" ht="12.75" customHeight="1">
      <c r="A22" s="1652" t="s">
        <v>2187</v>
      </c>
      <c r="B22" s="1749"/>
      <c r="C22" s="1749"/>
      <c r="D22" s="1749"/>
      <c r="E22" s="1749"/>
      <c r="F22" s="1749"/>
      <c r="G22" s="1750"/>
    </row>
    <row r="23" spans="1:7" ht="12.75" customHeight="1">
      <c r="A23" s="1652" t="s">
        <v>2188</v>
      </c>
      <c r="B23" s="1749"/>
      <c r="C23" s="1749"/>
      <c r="D23" s="1749"/>
      <c r="E23" s="1749"/>
      <c r="F23" s="1749"/>
      <c r="G23" s="1750"/>
    </row>
    <row r="24" spans="1:7" ht="12.75" customHeight="1">
      <c r="A24" s="1652" t="s">
        <v>2189</v>
      </c>
      <c r="B24" s="1749"/>
      <c r="C24" s="1749"/>
      <c r="D24" s="1749"/>
      <c r="E24" s="1749"/>
      <c r="F24" s="1749"/>
      <c r="G24" s="1750"/>
    </row>
    <row r="25" spans="1:7" ht="12.75" customHeight="1">
      <c r="A25" s="1652" t="s">
        <v>2190</v>
      </c>
      <c r="B25" s="1749"/>
      <c r="C25" s="1749"/>
      <c r="D25" s="1749"/>
      <c r="E25" s="1749"/>
      <c r="F25" s="1749"/>
      <c r="G25" s="1750"/>
    </row>
    <row r="26" spans="1:7" ht="12.75" customHeight="1">
      <c r="A26" s="1652" t="s">
        <v>2191</v>
      </c>
      <c r="B26" s="1749"/>
      <c r="C26" s="1749"/>
      <c r="D26" s="1749"/>
      <c r="E26" s="1749"/>
      <c r="F26" s="1749"/>
      <c r="G26" s="1750"/>
    </row>
    <row r="27" spans="1:7" ht="12.75" customHeight="1">
      <c r="A27" s="1652" t="s">
        <v>2192</v>
      </c>
      <c r="B27" s="1749"/>
      <c r="C27" s="1749"/>
      <c r="D27" s="1749"/>
      <c r="E27" s="1749"/>
      <c r="F27" s="1749"/>
      <c r="G27" s="1750"/>
    </row>
    <row r="28" spans="1:7" ht="12.75" customHeight="1">
      <c r="A28" s="1652" t="s">
        <v>2193</v>
      </c>
      <c r="B28" s="1749"/>
      <c r="C28" s="1749"/>
      <c r="D28" s="1749"/>
      <c r="E28" s="1749"/>
      <c r="F28" s="1749"/>
      <c r="G28" s="1750"/>
    </row>
    <row r="29" spans="1:7" ht="12.75" customHeight="1">
      <c r="A29" s="1652" t="s">
        <v>2194</v>
      </c>
      <c r="B29" s="1749"/>
      <c r="C29" s="1749"/>
      <c r="D29" s="1749"/>
      <c r="E29" s="1749"/>
      <c r="F29" s="1749"/>
      <c r="G29" s="1750"/>
    </row>
    <row r="30" spans="1:7">
      <c r="A30" s="1750"/>
      <c r="B30" s="1749"/>
      <c r="C30" s="1749"/>
      <c r="D30" s="1749"/>
      <c r="E30" s="1749"/>
      <c r="F30" s="1749"/>
      <c r="G30" s="1750"/>
    </row>
    <row r="31" spans="1:7">
      <c r="A31" s="1750" t="s">
        <v>2195</v>
      </c>
      <c r="B31" s="1749"/>
      <c r="C31" s="1749"/>
      <c r="D31" s="1749"/>
      <c r="E31" s="1749"/>
      <c r="F31" s="1749"/>
      <c r="G31" s="1750"/>
    </row>
    <row r="32" spans="1:7">
      <c r="A32" s="1746"/>
      <c r="B32" s="1745"/>
      <c r="C32" s="1745"/>
      <c r="D32" s="1745"/>
      <c r="E32" s="1745"/>
      <c r="F32" s="1745"/>
      <c r="G32" s="1746"/>
    </row>
    <row r="33" spans="1:7">
      <c r="A33" s="1746"/>
      <c r="B33" s="1745"/>
      <c r="C33" s="1745"/>
      <c r="D33" s="1745"/>
      <c r="E33" s="1745"/>
      <c r="F33" s="1745"/>
      <c r="G33" s="1746"/>
    </row>
    <row r="34" spans="1:7">
      <c r="A34" s="1747" t="s">
        <v>395</v>
      </c>
      <c r="B34" s="1745"/>
      <c r="C34" s="1745"/>
      <c r="D34" s="1745"/>
      <c r="E34" s="1745"/>
      <c r="F34" s="1745"/>
      <c r="G34" s="1746"/>
    </row>
  </sheetData>
  <sheetProtection password="CE1E" sheet="1" objects="1" scenarios="1"/>
  <pageMargins left="0.57999999999999996" right="0.65" top="0.85" bottom="0.47244094488188981" header="0.49" footer="0.51181102362204722"/>
  <pageSetup paperSize="9" scale="74" orientation="portrait" horizontalDpi="1200" verticalDpi="12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F0AB-D2C2-AA48-9E2B-00ABBCDBEE3F}">
  <sheetPr>
    <pageSetUpPr fitToPage="1"/>
  </sheetPr>
  <dimension ref="A1:K42"/>
  <sheetViews>
    <sheetView topLeftCell="A9" zoomScaleNormal="100" workbookViewId="0">
      <selection activeCell="L30" sqref="L30"/>
    </sheetView>
  </sheetViews>
  <sheetFormatPr baseColWidth="10" defaultColWidth="11.3984375" defaultRowHeight="13"/>
  <cols>
    <col min="1" max="1" width="15.3984375" style="3" customWidth="1"/>
    <col min="2" max="9" width="14.59765625" style="283" customWidth="1"/>
    <col min="10" max="10" width="14.3984375" style="283" customWidth="1"/>
    <col min="11" max="11" width="14.19921875" style="283" customWidth="1"/>
    <col min="12" max="16384" width="11.3984375" style="3"/>
  </cols>
  <sheetData>
    <row r="1" spans="1:11" s="2" customFormat="1" ht="14" customHeight="1">
      <c r="A1" s="272"/>
      <c r="B1" s="1577"/>
      <c r="C1" s="1577"/>
      <c r="D1" s="1577"/>
      <c r="E1" s="1577"/>
      <c r="F1" s="1577"/>
      <c r="G1" s="1577"/>
      <c r="H1" s="1577"/>
      <c r="I1" s="1577"/>
      <c r="J1" s="1577"/>
      <c r="K1" s="1577"/>
    </row>
    <row r="2" spans="1:11" s="2" customFormat="1" ht="21.5" customHeight="1">
      <c r="A2" s="461" t="s">
        <v>2160</v>
      </c>
      <c r="B2" s="1601"/>
      <c r="C2" s="1601"/>
      <c r="D2" s="1601"/>
      <c r="E2" s="1601"/>
      <c r="F2" s="1601"/>
      <c r="G2" s="1601"/>
      <c r="H2" s="1601"/>
      <c r="I2" s="1601"/>
      <c r="J2" s="1620"/>
      <c r="K2" s="1027"/>
    </row>
    <row r="3" spans="1:11" ht="25.25" customHeight="1">
      <c r="A3" s="112" t="s">
        <v>241</v>
      </c>
      <c r="B3" s="1621" t="s">
        <v>2161</v>
      </c>
      <c r="C3" s="1622"/>
      <c r="D3" s="1623"/>
      <c r="E3" s="1624"/>
      <c r="F3" s="1625" t="s">
        <v>2162</v>
      </c>
      <c r="G3" s="1626"/>
      <c r="H3" s="1627"/>
      <c r="I3" s="1628"/>
      <c r="J3" s="3"/>
      <c r="K3" s="3"/>
    </row>
    <row r="4" spans="1:11" ht="36" customHeight="1">
      <c r="A4" s="112"/>
      <c r="B4" s="1629" t="s">
        <v>2144</v>
      </c>
      <c r="C4" s="1630"/>
      <c r="D4" s="1631" t="s">
        <v>2163</v>
      </c>
      <c r="E4" s="1632" t="s">
        <v>230</v>
      </c>
      <c r="F4" s="1633" t="s">
        <v>2144</v>
      </c>
      <c r="G4" s="1629"/>
      <c r="H4" s="1631" t="s">
        <v>2163</v>
      </c>
      <c r="I4" s="1632" t="s">
        <v>230</v>
      </c>
      <c r="J4" s="3"/>
      <c r="K4" s="3"/>
    </row>
    <row r="5" spans="1:11" ht="17.5" customHeight="1">
      <c r="A5" s="112"/>
      <c r="B5" s="113" t="s">
        <v>2164</v>
      </c>
      <c r="C5" s="114" t="s">
        <v>233</v>
      </c>
      <c r="D5" s="113" t="s">
        <v>233</v>
      </c>
      <c r="E5" s="114"/>
      <c r="F5" s="1634" t="s">
        <v>2164</v>
      </c>
      <c r="G5" s="114" t="s">
        <v>233</v>
      </c>
      <c r="H5" s="113" t="s">
        <v>233</v>
      </c>
      <c r="I5" s="114"/>
      <c r="J5" s="3"/>
      <c r="K5" s="3"/>
    </row>
    <row r="6" spans="1:11" ht="16.25" customHeight="1">
      <c r="A6" s="112"/>
      <c r="B6" s="113" t="s">
        <v>233</v>
      </c>
      <c r="C6" s="114" t="s">
        <v>2165</v>
      </c>
      <c r="D6" s="113" t="s">
        <v>2166</v>
      </c>
      <c r="E6" s="114"/>
      <c r="F6" s="1634" t="s">
        <v>233</v>
      </c>
      <c r="G6" s="114" t="s">
        <v>2165</v>
      </c>
      <c r="H6" s="113" t="s">
        <v>2166</v>
      </c>
      <c r="I6" s="114"/>
      <c r="J6" s="3"/>
      <c r="K6" s="3"/>
    </row>
    <row r="7" spans="1:11" ht="15" customHeight="1">
      <c r="A7" s="112"/>
      <c r="B7" s="143" t="s">
        <v>2167</v>
      </c>
      <c r="C7" s="780"/>
      <c r="D7" s="143"/>
      <c r="E7" s="780"/>
      <c r="F7" s="1608" t="s">
        <v>2167</v>
      </c>
      <c r="G7" s="114"/>
      <c r="H7" s="113"/>
      <c r="I7" s="114"/>
      <c r="J7" s="3"/>
      <c r="K7" s="3"/>
    </row>
    <row r="8" spans="1:11" ht="13.25" customHeight="1">
      <c r="A8" s="167"/>
      <c r="B8" s="117"/>
      <c r="C8" s="118"/>
      <c r="D8" s="117"/>
      <c r="E8" s="118"/>
      <c r="F8" s="1609"/>
      <c r="G8" s="118"/>
      <c r="H8" s="117"/>
      <c r="I8" s="118"/>
      <c r="J8" s="3"/>
      <c r="K8" s="3"/>
    </row>
    <row r="9" spans="1:11" ht="1.5" customHeight="1" thickBot="1">
      <c r="A9" s="144">
        <v>1991</v>
      </c>
      <c r="B9" s="1610">
        <v>996.2</v>
      </c>
      <c r="C9" s="1611" t="s">
        <v>29</v>
      </c>
      <c r="D9" s="1610">
        <v>780</v>
      </c>
      <c r="E9" s="1611">
        <v>1776.2</v>
      </c>
      <c r="F9" s="1612">
        <v>885.4</v>
      </c>
      <c r="G9" s="1611" t="s">
        <v>29</v>
      </c>
      <c r="H9" s="121">
        <v>649.4</v>
      </c>
      <c r="I9" s="122">
        <v>1534.8</v>
      </c>
      <c r="J9" s="3"/>
      <c r="K9" s="3"/>
    </row>
    <row r="10" spans="1:11" ht="20" hidden="1" customHeight="1" thickBot="1">
      <c r="A10" s="147">
        <v>1992</v>
      </c>
      <c r="B10" s="1613">
        <v>1003.8</v>
      </c>
      <c r="C10" s="1611" t="s">
        <v>29</v>
      </c>
      <c r="D10" s="1615">
        <v>897</v>
      </c>
      <c r="E10" s="1635">
        <v>1900.8</v>
      </c>
      <c r="F10" s="1617">
        <v>923.2</v>
      </c>
      <c r="G10" s="1611" t="s">
        <v>29</v>
      </c>
      <c r="H10" s="1578">
        <v>783.9</v>
      </c>
      <c r="I10" s="1616">
        <v>1707.1</v>
      </c>
      <c r="J10" s="3"/>
      <c r="K10" s="3"/>
    </row>
    <row r="11" spans="1:11" ht="20" hidden="1" customHeight="1" thickBot="1">
      <c r="A11" s="147">
        <v>1993</v>
      </c>
      <c r="B11" s="1613">
        <v>1026.2</v>
      </c>
      <c r="C11" s="1611" t="s">
        <v>29</v>
      </c>
      <c r="D11" s="1615">
        <v>932.8</v>
      </c>
      <c r="E11" s="1635">
        <v>1959</v>
      </c>
      <c r="F11" s="1617">
        <v>928.41399999999999</v>
      </c>
      <c r="G11" s="1611" t="s">
        <v>29</v>
      </c>
      <c r="H11" s="1578">
        <v>833.7</v>
      </c>
      <c r="I11" s="1616">
        <v>1762.114</v>
      </c>
      <c r="J11" s="3"/>
      <c r="K11" s="3"/>
    </row>
    <row r="12" spans="1:11" ht="20" hidden="1" customHeight="1" thickBot="1">
      <c r="A12" s="147">
        <v>1994</v>
      </c>
      <c r="B12" s="1613">
        <v>1052.2</v>
      </c>
      <c r="C12" s="1611" t="s">
        <v>29</v>
      </c>
      <c r="D12" s="1615">
        <v>931.1</v>
      </c>
      <c r="E12" s="1635">
        <v>1983.3000000000002</v>
      </c>
      <c r="F12" s="1617">
        <v>983.23500000000001</v>
      </c>
      <c r="G12" s="1611" t="s">
        <v>29</v>
      </c>
      <c r="H12" s="1578">
        <v>876.1</v>
      </c>
      <c r="I12" s="1616">
        <v>1859.335</v>
      </c>
      <c r="J12" s="3"/>
      <c r="K12" s="3"/>
    </row>
    <row r="13" spans="1:11" ht="19.5" hidden="1" customHeight="1" thickBot="1">
      <c r="A13" s="147">
        <v>1995</v>
      </c>
      <c r="B13" s="1613">
        <v>1073.0999999999999</v>
      </c>
      <c r="C13" s="1611" t="s">
        <v>29</v>
      </c>
      <c r="D13" s="1615">
        <v>935</v>
      </c>
      <c r="E13" s="1635">
        <v>2008.1</v>
      </c>
      <c r="F13" s="1617">
        <v>1017.388</v>
      </c>
      <c r="G13" s="1611" t="s">
        <v>29</v>
      </c>
      <c r="H13" s="1578">
        <v>901.4</v>
      </c>
      <c r="I13" s="1616">
        <v>1918.788</v>
      </c>
      <c r="J13" s="3"/>
      <c r="K13" s="3"/>
    </row>
    <row r="14" spans="1:11" ht="0.75" hidden="1" customHeight="1" thickBot="1">
      <c r="A14" s="147">
        <v>1996</v>
      </c>
      <c r="B14" s="1613">
        <v>832</v>
      </c>
      <c r="C14" s="1614">
        <v>180.9</v>
      </c>
      <c r="D14" s="1615">
        <v>978.3</v>
      </c>
      <c r="E14" s="1635">
        <v>1991.1999999999998</v>
      </c>
      <c r="F14" s="1617">
        <v>872.50191104999999</v>
      </c>
      <c r="G14" s="1614">
        <v>116.7</v>
      </c>
      <c r="H14" s="1578">
        <v>846.1</v>
      </c>
      <c r="I14" s="1616">
        <v>1835.3019110499999</v>
      </c>
      <c r="J14"/>
      <c r="K14" s="3"/>
    </row>
    <row r="15" spans="1:11" ht="19.5" hidden="1" customHeight="1" thickBot="1">
      <c r="A15" s="147">
        <v>1997</v>
      </c>
      <c r="B15" s="1613">
        <v>558.9</v>
      </c>
      <c r="C15" s="125">
        <v>393.8</v>
      </c>
      <c r="D15" s="124">
        <v>1319.9</v>
      </c>
      <c r="E15" s="1611">
        <v>2272.6000000000004</v>
      </c>
      <c r="F15" s="1617">
        <v>621.52611999999999</v>
      </c>
      <c r="G15" s="125">
        <v>335.7</v>
      </c>
      <c r="H15" s="124">
        <v>1082.8</v>
      </c>
      <c r="I15" s="122">
        <v>2040.02612</v>
      </c>
      <c r="J15"/>
      <c r="K15" s="3"/>
    </row>
    <row r="16" spans="1:11" ht="0.75" hidden="1" customHeight="1" thickBot="1">
      <c r="A16" s="147">
        <v>1998</v>
      </c>
      <c r="B16" s="1613">
        <v>509.6</v>
      </c>
      <c r="C16" s="125">
        <v>508.1</v>
      </c>
      <c r="D16" s="124">
        <v>1428.4</v>
      </c>
      <c r="E16" s="1611">
        <v>2446.1000000000004</v>
      </c>
      <c r="F16" s="1617">
        <v>456.36259100000001</v>
      </c>
      <c r="G16" s="125">
        <v>453.7</v>
      </c>
      <c r="H16" s="124">
        <v>1137.0999999999999</v>
      </c>
      <c r="I16" s="122">
        <v>2047.1625909999998</v>
      </c>
      <c r="J16"/>
      <c r="K16" s="3"/>
    </row>
    <row r="17" spans="1:11" ht="19.75" hidden="1" customHeight="1" thickBot="1">
      <c r="A17" s="147">
        <v>1999</v>
      </c>
      <c r="B17" s="1613">
        <v>462.9</v>
      </c>
      <c r="C17" s="125">
        <v>442.7</v>
      </c>
      <c r="D17" s="124">
        <v>1337.8</v>
      </c>
      <c r="E17" s="1611">
        <v>2243.3999999999996</v>
      </c>
      <c r="F17" s="1617">
        <v>412.14915300000001</v>
      </c>
      <c r="G17" s="125">
        <v>385.2</v>
      </c>
      <c r="H17" s="124">
        <v>1077.5</v>
      </c>
      <c r="I17" s="122">
        <v>1874.8491530000001</v>
      </c>
      <c r="J17"/>
      <c r="K17" s="3"/>
    </row>
    <row r="18" spans="1:11" ht="20" hidden="1" customHeight="1" thickBot="1">
      <c r="A18" s="147">
        <v>2000</v>
      </c>
      <c r="B18" s="1613">
        <v>438.9</v>
      </c>
      <c r="C18" s="125">
        <v>339.7</v>
      </c>
      <c r="D18" s="124">
        <v>1636.2</v>
      </c>
      <c r="E18" s="1611">
        <v>2414.8000000000002</v>
      </c>
      <c r="F18" s="1617">
        <v>381.63992000000002</v>
      </c>
      <c r="G18" s="125">
        <v>299.2</v>
      </c>
      <c r="H18" s="124">
        <v>1334.1</v>
      </c>
      <c r="I18" s="122">
        <v>2014.9399199999998</v>
      </c>
      <c r="J18"/>
      <c r="K18" s="3"/>
    </row>
    <row r="19" spans="1:11" ht="20" hidden="1" customHeight="1" thickBot="1">
      <c r="A19" s="147">
        <v>2001</v>
      </c>
      <c r="B19" s="1613">
        <v>398.65</v>
      </c>
      <c r="C19" s="125">
        <v>248.38</v>
      </c>
      <c r="D19" s="124">
        <v>1850.78</v>
      </c>
      <c r="E19" s="1611">
        <v>2497.81</v>
      </c>
      <c r="F19" s="1617">
        <v>351.97137099999998</v>
      </c>
      <c r="G19" s="125">
        <v>201.85</v>
      </c>
      <c r="H19" s="124">
        <v>1595.15</v>
      </c>
      <c r="I19" s="122">
        <v>2148.9713710000001</v>
      </c>
      <c r="J19"/>
      <c r="K19" s="3"/>
    </row>
    <row r="20" spans="1:11" ht="20" customHeight="1" thickBot="1">
      <c r="A20" s="147">
        <v>2002</v>
      </c>
      <c r="B20" s="1613">
        <v>370.90300000000002</v>
      </c>
      <c r="C20" s="125">
        <v>248.779527</v>
      </c>
      <c r="D20" s="124">
        <v>1945.9522629999999</v>
      </c>
      <c r="E20" s="1611">
        <v>2565.6347900000001</v>
      </c>
      <c r="F20" s="1617">
        <v>329.149</v>
      </c>
      <c r="G20" s="125">
        <v>227.06825000000001</v>
      </c>
      <c r="H20" s="124">
        <v>1700.9860189999999</v>
      </c>
      <c r="I20" s="122">
        <v>2257.2032690000001</v>
      </c>
      <c r="J20"/>
      <c r="K20" s="3"/>
    </row>
    <row r="21" spans="1:11" ht="20" customHeight="1" thickBot="1">
      <c r="A21" s="147">
        <v>2003</v>
      </c>
      <c r="B21" s="1613">
        <v>354.08080662000003</v>
      </c>
      <c r="C21" s="125">
        <v>295.50233600000001</v>
      </c>
      <c r="D21" s="124">
        <v>2059.7853359999999</v>
      </c>
      <c r="E21" s="1611">
        <v>2709.3684786200001</v>
      </c>
      <c r="F21" s="1617">
        <v>309.91303072000005</v>
      </c>
      <c r="G21" s="125">
        <v>266.92607400000003</v>
      </c>
      <c r="H21" s="124">
        <v>1821.754373</v>
      </c>
      <c r="I21" s="122">
        <v>2398.59347772</v>
      </c>
      <c r="J21"/>
      <c r="K21" s="3"/>
    </row>
    <row r="22" spans="1:11" ht="20" customHeight="1" thickBot="1">
      <c r="A22" s="147">
        <v>2004</v>
      </c>
      <c r="B22" s="1613">
        <v>354.05374882999996</v>
      </c>
      <c r="C22" s="125">
        <v>465.97641131</v>
      </c>
      <c r="D22" s="124">
        <v>2199.5077430000001</v>
      </c>
      <c r="E22" s="1611">
        <v>3019.5379031399998</v>
      </c>
      <c r="F22" s="1617">
        <v>277.93515424999998</v>
      </c>
      <c r="G22" s="125">
        <v>341.37247587999997</v>
      </c>
      <c r="H22" s="124">
        <v>1729.046304</v>
      </c>
      <c r="I22" s="122">
        <v>2348.3539341300002</v>
      </c>
      <c r="J22"/>
      <c r="K22" s="3"/>
    </row>
    <row r="23" spans="1:11" ht="20" customHeight="1" thickBot="1">
      <c r="A23" s="147">
        <v>2005</v>
      </c>
      <c r="B23" s="1636">
        <v>340.05814830000003</v>
      </c>
      <c r="C23" s="1637">
        <v>497.83377424000003</v>
      </c>
      <c r="D23" s="1638">
        <v>2145.0129550000001</v>
      </c>
      <c r="E23" s="1639">
        <v>2982.9048775400001</v>
      </c>
      <c r="F23" s="1640">
        <v>251.06148209</v>
      </c>
      <c r="G23" s="1637">
        <v>268.00454783000004</v>
      </c>
      <c r="H23" s="1638">
        <v>1547.535421</v>
      </c>
      <c r="I23" s="122">
        <v>2066.6014509199999</v>
      </c>
      <c r="J23"/>
      <c r="K23" s="3"/>
    </row>
    <row r="24" spans="1:11" ht="20" customHeight="1" thickBot="1">
      <c r="A24" s="147">
        <v>2006</v>
      </c>
      <c r="B24" s="1641">
        <v>315.75842189999997</v>
      </c>
      <c r="C24" s="1642">
        <v>549.01423610000006</v>
      </c>
      <c r="D24" s="1643">
        <v>2152.4333590000001</v>
      </c>
      <c r="E24" s="1644">
        <v>3017.2060170000004</v>
      </c>
      <c r="F24" s="1645">
        <v>220.62135384000001</v>
      </c>
      <c r="G24" s="1642">
        <v>347.81852166000004</v>
      </c>
      <c r="H24" s="1643">
        <v>1471.853128</v>
      </c>
      <c r="I24" s="122">
        <v>2040.2930034999999</v>
      </c>
      <c r="J24"/>
      <c r="K24" s="3"/>
    </row>
    <row r="25" spans="1:11" ht="20" customHeight="1" thickBot="1">
      <c r="A25" s="147">
        <v>2007</v>
      </c>
      <c r="B25" s="1641">
        <v>299.25460810000004</v>
      </c>
      <c r="C25" s="1642">
        <v>544.40750937999996</v>
      </c>
      <c r="D25" s="1643">
        <v>2152.1659110000001</v>
      </c>
      <c r="E25" s="1644">
        <v>2995.8280284800003</v>
      </c>
      <c r="F25" s="1645">
        <v>207.71949052000002</v>
      </c>
      <c r="G25" s="1642">
        <v>361.81478957000002</v>
      </c>
      <c r="H25" s="1643">
        <v>1413.613732</v>
      </c>
      <c r="I25" s="122">
        <v>1983.1480120900001</v>
      </c>
      <c r="J25"/>
      <c r="K25" s="3"/>
    </row>
    <row r="26" spans="1:11" ht="20" customHeight="1" thickBot="1">
      <c r="A26" s="147">
        <v>2008</v>
      </c>
      <c r="B26" s="1641">
        <v>279.14776779000005</v>
      </c>
      <c r="C26" s="1642">
        <v>601.73837565999997</v>
      </c>
      <c r="D26" s="1643">
        <v>2165.5996903400001</v>
      </c>
      <c r="E26" s="1644">
        <v>3046.48583379</v>
      </c>
      <c r="F26" s="1645">
        <v>198.28855634000001</v>
      </c>
      <c r="G26" s="1642">
        <v>376.54164749</v>
      </c>
      <c r="H26" s="1643">
        <v>1588.33368651</v>
      </c>
      <c r="I26" s="122">
        <v>2163.1638903399999</v>
      </c>
      <c r="J26"/>
      <c r="K26" s="3"/>
    </row>
    <row r="27" spans="1:11" ht="20" customHeight="1" thickBot="1">
      <c r="A27" s="147">
        <v>2009</v>
      </c>
      <c r="B27" s="1641">
        <v>266.99439283000004</v>
      </c>
      <c r="C27" s="1642">
        <v>613.90236912</v>
      </c>
      <c r="D27" s="1643">
        <v>2277.2683508800001</v>
      </c>
      <c r="E27" s="1644">
        <v>3158.16511283</v>
      </c>
      <c r="F27" s="1645">
        <v>197.19709062000001</v>
      </c>
      <c r="G27" s="1642">
        <v>416.67744579000004</v>
      </c>
      <c r="H27" s="1643">
        <v>1765.9177112100001</v>
      </c>
      <c r="I27" s="122">
        <v>2379.7922476200001</v>
      </c>
      <c r="J27"/>
      <c r="K27" s="3"/>
    </row>
    <row r="28" spans="1:11" ht="20" customHeight="1" thickBot="1">
      <c r="A28" s="147">
        <v>2010</v>
      </c>
      <c r="B28" s="1641">
        <v>247.74789125999999</v>
      </c>
      <c r="C28" s="1642">
        <v>635.46234808000008</v>
      </c>
      <c r="D28" s="1643">
        <v>2210.8710219199997</v>
      </c>
      <c r="E28" s="1644">
        <v>3094.0812612599998</v>
      </c>
      <c r="F28" s="1645">
        <v>191.64464322000001</v>
      </c>
      <c r="G28" s="1642">
        <v>422.56109957000001</v>
      </c>
      <c r="H28" s="1643">
        <v>1869.3956174300001</v>
      </c>
      <c r="I28" s="122">
        <v>2483.6013602200001</v>
      </c>
      <c r="J28"/>
      <c r="K28" s="3"/>
    </row>
    <row r="29" spans="1:11" ht="20" customHeight="1" thickBot="1">
      <c r="A29" s="147">
        <v>2011</v>
      </c>
      <c r="B29" s="1641">
        <v>240.00022977</v>
      </c>
      <c r="C29" s="1642">
        <v>609.69295476000002</v>
      </c>
      <c r="D29" s="1643">
        <v>2324.8161742399998</v>
      </c>
      <c r="E29" s="1644">
        <v>3174.5093587699998</v>
      </c>
      <c r="F29" s="1645">
        <v>188.23914556</v>
      </c>
      <c r="G29" s="1642">
        <v>541.66194351000001</v>
      </c>
      <c r="H29" s="1643">
        <v>1827.5736344899997</v>
      </c>
      <c r="I29" s="122">
        <v>2557.4747235599998</v>
      </c>
      <c r="J29"/>
      <c r="K29" s="3"/>
    </row>
    <row r="30" spans="1:11" s="411" customFormat="1" ht="27.75" customHeight="1" thickBot="1">
      <c r="A30" s="150">
        <v>2012</v>
      </c>
      <c r="B30" s="1646" vm="64">
        <v>244.97867042000004</v>
      </c>
      <c r="C30" s="128">
        <v>663.39876769999978</v>
      </c>
      <c r="D30" s="127">
        <v>2402.9048933000004</v>
      </c>
      <c r="E30" s="1647">
        <v>3311.2823314200004</v>
      </c>
      <c r="F30" s="1648" vm="59">
        <v>188.25054941999997</v>
      </c>
      <c r="G30" s="128">
        <v>575.43215141999997</v>
      </c>
      <c r="H30" s="127">
        <v>1956.3880945800001</v>
      </c>
      <c r="I30" s="1647">
        <v>2720.0707954200002</v>
      </c>
      <c r="J30" s="1649"/>
      <c r="K30" s="1650"/>
    </row>
    <row r="31" spans="1:11" ht="17.5" customHeight="1">
      <c r="A31" s="1585" t="s">
        <v>2204</v>
      </c>
      <c r="B31" s="1586"/>
      <c r="C31" s="1586"/>
      <c r="D31" s="1586"/>
      <c r="E31" s="1586"/>
      <c r="F31" s="1586"/>
      <c r="G31" s="1586"/>
      <c r="H31" s="1586"/>
      <c r="I31" s="1586"/>
      <c r="J31" s="1340"/>
      <c r="K31" s="1340"/>
    </row>
    <row r="32" spans="1:11" ht="13.5" customHeight="1">
      <c r="A32" s="1587"/>
      <c r="B32" s="1340"/>
      <c r="C32" s="1340"/>
      <c r="D32" s="1340"/>
      <c r="E32" s="1340"/>
      <c r="F32" s="1340"/>
      <c r="G32" s="1340"/>
      <c r="H32" s="1340"/>
      <c r="I32" s="1340"/>
      <c r="J32" s="1340"/>
      <c r="K32" s="1340"/>
    </row>
    <row r="33" spans="1:11">
      <c r="A33" s="4" t="s">
        <v>2168</v>
      </c>
      <c r="B33" s="176"/>
      <c r="C33" s="176"/>
      <c r="D33" s="176"/>
      <c r="E33" s="176"/>
      <c r="F33" s="176"/>
      <c r="G33" s="176"/>
      <c r="H33" s="176"/>
      <c r="I33" s="176"/>
      <c r="J33" s="176"/>
      <c r="K33" s="176"/>
    </row>
    <row r="34" spans="1:11">
      <c r="A34" s="4" t="s">
        <v>2169</v>
      </c>
      <c r="B34" s="176"/>
      <c r="C34" s="176"/>
      <c r="D34" s="176"/>
      <c r="E34" s="176"/>
      <c r="F34" s="176"/>
      <c r="G34" s="176"/>
      <c r="H34" s="176"/>
      <c r="I34" s="176"/>
      <c r="J34" s="176"/>
      <c r="K34" s="176"/>
    </row>
    <row r="35" spans="1:11">
      <c r="A35" s="4" t="s">
        <v>2170</v>
      </c>
      <c r="B35" s="176"/>
      <c r="C35" s="176"/>
      <c r="D35" s="176"/>
      <c r="E35" s="176"/>
      <c r="F35" s="176"/>
      <c r="G35" s="176"/>
      <c r="H35" s="176"/>
      <c r="I35" s="176"/>
      <c r="J35" s="176"/>
      <c r="K35" s="176"/>
    </row>
    <row r="36" spans="1:11">
      <c r="A36" s="60" t="s">
        <v>2171</v>
      </c>
      <c r="B36" s="176"/>
      <c r="C36" s="176"/>
      <c r="D36" s="176"/>
      <c r="E36" s="176"/>
      <c r="F36" s="176"/>
      <c r="G36" s="176"/>
      <c r="H36" s="176"/>
      <c r="I36" s="176"/>
      <c r="J36" s="176"/>
      <c r="K36" s="176"/>
    </row>
    <row r="37" spans="1:11">
      <c r="A37" s="1587" t="s">
        <v>2152</v>
      </c>
      <c r="B37" s="176"/>
      <c r="C37" s="176"/>
      <c r="D37" s="176"/>
      <c r="E37" s="176"/>
      <c r="F37" s="176"/>
      <c r="G37" s="176"/>
      <c r="H37" s="176"/>
      <c r="I37" s="176"/>
      <c r="J37" s="176"/>
      <c r="K37" s="176"/>
    </row>
    <row r="38" spans="1:11">
      <c r="A38" s="1587" t="s">
        <v>2153</v>
      </c>
      <c r="B38" s="176"/>
      <c r="C38" s="176"/>
      <c r="D38" s="176"/>
      <c r="E38" s="176"/>
      <c r="F38" s="176"/>
      <c r="G38" s="176"/>
      <c r="H38" s="176"/>
      <c r="I38" s="176"/>
      <c r="J38" s="176"/>
      <c r="K38" s="176"/>
    </row>
    <row r="39" spans="1:11">
      <c r="A39" s="60" t="s">
        <v>2172</v>
      </c>
      <c r="B39" s="176"/>
      <c r="C39" s="176"/>
      <c r="D39" s="176"/>
      <c r="E39" s="176"/>
      <c r="F39" s="176"/>
      <c r="G39" s="176"/>
      <c r="H39" s="176"/>
      <c r="I39" s="176"/>
      <c r="J39" s="176"/>
      <c r="K39" s="176"/>
    </row>
    <row r="40" spans="1:11">
      <c r="A40" s="1651"/>
      <c r="B40" s="176"/>
      <c r="C40" s="176"/>
      <c r="D40" s="176"/>
      <c r="E40" s="176"/>
      <c r="F40" s="176"/>
      <c r="G40" s="176"/>
      <c r="H40" s="176"/>
      <c r="I40" s="176"/>
      <c r="J40" s="176"/>
      <c r="K40" s="176"/>
    </row>
    <row r="42" spans="1:11">
      <c r="A42" s="3" t="s">
        <v>395</v>
      </c>
    </row>
  </sheetData>
  <pageMargins left="0.47244094488188981" right="0.43307086614173229" top="0.62992125984251968" bottom="0.47244094488188981" header="0.39370078740157483" footer="0.51181102362204722"/>
  <pageSetup paperSize="9" scale="85" orientation="landscape"/>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50995-1AA2-E04B-8D0B-EBF8533EB577}">
  <sheetPr>
    <pageSetUpPr fitToPage="1"/>
  </sheetPr>
  <dimension ref="A1:L45"/>
  <sheetViews>
    <sheetView topLeftCell="A19" zoomScaleNormal="100" workbookViewId="0">
      <selection activeCell="A35" sqref="A35"/>
    </sheetView>
  </sheetViews>
  <sheetFormatPr baseColWidth="10" defaultColWidth="11.3984375" defaultRowHeight="13"/>
  <cols>
    <col min="1" max="1" width="13" style="3" customWidth="1"/>
    <col min="2" max="2" width="17" style="283" customWidth="1"/>
    <col min="3" max="3" width="17.3984375" style="283" customWidth="1"/>
    <col min="4" max="4" width="16.796875" style="283" customWidth="1"/>
    <col min="5" max="5" width="15.19921875" style="283" customWidth="1"/>
    <col min="6" max="6" width="16.3984375" style="283" customWidth="1"/>
    <col min="7" max="7" width="17.59765625" style="283" customWidth="1"/>
    <col min="8" max="8" width="17.19921875" style="283" customWidth="1"/>
    <col min="9" max="9" width="16.3984375" style="283" customWidth="1"/>
    <col min="10" max="10" width="9.59765625" style="3" customWidth="1"/>
    <col min="11" max="16384" width="11.3984375" style="3"/>
  </cols>
  <sheetData>
    <row r="1" spans="1:12" s="2" customFormat="1" ht="14" customHeight="1">
      <c r="A1" s="272"/>
      <c r="B1" s="1577"/>
      <c r="C1" s="1577"/>
      <c r="D1" s="1577"/>
      <c r="E1" s="1577"/>
      <c r="F1" s="1577"/>
      <c r="G1" s="1577"/>
      <c r="H1" s="1577"/>
      <c r="I1" s="1577"/>
    </row>
    <row r="2" spans="1:12" s="2" customFormat="1" ht="24.5" customHeight="1">
      <c r="A2" s="461" t="s">
        <v>2143</v>
      </c>
      <c r="B2" s="1601"/>
      <c r="C2" s="1601"/>
      <c r="D2" s="1601"/>
      <c r="E2" s="1601"/>
      <c r="F2" s="1601"/>
      <c r="G2" s="1601"/>
      <c r="H2" s="1601"/>
      <c r="I2" s="140"/>
    </row>
    <row r="3" spans="1:12" ht="20" customHeight="1">
      <c r="A3" s="112" t="s">
        <v>241</v>
      </c>
      <c r="B3" s="1602" t="s">
        <v>1235</v>
      </c>
      <c r="C3" s="114"/>
      <c r="D3" s="113"/>
      <c r="E3" s="227" t="s">
        <v>230</v>
      </c>
      <c r="F3" s="1603" t="s">
        <v>1680</v>
      </c>
      <c r="G3" s="112"/>
      <c r="H3" s="347"/>
      <c r="I3" s="227" t="s">
        <v>230</v>
      </c>
    </row>
    <row r="4" spans="1:12" ht="33" customHeight="1">
      <c r="A4" s="112"/>
      <c r="B4" s="469" t="s">
        <v>2144</v>
      </c>
      <c r="C4" s="1604"/>
      <c r="D4" s="1605" t="s">
        <v>2145</v>
      </c>
      <c r="E4" s="1606"/>
      <c r="F4" s="1607" t="s">
        <v>2144</v>
      </c>
      <c r="G4" s="468"/>
      <c r="H4" s="1605" t="s">
        <v>2145</v>
      </c>
      <c r="I4" s="1606"/>
    </row>
    <row r="5" spans="1:12" ht="15" customHeight="1">
      <c r="A5" s="112"/>
      <c r="B5" s="143" t="s">
        <v>2146</v>
      </c>
      <c r="C5" s="780" t="s">
        <v>1470</v>
      </c>
      <c r="D5" s="143" t="s">
        <v>233</v>
      </c>
      <c r="E5" s="114"/>
      <c r="F5" s="1608" t="s">
        <v>2146</v>
      </c>
      <c r="G5" s="780" t="s">
        <v>1470</v>
      </c>
      <c r="H5" s="143" t="s">
        <v>233</v>
      </c>
      <c r="I5" s="114"/>
    </row>
    <row r="6" spans="1:12" ht="17.25" customHeight="1">
      <c r="A6" s="112"/>
      <c r="B6" s="143" t="s">
        <v>2147</v>
      </c>
      <c r="C6" s="780" t="s">
        <v>2148</v>
      </c>
      <c r="D6" s="143" t="s">
        <v>1459</v>
      </c>
      <c r="E6" s="114"/>
      <c r="F6" s="1608" t="s">
        <v>2147</v>
      </c>
      <c r="G6" s="780" t="s">
        <v>2148</v>
      </c>
      <c r="H6" s="143" t="s">
        <v>1459</v>
      </c>
      <c r="I6" s="114"/>
    </row>
    <row r="7" spans="1:12" ht="16.5" customHeight="1">
      <c r="A7" s="167"/>
      <c r="B7" s="117"/>
      <c r="C7" s="118"/>
      <c r="D7" s="117"/>
      <c r="E7" s="118"/>
      <c r="F7" s="1609"/>
      <c r="G7" s="118"/>
      <c r="H7" s="117"/>
      <c r="I7" s="118"/>
    </row>
    <row r="8" spans="1:12" ht="1.5" customHeight="1" thickBot="1">
      <c r="A8" s="144">
        <v>1991</v>
      </c>
      <c r="B8" s="1610">
        <v>7381.6</v>
      </c>
      <c r="C8" s="1611">
        <v>2030</v>
      </c>
      <c r="D8" s="1610">
        <v>763.6</v>
      </c>
      <c r="E8" s="122">
        <v>10175.200000000001</v>
      </c>
      <c r="F8" s="1612">
        <v>8411.9</v>
      </c>
      <c r="G8" s="1611">
        <v>1717.6</v>
      </c>
      <c r="H8" s="1610">
        <v>608.6</v>
      </c>
      <c r="I8" s="122">
        <v>10738.1</v>
      </c>
    </row>
    <row r="9" spans="1:12" ht="20" hidden="1" customHeight="1" thickBot="1">
      <c r="A9" s="147">
        <v>1992</v>
      </c>
      <c r="B9" s="1613">
        <v>8071.6</v>
      </c>
      <c r="C9" s="1614">
        <v>2234.5</v>
      </c>
      <c r="D9" s="1615">
        <v>751.05194456734102</v>
      </c>
      <c r="E9" s="1616">
        <v>11057.151944567342</v>
      </c>
      <c r="F9" s="1617">
        <v>9374.4</v>
      </c>
      <c r="G9" s="1614">
        <v>1832.3</v>
      </c>
      <c r="H9" s="1615">
        <v>631.14866850607859</v>
      </c>
      <c r="I9" s="1616">
        <v>11837.848668506078</v>
      </c>
    </row>
    <row r="10" spans="1:12" ht="20" hidden="1" customHeight="1" thickBot="1">
      <c r="A10" s="147">
        <v>1993</v>
      </c>
      <c r="B10" s="1613">
        <v>8959</v>
      </c>
      <c r="C10" s="1614">
        <v>3326.3</v>
      </c>
      <c r="D10" s="1615">
        <v>734.92479192401356</v>
      </c>
      <c r="E10" s="1616">
        <v>13020.224791924013</v>
      </c>
      <c r="F10" s="1617">
        <v>9747.2000000000007</v>
      </c>
      <c r="G10" s="1614">
        <v>2431.9</v>
      </c>
      <c r="H10" s="1615">
        <v>626.00138979065252</v>
      </c>
      <c r="I10" s="1616">
        <v>12805.101389790652</v>
      </c>
    </row>
    <row r="11" spans="1:12" ht="20" hidden="1" customHeight="1" thickBot="1">
      <c r="A11" s="147">
        <v>1994</v>
      </c>
      <c r="B11" s="1613">
        <v>8986.1</v>
      </c>
      <c r="C11" s="1614">
        <v>4076.6</v>
      </c>
      <c r="D11" s="1615">
        <v>690.03021854426788</v>
      </c>
      <c r="E11" s="1616">
        <v>13752.730218544268</v>
      </c>
      <c r="F11" s="1617">
        <v>9548.9</v>
      </c>
      <c r="G11" s="1614">
        <v>3331.5</v>
      </c>
      <c r="H11" s="1615">
        <v>613.0603501903413</v>
      </c>
      <c r="I11" s="1616">
        <v>13493.46035019034</v>
      </c>
    </row>
    <row r="12" spans="1:12" ht="19.5" hidden="1" customHeight="1" thickBot="1">
      <c r="A12" s="147">
        <v>1995</v>
      </c>
      <c r="B12" s="1613">
        <v>9125.7999999999993</v>
      </c>
      <c r="C12" s="1614">
        <v>4249.7</v>
      </c>
      <c r="D12" s="1615">
        <v>651.42256806953048</v>
      </c>
      <c r="E12" s="1616">
        <v>14026.922568069531</v>
      </c>
      <c r="F12" s="1617">
        <v>10017.200000000001</v>
      </c>
      <c r="G12" s="1614">
        <v>3664.1</v>
      </c>
      <c r="H12" s="1615">
        <v>587.27080996548773</v>
      </c>
      <c r="I12" s="1616">
        <v>14268.570809965489</v>
      </c>
    </row>
    <row r="13" spans="1:12" ht="0.75" hidden="1" customHeight="1" thickBot="1">
      <c r="A13" s="147">
        <v>1996</v>
      </c>
      <c r="B13" s="1613">
        <v>11035.2</v>
      </c>
      <c r="C13" s="1614">
        <v>4337.5</v>
      </c>
      <c r="D13" s="1615">
        <v>640.36315374410731</v>
      </c>
      <c r="E13" s="1616">
        <v>16013.063153744108</v>
      </c>
      <c r="F13" s="1617">
        <v>10780.5</v>
      </c>
      <c r="G13" s="1614">
        <v>3809.6285714248806</v>
      </c>
      <c r="H13" s="1615">
        <v>512.67578326995283</v>
      </c>
      <c r="I13" s="1616">
        <v>15102.804354694834</v>
      </c>
      <c r="K13"/>
      <c r="L13"/>
    </row>
    <row r="14" spans="1:12" ht="19.5" hidden="1" customHeight="1" thickBot="1">
      <c r="A14" s="147">
        <v>1997</v>
      </c>
      <c r="B14" s="124">
        <v>11924.8</v>
      </c>
      <c r="C14" s="125">
        <v>4410.6000000000004</v>
      </c>
      <c r="D14" s="124">
        <v>601.9</v>
      </c>
      <c r="E14" s="122">
        <v>16937.3</v>
      </c>
      <c r="F14" s="1618">
        <v>11360.5</v>
      </c>
      <c r="G14" s="125">
        <v>3288.3</v>
      </c>
      <c r="H14" s="124">
        <v>475.9</v>
      </c>
      <c r="I14" s="122">
        <v>15124.699999999999</v>
      </c>
      <c r="K14"/>
      <c r="L14"/>
    </row>
    <row r="15" spans="1:12" ht="0.75" hidden="1" customHeight="1" thickBot="1">
      <c r="A15" s="147">
        <v>1998</v>
      </c>
      <c r="B15" s="124">
        <v>12604.2</v>
      </c>
      <c r="C15" s="125">
        <v>4453.3</v>
      </c>
      <c r="D15" s="124">
        <v>637.79999999999995</v>
      </c>
      <c r="E15" s="122">
        <v>17695.3</v>
      </c>
      <c r="F15" s="1618">
        <v>11926.9</v>
      </c>
      <c r="G15" s="125">
        <v>3299.5</v>
      </c>
      <c r="H15" s="124">
        <v>460.1</v>
      </c>
      <c r="I15" s="122">
        <v>15686.5</v>
      </c>
      <c r="K15"/>
      <c r="L15"/>
    </row>
    <row r="16" spans="1:12" ht="19.75" hidden="1" customHeight="1" thickBot="1">
      <c r="A16" s="147">
        <v>1999</v>
      </c>
      <c r="B16" s="124">
        <v>12949.5</v>
      </c>
      <c r="C16" s="125">
        <v>3766.7</v>
      </c>
      <c r="D16" s="124">
        <v>1098.2</v>
      </c>
      <c r="E16" s="122">
        <v>17814.400000000001</v>
      </c>
      <c r="F16" s="1618">
        <v>12430.6</v>
      </c>
      <c r="G16" s="125">
        <v>2787.1</v>
      </c>
      <c r="H16" s="124">
        <v>763.9</v>
      </c>
      <c r="I16" s="122">
        <v>15981.6</v>
      </c>
      <c r="K16"/>
      <c r="L16"/>
    </row>
    <row r="17" spans="1:12" ht="20" hidden="1" customHeight="1" thickBot="1">
      <c r="A17" s="147">
        <v>2000</v>
      </c>
      <c r="B17" s="124">
        <v>13346.7</v>
      </c>
      <c r="C17" s="125">
        <v>2917.4</v>
      </c>
      <c r="D17" s="124">
        <v>2242.9</v>
      </c>
      <c r="E17" s="122">
        <v>18507</v>
      </c>
      <c r="F17" s="1618">
        <v>13190.3</v>
      </c>
      <c r="G17" s="125">
        <v>2199.1</v>
      </c>
      <c r="H17" s="124">
        <v>1583.8</v>
      </c>
      <c r="I17" s="122">
        <v>16973.2</v>
      </c>
      <c r="K17"/>
      <c r="L17"/>
    </row>
    <row r="18" spans="1:12" ht="20" hidden="1" customHeight="1" thickBot="1">
      <c r="A18" s="147">
        <v>2001</v>
      </c>
      <c r="B18" s="124">
        <v>13954.7</v>
      </c>
      <c r="C18" s="125">
        <v>1986.99</v>
      </c>
      <c r="D18" s="124">
        <v>3190.46</v>
      </c>
      <c r="E18" s="122">
        <v>19132.150000000001</v>
      </c>
      <c r="F18" s="1618">
        <v>13986.27</v>
      </c>
      <c r="G18" s="125">
        <v>1576.7</v>
      </c>
      <c r="H18" s="124">
        <v>2353.3000000000002</v>
      </c>
      <c r="I18" s="122">
        <v>17916.27</v>
      </c>
      <c r="K18"/>
      <c r="L18"/>
    </row>
    <row r="19" spans="1:12" ht="20" customHeight="1" thickBot="1">
      <c r="A19" s="147">
        <v>2002</v>
      </c>
      <c r="B19" s="124">
        <v>15296.16</v>
      </c>
      <c r="C19" s="125">
        <v>1958.4404729999999</v>
      </c>
      <c r="D19" s="124">
        <v>3432.3745709999994</v>
      </c>
      <c r="E19" s="122">
        <v>20686.975043999999</v>
      </c>
      <c r="F19" s="1618">
        <v>14592.75</v>
      </c>
      <c r="G19" s="125">
        <v>1422.34175</v>
      </c>
      <c r="H19" s="124">
        <v>2395.4617459999999</v>
      </c>
      <c r="I19" s="122">
        <v>18410.553496</v>
      </c>
      <c r="K19"/>
      <c r="L19"/>
    </row>
    <row r="20" spans="1:12" ht="20" customHeight="1" thickBot="1">
      <c r="A20" s="147">
        <v>2003</v>
      </c>
      <c r="B20" s="124">
        <v>16759.707467</v>
      </c>
      <c r="C20" s="125">
        <v>1882.6076640000001</v>
      </c>
      <c r="D20" s="124">
        <v>3406.1985699999996</v>
      </c>
      <c r="E20" s="122">
        <v>22048.513701</v>
      </c>
      <c r="F20" s="1618">
        <v>15335.619704000001</v>
      </c>
      <c r="G20" s="125">
        <v>1354.5729260000001</v>
      </c>
      <c r="H20" s="124">
        <v>2360.4405969999998</v>
      </c>
      <c r="I20" s="122">
        <v>19050.633227000002</v>
      </c>
      <c r="K20"/>
      <c r="L20"/>
    </row>
    <row r="21" spans="1:12" ht="20" customHeight="1" thickBot="1">
      <c r="A21" s="147">
        <v>2004</v>
      </c>
      <c r="B21" s="124">
        <v>17979.586842000001</v>
      </c>
      <c r="C21" s="125">
        <v>1358.7895999899999</v>
      </c>
      <c r="D21" s="124">
        <v>4022.0203419999989</v>
      </c>
      <c r="E21" s="122">
        <v>23360.39678399</v>
      </c>
      <c r="F21" s="1618">
        <v>16307.508545000001</v>
      </c>
      <c r="G21" s="125">
        <v>1040.45917962</v>
      </c>
      <c r="H21" s="124">
        <v>2754.9745040000003</v>
      </c>
      <c r="I21" s="122">
        <v>20102.942228620002</v>
      </c>
      <c r="K21"/>
      <c r="L21"/>
    </row>
    <row r="22" spans="1:12" ht="20" customHeight="1" thickBot="1">
      <c r="A22" s="147">
        <v>2005</v>
      </c>
      <c r="B22" s="124">
        <v>18442.676721830001</v>
      </c>
      <c r="C22" s="125">
        <v>1397.6693543900001</v>
      </c>
      <c r="D22" s="124">
        <v>4025.3035210000007</v>
      </c>
      <c r="E22" s="122">
        <v>23865.649597220003</v>
      </c>
      <c r="F22" s="1618">
        <v>17352.720037080002</v>
      </c>
      <c r="G22" s="125">
        <v>1144.4166189</v>
      </c>
      <c r="H22" s="124">
        <v>2812.7367870000003</v>
      </c>
      <c r="I22" s="122">
        <v>21309.873442980002</v>
      </c>
      <c r="K22"/>
      <c r="L22"/>
    </row>
    <row r="23" spans="1:12" ht="20" customHeight="1" thickBot="1">
      <c r="A23" s="147">
        <v>2006</v>
      </c>
      <c r="B23" s="124">
        <v>19234.85838514</v>
      </c>
      <c r="C23" s="125">
        <v>1384.0624223099999</v>
      </c>
      <c r="D23" s="124">
        <v>4199.0627370000002</v>
      </c>
      <c r="E23" s="122">
        <v>24817.983544449999</v>
      </c>
      <c r="F23" s="1618">
        <v>17563.915602790003</v>
      </c>
      <c r="G23" s="125">
        <v>1083.2765844199998</v>
      </c>
      <c r="H23" s="124">
        <v>2891.0596519999999</v>
      </c>
      <c r="I23" s="122">
        <v>21538.251839210003</v>
      </c>
      <c r="K23"/>
      <c r="L23"/>
    </row>
    <row r="24" spans="1:12" ht="20" customHeight="1" thickBot="1">
      <c r="A24" s="147">
        <v>2007</v>
      </c>
      <c r="B24" s="124">
        <v>19629.610287169999</v>
      </c>
      <c r="C24" s="125">
        <v>1410.6232075</v>
      </c>
      <c r="D24" s="124">
        <v>4207.0683449999997</v>
      </c>
      <c r="E24" s="122">
        <v>25247.301839669999</v>
      </c>
      <c r="F24" s="1618">
        <v>18423.621994609999</v>
      </c>
      <c r="G24" s="125">
        <v>1170.1273056000002</v>
      </c>
      <c r="H24" s="124">
        <v>3037.7777310000001</v>
      </c>
      <c r="I24" s="122">
        <v>22631.527031209996</v>
      </c>
      <c r="K24"/>
      <c r="L24"/>
    </row>
    <row r="25" spans="1:12" ht="20" customHeight="1" thickBot="1">
      <c r="A25" s="147">
        <v>2008</v>
      </c>
      <c r="B25" s="124">
        <v>19621.43996068</v>
      </c>
      <c r="C25" s="125">
        <v>1412.4505677400002</v>
      </c>
      <c r="D25" s="124">
        <v>4509.4953152600001</v>
      </c>
      <c r="E25" s="122">
        <v>25543.38584368</v>
      </c>
      <c r="F25" s="1618">
        <v>19431.457254779998</v>
      </c>
      <c r="G25" s="125">
        <v>1241.37670198</v>
      </c>
      <c r="H25" s="124">
        <v>3128.0701190199998</v>
      </c>
      <c r="I25" s="122">
        <v>23800.904075779996</v>
      </c>
      <c r="K25"/>
      <c r="L25"/>
    </row>
    <row r="26" spans="1:12" ht="20" customHeight="1" thickBot="1">
      <c r="A26" s="147">
        <v>2009</v>
      </c>
      <c r="B26" s="124">
        <v>20057.64279962</v>
      </c>
      <c r="C26" s="125">
        <v>1381.60592514</v>
      </c>
      <c r="D26" s="124">
        <v>4313.5737268599996</v>
      </c>
      <c r="E26" s="122">
        <v>25752.822451619999</v>
      </c>
      <c r="F26" s="1618">
        <v>20273.850593919997</v>
      </c>
      <c r="G26" s="125">
        <v>1229.2542896300001</v>
      </c>
      <c r="H26" s="124">
        <v>3158.8125223699999</v>
      </c>
      <c r="I26" s="122">
        <v>24661.917405919998</v>
      </c>
      <c r="K26"/>
      <c r="L26"/>
    </row>
    <row r="27" spans="1:12" ht="20" customHeight="1" thickBot="1">
      <c r="A27" s="147">
        <v>2010</v>
      </c>
      <c r="B27" s="124">
        <v>21955.717553830003</v>
      </c>
      <c r="C27" s="125">
        <v>1442.6310089400001</v>
      </c>
      <c r="D27" s="124">
        <v>4581.4113640599999</v>
      </c>
      <c r="E27" s="122">
        <v>27979.759926830004</v>
      </c>
      <c r="F27" s="1618">
        <v>20883.74693053</v>
      </c>
      <c r="G27" s="125">
        <v>1281.58085265</v>
      </c>
      <c r="H27" s="124">
        <v>3204.0921983499998</v>
      </c>
      <c r="I27" s="122">
        <v>25369.419981530002</v>
      </c>
      <c r="K27"/>
      <c r="L27"/>
    </row>
    <row r="28" spans="1:12" ht="20" customHeight="1" thickBot="1">
      <c r="A28" s="147">
        <v>2011</v>
      </c>
      <c r="B28" s="124">
        <v>23513.73191518</v>
      </c>
      <c r="C28" s="125">
        <v>1273.43894946</v>
      </c>
      <c r="D28" s="124">
        <v>5039.4533475400003</v>
      </c>
      <c r="E28" s="122">
        <v>29826.624212180002</v>
      </c>
      <c r="F28" s="1618">
        <v>21356.405837950002</v>
      </c>
      <c r="G28" s="125">
        <v>979.24089520000007</v>
      </c>
      <c r="H28" s="124">
        <v>3671.2015778</v>
      </c>
      <c r="I28" s="122">
        <v>26006.848310950001</v>
      </c>
      <c r="K28"/>
      <c r="L28"/>
    </row>
    <row r="29" spans="1:12" ht="24.75" customHeight="1" thickBot="1">
      <c r="A29" s="150">
        <v>2012</v>
      </c>
      <c r="B29" s="127" vm="23">
        <v>24303.676293700006</v>
      </c>
      <c r="C29" s="128" vm="46">
        <v>1409.6364930300003</v>
      </c>
      <c r="D29" s="127">
        <v>5012.2752729699996</v>
      </c>
      <c r="E29" s="128">
        <v>30725.588059700007</v>
      </c>
      <c r="F29" s="1619">
        <v>22195.991088449999</v>
      </c>
      <c r="G29" s="128" vm="23">
        <v>1078.0633512200002</v>
      </c>
      <c r="H29" s="127">
        <v>2953.7362627799998</v>
      </c>
      <c r="I29" s="128">
        <v>26227.790702449998</v>
      </c>
      <c r="K29"/>
      <c r="L29"/>
    </row>
    <row r="30" spans="1:12" ht="17.25" customHeight="1">
      <c r="A30" s="1585" t="s">
        <v>2204</v>
      </c>
      <c r="B30" s="1586"/>
      <c r="C30" s="1586"/>
      <c r="D30" s="1586"/>
      <c r="E30" s="1586"/>
      <c r="F30" s="1586"/>
      <c r="G30" s="1586"/>
      <c r="H30" s="1586"/>
      <c r="I30" s="1586"/>
    </row>
    <row r="31" spans="1:12" ht="13.5" customHeight="1">
      <c r="A31" s="1587"/>
      <c r="B31" s="1340"/>
      <c r="C31" s="1340"/>
      <c r="D31" s="1340"/>
      <c r="E31" s="1340"/>
      <c r="F31" s="1340"/>
      <c r="G31" s="1340"/>
      <c r="H31" s="1340"/>
      <c r="I31" s="1340"/>
    </row>
    <row r="32" spans="1:12">
      <c r="A32" s="60" t="s">
        <v>2149</v>
      </c>
      <c r="B32" s="176"/>
      <c r="C32" s="176"/>
      <c r="D32" s="176"/>
      <c r="E32" s="176"/>
      <c r="F32" s="176"/>
      <c r="G32" s="176"/>
      <c r="H32" s="176"/>
      <c r="I32" s="176"/>
    </row>
    <row r="33" spans="1:9">
      <c r="A33" s="60" t="s">
        <v>2150</v>
      </c>
      <c r="B33" s="176"/>
      <c r="C33" s="176"/>
      <c r="D33" s="176"/>
      <c r="E33" s="176"/>
      <c r="F33" s="176"/>
      <c r="G33" s="176"/>
      <c r="H33" s="176"/>
      <c r="I33" s="176"/>
    </row>
    <row r="34" spans="1:9">
      <c r="A34" s="60" t="s">
        <v>2151</v>
      </c>
      <c r="B34" s="176"/>
      <c r="C34" s="176"/>
      <c r="D34" s="176"/>
      <c r="E34" s="176"/>
      <c r="F34" s="176"/>
      <c r="G34" s="176"/>
      <c r="H34" s="176"/>
      <c r="I34" s="176"/>
    </row>
    <row r="35" spans="1:9">
      <c r="A35" s="1587" t="s">
        <v>2152</v>
      </c>
      <c r="B35" s="176"/>
      <c r="C35" s="176"/>
      <c r="D35" s="176"/>
      <c r="E35" s="176"/>
      <c r="F35" s="176"/>
      <c r="G35" s="176"/>
      <c r="H35" s="176"/>
      <c r="I35" s="176"/>
    </row>
    <row r="36" spans="1:9">
      <c r="A36" s="1587" t="s">
        <v>2153</v>
      </c>
      <c r="B36" s="176"/>
      <c r="C36" s="176"/>
      <c r="D36" s="176"/>
      <c r="E36" s="176"/>
      <c r="F36" s="176"/>
      <c r="G36" s="176"/>
      <c r="H36" s="176"/>
      <c r="I36" s="176"/>
    </row>
    <row r="37" spans="1:9">
      <c r="A37" s="60" t="s">
        <v>2154</v>
      </c>
    </row>
    <row r="38" spans="1:9">
      <c r="A38" s="60" t="s">
        <v>2155</v>
      </c>
    </row>
    <row r="39" spans="1:9">
      <c r="A39" s="60" t="s">
        <v>2156</v>
      </c>
    </row>
    <row r="40" spans="1:9">
      <c r="A40" s="60" t="s">
        <v>2157</v>
      </c>
    </row>
    <row r="41" spans="1:9">
      <c r="A41" s="60" t="s">
        <v>2158</v>
      </c>
    </row>
    <row r="42" spans="1:9">
      <c r="A42" s="60" t="s">
        <v>2159</v>
      </c>
    </row>
    <row r="45" spans="1:9">
      <c r="A45" s="3" t="s">
        <v>395</v>
      </c>
    </row>
  </sheetData>
  <pageMargins left="0.47244094488188981" right="0.43307086614173229" top="0.77" bottom="0.47244094488188981" header="0.43307086614173229" footer="0.51181102362204722"/>
  <pageSetup paperSize="9" scale="89" orientation="landscape" horizontalDpi="1200" verticalDpi="1200"/>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6FEA8-86BC-9F45-B5D6-07565979B612}">
  <sheetPr>
    <pageSetUpPr fitToPage="1"/>
  </sheetPr>
  <dimension ref="A2:R123"/>
  <sheetViews>
    <sheetView zoomScaleNormal="100" workbookViewId="0">
      <selection activeCell="V45" sqref="V45"/>
    </sheetView>
  </sheetViews>
  <sheetFormatPr baseColWidth="10" defaultColWidth="11.3984375" defaultRowHeight="13"/>
  <cols>
    <col min="1" max="1" width="29.796875" style="3" customWidth="1"/>
    <col min="2" max="2" width="0.19921875" style="3" customWidth="1"/>
    <col min="3" max="3" width="0.3984375" style="3" hidden="1" customWidth="1"/>
    <col min="4" max="4" width="9.59765625" style="3" hidden="1" customWidth="1"/>
    <col min="5" max="5" width="10" style="3" hidden="1" customWidth="1"/>
    <col min="6" max="6" width="0.3984375" style="3" customWidth="1"/>
    <col min="7" max="7" width="10" style="3" hidden="1" customWidth="1"/>
    <col min="8" max="15" width="10" style="3" customWidth="1"/>
    <col min="16" max="16" width="9.796875" style="3" customWidth="1"/>
    <col min="17" max="17" width="10.796875" style="3" customWidth="1"/>
    <col min="18" max="18" width="11" style="3" customWidth="1"/>
    <col min="19" max="16384" width="11.3984375" style="3"/>
  </cols>
  <sheetData>
    <row r="2" spans="1:18" ht="19.5" customHeight="1">
      <c r="A2" s="1071" t="s">
        <v>2308</v>
      </c>
    </row>
    <row r="3" spans="1:18" s="2" customFormat="1" ht="29.25" customHeight="1">
      <c r="A3" s="272"/>
      <c r="B3" s="272"/>
      <c r="C3" s="272"/>
      <c r="D3" s="272"/>
      <c r="E3" s="272"/>
      <c r="F3" s="272"/>
    </row>
    <row r="4" spans="1:18" s="2" customFormat="1" ht="21.75" customHeight="1">
      <c r="A4" s="461" t="s">
        <v>2309</v>
      </c>
      <c r="B4" s="328"/>
      <c r="C4" s="328"/>
      <c r="D4" s="328"/>
      <c r="E4" s="328"/>
      <c r="F4" s="328"/>
      <c r="G4" s="328"/>
      <c r="H4" s="328"/>
      <c r="I4" s="442"/>
      <c r="J4" s="442"/>
      <c r="K4" s="442"/>
    </row>
    <row r="5" spans="1:18" ht="78" customHeight="1">
      <c r="A5" s="1795" t="s">
        <v>2310</v>
      </c>
      <c r="B5" s="1796">
        <v>1996</v>
      </c>
      <c r="C5" s="1797">
        <v>1997</v>
      </c>
      <c r="D5" s="1796">
        <v>1998</v>
      </c>
      <c r="E5" s="1797">
        <v>1999</v>
      </c>
      <c r="F5" s="1796">
        <v>2000</v>
      </c>
      <c r="G5" s="1797">
        <v>2001</v>
      </c>
      <c r="H5" s="1796">
        <v>2002</v>
      </c>
      <c r="I5" s="1797">
        <v>2003</v>
      </c>
      <c r="J5" s="1796">
        <v>2004</v>
      </c>
      <c r="K5" s="1797">
        <v>2005</v>
      </c>
      <c r="L5" s="1796">
        <v>2006</v>
      </c>
      <c r="M5" s="1797">
        <v>2007</v>
      </c>
      <c r="N5" s="1796">
        <v>2008</v>
      </c>
      <c r="O5" s="1797">
        <v>2009</v>
      </c>
      <c r="P5" s="1796">
        <v>2010</v>
      </c>
      <c r="Q5" s="1797">
        <v>2011</v>
      </c>
      <c r="R5" s="1796">
        <v>2012</v>
      </c>
    </row>
    <row r="6" spans="1:18" ht="22.75" customHeight="1" thickBot="1">
      <c r="A6" s="1661" t="s">
        <v>2311</v>
      </c>
      <c r="B6" s="369">
        <v>7.4080000000000007E-2</v>
      </c>
      <c r="C6" s="149">
        <v>7.4639999999999998E-2</v>
      </c>
      <c r="D6" s="369">
        <v>7.6329999999999995E-2</v>
      </c>
      <c r="E6" s="149">
        <v>7.7549999999999994E-2</v>
      </c>
      <c r="F6" s="369">
        <v>8.0320000000000003E-2</v>
      </c>
      <c r="G6" s="149">
        <v>8.1189999999999998E-2</v>
      </c>
      <c r="H6" s="369">
        <v>8.3900000000000002E-2</v>
      </c>
      <c r="I6" s="149">
        <v>8.3371999999999988E-2</v>
      </c>
      <c r="J6" s="369">
        <v>8.5864999999999997E-2</v>
      </c>
      <c r="K6" s="149">
        <v>8.4793999999999994E-2</v>
      </c>
      <c r="L6" s="369">
        <v>8.5204000000000002E-2</v>
      </c>
      <c r="M6" s="149">
        <v>8.553100000000001E-2</v>
      </c>
      <c r="N6" s="369">
        <v>8.7509999999999991E-2</v>
      </c>
      <c r="O6" s="149">
        <v>9.0422999999999989E-2</v>
      </c>
      <c r="P6" s="369">
        <v>8.9481000000000005E-2</v>
      </c>
      <c r="Q6" s="149" t="s">
        <v>29</v>
      </c>
      <c r="R6" s="369" t="s">
        <v>29</v>
      </c>
    </row>
    <row r="7" spans="1:18" ht="18" customHeight="1" thickBot="1">
      <c r="A7" s="147" t="s">
        <v>2312</v>
      </c>
      <c r="B7" s="658">
        <v>9.4800000000000009E-2</v>
      </c>
      <c r="C7" s="659">
        <v>9.820000000000001E-2</v>
      </c>
      <c r="D7" s="658">
        <v>9.9839999999999998E-2</v>
      </c>
      <c r="E7" s="659">
        <v>0.10119</v>
      </c>
      <c r="F7" s="658">
        <v>9.9459999999999993E-2</v>
      </c>
      <c r="G7" s="659">
        <v>0.100937</v>
      </c>
      <c r="H7" s="658">
        <v>0.10122299999999999</v>
      </c>
      <c r="I7" s="659">
        <v>0.103035</v>
      </c>
      <c r="J7" s="658">
        <v>0.104283</v>
      </c>
      <c r="K7" s="659">
        <v>0.10418699999999999</v>
      </c>
      <c r="L7" s="658">
        <v>0.102177</v>
      </c>
      <c r="M7" s="659">
        <v>0.102617</v>
      </c>
      <c r="N7" s="658">
        <v>0.10489599999999999</v>
      </c>
      <c r="O7" s="659">
        <v>0.11172900000000001</v>
      </c>
      <c r="P7" s="658">
        <v>0.110318</v>
      </c>
      <c r="Q7" s="659">
        <v>0.10776899999999999</v>
      </c>
      <c r="R7" s="658" t="s">
        <v>29</v>
      </c>
    </row>
    <row r="8" spans="1:18" ht="18" customHeight="1" thickBot="1">
      <c r="A8" s="147" t="s">
        <v>2313</v>
      </c>
      <c r="B8" s="658">
        <v>7.9210000000000003E-2</v>
      </c>
      <c r="C8" s="659">
        <v>7.7759999999999996E-2</v>
      </c>
      <c r="D8" s="658">
        <v>7.8969999999999999E-2</v>
      </c>
      <c r="E8" s="659">
        <v>8.0869999999999997E-2</v>
      </c>
      <c r="F8" s="658">
        <v>8.1310000000000007E-2</v>
      </c>
      <c r="G8" s="659">
        <v>8.2920999999999995E-2</v>
      </c>
      <c r="H8" s="658">
        <v>8.4617999999999999E-2</v>
      </c>
      <c r="I8" s="659">
        <v>9.9677000000000002E-2</v>
      </c>
      <c r="J8" s="658">
        <v>0.100082</v>
      </c>
      <c r="K8" s="659">
        <v>9.9833000000000005E-2</v>
      </c>
      <c r="L8" s="658">
        <v>9.4810999999999993E-2</v>
      </c>
      <c r="M8" s="659">
        <v>9.5253999999999991E-2</v>
      </c>
      <c r="N8" s="658">
        <v>9.9128000000000008E-2</v>
      </c>
      <c r="O8" s="659">
        <v>0.105938</v>
      </c>
      <c r="P8" s="658">
        <v>0.10503</v>
      </c>
      <c r="Q8" s="659">
        <v>0.105139</v>
      </c>
      <c r="R8" s="658" t="s">
        <v>29</v>
      </c>
    </row>
    <row r="9" spans="1:18" ht="18" customHeight="1" thickBot="1">
      <c r="A9" s="147" t="s">
        <v>2314</v>
      </c>
      <c r="B9" s="658">
        <v>8.2110000000000002E-2</v>
      </c>
      <c r="C9" s="659">
        <v>8.1509999999999999E-2</v>
      </c>
      <c r="D9" s="658">
        <v>8.1560000000000007E-2</v>
      </c>
      <c r="E9" s="659">
        <v>8.9540000000000008E-2</v>
      </c>
      <c r="F9" s="658">
        <v>8.6989999999999998E-2</v>
      </c>
      <c r="G9" s="659">
        <v>9.1001999999999986E-2</v>
      </c>
      <c r="H9" s="658">
        <v>9.3329000000000009E-2</v>
      </c>
      <c r="I9" s="659">
        <v>9.5093999999999998E-2</v>
      </c>
      <c r="J9" s="658">
        <v>9.6748999999999988E-2</v>
      </c>
      <c r="K9" s="659">
        <v>9.7699999999999995E-2</v>
      </c>
      <c r="L9" s="658">
        <v>9.9243000000000012E-2</v>
      </c>
      <c r="M9" s="659">
        <v>9.987299999999999E-2</v>
      </c>
      <c r="N9" s="658">
        <v>0.10183</v>
      </c>
      <c r="O9" s="659">
        <v>0.114722</v>
      </c>
      <c r="P9" s="658">
        <v>0.110751</v>
      </c>
      <c r="Q9" s="659">
        <v>0.108671</v>
      </c>
      <c r="R9" s="658" t="s">
        <v>29</v>
      </c>
    </row>
    <row r="10" spans="1:18" ht="18" customHeight="1" thickBot="1">
      <c r="A10" s="147" t="s">
        <v>2315</v>
      </c>
      <c r="B10" s="658">
        <v>8.0380000000000007E-2</v>
      </c>
      <c r="C10" s="659">
        <v>7.7199999999999991E-2</v>
      </c>
      <c r="D10" s="658">
        <v>7.3550000000000004E-2</v>
      </c>
      <c r="E10" s="659">
        <v>7.3789999999999994E-2</v>
      </c>
      <c r="F10" s="658">
        <v>7.2239999999999999E-2</v>
      </c>
      <c r="G10" s="659">
        <v>7.4250999999999998E-2</v>
      </c>
      <c r="H10" s="658">
        <v>7.8078000000000009E-2</v>
      </c>
      <c r="I10" s="659">
        <v>8.1511999999999987E-2</v>
      </c>
      <c r="J10" s="658">
        <v>8.2095000000000001E-2</v>
      </c>
      <c r="K10" s="659">
        <v>8.4295000000000009E-2</v>
      </c>
      <c r="L10" s="658">
        <v>8.3447999999999994E-2</v>
      </c>
      <c r="M10" s="659">
        <v>8.0429999999999988E-2</v>
      </c>
      <c r="N10" s="658">
        <v>8.3068000000000003E-2</v>
      </c>
      <c r="O10" s="659">
        <v>9.1700000000000004E-2</v>
      </c>
      <c r="P10" s="658">
        <v>8.9887999999999996E-2</v>
      </c>
      <c r="Q10" s="659">
        <v>9.0018999999999988E-2</v>
      </c>
      <c r="R10" s="658">
        <v>9.1479999999999992E-2</v>
      </c>
    </row>
    <row r="11" spans="1:18" ht="18" customHeight="1" thickBot="1">
      <c r="A11" s="147" t="s">
        <v>2316</v>
      </c>
      <c r="B11" s="658">
        <v>0.10369999999999999</v>
      </c>
      <c r="C11" s="659">
        <v>0.10228999999999999</v>
      </c>
      <c r="D11" s="658">
        <v>0.10125999999999999</v>
      </c>
      <c r="E11" s="659">
        <v>0.10147</v>
      </c>
      <c r="F11" s="658">
        <v>0.10071999999999999</v>
      </c>
      <c r="G11" s="659">
        <v>0.102113</v>
      </c>
      <c r="H11" s="658">
        <v>0.105603</v>
      </c>
      <c r="I11" s="659">
        <v>0.10830099999999999</v>
      </c>
      <c r="J11" s="658">
        <v>0.109695</v>
      </c>
      <c r="K11" s="659">
        <v>0.11017300000000001</v>
      </c>
      <c r="L11" s="658">
        <v>0.10951599999999999</v>
      </c>
      <c r="M11" s="659">
        <v>0.108754</v>
      </c>
      <c r="N11" s="658">
        <v>0.110232</v>
      </c>
      <c r="O11" s="659">
        <v>0.117314</v>
      </c>
      <c r="P11" s="658">
        <v>0.11677</v>
      </c>
      <c r="Q11" s="659">
        <v>0.116343</v>
      </c>
      <c r="R11" s="658" t="s">
        <v>29</v>
      </c>
    </row>
    <row r="12" spans="1:18" ht="18" customHeight="1" thickBot="1">
      <c r="A12" s="147" t="s">
        <v>2317</v>
      </c>
      <c r="B12" s="658">
        <v>0.10378</v>
      </c>
      <c r="C12" s="659">
        <v>0.10217000000000001</v>
      </c>
      <c r="D12" s="658">
        <v>0.10231</v>
      </c>
      <c r="E12" s="659">
        <v>0.10267</v>
      </c>
      <c r="F12" s="658">
        <v>0.10285999999999999</v>
      </c>
      <c r="G12" s="659">
        <v>0.105041</v>
      </c>
      <c r="H12" s="658">
        <v>0.10724299999999999</v>
      </c>
      <c r="I12" s="659">
        <v>0.109191</v>
      </c>
      <c r="J12" s="658">
        <v>0.10668900000000001</v>
      </c>
      <c r="K12" s="659">
        <v>0.10808899999999999</v>
      </c>
      <c r="L12" s="658">
        <v>0.106374</v>
      </c>
      <c r="M12" s="659">
        <v>0.104771</v>
      </c>
      <c r="N12" s="658">
        <v>0.107042</v>
      </c>
      <c r="O12" s="659">
        <v>0.117516</v>
      </c>
      <c r="P12" s="658">
        <v>0.115495</v>
      </c>
      <c r="Q12" s="659">
        <v>0.11332300000000001</v>
      </c>
      <c r="R12" s="658" t="s">
        <v>29</v>
      </c>
    </row>
    <row r="13" spans="1:18" ht="18" customHeight="1" thickBot="1">
      <c r="A13" s="147" t="s">
        <v>2318</v>
      </c>
      <c r="B13" s="658">
        <v>7.3779999999999998E-2</v>
      </c>
      <c r="C13" s="659">
        <v>7.6550000000000007E-2</v>
      </c>
      <c r="D13" s="658">
        <v>7.7270000000000005E-2</v>
      </c>
      <c r="E13" s="659">
        <v>7.7890000000000001E-2</v>
      </c>
      <c r="F13" s="658">
        <v>8.0630000000000007E-2</v>
      </c>
      <c r="G13" s="659">
        <v>8.1662999999999999E-2</v>
      </c>
      <c r="H13" s="658">
        <v>8.1911000000000012E-2</v>
      </c>
      <c r="I13" s="659">
        <v>8.1658000000000008E-2</v>
      </c>
      <c r="J13" s="658">
        <v>8.5014000000000006E-2</v>
      </c>
      <c r="K13" s="659">
        <v>8.7437000000000001E-2</v>
      </c>
      <c r="L13" s="658">
        <v>8.8400999999999993E-2</v>
      </c>
      <c r="M13" s="659">
        <v>8.5014000000000006E-2</v>
      </c>
      <c r="N13" s="658">
        <v>8.8915000000000008E-2</v>
      </c>
      <c r="O13" s="659">
        <v>9.4037000000000009E-2</v>
      </c>
      <c r="P13" s="658">
        <v>9.4078999999999996E-2</v>
      </c>
      <c r="Q13" s="659">
        <v>9.2256000000000005E-2</v>
      </c>
      <c r="R13" s="658">
        <v>9.1670000000000001E-2</v>
      </c>
    </row>
    <row r="14" spans="1:18" ht="18" customHeight="1" thickBot="1">
      <c r="A14" s="147" t="s">
        <v>2319</v>
      </c>
      <c r="B14" s="658">
        <v>7.0489999999999997E-2</v>
      </c>
      <c r="C14" s="659">
        <v>6.9919999999999996E-2</v>
      </c>
      <c r="D14" s="658">
        <v>7.2840000000000002E-2</v>
      </c>
      <c r="E14" s="659">
        <v>7.5490000000000002E-2</v>
      </c>
      <c r="F14" s="658">
        <v>7.707E-2</v>
      </c>
      <c r="G14" s="659">
        <v>7.8060999999999992E-2</v>
      </c>
      <c r="H14" s="658">
        <v>7.8575000000000006E-2</v>
      </c>
      <c r="I14" s="659">
        <v>7.9881000000000008E-2</v>
      </c>
      <c r="J14" s="658">
        <v>7.9947000000000004E-2</v>
      </c>
      <c r="K14" s="659">
        <v>8.1819000000000003E-2</v>
      </c>
      <c r="L14" s="658">
        <v>8.1986000000000003E-2</v>
      </c>
      <c r="M14" s="659">
        <v>8.2294999999999993E-2</v>
      </c>
      <c r="N14" s="658">
        <v>8.6050000000000001E-2</v>
      </c>
      <c r="O14" s="659">
        <v>9.5258000000000009E-2</v>
      </c>
      <c r="P14" s="658">
        <v>9.5890000000000003E-2</v>
      </c>
      <c r="Q14" s="659" t="s">
        <v>29</v>
      </c>
      <c r="R14" s="658" t="s">
        <v>29</v>
      </c>
    </row>
    <row r="15" spans="1:18" ht="18" customHeight="1" thickBot="1">
      <c r="A15" s="147" t="s">
        <v>2320</v>
      </c>
      <c r="B15" s="658">
        <v>8.2110000000000002E-2</v>
      </c>
      <c r="C15" s="659">
        <v>7.9490000000000005E-2</v>
      </c>
      <c r="D15" s="658">
        <v>8.0619999999999997E-2</v>
      </c>
      <c r="E15" s="659">
        <v>8.0879999999999994E-2</v>
      </c>
      <c r="F15" s="658">
        <v>7.9579999999999998E-2</v>
      </c>
      <c r="G15" s="659">
        <v>8.2973999999999992E-2</v>
      </c>
      <c r="H15" s="658">
        <v>8.8699E-2</v>
      </c>
      <c r="I15" s="659">
        <v>9.7727999999999995E-2</v>
      </c>
      <c r="J15" s="658">
        <v>9.9682999999999994E-2</v>
      </c>
      <c r="K15" s="659">
        <v>0.10882</v>
      </c>
      <c r="L15" s="658">
        <v>0.10746800000000001</v>
      </c>
      <c r="M15" s="659">
        <v>0.107642</v>
      </c>
      <c r="N15" s="658">
        <v>0.10990899999999999</v>
      </c>
      <c r="O15" s="659">
        <v>0.11882300000000001</v>
      </c>
      <c r="P15" s="658">
        <v>0.120661</v>
      </c>
      <c r="Q15" s="659">
        <v>0.119369</v>
      </c>
      <c r="R15" s="658" t="s">
        <v>29</v>
      </c>
    </row>
    <row r="16" spans="1:18" ht="18" customHeight="1" thickBot="1">
      <c r="A16" s="147" t="s">
        <v>2321</v>
      </c>
      <c r="B16" s="658">
        <v>7.8270000000000006E-2</v>
      </c>
      <c r="C16" s="659">
        <v>8.3989999999999995E-2</v>
      </c>
      <c r="D16" s="658">
        <v>9.2520000000000005E-2</v>
      </c>
      <c r="E16" s="659">
        <v>9.3290000000000012E-2</v>
      </c>
      <c r="F16" s="658">
        <v>8.4209999999999993E-2</v>
      </c>
      <c r="G16" s="659">
        <v>8.8013999999999995E-2</v>
      </c>
      <c r="H16" s="658">
        <v>9.7910999999999998E-2</v>
      </c>
      <c r="I16" s="659">
        <v>0.10022199999999999</v>
      </c>
      <c r="J16" s="658">
        <v>9.5981999999999998E-2</v>
      </c>
      <c r="K16" s="659">
        <v>9.0303999999999995E-2</v>
      </c>
      <c r="L16" s="658">
        <v>8.5639999999999994E-2</v>
      </c>
      <c r="M16" s="659">
        <v>8.746000000000001E-2</v>
      </c>
      <c r="N16" s="658">
        <v>8.5512999999999992E-2</v>
      </c>
      <c r="O16" s="659">
        <v>9.674300000000001E-2</v>
      </c>
      <c r="P16" s="658">
        <v>9.4224000000000002E-2</v>
      </c>
      <c r="Q16" s="659">
        <v>9.2837000000000003E-2</v>
      </c>
      <c r="R16" s="658">
        <v>9.3722E-2</v>
      </c>
    </row>
    <row r="17" spans="1:18" ht="18" customHeight="1" thickBot="1">
      <c r="A17" s="147" t="s">
        <v>2322</v>
      </c>
      <c r="B17" s="658">
        <v>7.4630000000000002E-2</v>
      </c>
      <c r="C17" s="659">
        <v>7.3340000000000002E-2</v>
      </c>
      <c r="D17" s="658">
        <v>7.3190000000000005E-2</v>
      </c>
      <c r="E17" s="659">
        <v>7.3160000000000003E-2</v>
      </c>
      <c r="F17" s="658">
        <v>7.2110000000000007E-2</v>
      </c>
      <c r="G17" s="659">
        <v>7.2415999999999994E-2</v>
      </c>
      <c r="H17" s="658">
        <v>7.2503999999999999E-2</v>
      </c>
      <c r="I17" s="659">
        <v>8.1568000000000002E-2</v>
      </c>
      <c r="J17" s="658">
        <v>8.2188999999999998E-2</v>
      </c>
      <c r="K17" s="659">
        <v>8.2882999999999998E-2</v>
      </c>
      <c r="L17" s="658">
        <v>8.3900000000000002E-2</v>
      </c>
      <c r="M17" s="659">
        <v>8.4907999999999997E-2</v>
      </c>
      <c r="N17" s="658">
        <v>8.9402000000000009E-2</v>
      </c>
      <c r="O17" s="659">
        <v>9.6247000000000013E-2</v>
      </c>
      <c r="P17" s="658">
        <v>9.6074000000000007E-2</v>
      </c>
      <c r="Q17" s="659">
        <v>9.296900000000001E-2</v>
      </c>
      <c r="R17" s="658" t="s">
        <v>29</v>
      </c>
    </row>
    <row r="18" spans="1:18" ht="18" customHeight="1" thickBot="1">
      <c r="A18" s="147" t="s">
        <v>2323</v>
      </c>
      <c r="B18" s="658">
        <v>8.199999999999999E-2</v>
      </c>
      <c r="C18" s="659">
        <v>8.0259999999999998E-2</v>
      </c>
      <c r="D18" s="658">
        <v>8.115E-2</v>
      </c>
      <c r="E18" s="659">
        <v>8.1979999999999997E-2</v>
      </c>
      <c r="F18" s="658">
        <v>8.1799999999999998E-2</v>
      </c>
      <c r="G18" s="659">
        <v>8.8595000000000007E-2</v>
      </c>
      <c r="H18" s="658">
        <v>9.2281999999999989E-2</v>
      </c>
      <c r="I18" s="659">
        <v>9.3100000000000002E-2</v>
      </c>
      <c r="J18" s="658">
        <v>9.0879999999999989E-2</v>
      </c>
      <c r="K18" s="659">
        <v>9.0615000000000001E-2</v>
      </c>
      <c r="L18" s="658">
        <v>8.9480000000000004E-2</v>
      </c>
      <c r="M18" s="659">
        <v>8.9171999999999987E-2</v>
      </c>
      <c r="N18" s="658">
        <v>9.2284000000000005E-2</v>
      </c>
      <c r="O18" s="659">
        <v>9.9390000000000006E-2</v>
      </c>
      <c r="P18" s="658">
        <v>9.4687999999999994E-2</v>
      </c>
      <c r="Q18" s="659">
        <v>9.4661000000000009E-2</v>
      </c>
      <c r="R18" s="658" t="s">
        <v>29</v>
      </c>
    </row>
    <row r="19" spans="1:18" ht="18" customHeight="1" thickBot="1">
      <c r="A19" s="147" t="s">
        <v>2324</v>
      </c>
      <c r="B19" s="658">
        <v>6.8440000000000001E-2</v>
      </c>
      <c r="C19" s="659">
        <v>6.6049999999999998E-2</v>
      </c>
      <c r="D19" s="658">
        <v>6.6549999999999998E-2</v>
      </c>
      <c r="E19" s="659">
        <v>6.8909999999999999E-2</v>
      </c>
      <c r="F19" s="658">
        <v>7.0099999999999996E-2</v>
      </c>
      <c r="G19" s="659">
        <v>7.2599999999999998E-2</v>
      </c>
      <c r="H19" s="658">
        <v>7.6350000000000001E-2</v>
      </c>
      <c r="I19" s="659">
        <v>7.8287999999999996E-2</v>
      </c>
      <c r="J19" s="658">
        <v>8.0295000000000005E-2</v>
      </c>
      <c r="K19" s="659">
        <v>8.2668000000000005E-2</v>
      </c>
      <c r="L19" s="658">
        <v>8.4289000000000003E-2</v>
      </c>
      <c r="M19" s="659">
        <v>8.5039999999999991E-2</v>
      </c>
      <c r="N19" s="658">
        <v>8.9521000000000003E-2</v>
      </c>
      <c r="O19" s="659">
        <v>9.9055999999999991E-2</v>
      </c>
      <c r="P19" s="658">
        <v>9.5503999999999992E-2</v>
      </c>
      <c r="Q19" s="659">
        <v>9.4184000000000004E-2</v>
      </c>
      <c r="R19" s="658" t="s">
        <v>29</v>
      </c>
    </row>
    <row r="20" spans="1:18" ht="18" customHeight="1" thickBot="1">
      <c r="A20" s="147" t="s">
        <v>2325</v>
      </c>
      <c r="B20" s="658">
        <v>0.13666</v>
      </c>
      <c r="C20" s="659">
        <v>0.13561000000000001</v>
      </c>
      <c r="D20" s="658">
        <v>0.13580999999999999</v>
      </c>
      <c r="E20" s="659">
        <v>0.13583999999999999</v>
      </c>
      <c r="F20" s="658">
        <v>0.13663999999999998</v>
      </c>
      <c r="G20" s="659">
        <v>0.143211</v>
      </c>
      <c r="H20" s="658">
        <v>0.151644</v>
      </c>
      <c r="I20" s="659">
        <v>0.15695999999999999</v>
      </c>
      <c r="J20" s="658">
        <v>0.157919</v>
      </c>
      <c r="K20" s="659">
        <v>0.15839900000000001</v>
      </c>
      <c r="L20" s="658">
        <v>0.15936800000000001</v>
      </c>
      <c r="M20" s="659">
        <v>0.16160799999999997</v>
      </c>
      <c r="N20" s="658">
        <v>0.16620100000000002</v>
      </c>
      <c r="O20" s="659">
        <v>0.176706</v>
      </c>
      <c r="P20" s="658">
        <v>0.17691099999999998</v>
      </c>
      <c r="Q20" s="659">
        <v>0.17682999999999999</v>
      </c>
      <c r="R20" s="658" t="s">
        <v>29</v>
      </c>
    </row>
    <row r="21" spans="1:18" s="411" customFormat="1" ht="30" customHeight="1" thickBot="1">
      <c r="A21" s="1710" t="s">
        <v>2326</v>
      </c>
      <c r="B21" s="691">
        <v>9.9469999999999989E-2</v>
      </c>
      <c r="C21" s="538">
        <v>9.9510000000000001E-2</v>
      </c>
      <c r="D21" s="691">
        <v>0.10073</v>
      </c>
      <c r="E21" s="538">
        <v>0.10202</v>
      </c>
      <c r="F21" s="691">
        <v>0.10151</v>
      </c>
      <c r="G21" s="538">
        <v>0.10590400000000001</v>
      </c>
      <c r="H21" s="691">
        <v>0.10606600000000001</v>
      </c>
      <c r="I21" s="538">
        <v>0.10933899999999999</v>
      </c>
      <c r="J21" s="691">
        <v>0.109612</v>
      </c>
      <c r="K21" s="538">
        <v>0.108629</v>
      </c>
      <c r="L21" s="691">
        <v>0.10387700000000001</v>
      </c>
      <c r="M21" s="538">
        <v>0.102099</v>
      </c>
      <c r="N21" s="691">
        <v>0.10289</v>
      </c>
      <c r="O21" s="538">
        <v>0.11000500000000001</v>
      </c>
      <c r="P21" s="691">
        <v>0.108817</v>
      </c>
      <c r="Q21" s="538">
        <v>0.110148</v>
      </c>
      <c r="R21" s="1798">
        <v>0.112955</v>
      </c>
    </row>
    <row r="22" spans="1:18" ht="9.75" customHeight="1">
      <c r="A22" s="1799"/>
      <c r="B22" s="1800"/>
      <c r="C22" s="1800"/>
      <c r="D22" s="1800"/>
      <c r="E22" s="1800"/>
      <c r="F22" s="1800"/>
      <c r="G22" s="1801"/>
      <c r="H22" s="1801"/>
      <c r="I22" s="1801"/>
      <c r="J22" s="1801"/>
      <c r="K22" s="1801"/>
      <c r="L22" s="1801"/>
      <c r="M22" s="1801"/>
      <c r="N22" s="1801"/>
      <c r="O22" s="1801"/>
      <c r="P22" s="1801"/>
      <c r="Q22" s="1801"/>
      <c r="R22" s="1801"/>
    </row>
    <row r="23" spans="1:18" s="43" customFormat="1" ht="26.25" customHeight="1" thickBot="1">
      <c r="A23" s="1802" t="s">
        <v>2327</v>
      </c>
      <c r="B23" s="1803">
        <v>3.5624658814363358E-2</v>
      </c>
      <c r="C23" s="1741">
        <v>3.6541719623972846E-2</v>
      </c>
      <c r="D23" s="1803">
        <v>3.7643432570707028E-2</v>
      </c>
      <c r="E23" s="1741">
        <v>3.8407716952479763E-2</v>
      </c>
      <c r="F23" s="1803">
        <v>3.871842657206593E-2</v>
      </c>
      <c r="G23" s="1741">
        <v>4.019167602662601E-2</v>
      </c>
      <c r="H23" s="1803">
        <v>4.1494101249786454E-2</v>
      </c>
      <c r="I23" s="1741">
        <v>4.3116092512608215E-2</v>
      </c>
      <c r="J23" s="1803">
        <v>4.4590486061892129E-2</v>
      </c>
      <c r="K23" s="1741">
        <v>4.6026031703889358E-2</v>
      </c>
      <c r="L23" s="1803">
        <v>4.4196971221844489E-2</v>
      </c>
      <c r="M23" s="1741">
        <v>4.346644776913719E-2</v>
      </c>
      <c r="N23" s="1803">
        <v>4.383358100471902E-2</v>
      </c>
      <c r="O23" s="1741">
        <v>4.4718323678594865E-2</v>
      </c>
      <c r="P23" s="1803">
        <v>4.4559917296412399E-2</v>
      </c>
      <c r="Q23" s="1741">
        <v>4.47548788901935E-2</v>
      </c>
      <c r="R23" s="1803">
        <v>4.5861364928233624E-2</v>
      </c>
    </row>
    <row r="24" spans="1:18" ht="20" customHeight="1">
      <c r="A24" s="1804"/>
      <c r="B24" s="359"/>
      <c r="C24" s="359"/>
      <c r="D24" s="359"/>
      <c r="E24" s="359"/>
      <c r="F24" s="359"/>
    </row>
    <row r="25" spans="1:18" ht="20" customHeight="1">
      <c r="A25" s="1805"/>
      <c r="B25" s="359"/>
      <c r="C25" s="359"/>
      <c r="D25" s="359"/>
      <c r="E25" s="359"/>
      <c r="F25" s="359"/>
    </row>
    <row r="26" spans="1:18" ht="22.75" customHeight="1">
      <c r="A26" s="461" t="s">
        <v>2328</v>
      </c>
      <c r="B26" s="359"/>
      <c r="C26" s="359"/>
      <c r="D26" s="359"/>
      <c r="E26" s="359"/>
      <c r="F26" s="359"/>
    </row>
    <row r="27" spans="1:18" ht="78" customHeight="1">
      <c r="A27" s="1795" t="s">
        <v>2310</v>
      </c>
      <c r="B27" s="1796">
        <v>1996</v>
      </c>
      <c r="C27" s="1797">
        <v>1997</v>
      </c>
      <c r="D27" s="1796">
        <v>1998</v>
      </c>
      <c r="E27" s="1797">
        <v>1999</v>
      </c>
      <c r="F27" s="1796">
        <v>2000</v>
      </c>
      <c r="G27" s="1797">
        <v>2001</v>
      </c>
      <c r="H27" s="1796">
        <v>2002</v>
      </c>
      <c r="I27" s="1797">
        <v>2003</v>
      </c>
      <c r="J27" s="1796">
        <v>2004</v>
      </c>
      <c r="K27" s="1797">
        <v>2005</v>
      </c>
      <c r="L27" s="1796">
        <v>2006</v>
      </c>
      <c r="M27" s="1797">
        <v>2007</v>
      </c>
      <c r="N27" s="1796">
        <v>2008</v>
      </c>
      <c r="O27" s="1797">
        <v>2009</v>
      </c>
      <c r="P27" s="1796">
        <v>2010</v>
      </c>
      <c r="Q27" s="1797">
        <v>2011</v>
      </c>
      <c r="R27" s="1796">
        <v>2012</v>
      </c>
    </row>
    <row r="28" spans="1:18" ht="23.5" customHeight="1" thickBot="1">
      <c r="A28" s="1661" t="s">
        <v>2311</v>
      </c>
      <c r="B28" s="320">
        <v>2192.1048443716359</v>
      </c>
      <c r="C28" s="321">
        <v>2560.8662900188324</v>
      </c>
      <c r="D28" s="320">
        <v>2317.1413775245987</v>
      </c>
      <c r="E28" s="321">
        <v>3150.6169207500006</v>
      </c>
      <c r="F28" s="320">
        <v>3827.6680403199994</v>
      </c>
      <c r="G28" s="321">
        <v>4394.4034119620337</v>
      </c>
      <c r="H28" s="320">
        <v>4531.5703432715336</v>
      </c>
      <c r="I28" s="321">
        <v>4735.1174266174385</v>
      </c>
      <c r="J28" s="320">
        <v>5054.9816001024546</v>
      </c>
      <c r="K28" s="321">
        <v>5192.6605567579363</v>
      </c>
      <c r="L28" s="320">
        <v>5259.8085799849523</v>
      </c>
      <c r="M28" s="321">
        <v>5379.7443998350982</v>
      </c>
      <c r="N28" s="320">
        <v>5374.211405369937</v>
      </c>
      <c r="O28" s="321">
        <v>5702.9622365890755</v>
      </c>
      <c r="P28" s="320">
        <v>5724.7690905904683</v>
      </c>
      <c r="Q28" s="321" t="s">
        <v>29</v>
      </c>
      <c r="R28" s="320" t="s">
        <v>29</v>
      </c>
    </row>
    <row r="29" spans="1:18" ht="18" customHeight="1" thickBot="1">
      <c r="A29" s="147" t="s">
        <v>2312</v>
      </c>
      <c r="B29" s="134">
        <v>2936.0318277556753</v>
      </c>
      <c r="C29" s="135">
        <v>3042.2975517890773</v>
      </c>
      <c r="D29" s="134">
        <v>3159.606421543242</v>
      </c>
      <c r="E29" s="135">
        <v>5116.9991889304592</v>
      </c>
      <c r="F29" s="134">
        <v>5298.6362805677045</v>
      </c>
      <c r="G29" s="135">
        <v>5391.2915603186111</v>
      </c>
      <c r="H29" s="134">
        <v>5461.5150554135489</v>
      </c>
      <c r="I29" s="135">
        <v>5731.4206468352704</v>
      </c>
      <c r="J29" s="134">
        <v>6007.7601070738292</v>
      </c>
      <c r="K29" s="135">
        <v>6105.6310321310111</v>
      </c>
      <c r="L29" s="134">
        <v>6198.6009414061391</v>
      </c>
      <c r="M29" s="135">
        <v>6251.5815793592701</v>
      </c>
      <c r="N29" s="134">
        <v>6462.6875019827767</v>
      </c>
      <c r="O29" s="135">
        <v>6635.3409661372234</v>
      </c>
      <c r="P29" s="134">
        <v>6714.4183542723713</v>
      </c>
      <c r="Q29" s="135">
        <v>6581.659829655282</v>
      </c>
      <c r="R29" s="134" t="s">
        <v>29</v>
      </c>
    </row>
    <row r="30" spans="1:18" ht="18" customHeight="1" thickBot="1">
      <c r="A30" s="147" t="s">
        <v>2313</v>
      </c>
      <c r="B30" s="134">
        <v>3568.3697636321085</v>
      </c>
      <c r="C30" s="135">
        <v>3815.1977401129943</v>
      </c>
      <c r="D30" s="134">
        <v>3954.2206110823408</v>
      </c>
      <c r="E30" s="135">
        <v>3834.1266744456802</v>
      </c>
      <c r="F30" s="134">
        <v>4156.5449203343214</v>
      </c>
      <c r="G30" s="135">
        <v>4350.2841270461076</v>
      </c>
      <c r="H30" s="134">
        <v>4502.9896380346609</v>
      </c>
      <c r="I30" s="135">
        <v>5363.3880356279924</v>
      </c>
      <c r="J30" s="134">
        <v>5472.8985033139661</v>
      </c>
      <c r="K30" s="135">
        <v>5600.4323640053008</v>
      </c>
      <c r="L30" s="134">
        <v>5383.0371013868607</v>
      </c>
      <c r="M30" s="135">
        <v>5434.3791598250891</v>
      </c>
      <c r="N30" s="134">
        <v>5683.8885435625716</v>
      </c>
      <c r="O30" s="135">
        <v>5916.8859856794088</v>
      </c>
      <c r="P30" s="134">
        <v>5972.8360132661801</v>
      </c>
      <c r="Q30" s="135">
        <v>5879.5975572638608</v>
      </c>
      <c r="R30" s="134" t="s">
        <v>29</v>
      </c>
    </row>
    <row r="31" spans="1:18" ht="18" customHeight="1" thickBot="1">
      <c r="A31" s="147" t="s">
        <v>2314</v>
      </c>
      <c r="B31" s="134">
        <v>3827.5043295108821</v>
      </c>
      <c r="C31" s="135">
        <v>3887.7024482109227</v>
      </c>
      <c r="D31" s="134">
        <v>3948.4205075090626</v>
      </c>
      <c r="E31" s="135">
        <v>4515.186284620786</v>
      </c>
      <c r="F31" s="134">
        <v>4642.6583575556215</v>
      </c>
      <c r="G31" s="135">
        <v>4927.2599063698608</v>
      </c>
      <c r="H31" s="134">
        <v>5083.98482248458</v>
      </c>
      <c r="I31" s="135">
        <v>5141.0100486313422</v>
      </c>
      <c r="J31" s="134">
        <v>5477.8036769881655</v>
      </c>
      <c r="K31" s="135">
        <v>5651.7084301027826</v>
      </c>
      <c r="L31" s="134">
        <v>5932.3833324046682</v>
      </c>
      <c r="M31" s="135">
        <v>6026.7546366806837</v>
      </c>
      <c r="N31" s="134">
        <v>6281.1711103697953</v>
      </c>
      <c r="O31" s="135">
        <v>6704.5264824891456</v>
      </c>
      <c r="P31" s="134">
        <v>6771.9199517008938</v>
      </c>
      <c r="Q31" s="135">
        <v>6439.581220215282</v>
      </c>
      <c r="R31" s="134" t="s">
        <v>29</v>
      </c>
    </row>
    <row r="32" spans="1:18" ht="18" customHeight="1" thickBot="1">
      <c r="A32" s="147" t="s">
        <v>2315</v>
      </c>
      <c r="B32" s="134">
        <v>2505.7940556985723</v>
      </c>
      <c r="C32" s="135">
        <v>2668.1732580037665</v>
      </c>
      <c r="D32" s="134">
        <v>2689.7980321077162</v>
      </c>
      <c r="E32" s="135">
        <v>3259.6741783650145</v>
      </c>
      <c r="F32" s="134">
        <v>3430.5305517873016</v>
      </c>
      <c r="G32" s="135">
        <v>3625.1418155797392</v>
      </c>
      <c r="H32" s="134">
        <v>3807.1999839640339</v>
      </c>
      <c r="I32" s="135">
        <v>3999.677938129536</v>
      </c>
      <c r="J32" s="134">
        <v>4299.9949342319005</v>
      </c>
      <c r="K32" s="135">
        <v>4511.1547512131847</v>
      </c>
      <c r="L32" s="134">
        <v>4586.0420996243893</v>
      </c>
      <c r="M32" s="135">
        <v>4654.5846063982672</v>
      </c>
      <c r="N32" s="134">
        <v>4898.8143999268368</v>
      </c>
      <c r="O32" s="135">
        <v>4977.1587012548216</v>
      </c>
      <c r="P32" s="134">
        <v>4878.9954693964746</v>
      </c>
      <c r="Q32" s="135">
        <v>4884.2143005633397</v>
      </c>
      <c r="R32" s="134">
        <v>4979.7594248742589</v>
      </c>
    </row>
    <row r="33" spans="1:18" ht="18" customHeight="1" thickBot="1">
      <c r="A33" s="147" t="s">
        <v>2316</v>
      </c>
      <c r="B33" s="134">
        <v>3398.5064357594197</v>
      </c>
      <c r="C33" s="135">
        <v>3536.7796610169494</v>
      </c>
      <c r="D33" s="134">
        <v>3603.3143448990163</v>
      </c>
      <c r="E33" s="135">
        <v>4500.2311086981563</v>
      </c>
      <c r="F33" s="134">
        <v>4726.9620350164387</v>
      </c>
      <c r="G33" s="135">
        <v>4997.4143282756249</v>
      </c>
      <c r="H33" s="134">
        <v>5173.0265306781275</v>
      </c>
      <c r="I33" s="135">
        <v>5246.6674334405589</v>
      </c>
      <c r="J33" s="134">
        <v>5419.1669790156166</v>
      </c>
      <c r="K33" s="135">
        <v>5670.7473430292794</v>
      </c>
      <c r="L33" s="134">
        <v>5703.3430854369244</v>
      </c>
      <c r="M33" s="135">
        <v>5763.6141688235712</v>
      </c>
      <c r="N33" s="134">
        <v>5828.5834430136629</v>
      </c>
      <c r="O33" s="135">
        <v>6050.1130757846295</v>
      </c>
      <c r="P33" s="134">
        <v>6050.2381682598425</v>
      </c>
      <c r="Q33" s="135">
        <v>5961.3448594166302</v>
      </c>
      <c r="R33" s="134" t="s">
        <v>29</v>
      </c>
    </row>
    <row r="34" spans="1:18" ht="18" customHeight="1" thickBot="1">
      <c r="A34" s="147" t="s">
        <v>2317</v>
      </c>
      <c r="B34" s="134">
        <v>1781.705125204774</v>
      </c>
      <c r="C34" s="135">
        <v>2246.1958568738232</v>
      </c>
      <c r="D34" s="134">
        <v>2430.2433972035215</v>
      </c>
      <c r="E34" s="135">
        <v>4832.1431527977438</v>
      </c>
      <c r="F34" s="134">
        <v>4940.8779416756997</v>
      </c>
      <c r="G34" s="135">
        <v>5161.9270751702779</v>
      </c>
      <c r="H34" s="134">
        <v>5212.6591881708955</v>
      </c>
      <c r="I34" s="135">
        <v>5500.0502434399295</v>
      </c>
      <c r="J34" s="134">
        <v>5553.7263501131602</v>
      </c>
      <c r="K34" s="135">
        <v>5861.1504143427774</v>
      </c>
      <c r="L34" s="134">
        <v>5917.755316109703</v>
      </c>
      <c r="M34" s="135">
        <v>5960.9453853510213</v>
      </c>
      <c r="N34" s="134">
        <v>6153.3177735298468</v>
      </c>
      <c r="O34" s="135">
        <v>6394.4937943022014</v>
      </c>
      <c r="P34" s="134">
        <v>6551.0788851285761</v>
      </c>
      <c r="Q34" s="135">
        <v>6506.7831800659433</v>
      </c>
      <c r="R34" s="134" t="s">
        <v>29</v>
      </c>
    </row>
    <row r="35" spans="1:18" ht="18" customHeight="1" thickBot="1">
      <c r="A35" s="147" t="s">
        <v>2318</v>
      </c>
      <c r="B35" s="134">
        <v>2018.5218815820267</v>
      </c>
      <c r="C35" s="135">
        <v>2325.9510357815443</v>
      </c>
      <c r="D35" s="134">
        <v>2388.1926462972551</v>
      </c>
      <c r="E35" s="135">
        <v>3528.5266036080652</v>
      </c>
      <c r="F35" s="134">
        <v>3820.9668874989015</v>
      </c>
      <c r="G35" s="135">
        <v>4099.1150582474384</v>
      </c>
      <c r="H35" s="134">
        <v>3908.5268737456636</v>
      </c>
      <c r="I35" s="135">
        <v>3956.8791939807156</v>
      </c>
      <c r="J35" s="134">
        <v>4104.7532011211097</v>
      </c>
      <c r="K35" s="135">
        <v>4309.3354077334197</v>
      </c>
      <c r="L35" s="134">
        <v>4456.3416835279741</v>
      </c>
      <c r="M35" s="135">
        <v>4360.6658185071756</v>
      </c>
      <c r="N35" s="134">
        <v>4595.3207660601065</v>
      </c>
      <c r="O35" s="135">
        <v>4626.5723565312974</v>
      </c>
      <c r="P35" s="134">
        <v>4547.3561176390831</v>
      </c>
      <c r="Q35" s="135">
        <v>4360.4092703863462</v>
      </c>
      <c r="R35" s="134">
        <v>4372.6196091047104</v>
      </c>
    </row>
    <row r="36" spans="1:18" ht="18" customHeight="1" thickBot="1">
      <c r="A36" s="147" t="s">
        <v>2319</v>
      </c>
      <c r="B36" s="134">
        <v>3216.2443248303298</v>
      </c>
      <c r="C36" s="135">
        <v>3420.7721280602636</v>
      </c>
      <c r="D36" s="134">
        <v>3221.9575349559814</v>
      </c>
      <c r="E36" s="135">
        <v>3426.3828269447154</v>
      </c>
      <c r="F36" s="134">
        <v>3654.081376035751</v>
      </c>
      <c r="G36" s="135">
        <v>3817.2290695405686</v>
      </c>
      <c r="H36" s="134">
        <v>3791.2445149350629</v>
      </c>
      <c r="I36" s="135">
        <v>3966.2710641407029</v>
      </c>
      <c r="J36" s="134">
        <v>4123.3576412134444</v>
      </c>
      <c r="K36" s="135">
        <v>4340.8625620828225</v>
      </c>
      <c r="L36" s="134">
        <v>4323.7078599071037</v>
      </c>
      <c r="M36" s="135">
        <v>4400.0286082344801</v>
      </c>
      <c r="N36" s="134">
        <v>4476.6448101646865</v>
      </c>
      <c r="O36" s="135">
        <v>4619.9093450543542</v>
      </c>
      <c r="P36" s="134">
        <v>4840.4965626068588</v>
      </c>
      <c r="Q36" s="135" t="s">
        <v>29</v>
      </c>
      <c r="R36" s="134" t="s">
        <v>29</v>
      </c>
    </row>
    <row r="37" spans="1:18" ht="18" customHeight="1" thickBot="1">
      <c r="A37" s="147" t="s">
        <v>2320</v>
      </c>
      <c r="B37" s="134">
        <v>2722.7727591855837</v>
      </c>
      <c r="C37" s="135">
        <v>2839.2843691148778</v>
      </c>
      <c r="D37" s="134">
        <v>2997.2035214914554</v>
      </c>
      <c r="E37" s="135">
        <v>4077.5826348176147</v>
      </c>
      <c r="F37" s="134">
        <v>4332.0970438718368</v>
      </c>
      <c r="G37" s="135">
        <v>4699.3593410012363</v>
      </c>
      <c r="H37" s="134">
        <v>5017.609171596212</v>
      </c>
      <c r="I37" s="135">
        <v>5504.6339265069673</v>
      </c>
      <c r="J37" s="134">
        <v>5802.0948360559269</v>
      </c>
      <c r="K37" s="135">
        <v>6657.4435453245114</v>
      </c>
      <c r="L37" s="134">
        <v>6785.6509072558474</v>
      </c>
      <c r="M37" s="135">
        <v>7014.6541794568375</v>
      </c>
      <c r="N37" s="134">
        <v>7304.6084431768586</v>
      </c>
      <c r="O37" s="135">
        <v>7437.3575630705809</v>
      </c>
      <c r="P37" s="134">
        <v>7575.1357351332172</v>
      </c>
      <c r="Q37" s="135">
        <v>7381.5550697901381</v>
      </c>
      <c r="R37" s="134" t="s">
        <v>29</v>
      </c>
    </row>
    <row r="38" spans="1:18" ht="18" customHeight="1" thickBot="1">
      <c r="A38" s="147" t="s">
        <v>2321</v>
      </c>
      <c r="B38" s="134">
        <v>3547.2918324362277</v>
      </c>
      <c r="C38" s="135">
        <v>4376.3841807909603</v>
      </c>
      <c r="D38" s="134">
        <v>4571.9316416364582</v>
      </c>
      <c r="E38" s="135">
        <v>5204.6970295123101</v>
      </c>
      <c r="F38" s="134">
        <v>5633.2978483365123</v>
      </c>
      <c r="G38" s="135">
        <v>6005.5493554828254</v>
      </c>
      <c r="H38" s="134">
        <v>6426.45935796508</v>
      </c>
      <c r="I38" s="135">
        <v>6813.9076589817078</v>
      </c>
      <c r="J38" s="134">
        <v>7149.9141691708137</v>
      </c>
      <c r="K38" s="135">
        <v>7495.3217987435128</v>
      </c>
      <c r="L38" s="134">
        <v>7647.4699644748189</v>
      </c>
      <c r="M38" s="135">
        <v>7814.1013906422613</v>
      </c>
      <c r="N38" s="134">
        <v>8123.600799180912</v>
      </c>
      <c r="O38" s="135">
        <v>8093.7620846876898</v>
      </c>
      <c r="P38" s="134">
        <v>8155.063463321615</v>
      </c>
      <c r="Q38" s="135">
        <v>8206.2263521145378</v>
      </c>
      <c r="R38" s="134">
        <v>8401.7700092302111</v>
      </c>
    </row>
    <row r="39" spans="1:18" ht="18" customHeight="1" thickBot="1">
      <c r="A39" s="147" t="s">
        <v>2322</v>
      </c>
      <c r="B39" s="134">
        <v>3455.5408378188627</v>
      </c>
      <c r="C39" s="135">
        <v>3684.6892655367233</v>
      </c>
      <c r="D39" s="134">
        <v>3848.3687208700157</v>
      </c>
      <c r="E39" s="135">
        <v>2715.4671588779997</v>
      </c>
      <c r="F39" s="134">
        <v>2846.2701859878989</v>
      </c>
      <c r="G39" s="135">
        <v>3008.8746501987248</v>
      </c>
      <c r="H39" s="134">
        <v>3090.6816983622907</v>
      </c>
      <c r="I39" s="135">
        <v>3587.7899574173011</v>
      </c>
      <c r="J39" s="134">
        <v>3741.7819254823812</v>
      </c>
      <c r="K39" s="135">
        <v>3956.6261526897001</v>
      </c>
      <c r="L39" s="134">
        <v>4225.7762838311392</v>
      </c>
      <c r="M39" s="135">
        <v>4378.7612293530556</v>
      </c>
      <c r="N39" s="134">
        <v>4590.8524067554754</v>
      </c>
      <c r="O39" s="135">
        <v>4703.7218743847352</v>
      </c>
      <c r="P39" s="134">
        <v>4569.9386760243051</v>
      </c>
      <c r="Q39" s="135">
        <v>4447.488059951801</v>
      </c>
      <c r="R39" s="134" t="s">
        <v>29</v>
      </c>
    </row>
    <row r="40" spans="1:18" ht="18" customHeight="1" thickBot="1">
      <c r="A40" s="147" t="s">
        <v>2323</v>
      </c>
      <c r="B40" s="134">
        <v>3177.8080973554879</v>
      </c>
      <c r="C40" s="135">
        <v>3333.7664783427495</v>
      </c>
      <c r="D40" s="134">
        <v>3385.8104609010875</v>
      </c>
      <c r="E40" s="135">
        <v>3986.806888725398</v>
      </c>
      <c r="F40" s="134">
        <v>4233.0095814475944</v>
      </c>
      <c r="G40" s="135">
        <v>4601.941230446384</v>
      </c>
      <c r="H40" s="134">
        <v>4785.2285964602224</v>
      </c>
      <c r="I40" s="135">
        <v>5032.0678715315926</v>
      </c>
      <c r="J40" s="134">
        <v>5179.7776304504951</v>
      </c>
      <c r="K40" s="135">
        <v>5164.4543983692756</v>
      </c>
      <c r="L40" s="134">
        <v>5298.0003304805214</v>
      </c>
      <c r="M40" s="135">
        <v>5490.1749308782091</v>
      </c>
      <c r="N40" s="134">
        <v>5661.6224766931755</v>
      </c>
      <c r="O40" s="135">
        <v>5655.0232205515786</v>
      </c>
      <c r="P40" s="134">
        <v>5598.9461473258943</v>
      </c>
      <c r="Q40" s="135">
        <v>5681.8067284283588</v>
      </c>
      <c r="R40" s="134" t="s">
        <v>29</v>
      </c>
    </row>
    <row r="41" spans="1:18" ht="18" customHeight="1" thickBot="1">
      <c r="A41" s="147" t="s">
        <v>2324</v>
      </c>
      <c r="B41" s="134">
        <v>1461.8165223496374</v>
      </c>
      <c r="C41" s="135">
        <v>1538.5499058380415</v>
      </c>
      <c r="D41" s="134">
        <v>1602.2786121180736</v>
      </c>
      <c r="E41" s="135">
        <v>3128.236005399538</v>
      </c>
      <c r="F41" s="134">
        <v>3383.516819592403</v>
      </c>
      <c r="G41" s="135">
        <v>3683.4413396591203</v>
      </c>
      <c r="H41" s="134">
        <v>3880.9411824953236</v>
      </c>
      <c r="I41" s="135">
        <v>4140.9073109116671</v>
      </c>
      <c r="J41" s="134">
        <v>4525.8605895337114</v>
      </c>
      <c r="K41" s="135">
        <v>4813.5274599549912</v>
      </c>
      <c r="L41" s="134">
        <v>4977.2586359502047</v>
      </c>
      <c r="M41" s="135">
        <v>4953.5747328782609</v>
      </c>
      <c r="N41" s="134">
        <v>5069.8279093549236</v>
      </c>
      <c r="O41" s="135">
        <v>5277.3239321747515</v>
      </c>
      <c r="P41" s="134">
        <v>5154.6639663155156</v>
      </c>
      <c r="Q41" s="135">
        <v>4930.0086620475895</v>
      </c>
      <c r="R41" s="134" t="s">
        <v>29</v>
      </c>
    </row>
    <row r="42" spans="1:18" ht="22.5" customHeight="1" thickBot="1">
      <c r="A42" s="147" t="s">
        <v>2325</v>
      </c>
      <c r="B42" s="619">
        <v>4835.5253919962552</v>
      </c>
      <c r="C42" s="1333">
        <v>5880.1318267419965</v>
      </c>
      <c r="D42" s="619">
        <v>6142.3096841015022</v>
      </c>
      <c r="E42" s="135">
        <v>8477.1639866804471</v>
      </c>
      <c r="F42" s="134">
        <v>8874.8718178342388</v>
      </c>
      <c r="G42" s="135">
        <v>9461.8000986620864</v>
      </c>
      <c r="H42" s="134">
        <v>9888.9408375770472</v>
      </c>
      <c r="I42" s="135">
        <v>10656.395835271727</v>
      </c>
      <c r="J42" s="134">
        <v>11160.384586150192</v>
      </c>
      <c r="K42" s="135">
        <v>11736.701222064867</v>
      </c>
      <c r="L42" s="134">
        <v>11808.389149257397</v>
      </c>
      <c r="M42" s="135">
        <v>11991.745469984571</v>
      </c>
      <c r="N42" s="134">
        <v>12035.415135004536</v>
      </c>
      <c r="O42" s="135">
        <v>12225.946625443956</v>
      </c>
      <c r="P42" s="134">
        <v>12423.721385760879</v>
      </c>
      <c r="Q42" s="135">
        <v>12316.419079842888</v>
      </c>
      <c r="R42" s="134" t="s">
        <v>29</v>
      </c>
    </row>
    <row r="43" spans="1:18" s="266" customFormat="1" ht="21.75" customHeight="1" thickBot="1">
      <c r="A43" s="1710" t="s">
        <v>2326</v>
      </c>
      <c r="B43" s="331">
        <v>5298</v>
      </c>
      <c r="C43" s="746">
        <v>5390</v>
      </c>
      <c r="D43" s="331">
        <v>5600</v>
      </c>
      <c r="E43" s="206">
        <v>5753.71</v>
      </c>
      <c r="F43" s="353">
        <v>5963.4530000000004</v>
      </c>
      <c r="G43" s="206">
        <v>6306.2221</v>
      </c>
      <c r="H43" s="353">
        <v>6505.1796999999997</v>
      </c>
      <c r="I43" s="206">
        <v>6712.7875999999997</v>
      </c>
      <c r="J43" s="353">
        <v>6902.6113999999998</v>
      </c>
      <c r="K43" s="206">
        <v>6997.7448999999997</v>
      </c>
      <c r="L43" s="353">
        <v>7051.5506999999998</v>
      </c>
      <c r="M43" s="206">
        <v>7312.1558999999997</v>
      </c>
      <c r="N43" s="353">
        <v>7639.7133999999996</v>
      </c>
      <c r="O43" s="206">
        <v>7875.1530000000012</v>
      </c>
      <c r="P43" s="353">
        <v>7983.5406000000003</v>
      </c>
      <c r="Q43" s="206">
        <v>8168.5888999999997</v>
      </c>
      <c r="R43" s="1091">
        <v>8419.7891999999993</v>
      </c>
    </row>
    <row r="44" spans="1:18" ht="9.75" customHeight="1">
      <c r="A44" s="1799"/>
      <c r="B44" s="1800"/>
      <c r="C44" s="1800"/>
      <c r="D44" s="1800"/>
      <c r="E44" s="1806"/>
      <c r="F44" s="1806"/>
      <c r="G44" s="1807"/>
      <c r="H44" s="1807"/>
      <c r="I44" s="1807"/>
      <c r="J44" s="1807"/>
      <c r="K44" s="1807"/>
      <c r="L44" s="1807"/>
      <c r="M44" s="1807"/>
      <c r="N44" s="1807"/>
      <c r="O44" s="1807"/>
      <c r="P44" s="1807"/>
      <c r="Q44" s="1807"/>
      <c r="R44" s="1807"/>
    </row>
    <row r="45" spans="1:18" s="43" customFormat="1" ht="26.25" customHeight="1" thickBot="1">
      <c r="A45" s="1808" t="s">
        <v>2327</v>
      </c>
      <c r="B45" s="1809">
        <v>1855.3107485800188</v>
      </c>
      <c r="C45" s="1810">
        <v>1939.0233128827574</v>
      </c>
      <c r="D45" s="1809">
        <v>2053.2393946360617</v>
      </c>
      <c r="E45" s="1810">
        <v>2128.4240170100579</v>
      </c>
      <c r="F45" s="1811">
        <v>2249.3257570804471</v>
      </c>
      <c r="G45" s="180">
        <v>2368.8798186562203</v>
      </c>
      <c r="H45" s="1811">
        <v>2453.378303724407</v>
      </c>
      <c r="I45" s="180">
        <v>2559.9512260364686</v>
      </c>
      <c r="J45" s="1811">
        <v>2725.9429772763169</v>
      </c>
      <c r="K45" s="180">
        <v>2870.7950047573486</v>
      </c>
      <c r="L45" s="1811">
        <v>2899.0829518125847</v>
      </c>
      <c r="M45" s="180">
        <v>3004.9921877854235</v>
      </c>
      <c r="N45" s="1811">
        <v>3137.0665548927504</v>
      </c>
      <c r="O45" s="180">
        <v>3215.8599114526196</v>
      </c>
      <c r="P45" s="1811">
        <v>3280.0789709587111</v>
      </c>
      <c r="Q45" s="180">
        <v>3330.3997975810171</v>
      </c>
      <c r="R45" s="1811">
        <v>3412.7844837285766</v>
      </c>
    </row>
    <row r="46" spans="1:18" ht="20" customHeight="1">
      <c r="A46" s="1677" t="s">
        <v>2204</v>
      </c>
      <c r="B46" s="336"/>
      <c r="C46" s="336"/>
      <c r="D46" s="336"/>
      <c r="E46" s="336"/>
      <c r="F46" s="336"/>
      <c r="G46" s="336"/>
    </row>
    <row r="47" spans="1:18" ht="16.5" customHeight="1">
      <c r="A47" s="1677"/>
      <c r="B47" s="336"/>
      <c r="C47" s="336"/>
      <c r="D47" s="336"/>
      <c r="E47" s="336"/>
      <c r="F47" s="336"/>
      <c r="G47" s="336"/>
    </row>
    <row r="48" spans="1:18" ht="16.5" customHeight="1">
      <c r="A48" s="1805" t="s">
        <v>2329</v>
      </c>
      <c r="B48" s="359"/>
      <c r="C48" s="359"/>
      <c r="D48" s="359"/>
      <c r="E48" s="359"/>
      <c r="F48" s="359"/>
      <c r="G48" s="131"/>
      <c r="H48" s="131"/>
      <c r="I48" s="131"/>
      <c r="J48" s="131"/>
      <c r="K48" s="131"/>
      <c r="L48" s="131"/>
      <c r="M48" s="131"/>
      <c r="N48" s="131"/>
      <c r="O48" s="131"/>
    </row>
    <row r="49" spans="1:11" ht="17.25" customHeight="1">
      <c r="A49" s="1805" t="s">
        <v>2330</v>
      </c>
      <c r="B49" s="359"/>
      <c r="C49" s="359"/>
      <c r="D49" s="359"/>
      <c r="E49" s="359"/>
      <c r="F49" s="359"/>
    </row>
    <row r="50" spans="1:11" ht="16.5" customHeight="1">
      <c r="A50" s="1805" t="s">
        <v>2331</v>
      </c>
      <c r="B50" s="359"/>
      <c r="C50" s="359"/>
      <c r="D50" s="359"/>
      <c r="E50" s="359"/>
      <c r="F50" s="359"/>
    </row>
    <row r="51" spans="1:11" ht="16.5" customHeight="1">
      <c r="A51" s="1805" t="s">
        <v>2332</v>
      </c>
      <c r="B51" s="359"/>
      <c r="C51" s="359"/>
      <c r="D51" s="359"/>
      <c r="E51" s="359"/>
      <c r="F51" s="359"/>
    </row>
    <row r="52" spans="1:11" ht="13.5" customHeight="1">
      <c r="A52" s="1805"/>
      <c r="B52" s="359"/>
      <c r="C52" s="359"/>
      <c r="D52" s="359"/>
      <c r="E52" s="359"/>
      <c r="F52" s="359"/>
    </row>
    <row r="53" spans="1:11" ht="12.75" customHeight="1">
      <c r="A53" s="1805" t="s">
        <v>2333</v>
      </c>
      <c r="B53" s="359"/>
      <c r="C53" s="359"/>
      <c r="D53" s="359"/>
      <c r="E53" s="359"/>
      <c r="F53" s="359"/>
    </row>
    <row r="54" spans="1:11" ht="12.75" customHeight="1">
      <c r="A54" s="1805" t="s">
        <v>2334</v>
      </c>
      <c r="B54" s="359"/>
      <c r="C54" s="359"/>
      <c r="D54" s="359"/>
      <c r="E54" s="359"/>
      <c r="F54" s="359"/>
    </row>
    <row r="55" spans="1:11" ht="15.75" customHeight="1">
      <c r="A55" s="1805" t="s">
        <v>2335</v>
      </c>
      <c r="B55" s="359"/>
      <c r="C55" s="359"/>
      <c r="D55" s="359"/>
      <c r="E55" s="359"/>
      <c r="F55" s="359"/>
    </row>
    <row r="56" spans="1:11" ht="9.5" customHeight="1">
      <c r="A56" s="1281"/>
      <c r="B56" s="336"/>
      <c r="C56" s="336"/>
      <c r="D56" s="336"/>
      <c r="E56" s="336"/>
      <c r="F56" s="336"/>
      <c r="G56" s="336"/>
    </row>
    <row r="57" spans="1:11" ht="14.25" customHeight="1">
      <c r="A57" s="1805" t="s">
        <v>2336</v>
      </c>
      <c r="B57" s="336"/>
      <c r="C57" s="336"/>
      <c r="D57" s="336"/>
      <c r="E57" s="336"/>
      <c r="F57" s="336"/>
      <c r="G57" s="336"/>
    </row>
    <row r="58" spans="1:11" ht="14.25" customHeight="1">
      <c r="A58" s="1805" t="s">
        <v>2337</v>
      </c>
      <c r="B58" s="336"/>
      <c r="C58" s="336"/>
      <c r="D58" s="336"/>
      <c r="E58" s="336"/>
      <c r="F58" s="336"/>
      <c r="G58" s="336"/>
    </row>
    <row r="59" spans="1:11" ht="14.25" customHeight="1">
      <c r="A59" s="515"/>
      <c r="B59" s="336"/>
      <c r="C59" s="336"/>
      <c r="D59" s="336"/>
      <c r="E59" s="336"/>
      <c r="F59" s="336"/>
      <c r="G59" s="336"/>
    </row>
    <row r="60" spans="1:11" ht="18.75" customHeight="1">
      <c r="A60" s="275" t="s">
        <v>395</v>
      </c>
      <c r="B60" s="336"/>
      <c r="C60" s="336"/>
      <c r="D60" s="336"/>
      <c r="E60" s="336"/>
      <c r="F60" s="336"/>
      <c r="G60" s="336"/>
    </row>
    <row r="61" spans="1:11" ht="31" customHeight="1">
      <c r="A61" s="336"/>
      <c r="B61" s="336"/>
      <c r="C61" s="336"/>
      <c r="D61" s="336"/>
      <c r="E61" s="336"/>
      <c r="F61" s="336"/>
      <c r="G61" s="336"/>
      <c r="K61" s="2"/>
    </row>
    <row r="62" spans="1:11" ht="31" customHeight="1">
      <c r="A62" s="336"/>
      <c r="B62" s="336"/>
      <c r="C62" s="336"/>
      <c r="D62" s="336"/>
      <c r="E62" s="336"/>
      <c r="F62" s="336"/>
      <c r="G62" s="336"/>
    </row>
    <row r="63" spans="1:11" ht="31" customHeight="1">
      <c r="A63" s="336"/>
      <c r="B63" s="336"/>
      <c r="C63" s="336"/>
      <c r="D63" s="336"/>
      <c r="E63" s="336"/>
      <c r="F63" s="336"/>
      <c r="G63" s="336"/>
    </row>
    <row r="64" spans="1:11" ht="31" customHeight="1">
      <c r="A64" s="336"/>
      <c r="B64" s="336"/>
      <c r="C64" s="336"/>
      <c r="D64" s="336"/>
      <c r="E64" s="336"/>
      <c r="F64" s="336"/>
      <c r="G64" s="336"/>
    </row>
    <row r="65" spans="1:7" ht="31" customHeight="1">
      <c r="A65" s="336"/>
      <c r="B65" s="336"/>
      <c r="C65" s="336"/>
      <c r="D65" s="336"/>
      <c r="E65" s="336"/>
      <c r="F65" s="336"/>
      <c r="G65" s="336"/>
    </row>
    <row r="66" spans="1:7" ht="31" customHeight="1">
      <c r="A66" s="336"/>
      <c r="B66" s="336"/>
      <c r="C66" s="336"/>
      <c r="D66" s="336"/>
      <c r="E66" s="336"/>
      <c r="F66" s="336"/>
      <c r="G66" s="336"/>
    </row>
    <row r="67" spans="1:7" ht="31" customHeight="1">
      <c r="A67" s="336"/>
      <c r="B67" s="336"/>
      <c r="C67" s="336"/>
      <c r="D67" s="336"/>
      <c r="E67" s="336"/>
      <c r="F67" s="336"/>
      <c r="G67" s="336"/>
    </row>
    <row r="68" spans="1:7">
      <c r="A68" s="336"/>
      <c r="B68" s="336"/>
      <c r="C68" s="336"/>
      <c r="D68" s="336"/>
      <c r="E68" s="336"/>
      <c r="F68" s="336"/>
      <c r="G68" s="336"/>
    </row>
    <row r="69" spans="1:7">
      <c r="A69" s="336"/>
      <c r="B69" s="336"/>
      <c r="C69" s="336"/>
      <c r="D69" s="336"/>
      <c r="E69" s="336"/>
      <c r="F69" s="336"/>
      <c r="G69" s="336"/>
    </row>
    <row r="70" spans="1:7">
      <c r="A70" s="336"/>
      <c r="B70" s="336"/>
      <c r="C70" s="336"/>
      <c r="D70" s="336"/>
      <c r="E70" s="336"/>
      <c r="F70" s="336"/>
      <c r="G70" s="336"/>
    </row>
    <row r="71" spans="1:7">
      <c r="A71" s="336"/>
      <c r="B71" s="336"/>
      <c r="C71" s="336"/>
      <c r="D71" s="336"/>
      <c r="E71" s="336"/>
      <c r="F71" s="336"/>
      <c r="G71" s="336"/>
    </row>
    <row r="72" spans="1:7">
      <c r="A72" s="336"/>
      <c r="B72" s="336"/>
      <c r="C72" s="336"/>
      <c r="D72" s="336"/>
      <c r="E72" s="336"/>
      <c r="F72" s="336"/>
      <c r="G72" s="336"/>
    </row>
    <row r="73" spans="1:7">
      <c r="A73" s="336"/>
      <c r="B73" s="336"/>
      <c r="C73" s="336"/>
      <c r="D73" s="336"/>
      <c r="E73" s="336"/>
      <c r="F73" s="336"/>
      <c r="G73" s="336"/>
    </row>
    <row r="74" spans="1:7">
      <c r="A74" s="336"/>
      <c r="B74" s="336"/>
      <c r="C74" s="336"/>
      <c r="D74" s="336"/>
      <c r="E74" s="336"/>
      <c r="F74" s="336"/>
      <c r="G74" s="336"/>
    </row>
    <row r="75" spans="1:7">
      <c r="A75" s="336"/>
      <c r="B75" s="336"/>
      <c r="C75" s="336"/>
      <c r="D75" s="336"/>
      <c r="E75" s="336"/>
      <c r="F75" s="336"/>
      <c r="G75" s="336"/>
    </row>
    <row r="76" spans="1:7">
      <c r="A76" s="336"/>
      <c r="B76" s="336"/>
      <c r="C76" s="336"/>
      <c r="D76" s="336"/>
      <c r="E76" s="336"/>
      <c r="F76" s="336"/>
      <c r="G76" s="336"/>
    </row>
    <row r="77" spans="1:7">
      <c r="A77" s="336"/>
      <c r="B77" s="336"/>
      <c r="C77" s="336"/>
      <c r="D77" s="336"/>
      <c r="E77" s="336"/>
      <c r="F77" s="336"/>
      <c r="G77" s="336"/>
    </row>
    <row r="78" spans="1:7">
      <c r="A78" s="336"/>
      <c r="B78" s="336"/>
      <c r="C78" s="336"/>
      <c r="D78" s="336"/>
      <c r="E78" s="336"/>
      <c r="F78" s="336"/>
      <c r="G78" s="336"/>
    </row>
    <row r="79" spans="1:7">
      <c r="A79" s="336"/>
      <c r="B79" s="336"/>
      <c r="C79" s="336"/>
      <c r="D79" s="336"/>
      <c r="E79" s="336"/>
      <c r="F79" s="336"/>
      <c r="G79" s="336"/>
    </row>
    <row r="80" spans="1:7">
      <c r="A80" s="336"/>
      <c r="B80" s="336"/>
      <c r="C80" s="336"/>
      <c r="D80" s="336"/>
      <c r="E80" s="336"/>
      <c r="F80" s="336"/>
      <c r="G80" s="336"/>
    </row>
    <row r="81" spans="1:7">
      <c r="A81" s="336"/>
      <c r="B81" s="336"/>
      <c r="C81" s="336"/>
      <c r="D81" s="336"/>
      <c r="E81" s="336"/>
      <c r="F81" s="336"/>
      <c r="G81" s="336"/>
    </row>
    <row r="82" spans="1:7">
      <c r="A82" s="336"/>
      <c r="B82" s="336"/>
      <c r="C82" s="336"/>
      <c r="D82" s="336"/>
      <c r="E82" s="336"/>
      <c r="F82" s="336"/>
      <c r="G82" s="336"/>
    </row>
    <row r="83" spans="1:7">
      <c r="A83" s="336"/>
      <c r="B83" s="336"/>
      <c r="C83" s="336"/>
      <c r="D83" s="336"/>
      <c r="E83" s="336"/>
      <c r="F83" s="336"/>
      <c r="G83" s="336"/>
    </row>
    <row r="84" spans="1:7">
      <c r="A84" s="336"/>
      <c r="B84" s="336"/>
      <c r="C84" s="336"/>
      <c r="D84" s="336"/>
      <c r="E84" s="336"/>
      <c r="F84" s="336"/>
      <c r="G84" s="336"/>
    </row>
    <row r="85" spans="1:7">
      <c r="A85" s="336"/>
      <c r="B85" s="336"/>
      <c r="C85" s="336"/>
      <c r="D85" s="336"/>
      <c r="E85" s="336"/>
      <c r="F85" s="336"/>
      <c r="G85" s="336"/>
    </row>
    <row r="86" spans="1:7">
      <c r="A86" s="336"/>
      <c r="B86" s="336"/>
      <c r="C86" s="336"/>
      <c r="D86" s="336"/>
      <c r="E86" s="336"/>
      <c r="F86" s="336"/>
      <c r="G86" s="336"/>
    </row>
    <row r="87" spans="1:7">
      <c r="A87" s="336"/>
      <c r="B87" s="336"/>
      <c r="C87" s="336"/>
      <c r="D87" s="336"/>
      <c r="E87" s="336"/>
      <c r="F87" s="336"/>
      <c r="G87" s="336"/>
    </row>
    <row r="88" spans="1:7">
      <c r="A88" s="336"/>
      <c r="B88" s="336"/>
      <c r="C88" s="336"/>
      <c r="D88" s="336"/>
      <c r="E88" s="336"/>
      <c r="F88" s="336"/>
      <c r="G88" s="336"/>
    </row>
    <row r="89" spans="1:7">
      <c r="A89" s="336"/>
      <c r="B89" s="336"/>
      <c r="C89" s="336"/>
      <c r="D89" s="336"/>
      <c r="E89" s="336"/>
      <c r="F89" s="336"/>
      <c r="G89" s="336"/>
    </row>
    <row r="90" spans="1:7">
      <c r="A90" s="336"/>
      <c r="B90" s="336"/>
      <c r="C90" s="336"/>
      <c r="D90" s="336"/>
      <c r="E90" s="336"/>
      <c r="F90" s="336"/>
      <c r="G90" s="336"/>
    </row>
    <row r="91" spans="1:7">
      <c r="A91" s="336"/>
      <c r="B91" s="336"/>
      <c r="C91" s="336"/>
      <c r="D91" s="336"/>
      <c r="E91" s="336"/>
      <c r="F91" s="336"/>
      <c r="G91" s="336"/>
    </row>
    <row r="92" spans="1:7">
      <c r="A92" s="336"/>
      <c r="B92" s="336"/>
      <c r="C92" s="336"/>
      <c r="D92" s="336"/>
      <c r="E92" s="336"/>
      <c r="F92" s="336"/>
      <c r="G92" s="336"/>
    </row>
    <row r="93" spans="1:7">
      <c r="A93" s="336"/>
      <c r="B93" s="336"/>
      <c r="C93" s="336"/>
      <c r="D93" s="336"/>
      <c r="E93" s="336"/>
      <c r="F93" s="336"/>
      <c r="G93" s="336"/>
    </row>
    <row r="94" spans="1:7">
      <c r="A94" s="336"/>
      <c r="B94" s="336"/>
      <c r="C94" s="336"/>
      <c r="D94" s="336"/>
      <c r="E94" s="336"/>
      <c r="F94" s="336"/>
      <c r="G94" s="336"/>
    </row>
    <row r="95" spans="1:7">
      <c r="A95" s="336"/>
      <c r="B95" s="336"/>
      <c r="C95" s="336"/>
      <c r="D95" s="336"/>
      <c r="E95" s="336"/>
      <c r="F95" s="336"/>
      <c r="G95" s="336"/>
    </row>
    <row r="96" spans="1:7">
      <c r="A96" s="336"/>
      <c r="B96" s="336"/>
      <c r="C96" s="336"/>
      <c r="D96" s="336"/>
      <c r="E96" s="336"/>
      <c r="F96" s="336"/>
      <c r="G96" s="336"/>
    </row>
    <row r="97" spans="1:7">
      <c r="A97" s="336"/>
      <c r="B97" s="336"/>
      <c r="C97" s="336"/>
      <c r="D97" s="336"/>
      <c r="E97" s="336"/>
      <c r="F97" s="336"/>
      <c r="G97" s="336"/>
    </row>
    <row r="98" spans="1:7">
      <c r="A98" s="336"/>
      <c r="B98" s="336"/>
      <c r="C98" s="336"/>
      <c r="D98" s="336"/>
      <c r="E98" s="336"/>
      <c r="F98" s="336"/>
      <c r="G98" s="336"/>
    </row>
    <row r="99" spans="1:7">
      <c r="A99" s="336"/>
      <c r="B99" s="336"/>
      <c r="C99" s="336"/>
      <c r="D99" s="336"/>
      <c r="E99" s="336"/>
      <c r="F99" s="336"/>
      <c r="G99" s="336"/>
    </row>
    <row r="100" spans="1:7">
      <c r="A100" s="336"/>
      <c r="B100" s="336"/>
      <c r="C100" s="336"/>
      <c r="D100" s="336"/>
      <c r="E100" s="336"/>
      <c r="F100" s="336"/>
      <c r="G100" s="336"/>
    </row>
    <row r="101" spans="1:7">
      <c r="A101" s="336"/>
      <c r="B101" s="336"/>
      <c r="C101" s="336"/>
      <c r="D101" s="336"/>
      <c r="E101" s="336"/>
      <c r="F101" s="336"/>
      <c r="G101" s="336"/>
    </row>
    <row r="102" spans="1:7">
      <c r="A102" s="336"/>
      <c r="B102" s="336"/>
      <c r="C102" s="336"/>
      <c r="D102" s="336"/>
      <c r="E102" s="336"/>
      <c r="F102" s="336"/>
      <c r="G102" s="336"/>
    </row>
    <row r="103" spans="1:7">
      <c r="A103" s="336"/>
      <c r="B103" s="336"/>
      <c r="C103" s="336"/>
      <c r="D103" s="336"/>
      <c r="E103" s="336"/>
      <c r="F103" s="336"/>
      <c r="G103" s="336"/>
    </row>
    <row r="104" spans="1:7">
      <c r="A104" s="336"/>
      <c r="B104" s="336"/>
      <c r="C104" s="336"/>
      <c r="D104" s="336"/>
      <c r="E104" s="336"/>
      <c r="F104" s="336"/>
      <c r="G104" s="336"/>
    </row>
    <row r="105" spans="1:7">
      <c r="A105" s="336"/>
      <c r="B105" s="336"/>
      <c r="C105" s="336"/>
      <c r="D105" s="336"/>
      <c r="E105" s="336"/>
      <c r="F105" s="336"/>
      <c r="G105" s="336"/>
    </row>
    <row r="106" spans="1:7">
      <c r="A106" s="336"/>
      <c r="B106" s="336"/>
      <c r="C106" s="336"/>
      <c r="D106" s="336"/>
      <c r="E106" s="336"/>
      <c r="F106" s="336"/>
      <c r="G106" s="336"/>
    </row>
    <row r="107" spans="1:7">
      <c r="A107" s="336"/>
      <c r="B107" s="336"/>
      <c r="C107" s="336"/>
      <c r="D107" s="336"/>
      <c r="E107" s="336"/>
      <c r="F107" s="336"/>
      <c r="G107" s="336"/>
    </row>
    <row r="108" spans="1:7">
      <c r="A108" s="336"/>
      <c r="B108" s="336"/>
      <c r="C108" s="336"/>
      <c r="D108" s="336"/>
      <c r="E108" s="336"/>
      <c r="F108" s="336"/>
      <c r="G108" s="336"/>
    </row>
    <row r="109" spans="1:7">
      <c r="A109" s="336"/>
      <c r="B109" s="336"/>
      <c r="C109" s="336"/>
      <c r="D109" s="336"/>
      <c r="E109" s="336"/>
      <c r="F109" s="336"/>
      <c r="G109" s="336"/>
    </row>
    <row r="110" spans="1:7">
      <c r="A110" s="336"/>
      <c r="B110" s="336"/>
      <c r="C110" s="336"/>
      <c r="D110" s="336"/>
      <c r="E110" s="336"/>
      <c r="F110" s="336"/>
      <c r="G110" s="336"/>
    </row>
    <row r="111" spans="1:7">
      <c r="A111" s="336"/>
      <c r="B111" s="336"/>
      <c r="C111" s="336"/>
      <c r="D111" s="336"/>
      <c r="E111" s="336"/>
      <c r="F111" s="336"/>
      <c r="G111" s="336"/>
    </row>
    <row r="112" spans="1:7">
      <c r="A112" s="336"/>
      <c r="B112" s="336"/>
      <c r="C112" s="336"/>
      <c r="D112" s="336"/>
      <c r="E112" s="336"/>
      <c r="F112" s="336"/>
      <c r="G112" s="336"/>
    </row>
    <row r="113" spans="1:7">
      <c r="A113" s="336"/>
      <c r="B113" s="336"/>
      <c r="C113" s="336"/>
      <c r="D113" s="336"/>
      <c r="E113" s="336"/>
      <c r="F113" s="336"/>
      <c r="G113" s="336"/>
    </row>
    <row r="114" spans="1:7">
      <c r="A114" s="336"/>
      <c r="B114" s="336"/>
      <c r="C114" s="336"/>
      <c r="D114" s="336"/>
      <c r="E114" s="336"/>
      <c r="F114" s="336"/>
      <c r="G114" s="336"/>
    </row>
    <row r="115" spans="1:7">
      <c r="A115" s="336"/>
      <c r="B115" s="336"/>
      <c r="C115" s="336"/>
      <c r="D115" s="336"/>
      <c r="E115" s="336"/>
      <c r="F115" s="336"/>
      <c r="G115" s="336"/>
    </row>
    <row r="116" spans="1:7">
      <c r="A116" s="336"/>
      <c r="B116" s="336"/>
      <c r="C116" s="336"/>
      <c r="D116" s="336"/>
      <c r="E116" s="336"/>
      <c r="F116" s="336"/>
      <c r="G116" s="336"/>
    </row>
    <row r="117" spans="1:7">
      <c r="A117" s="336"/>
      <c r="B117" s="336"/>
      <c r="C117" s="336"/>
      <c r="D117" s="336"/>
      <c r="E117" s="336"/>
      <c r="F117" s="336"/>
      <c r="G117" s="336"/>
    </row>
    <row r="118" spans="1:7">
      <c r="A118" s="336"/>
      <c r="B118" s="336"/>
      <c r="C118" s="336"/>
      <c r="D118" s="336"/>
      <c r="E118" s="336"/>
      <c r="F118" s="336"/>
      <c r="G118" s="336"/>
    </row>
    <row r="119" spans="1:7">
      <c r="A119" s="336"/>
      <c r="B119" s="336"/>
      <c r="C119" s="336"/>
      <c r="D119" s="336"/>
      <c r="E119" s="336"/>
      <c r="F119" s="336"/>
      <c r="G119" s="336"/>
    </row>
    <row r="120" spans="1:7">
      <c r="A120" s="336"/>
      <c r="B120" s="336"/>
      <c r="C120" s="336"/>
      <c r="D120" s="336"/>
      <c r="E120" s="336"/>
      <c r="F120" s="336"/>
      <c r="G120" s="336"/>
    </row>
    <row r="121" spans="1:7">
      <c r="A121" s="336"/>
      <c r="B121" s="336"/>
      <c r="C121" s="336"/>
      <c r="D121" s="336"/>
      <c r="E121" s="336"/>
      <c r="F121" s="336"/>
      <c r="G121" s="336"/>
    </row>
    <row r="122" spans="1:7">
      <c r="A122" s="336"/>
      <c r="B122" s="336"/>
      <c r="C122" s="336"/>
      <c r="D122" s="336"/>
      <c r="E122" s="336"/>
      <c r="F122" s="336"/>
      <c r="G122" s="336"/>
    </row>
    <row r="123" spans="1:7">
      <c r="A123" s="336"/>
      <c r="B123" s="336"/>
      <c r="C123" s="336"/>
      <c r="D123" s="336"/>
      <c r="E123" s="336"/>
      <c r="F123" s="336"/>
      <c r="G123" s="336"/>
    </row>
  </sheetData>
  <pageMargins left="0.47244094488188981" right="0.51181102362204722" top="0.74803149606299213" bottom="0.47244094488188981" header="0.47244094488188981" footer="0.51181102362204722"/>
  <pageSetup paperSize="9" scale="65" orientation="portrait" horizontalDpi="1200" verticalDpi="12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B73C9-5D8C-084F-8092-BB5346644E2A}">
  <sheetPr>
    <pageSetUpPr fitToPage="1"/>
  </sheetPr>
  <dimension ref="A1:L42"/>
  <sheetViews>
    <sheetView zoomScaleNormal="100" workbookViewId="0">
      <selection activeCell="N11" sqref="N11"/>
    </sheetView>
  </sheetViews>
  <sheetFormatPr baseColWidth="10" defaultColWidth="11.3984375" defaultRowHeight="13"/>
  <cols>
    <col min="1" max="1" width="13.19921875" style="3" customWidth="1"/>
    <col min="2" max="9" width="13.3984375" style="283" customWidth="1"/>
    <col min="10" max="10" width="8.59765625" style="3" customWidth="1"/>
    <col min="11" max="16384" width="11.3984375" style="3"/>
  </cols>
  <sheetData>
    <row r="1" spans="1:9" s="2" customFormat="1" ht="14" customHeight="1">
      <c r="A1" s="272"/>
      <c r="B1" s="1577"/>
      <c r="C1" s="1577"/>
      <c r="D1" s="1577"/>
      <c r="E1" s="1577"/>
      <c r="F1" s="1577"/>
      <c r="G1" s="1577"/>
      <c r="H1" s="1577"/>
      <c r="I1" s="1577"/>
    </row>
    <row r="2" spans="1:9" s="2" customFormat="1" ht="25.75" customHeight="1">
      <c r="A2" s="461" t="s">
        <v>2110</v>
      </c>
      <c r="B2" s="328"/>
      <c r="C2" s="328"/>
      <c r="D2" s="328"/>
      <c r="E2" s="328"/>
      <c r="F2" s="328"/>
      <c r="G2" s="328"/>
      <c r="H2" s="328"/>
      <c r="I2" s="442"/>
    </row>
    <row r="3" spans="1:9" ht="27" customHeight="1">
      <c r="A3" s="109" t="s">
        <v>821</v>
      </c>
      <c r="B3" s="110" t="s">
        <v>2111</v>
      </c>
      <c r="C3" s="111" t="s">
        <v>2112</v>
      </c>
      <c r="D3" s="110" t="s">
        <v>516</v>
      </c>
      <c r="E3" s="111" t="s">
        <v>2113</v>
      </c>
      <c r="F3" s="110" t="s">
        <v>2114</v>
      </c>
      <c r="G3" s="111" t="s">
        <v>1214</v>
      </c>
      <c r="H3" s="110" t="s">
        <v>2115</v>
      </c>
      <c r="I3" s="111" t="s">
        <v>2116</v>
      </c>
    </row>
    <row r="4" spans="1:9" ht="18.75" customHeight="1">
      <c r="A4" s="112"/>
      <c r="B4" s="426" t="s">
        <v>2117</v>
      </c>
      <c r="C4" s="427" t="s">
        <v>2118</v>
      </c>
      <c r="D4" s="426" t="s">
        <v>2119</v>
      </c>
      <c r="E4" s="427" t="s">
        <v>2120</v>
      </c>
      <c r="F4" s="426"/>
      <c r="G4" s="427"/>
      <c r="H4" s="426" t="s">
        <v>2121</v>
      </c>
      <c r="I4" s="114"/>
    </row>
    <row r="5" spans="1:9" ht="18.5" customHeight="1">
      <c r="A5" s="112"/>
      <c r="B5" s="426"/>
      <c r="C5" s="427" t="s">
        <v>2122</v>
      </c>
      <c r="D5" s="426"/>
      <c r="E5" s="427"/>
      <c r="F5" s="426"/>
      <c r="G5" s="427"/>
      <c r="H5" s="426" t="s">
        <v>2123</v>
      </c>
      <c r="I5" s="114"/>
    </row>
    <row r="6" spans="1:9" ht="24.5" customHeight="1">
      <c r="A6" s="167"/>
      <c r="B6" s="443"/>
      <c r="C6" s="118"/>
      <c r="D6" s="117"/>
      <c r="E6" s="118"/>
      <c r="F6" s="117"/>
      <c r="G6" s="118"/>
      <c r="H6" s="363" t="s">
        <v>2124</v>
      </c>
      <c r="I6" s="118"/>
    </row>
    <row r="7" spans="1:9" ht="19.75" customHeight="1" thickBot="1">
      <c r="A7" s="1589">
        <v>1996</v>
      </c>
      <c r="B7" s="121">
        <v>13184.001550929997</v>
      </c>
      <c r="C7" s="122">
        <v>5983.4068869585872</v>
      </c>
      <c r="D7" s="121">
        <v>11678.598705823826</v>
      </c>
      <c r="E7" s="122">
        <v>3544.7</v>
      </c>
      <c r="F7" s="121">
        <v>869.07117945000005</v>
      </c>
      <c r="G7" s="122">
        <v>1796.8786666666667</v>
      </c>
      <c r="H7" s="121">
        <v>411.9645950709093</v>
      </c>
      <c r="I7" s="122">
        <v>37468.621584899985</v>
      </c>
    </row>
    <row r="8" spans="1:9" ht="18" customHeight="1" thickBot="1">
      <c r="A8" s="1590">
        <v>1997</v>
      </c>
      <c r="B8" s="124">
        <v>13300.503586459999</v>
      </c>
      <c r="C8" s="125">
        <v>6218.5068752889456</v>
      </c>
      <c r="D8" s="124">
        <v>11898.794609684615</v>
      </c>
      <c r="E8" s="125">
        <v>3699.7217000000001</v>
      </c>
      <c r="F8" s="124">
        <v>820.08564491999994</v>
      </c>
      <c r="G8" s="125">
        <v>1853.7959999999998</v>
      </c>
      <c r="H8" s="124">
        <v>418.5</v>
      </c>
      <c r="I8" s="125">
        <v>38209.908416353566</v>
      </c>
    </row>
    <row r="9" spans="1:9" ht="19.25" customHeight="1" thickBot="1">
      <c r="A9" s="1590">
        <v>1998</v>
      </c>
      <c r="B9" s="124">
        <v>13726.93413743</v>
      </c>
      <c r="C9" s="125">
        <v>6517.6187697704527</v>
      </c>
      <c r="D9" s="124">
        <v>12534.698426142464</v>
      </c>
      <c r="E9" s="125">
        <v>3814.7841952999997</v>
      </c>
      <c r="F9" s="124">
        <v>825.83928717999993</v>
      </c>
      <c r="G9" s="125">
        <v>1952.6</v>
      </c>
      <c r="H9" s="124">
        <v>442.53826293428619</v>
      </c>
      <c r="I9" s="125">
        <v>39815.013078757205</v>
      </c>
    </row>
    <row r="10" spans="1:9" ht="21.5" customHeight="1" thickBot="1">
      <c r="A10" s="1590">
        <v>1999</v>
      </c>
      <c r="B10" s="124">
        <v>14269.859986000003</v>
      </c>
      <c r="C10" s="125">
        <v>6635.9923296822863</v>
      </c>
      <c r="D10" s="124">
        <v>12923.16416135502</v>
      </c>
      <c r="E10" s="125">
        <v>3984.9651892603001</v>
      </c>
      <c r="F10" s="124">
        <v>869.39271499999995</v>
      </c>
      <c r="G10" s="125">
        <v>1951.2</v>
      </c>
      <c r="H10" s="124">
        <v>469.87738272220713</v>
      </c>
      <c r="I10" s="125">
        <v>41104.451764019817</v>
      </c>
    </row>
    <row r="11" spans="1:9" ht="21.5" customHeight="1" thickBot="1">
      <c r="A11" s="1590">
        <v>2000</v>
      </c>
      <c r="B11" s="124">
        <v>14895.513251</v>
      </c>
      <c r="C11" s="125">
        <v>7041.5148394749094</v>
      </c>
      <c r="D11" s="124">
        <v>13440.733995653636</v>
      </c>
      <c r="E11" s="125">
        <v>4130.4973544495606</v>
      </c>
      <c r="F11" s="124">
        <v>886.60889900000006</v>
      </c>
      <c r="G11" s="125">
        <v>1968</v>
      </c>
      <c r="H11" s="124">
        <v>480.06561225603991</v>
      </c>
      <c r="I11" s="125">
        <v>42842.933951834144</v>
      </c>
    </row>
    <row r="12" spans="1:9" ht="21.5" customHeight="1" thickBot="1">
      <c r="A12" s="1590">
        <v>2001</v>
      </c>
      <c r="B12" s="124">
        <v>16132.139821000001</v>
      </c>
      <c r="C12" s="125">
        <v>7546.7492306168624</v>
      </c>
      <c r="D12" s="124">
        <v>14118.389210237772</v>
      </c>
      <c r="E12" s="125">
        <v>4333.6230316924066</v>
      </c>
      <c r="F12" s="124">
        <v>926.76387199999999</v>
      </c>
      <c r="G12" s="125">
        <v>2014.6</v>
      </c>
      <c r="H12" s="124">
        <v>500.57588337914626</v>
      </c>
      <c r="I12" s="125">
        <v>45572.841048926188</v>
      </c>
    </row>
    <row r="13" spans="1:9" ht="21.5" customHeight="1" thickBot="1">
      <c r="A13" s="1590">
        <v>2002</v>
      </c>
      <c r="B13" s="124">
        <v>16982.807524247681</v>
      </c>
      <c r="C13" s="125">
        <v>8067.6588042943567</v>
      </c>
      <c r="D13" s="124">
        <v>14430.539223398549</v>
      </c>
      <c r="E13" s="125">
        <v>4415.9295005981339</v>
      </c>
      <c r="F13" s="124">
        <v>981.40087700000004</v>
      </c>
      <c r="G13" s="125">
        <v>2000.8014692328545</v>
      </c>
      <c r="H13" s="124">
        <v>509.49608786656427</v>
      </c>
      <c r="I13" s="125">
        <v>47388.633486638144</v>
      </c>
    </row>
    <row r="14" spans="1:9" ht="21.5" customHeight="1" thickBot="1">
      <c r="A14" s="1590">
        <v>2003</v>
      </c>
      <c r="B14" s="124">
        <v>17712.226343618662</v>
      </c>
      <c r="C14" s="125">
        <v>8374.8829930130487</v>
      </c>
      <c r="D14" s="124">
        <v>14813.56384014453</v>
      </c>
      <c r="E14" s="125">
        <v>4720.9651053618945</v>
      </c>
      <c r="F14" s="124">
        <v>1036.8831319999999</v>
      </c>
      <c r="G14" s="125">
        <v>2076.4031583018532</v>
      </c>
      <c r="H14" s="124">
        <v>530.23678043074028</v>
      </c>
      <c r="I14" s="125">
        <v>49265.161352870731</v>
      </c>
    </row>
    <row r="15" spans="1:9" ht="21.5" customHeight="1" thickBot="1">
      <c r="A15" s="1590">
        <v>2004</v>
      </c>
      <c r="B15" s="124">
        <v>18211.927869253603</v>
      </c>
      <c r="C15" s="125">
        <v>8629.9334146129404</v>
      </c>
      <c r="D15" s="124">
        <v>15519.799657335181</v>
      </c>
      <c r="E15" s="125">
        <v>4885.7901600000005</v>
      </c>
      <c r="F15" s="124">
        <v>1016.403946</v>
      </c>
      <c r="G15" s="125">
        <v>2188.6177220936333</v>
      </c>
      <c r="H15" s="124">
        <v>555.24390154379591</v>
      </c>
      <c r="I15" s="125">
        <v>51007.71667083916</v>
      </c>
    </row>
    <row r="16" spans="1:9" ht="21.5" customHeight="1" thickBot="1">
      <c r="A16" s="1590">
        <v>2005</v>
      </c>
      <c r="B16" s="124">
        <v>18296.451625528491</v>
      </c>
      <c r="C16" s="125">
        <v>8899.1731697869727</v>
      </c>
      <c r="D16" s="124">
        <v>16110.083387414588</v>
      </c>
      <c r="E16" s="125">
        <v>4948.2082112506641</v>
      </c>
      <c r="F16" s="124">
        <v>1023.603069</v>
      </c>
      <c r="G16" s="125">
        <v>2193.6107966786522</v>
      </c>
      <c r="H16" s="124">
        <v>571.91062102459728</v>
      </c>
      <c r="I16" s="125">
        <v>52043.040880683955</v>
      </c>
    </row>
    <row r="17" spans="1:9" ht="21.5" customHeight="1" thickBot="1">
      <c r="A17" s="1590">
        <v>2006</v>
      </c>
      <c r="B17" s="124">
        <v>18526.116825067013</v>
      </c>
      <c r="C17" s="125">
        <v>9005.2253979999987</v>
      </c>
      <c r="D17" s="124">
        <v>16448.330289598387</v>
      </c>
      <c r="E17" s="125">
        <v>4888.0334472825143</v>
      </c>
      <c r="F17" s="124">
        <v>1015.4241959999999</v>
      </c>
      <c r="G17" s="125">
        <v>2305.0175260594792</v>
      </c>
      <c r="H17" s="124">
        <v>585.19916967563006</v>
      </c>
      <c r="I17" s="125">
        <v>52773.346851683018</v>
      </c>
    </row>
    <row r="18" spans="1:9" ht="21.5" customHeight="1" thickBot="1">
      <c r="A18" s="1590">
        <v>2007</v>
      </c>
      <c r="B18" s="124">
        <v>19366.801673140202</v>
      </c>
      <c r="C18" s="125">
        <v>9516.8529053703569</v>
      </c>
      <c r="D18" s="124">
        <v>17123.532189955371</v>
      </c>
      <c r="E18" s="125">
        <v>5027.4809360453346</v>
      </c>
      <c r="F18" s="124">
        <v>1191.786634</v>
      </c>
      <c r="G18" s="125">
        <v>2380.5511198549602</v>
      </c>
      <c r="H18" s="124">
        <v>607.93965186885453</v>
      </c>
      <c r="I18" s="125">
        <v>55214.945110235072</v>
      </c>
    </row>
    <row r="19" spans="1:9" ht="21.5" customHeight="1" thickBot="1">
      <c r="A19" s="1590">
        <v>2008</v>
      </c>
      <c r="B19" s="124">
        <v>20699.263899999994</v>
      </c>
      <c r="C19" s="125">
        <v>9971.4403629999997</v>
      </c>
      <c r="D19" s="124">
        <v>18056.183910300602</v>
      </c>
      <c r="E19" s="125">
        <v>5215.226104815898</v>
      </c>
      <c r="F19" s="124">
        <v>1288.9000000000001</v>
      </c>
      <c r="G19" s="125">
        <v>2554.1634569586486</v>
      </c>
      <c r="H19" s="124">
        <v>640.87512878892312</v>
      </c>
      <c r="I19" s="125">
        <v>58426.052863864068</v>
      </c>
    </row>
    <row r="20" spans="1:9" ht="21.5" customHeight="1" thickBot="1">
      <c r="A20" s="1590">
        <v>2009</v>
      </c>
      <c r="B20" s="1578">
        <v>21704.875779859671</v>
      </c>
      <c r="C20" s="125">
        <v>10487.968794</v>
      </c>
      <c r="D20" s="124">
        <v>18594.971024409548</v>
      </c>
      <c r="E20" s="125">
        <v>5486.6797231634073</v>
      </c>
      <c r="F20" s="124">
        <v>1439.5729999999999</v>
      </c>
      <c r="G20" s="125">
        <v>2608.5913211051711</v>
      </c>
      <c r="H20" s="124">
        <v>658.09516204663328</v>
      </c>
      <c r="I20" s="1591">
        <v>60980.754804584431</v>
      </c>
    </row>
    <row r="21" spans="1:9" ht="21.5" customHeight="1" thickBot="1">
      <c r="A21" s="1590">
        <v>2010</v>
      </c>
      <c r="B21" s="124">
        <v>22447.70915905638</v>
      </c>
      <c r="C21" s="125">
        <v>10768.790763000001</v>
      </c>
      <c r="D21" s="124">
        <v>19232.203602873262</v>
      </c>
      <c r="E21" s="125">
        <v>5456.2000775739052</v>
      </c>
      <c r="F21" s="124">
        <v>1211.384</v>
      </c>
      <c r="G21" s="125">
        <v>2712.8314180124112</v>
      </c>
      <c r="H21" s="124">
        <v>665.79740840309989</v>
      </c>
      <c r="I21" s="125">
        <v>62494.916428919059</v>
      </c>
    </row>
    <row r="22" spans="1:9" s="138" customFormat="1" ht="21.5" customHeight="1" thickBot="1">
      <c r="A22" s="1592">
        <v>2011</v>
      </c>
      <c r="B22" s="778">
        <v>23206.666640902989</v>
      </c>
      <c r="C22" s="1580">
        <v>11311.055189999999</v>
      </c>
      <c r="D22" s="778">
        <v>19945.419099776434</v>
      </c>
      <c r="E22" s="1580">
        <v>5484.7773595349636</v>
      </c>
      <c r="F22" s="778">
        <v>1122.8036516300001</v>
      </c>
      <c r="G22" s="1580">
        <v>2813.4863518541579</v>
      </c>
      <c r="H22" s="778">
        <v>689.80342518399141</v>
      </c>
      <c r="I22" s="1580">
        <v>64574.011718882539</v>
      </c>
    </row>
    <row r="23" spans="1:9" s="138" customFormat="1" ht="30" customHeight="1" thickBot="1">
      <c r="A23" s="1581">
        <v>2012</v>
      </c>
      <c r="B23" s="1593" t="s">
        <v>29</v>
      </c>
      <c r="C23" s="1594" t="s">
        <v>29</v>
      </c>
      <c r="D23" s="1593" t="s">
        <v>29</v>
      </c>
      <c r="E23" s="1594" t="s">
        <v>29</v>
      </c>
      <c r="F23" s="1593" t="s">
        <v>29</v>
      </c>
      <c r="G23" s="1594" t="s">
        <v>29</v>
      </c>
      <c r="H23" s="1593" t="s">
        <v>29</v>
      </c>
      <c r="I23" s="1594" t="s">
        <v>29</v>
      </c>
    </row>
    <row r="24" spans="1:9" ht="17.5" customHeight="1">
      <c r="A24" s="1595" t="s">
        <v>2142</v>
      </c>
      <c r="B24" s="1596"/>
      <c r="C24" s="1596"/>
      <c r="D24" s="1596"/>
      <c r="E24" s="1596"/>
      <c r="F24" s="1596"/>
      <c r="G24" s="1596"/>
      <c r="H24" s="1596"/>
      <c r="I24" s="1596"/>
    </row>
    <row r="25" spans="1:9" ht="12.75" customHeight="1">
      <c r="A25" s="1588"/>
      <c r="B25" s="1597"/>
      <c r="C25" s="1597"/>
      <c r="D25" s="1597"/>
      <c r="E25" s="1597"/>
      <c r="F25" s="1597"/>
      <c r="G25" s="1597"/>
      <c r="H25" s="1597"/>
      <c r="I25" s="1597"/>
    </row>
    <row r="26" spans="1:9" ht="12.75" customHeight="1">
      <c r="A26" s="1588" t="s">
        <v>2108</v>
      </c>
      <c r="B26" s="1597"/>
      <c r="C26" s="1597"/>
      <c r="D26" s="1597"/>
      <c r="E26" s="1597"/>
      <c r="F26" s="1597"/>
      <c r="G26" s="1597"/>
      <c r="H26" s="1597"/>
      <c r="I26" s="1597"/>
    </row>
    <row r="27" spans="1:9" ht="12.75" customHeight="1">
      <c r="A27" s="1588" t="s">
        <v>2082</v>
      </c>
      <c r="B27" s="1597"/>
      <c r="C27" s="1597"/>
      <c r="D27" s="1597"/>
      <c r="E27" s="1597"/>
      <c r="F27" s="1597"/>
      <c r="G27" s="1597"/>
      <c r="H27" s="1597"/>
      <c r="I27" s="1597"/>
    </row>
    <row r="28" spans="1:9" ht="12.75" customHeight="1">
      <c r="A28" s="1588" t="s">
        <v>2083</v>
      </c>
      <c r="B28" s="1597"/>
      <c r="C28" s="1597"/>
      <c r="D28" s="1597"/>
      <c r="E28" s="1597"/>
      <c r="F28" s="1597"/>
      <c r="G28" s="1597"/>
      <c r="H28" s="1597"/>
      <c r="I28" s="1597"/>
    </row>
    <row r="29" spans="1:9" ht="12.75" customHeight="1">
      <c r="A29" s="1588"/>
      <c r="B29" s="1597"/>
      <c r="C29" s="1597"/>
      <c r="D29" s="1597"/>
      <c r="E29" s="1597"/>
      <c r="F29" s="1597"/>
      <c r="G29" s="1597"/>
      <c r="H29" s="1597"/>
      <c r="I29" s="1597"/>
    </row>
    <row r="30" spans="1:9" ht="12.75" customHeight="1">
      <c r="A30" s="1588" t="s">
        <v>2125</v>
      </c>
      <c r="B30" s="1597"/>
      <c r="C30" s="1597"/>
      <c r="D30" s="1597"/>
      <c r="E30" s="1597"/>
      <c r="F30" s="1597"/>
      <c r="G30" s="1597"/>
      <c r="H30" s="1597"/>
      <c r="I30" s="1597"/>
    </row>
    <row r="31" spans="1:9" ht="15" customHeight="1">
      <c r="A31" s="841"/>
      <c r="B31" s="1598"/>
      <c r="C31" s="1598"/>
      <c r="D31" s="1598"/>
      <c r="E31" s="1598"/>
      <c r="F31" s="1598"/>
      <c r="G31" s="1598"/>
      <c r="H31" s="1598"/>
      <c r="I31" s="1598"/>
    </row>
    <row r="32" spans="1:9" ht="15" customHeight="1">
      <c r="A32" s="1599"/>
      <c r="B32" s="1598"/>
      <c r="C32" s="1598"/>
      <c r="D32" s="1598"/>
      <c r="E32" s="1598"/>
      <c r="F32" s="1598"/>
      <c r="G32" s="1598"/>
      <c r="H32" s="1598"/>
      <c r="I32" s="1598"/>
    </row>
    <row r="33" spans="1:12" ht="18" customHeight="1">
      <c r="A33" s="4" t="s">
        <v>395</v>
      </c>
      <c r="B33" s="1598"/>
      <c r="C33" s="1598"/>
      <c r="D33" s="1598"/>
      <c r="E33" s="1598"/>
      <c r="F33" s="1598"/>
      <c r="G33" s="1598"/>
      <c r="H33" s="1598"/>
      <c r="I33" s="1598"/>
    </row>
    <row r="34" spans="1:12" ht="31" customHeight="1">
      <c r="A34" s="4"/>
      <c r="B34" s="1598"/>
      <c r="C34" s="1598"/>
      <c r="D34" s="1598"/>
      <c r="E34" s="1598"/>
      <c r="F34" s="1598"/>
      <c r="G34" s="1598"/>
      <c r="H34" s="1598"/>
      <c r="I34" s="1598"/>
    </row>
    <row r="35" spans="1:12" ht="31" customHeight="1">
      <c r="A35" s="60"/>
      <c r="B35" s="176"/>
      <c r="C35" s="176"/>
      <c r="D35" s="176"/>
      <c r="E35" s="176"/>
      <c r="F35" s="176"/>
      <c r="G35" s="176"/>
      <c r="H35" s="176"/>
      <c r="I35" s="176"/>
      <c r="L35" s="541"/>
    </row>
    <row r="36" spans="1:12" ht="31" customHeight="1">
      <c r="A36" s="60"/>
      <c r="B36" s="176"/>
      <c r="C36" s="176"/>
      <c r="D36" s="176"/>
      <c r="E36" s="176"/>
      <c r="F36" s="176"/>
      <c r="G36" s="176"/>
      <c r="H36" s="176"/>
      <c r="I36" s="176"/>
    </row>
    <row r="37" spans="1:12" ht="31" customHeight="1">
      <c r="A37" s="60"/>
      <c r="B37" s="176"/>
      <c r="C37" s="176"/>
      <c r="D37" s="176"/>
      <c r="E37" s="176"/>
      <c r="F37" s="176"/>
      <c r="G37" s="176"/>
      <c r="H37" s="176"/>
      <c r="I37" s="176"/>
    </row>
    <row r="38" spans="1:12" ht="31" customHeight="1">
      <c r="A38" s="60"/>
      <c r="B38" s="176"/>
      <c r="C38" s="176"/>
      <c r="D38" s="176"/>
      <c r="E38" s="176"/>
      <c r="F38" s="176"/>
      <c r="G38" s="176"/>
      <c r="H38" s="176"/>
      <c r="I38" s="176"/>
    </row>
    <row r="39" spans="1:12" ht="31" customHeight="1">
      <c r="A39" s="60"/>
      <c r="B39" s="176"/>
      <c r="C39" s="176"/>
      <c r="D39" s="176"/>
      <c r="E39" s="176"/>
      <c r="F39" s="176"/>
      <c r="G39" s="176"/>
      <c r="H39" s="176"/>
      <c r="I39" s="176"/>
    </row>
    <row r="40" spans="1:12" ht="31" customHeight="1">
      <c r="A40" s="60"/>
      <c r="B40" s="176"/>
      <c r="C40" s="176"/>
      <c r="D40" s="176"/>
      <c r="E40" s="176"/>
      <c r="F40" s="176"/>
      <c r="G40" s="176"/>
      <c r="H40" s="176"/>
      <c r="I40" s="176"/>
    </row>
    <row r="41" spans="1:12">
      <c r="A41" s="60"/>
      <c r="B41" s="176"/>
      <c r="C41" s="176"/>
      <c r="D41" s="176"/>
      <c r="E41" s="176"/>
      <c r="F41" s="176"/>
      <c r="G41" s="176"/>
      <c r="H41" s="176"/>
      <c r="I41" s="176"/>
    </row>
    <row r="42" spans="1:12">
      <c r="A42" s="60"/>
      <c r="B42" s="176"/>
      <c r="C42" s="176"/>
      <c r="D42" s="176"/>
      <c r="E42" s="176"/>
      <c r="F42" s="176"/>
      <c r="G42" s="176"/>
      <c r="H42" s="176"/>
      <c r="I42" s="176"/>
    </row>
  </sheetData>
  <pageMargins left="0.59" right="0.51" top="0.97" bottom="0.49" header="0.56999999999999995" footer="0.4921259845"/>
  <pageSetup paperSize="9" scale="76" orientation="portrait"/>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773EE-F47E-7C41-90B0-F12E47F06A32}">
  <sheetPr>
    <pageSetUpPr fitToPage="1"/>
  </sheetPr>
  <dimension ref="A1:K42"/>
  <sheetViews>
    <sheetView zoomScaleNormal="100" workbookViewId="0">
      <selection activeCell="A31" sqref="A31"/>
    </sheetView>
  </sheetViews>
  <sheetFormatPr baseColWidth="10" defaultColWidth="11.3984375" defaultRowHeight="13"/>
  <cols>
    <col min="1" max="1" width="13" style="3" customWidth="1"/>
    <col min="2" max="8" width="14.3984375" style="283" customWidth="1"/>
    <col min="9" max="9" width="8.59765625" style="3" customWidth="1"/>
    <col min="10" max="16384" width="11.3984375" style="3"/>
  </cols>
  <sheetData>
    <row r="1" spans="1:10" s="2" customFormat="1" ht="14" customHeight="1">
      <c r="A1" s="272"/>
      <c r="B1" s="1577"/>
      <c r="C1" s="1577"/>
      <c r="D1" s="1577"/>
      <c r="E1" s="1577"/>
      <c r="F1" s="1577"/>
      <c r="G1" s="1577"/>
      <c r="H1" s="1577"/>
    </row>
    <row r="2" spans="1:10" s="2" customFormat="1" ht="27.5" customHeight="1">
      <c r="A2" s="461" t="s">
        <v>2100</v>
      </c>
      <c r="B2" s="328"/>
      <c r="C2" s="328"/>
      <c r="D2" s="328"/>
      <c r="E2" s="328"/>
      <c r="F2" s="328"/>
      <c r="G2" s="328"/>
      <c r="H2" s="442"/>
    </row>
    <row r="3" spans="1:10" ht="27" customHeight="1">
      <c r="A3" s="109" t="s">
        <v>821</v>
      </c>
      <c r="B3" s="110" t="s">
        <v>2101</v>
      </c>
      <c r="C3" s="111" t="s">
        <v>516</v>
      </c>
      <c r="D3" s="110" t="s">
        <v>2102</v>
      </c>
      <c r="E3" s="111" t="s">
        <v>2103</v>
      </c>
      <c r="F3" s="110" t="s">
        <v>2104</v>
      </c>
      <c r="G3" s="111" t="s">
        <v>2105</v>
      </c>
      <c r="H3" s="110" t="s">
        <v>230</v>
      </c>
    </row>
    <row r="4" spans="1:10" ht="15" customHeight="1">
      <c r="A4" s="112"/>
      <c r="B4" s="143" t="s">
        <v>517</v>
      </c>
      <c r="C4" s="780" t="s">
        <v>517</v>
      </c>
      <c r="D4" s="113" t="s">
        <v>533</v>
      </c>
      <c r="E4" s="114" t="s">
        <v>2106</v>
      </c>
      <c r="F4" s="113"/>
      <c r="G4" s="114"/>
      <c r="H4" s="113"/>
    </row>
    <row r="5" spans="1:10" ht="18.75" customHeight="1">
      <c r="A5" s="112"/>
      <c r="B5" s="143"/>
      <c r="C5" s="114"/>
      <c r="D5" s="113"/>
      <c r="E5" s="780" t="s">
        <v>2107</v>
      </c>
      <c r="F5" s="143"/>
      <c r="G5" s="780"/>
      <c r="H5" s="143"/>
      <c r="J5" s="1031"/>
    </row>
    <row r="6" spans="1:10" ht="21.75" customHeight="1">
      <c r="A6" s="167"/>
      <c r="B6" s="117"/>
      <c r="C6" s="118"/>
      <c r="D6" s="117"/>
      <c r="E6" s="118"/>
      <c r="F6" s="117"/>
      <c r="G6" s="118"/>
      <c r="H6" s="117"/>
    </row>
    <row r="7" spans="1:10" ht="20.5" customHeight="1" thickBot="1">
      <c r="A7" s="144">
        <v>1996</v>
      </c>
      <c r="B7" s="121">
        <v>17744.372332422729</v>
      </c>
      <c r="C7" s="122">
        <v>10932.716294797674</v>
      </c>
      <c r="D7" s="121">
        <v>1268.9714576684796</v>
      </c>
      <c r="E7" s="122">
        <v>4540.3470588235296</v>
      </c>
      <c r="F7" s="121">
        <v>966.86547804090924</v>
      </c>
      <c r="G7" s="122">
        <v>2015.3489631466664</v>
      </c>
      <c r="H7" s="121">
        <v>37468.621584899985</v>
      </c>
    </row>
    <row r="8" spans="1:10" ht="18.5" customHeight="1" thickBot="1">
      <c r="A8" s="147">
        <v>1997</v>
      </c>
      <c r="B8" s="124">
        <v>18024.21990591228</v>
      </c>
      <c r="C8" s="125">
        <v>11172.859777209607</v>
      </c>
      <c r="D8" s="124">
        <v>1237.2489177234406</v>
      </c>
      <c r="E8" s="125">
        <v>4778.8981705882352</v>
      </c>
      <c r="F8" s="124">
        <v>938.77448458000003</v>
      </c>
      <c r="G8" s="125">
        <v>2057.9071603399998</v>
      </c>
      <c r="H8" s="124">
        <v>38209.908416353559</v>
      </c>
    </row>
    <row r="9" spans="1:10" ht="19.75" customHeight="1" thickBot="1">
      <c r="A9" s="147">
        <v>1998</v>
      </c>
      <c r="B9" s="124">
        <v>18551.937219844131</v>
      </c>
      <c r="C9" s="125">
        <v>11874.35810787395</v>
      </c>
      <c r="D9" s="124">
        <v>1356.5677703307178</v>
      </c>
      <c r="E9" s="125">
        <v>4913.3724305941168</v>
      </c>
      <c r="F9" s="124">
        <v>983.21470195428628</v>
      </c>
      <c r="G9" s="125">
        <v>2135.5628481599997</v>
      </c>
      <c r="H9" s="124">
        <v>39815.013078757198</v>
      </c>
    </row>
    <row r="10" spans="1:10" ht="20.25" customHeight="1" thickBot="1">
      <c r="A10" s="147">
        <v>1999</v>
      </c>
      <c r="B10" s="124">
        <v>18978.566637981137</v>
      </c>
      <c r="C10" s="125">
        <v>12357.690062899601</v>
      </c>
      <c r="D10" s="124">
        <v>1393.9774232153918</v>
      </c>
      <c r="E10" s="125">
        <v>5198.8475422014762</v>
      </c>
      <c r="F10" s="124">
        <v>1015.086034722207</v>
      </c>
      <c r="G10" s="125">
        <v>2160.2840630000001</v>
      </c>
      <c r="H10" s="124">
        <v>41104.45176401981</v>
      </c>
    </row>
    <row r="11" spans="1:10" ht="20.25" customHeight="1" thickBot="1">
      <c r="A11" s="147">
        <v>2000</v>
      </c>
      <c r="B11" s="124">
        <v>19786.725959440424</v>
      </c>
      <c r="C11" s="125">
        <v>12926.336575347925</v>
      </c>
      <c r="D11" s="124">
        <v>1430.1583748696057</v>
      </c>
      <c r="E11" s="125">
        <v>5475.438530920148</v>
      </c>
      <c r="F11" s="124">
        <v>1014.11623525604</v>
      </c>
      <c r="G11" s="125">
        <v>2210.1582759999997</v>
      </c>
      <c r="H11" s="124">
        <v>42842.933951834144</v>
      </c>
    </row>
    <row r="12" spans="1:10" ht="20.25" customHeight="1" thickBot="1">
      <c r="A12" s="147">
        <v>2001</v>
      </c>
      <c r="B12" s="124">
        <v>21248.403601616865</v>
      </c>
      <c r="C12" s="125">
        <v>13690.949264204983</v>
      </c>
      <c r="D12" s="124">
        <v>1471.1430430916139</v>
      </c>
      <c r="E12" s="125">
        <v>5829.5053846335832</v>
      </c>
      <c r="F12" s="124">
        <v>1062.7870063791461</v>
      </c>
      <c r="G12" s="125">
        <v>2270.0527489999999</v>
      </c>
      <c r="H12" s="124">
        <v>45572.841048926195</v>
      </c>
    </row>
    <row r="13" spans="1:10" ht="20.25" customHeight="1" thickBot="1">
      <c r="A13" s="147">
        <v>2002</v>
      </c>
      <c r="B13" s="124">
        <v>22418.819866723858</v>
      </c>
      <c r="C13" s="125">
        <v>14164.252550727681</v>
      </c>
      <c r="D13" s="124">
        <v>1526.2390168419893</v>
      </c>
      <c r="E13" s="125">
        <v>5899.2236182451925</v>
      </c>
      <c r="F13" s="124">
        <v>1052.5616069842113</v>
      </c>
      <c r="G13" s="125">
        <v>2327.5368271152074</v>
      </c>
      <c r="H13" s="124">
        <v>47388.633486638137</v>
      </c>
    </row>
    <row r="14" spans="1:10" ht="20.25" customHeight="1" thickBot="1">
      <c r="A14" s="147">
        <v>2003</v>
      </c>
      <c r="B14" s="124">
        <v>23242.374321177165</v>
      </c>
      <c r="C14" s="125">
        <v>14647.207027090521</v>
      </c>
      <c r="D14" s="124">
        <v>1546.5271226262025</v>
      </c>
      <c r="E14" s="125">
        <v>6306.7298112442477</v>
      </c>
      <c r="F14" s="124">
        <v>1122.7699346072109</v>
      </c>
      <c r="G14" s="125">
        <v>2399.5531361253825</v>
      </c>
      <c r="H14" s="124">
        <v>49265.161352870731</v>
      </c>
    </row>
    <row r="15" spans="1:10" ht="20.25" customHeight="1" thickBot="1">
      <c r="A15" s="147">
        <v>2004</v>
      </c>
      <c r="B15" s="124">
        <v>23945.205223129917</v>
      </c>
      <c r="C15" s="125">
        <v>15193.377809727141</v>
      </c>
      <c r="D15" s="124">
        <v>1704.7484965799663</v>
      </c>
      <c r="E15" s="125">
        <v>6531.3195717647059</v>
      </c>
      <c r="F15" s="124">
        <v>1122.7977613085018</v>
      </c>
      <c r="G15" s="125">
        <v>2510.2678083289275</v>
      </c>
      <c r="H15" s="124">
        <v>51007.71667083916</v>
      </c>
    </row>
    <row r="16" spans="1:10" ht="20.25" customHeight="1" thickBot="1">
      <c r="A16" s="147">
        <v>2005</v>
      </c>
      <c r="B16" s="124">
        <v>23688.403109193729</v>
      </c>
      <c r="C16" s="125">
        <v>16202.451402570587</v>
      </c>
      <c r="D16" s="124">
        <v>1809.9095250833793</v>
      </c>
      <c r="E16" s="125">
        <v>6680.5273571330181</v>
      </c>
      <c r="F16" s="124">
        <v>1133.4662400245973</v>
      </c>
      <c r="G16" s="125">
        <v>2528.2832466786526</v>
      </c>
      <c r="H16" s="124">
        <v>52043.040880683955</v>
      </c>
    </row>
    <row r="17" spans="1:8" ht="20.25" customHeight="1" thickBot="1">
      <c r="A17" s="147">
        <v>2006</v>
      </c>
      <c r="B17" s="124">
        <v>24062.85220852038</v>
      </c>
      <c r="C17" s="125">
        <v>16588.221996927445</v>
      </c>
      <c r="D17" s="124">
        <v>1788.3078435812113</v>
      </c>
      <c r="E17" s="125">
        <v>6561.1769109188781</v>
      </c>
      <c r="F17" s="124">
        <v>1141.3716146756301</v>
      </c>
      <c r="G17" s="125">
        <v>2631.4162770594794</v>
      </c>
      <c r="H17" s="124">
        <v>52773.346851683018</v>
      </c>
    </row>
    <row r="18" spans="1:8" ht="20.25" customHeight="1" thickBot="1">
      <c r="A18" s="147">
        <v>2007</v>
      </c>
      <c r="B18" s="124">
        <v>25173.299610545928</v>
      </c>
      <c r="C18" s="125">
        <v>17405.941656934221</v>
      </c>
      <c r="D18" s="124">
        <v>1831.3062019557781</v>
      </c>
      <c r="E18" s="125">
        <v>6761.1122350753349</v>
      </c>
      <c r="F18" s="124">
        <v>1281.1703952217956</v>
      </c>
      <c r="G18" s="125">
        <v>2762.1150105020197</v>
      </c>
      <c r="H18" s="124">
        <v>55214.945110235072</v>
      </c>
    </row>
    <row r="19" spans="1:8" ht="20.25" customHeight="1" thickBot="1">
      <c r="A19" s="147">
        <v>2008</v>
      </c>
      <c r="B19" s="124">
        <v>26500.705282160561</v>
      </c>
      <c r="C19" s="125">
        <v>18519.296893594856</v>
      </c>
      <c r="D19" s="124">
        <v>2001.4310327792</v>
      </c>
      <c r="E19" s="125">
        <v>7063.2770695818781</v>
      </c>
      <c r="F19" s="124">
        <v>1417.633317671276</v>
      </c>
      <c r="G19" s="125">
        <v>2923.7092680762953</v>
      </c>
      <c r="H19" s="124">
        <v>58426.052863864061</v>
      </c>
    </row>
    <row r="20" spans="1:8" ht="20.25" customHeight="1" thickBot="1">
      <c r="A20" s="147">
        <v>2009</v>
      </c>
      <c r="B20" s="1578">
        <v>27761.274376677087</v>
      </c>
      <c r="C20" s="125">
        <v>19185.468383850635</v>
      </c>
      <c r="D20" s="124">
        <v>2046.0944266667559</v>
      </c>
      <c r="E20" s="125">
        <v>7423.4371342381546</v>
      </c>
      <c r="F20" s="124">
        <v>1521.7588981642803</v>
      </c>
      <c r="G20" s="125">
        <v>3042.7215849875238</v>
      </c>
      <c r="H20" s="1578">
        <v>60980.754804584431</v>
      </c>
    </row>
    <row r="21" spans="1:8" ht="20.25" customHeight="1" thickBot="1">
      <c r="A21" s="147">
        <v>2010</v>
      </c>
      <c r="B21" s="124">
        <v>28364.000638328456</v>
      </c>
      <c r="C21" s="125">
        <v>20334.921376685299</v>
      </c>
      <c r="D21" s="124">
        <v>2042.0522699365197</v>
      </c>
      <c r="E21" s="125">
        <v>7304.2943175532691</v>
      </c>
      <c r="F21" s="124">
        <v>1470.7077535207468</v>
      </c>
      <c r="G21" s="125">
        <v>2978.9400728947644</v>
      </c>
      <c r="H21" s="124">
        <v>62494.916428919059</v>
      </c>
    </row>
    <row r="22" spans="1:8" s="138" customFormat="1" ht="20.25" customHeight="1" thickBot="1">
      <c r="A22" s="1579">
        <v>2011</v>
      </c>
      <c r="B22" s="778">
        <v>29138.147415384887</v>
      </c>
      <c r="C22" s="1580">
        <v>21454.999182606702</v>
      </c>
      <c r="D22" s="778">
        <v>2166.6944891751582</v>
      </c>
      <c r="E22" s="1580">
        <v>7333.9662030476438</v>
      </c>
      <c r="F22" s="778">
        <v>1442.8374064134032</v>
      </c>
      <c r="G22" s="1580">
        <v>3037.3670222547457</v>
      </c>
      <c r="H22" s="778">
        <v>64574.011718882539</v>
      </c>
    </row>
    <row r="23" spans="1:8" s="1584" customFormat="1" ht="25.25" customHeight="1" thickBot="1">
      <c r="A23" s="1581">
        <v>2012</v>
      </c>
      <c r="B23" s="1582" t="s">
        <v>29</v>
      </c>
      <c r="C23" s="1583" t="s">
        <v>29</v>
      </c>
      <c r="D23" s="1582" t="s">
        <v>29</v>
      </c>
      <c r="E23" s="1583" t="s">
        <v>29</v>
      </c>
      <c r="F23" s="1582" t="s">
        <v>29</v>
      </c>
      <c r="G23" s="1583" t="s">
        <v>29</v>
      </c>
      <c r="H23" s="1582" t="s">
        <v>29</v>
      </c>
    </row>
    <row r="24" spans="1:8" ht="18" customHeight="1">
      <c r="A24" s="1585" t="s">
        <v>2142</v>
      </c>
      <c r="B24" s="1586"/>
      <c r="C24" s="1586"/>
      <c r="D24" s="1586"/>
      <c r="E24" s="1586"/>
      <c r="F24" s="1586"/>
      <c r="G24" s="1586"/>
      <c r="H24" s="1586"/>
    </row>
    <row r="25" spans="1:8" ht="12.75" customHeight="1">
      <c r="A25" s="1587"/>
      <c r="B25" s="1340"/>
      <c r="C25" s="1340"/>
      <c r="D25" s="1340"/>
      <c r="E25" s="1340"/>
      <c r="F25" s="1340"/>
      <c r="G25" s="1340"/>
      <c r="H25" s="1340"/>
    </row>
    <row r="26" spans="1:8" ht="12.75" customHeight="1">
      <c r="A26" s="1588" t="s">
        <v>2108</v>
      </c>
      <c r="B26" s="1340"/>
      <c r="C26" s="1340"/>
      <c r="D26" s="1340"/>
      <c r="E26" s="1340"/>
      <c r="F26" s="1340"/>
      <c r="G26" s="1340"/>
      <c r="H26" s="1340"/>
    </row>
    <row r="27" spans="1:8" ht="12.75" customHeight="1">
      <c r="A27" s="1588" t="s">
        <v>2082</v>
      </c>
      <c r="B27" s="1340"/>
      <c r="C27" s="1340"/>
      <c r="D27" s="1340"/>
      <c r="E27" s="1340"/>
      <c r="F27" s="1340"/>
      <c r="G27" s="1340"/>
      <c r="H27" s="1340"/>
    </row>
    <row r="28" spans="1:8" ht="12.75" customHeight="1">
      <c r="A28" s="1588" t="s">
        <v>2083</v>
      </c>
      <c r="B28" s="1340"/>
      <c r="C28" s="1340"/>
      <c r="D28" s="1340"/>
      <c r="E28" s="1340"/>
      <c r="F28" s="1340"/>
      <c r="G28" s="1340"/>
      <c r="H28" s="1340"/>
    </row>
    <row r="29" spans="1:8" ht="12.75" customHeight="1">
      <c r="A29" s="1587"/>
      <c r="B29" s="1340"/>
      <c r="C29" s="1340"/>
      <c r="D29" s="1340"/>
      <c r="E29" s="1340"/>
      <c r="F29" s="1340"/>
      <c r="G29" s="1340"/>
      <c r="H29" s="1340"/>
    </row>
    <row r="30" spans="1:8" ht="12.75" customHeight="1">
      <c r="A30" s="1587" t="s">
        <v>2109</v>
      </c>
      <c r="B30" s="1340"/>
      <c r="C30" s="1340"/>
      <c r="D30" s="1340"/>
      <c r="E30" s="1340"/>
      <c r="F30" s="1340"/>
      <c r="G30" s="1340"/>
      <c r="H30" s="1340"/>
    </row>
    <row r="31" spans="1:8" ht="14.25" customHeight="1">
      <c r="A31" s="272"/>
      <c r="B31" s="176"/>
      <c r="C31" s="176"/>
      <c r="D31" s="176"/>
      <c r="E31" s="176"/>
      <c r="F31" s="176"/>
      <c r="G31" s="176"/>
      <c r="H31" s="176"/>
    </row>
    <row r="32" spans="1:8" ht="14.25" customHeight="1">
      <c r="A32" s="541"/>
      <c r="B32" s="176"/>
      <c r="C32" s="176"/>
      <c r="D32" s="176"/>
      <c r="E32" s="176"/>
      <c r="F32" s="176"/>
      <c r="G32" s="176"/>
      <c r="H32" s="176"/>
    </row>
    <row r="33" spans="1:11" ht="14.25" customHeight="1">
      <c r="A33" s="60" t="s">
        <v>395</v>
      </c>
      <c r="B33" s="176"/>
      <c r="C33" s="176"/>
      <c r="D33" s="176"/>
      <c r="E33" s="176"/>
      <c r="F33" s="176"/>
      <c r="G33" s="176"/>
      <c r="H33" s="176"/>
    </row>
    <row r="34" spans="1:11" ht="18" customHeight="1">
      <c r="A34" s="60"/>
      <c r="B34" s="176"/>
      <c r="C34" s="176"/>
      <c r="D34" s="176"/>
      <c r="E34" s="176"/>
      <c r="F34" s="176"/>
      <c r="G34" s="176"/>
      <c r="H34" s="176"/>
    </row>
    <row r="35" spans="1:11" ht="18" customHeight="1">
      <c r="A35" s="60"/>
      <c r="B35" s="176"/>
      <c r="C35" s="176"/>
      <c r="D35" s="176"/>
      <c r="E35" s="176"/>
      <c r="F35" s="176"/>
      <c r="G35" s="176"/>
      <c r="H35" s="176"/>
      <c r="K35" s="541"/>
    </row>
    <row r="36" spans="1:11" ht="31" customHeight="1">
      <c r="A36" s="60"/>
      <c r="B36" s="176"/>
      <c r="C36" s="176"/>
      <c r="D36" s="176"/>
      <c r="E36" s="176"/>
      <c r="F36" s="176"/>
      <c r="G36" s="176"/>
      <c r="H36" s="176"/>
    </row>
    <row r="37" spans="1:11" ht="31" customHeight="1">
      <c r="A37" s="60"/>
      <c r="B37" s="176"/>
      <c r="C37" s="176"/>
      <c r="D37" s="176"/>
      <c r="E37" s="176"/>
      <c r="F37" s="176"/>
      <c r="G37" s="176"/>
      <c r="H37" s="176"/>
    </row>
    <row r="38" spans="1:11" ht="31" customHeight="1">
      <c r="A38" s="60"/>
      <c r="B38" s="176"/>
      <c r="C38" s="176"/>
      <c r="D38" s="176"/>
      <c r="E38" s="176"/>
      <c r="F38" s="176"/>
      <c r="G38" s="176"/>
      <c r="H38" s="176"/>
    </row>
    <row r="39" spans="1:11" ht="31" customHeight="1">
      <c r="A39" s="60"/>
      <c r="B39" s="176"/>
      <c r="C39" s="176"/>
      <c r="D39" s="176"/>
      <c r="E39" s="176"/>
      <c r="F39" s="176"/>
      <c r="G39" s="176"/>
      <c r="H39" s="176"/>
    </row>
    <row r="40" spans="1:11" ht="31" customHeight="1">
      <c r="A40" s="60"/>
      <c r="B40" s="176"/>
      <c r="C40" s="176"/>
      <c r="D40" s="176"/>
      <c r="E40" s="176"/>
      <c r="F40" s="176"/>
      <c r="G40" s="176"/>
      <c r="H40" s="176"/>
    </row>
    <row r="41" spans="1:11">
      <c r="A41" s="60"/>
      <c r="B41" s="176"/>
      <c r="C41" s="176"/>
      <c r="D41" s="176"/>
      <c r="E41" s="176"/>
      <c r="F41" s="176"/>
      <c r="G41" s="176"/>
      <c r="H41" s="176"/>
    </row>
    <row r="42" spans="1:11">
      <c r="A42" s="60"/>
      <c r="B42" s="176"/>
      <c r="C42" s="176"/>
      <c r="D42" s="176"/>
      <c r="E42" s="176"/>
      <c r="F42" s="176"/>
      <c r="G42" s="176"/>
      <c r="H42" s="176"/>
    </row>
  </sheetData>
  <pageMargins left="0.59055118110236227" right="0.51181102362204722" top="1.0629921259842521" bottom="0.47244094488188981" header="0.59055118110236227" footer="0.51181102362204722"/>
  <pageSetup paperSize="9" scale="76" orientation="portrait" horizontalDpi="4294967292" verticalDpi="4294967292"/>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B781-F30E-1940-A936-45C9294FAAE8}">
  <dimension ref="A1:AE183"/>
  <sheetViews>
    <sheetView topLeftCell="A77" zoomScaleNormal="100" workbookViewId="0">
      <selection activeCell="B105" sqref="B105"/>
    </sheetView>
  </sheetViews>
  <sheetFormatPr baseColWidth="10" defaultColWidth="11.59765625" defaultRowHeight="13"/>
  <cols>
    <col min="1" max="1" width="3.796875" style="1408" customWidth="1"/>
    <col min="2" max="2" width="48.796875" style="1408" customWidth="1"/>
    <col min="3" max="3" width="10" style="1408" customWidth="1"/>
    <col min="4" max="4" width="9.3984375" style="1408" customWidth="1"/>
    <col min="5" max="5" width="9.796875" style="1408" customWidth="1"/>
    <col min="6" max="6" width="11.59765625" style="1408"/>
    <col min="7" max="7" width="11" style="1408" customWidth="1"/>
    <col min="8" max="10" width="11.59765625" style="1408"/>
    <col min="11" max="11" width="10.796875" style="1408" customWidth="1"/>
    <col min="12" max="12" width="11.59765625" style="1408" customWidth="1"/>
    <col min="13" max="13" width="10.796875" style="1408" customWidth="1"/>
    <col min="14" max="14" width="11.3984375" style="1408" customWidth="1"/>
    <col min="15" max="15" width="10.796875" style="1408" customWidth="1"/>
    <col min="16" max="16" width="11.19921875" style="1408" customWidth="1"/>
    <col min="17" max="17" width="11" style="1408" customWidth="1"/>
    <col min="18" max="18" width="11.19921875" style="1408" customWidth="1"/>
    <col min="19" max="19" width="11" style="1408" customWidth="1"/>
    <col min="20" max="23" width="11.59765625" style="1408"/>
    <col min="24" max="24" width="13.796875" style="1408" customWidth="1"/>
    <col min="25" max="25" width="10.59765625" style="1412" customWidth="1"/>
    <col min="26" max="26" width="10.59765625" style="1408" customWidth="1"/>
    <col min="27" max="27" width="11.59765625" style="1408"/>
    <col min="28" max="28" width="11.3984375" style="1408" bestFit="1" customWidth="1"/>
    <col min="29" max="16384" width="11.59765625" style="1408"/>
  </cols>
  <sheetData>
    <row r="1" spans="1:29" ht="18">
      <c r="A1" s="1407" t="s">
        <v>2049</v>
      </c>
      <c r="Q1" s="1409"/>
      <c r="R1" s="1409"/>
      <c r="S1" s="1409"/>
      <c r="U1" s="1410"/>
      <c r="X1" s="1411"/>
      <c r="Y1" s="1408"/>
      <c r="Z1" s="1412"/>
    </row>
    <row r="2" spans="1:29" ht="14" thickBot="1">
      <c r="A2" s="1413"/>
      <c r="B2" s="1413"/>
      <c r="C2" s="1413"/>
      <c r="D2" s="1413"/>
      <c r="E2" s="1413"/>
      <c r="F2" s="1413"/>
      <c r="G2" s="1413"/>
      <c r="H2" s="1413"/>
      <c r="I2" s="1413"/>
      <c r="J2" s="1413"/>
      <c r="K2" s="1413"/>
      <c r="L2" s="1413"/>
      <c r="M2" s="1413"/>
      <c r="N2" s="1413"/>
      <c r="O2" s="1413"/>
      <c r="P2" s="1413"/>
      <c r="Q2" s="1413"/>
      <c r="R2" s="1413"/>
      <c r="S2" s="1413"/>
      <c r="T2" s="1414"/>
      <c r="U2" s="1415"/>
      <c r="V2" s="1415"/>
      <c r="W2" s="1415"/>
      <c r="X2" s="1415"/>
      <c r="Y2" s="1415"/>
      <c r="Z2" s="1416"/>
      <c r="AA2" s="1417"/>
      <c r="AB2" s="1415"/>
    </row>
    <row r="3" spans="1:29" s="1422" customFormat="1" ht="10.5" customHeight="1">
      <c r="A3" s="1418"/>
      <c r="B3" s="1418"/>
      <c r="C3" s="1419"/>
      <c r="D3" s="1418"/>
      <c r="E3" s="1419"/>
      <c r="F3" s="1418"/>
      <c r="G3" s="1419"/>
      <c r="H3" s="1418"/>
      <c r="I3" s="1419"/>
      <c r="J3" s="1418"/>
      <c r="K3" s="1419"/>
      <c r="L3" s="1418"/>
      <c r="M3" s="1419"/>
      <c r="N3" s="1418"/>
      <c r="O3" s="1419"/>
      <c r="P3" s="1418"/>
      <c r="Q3" s="1420"/>
      <c r="R3" s="1421"/>
      <c r="S3" s="1420"/>
      <c r="U3" s="1415"/>
      <c r="V3" s="1423"/>
      <c r="W3" s="1423"/>
      <c r="X3" s="1423"/>
      <c r="Y3" s="1423"/>
      <c r="Z3" s="1424"/>
      <c r="AA3" s="1425"/>
      <c r="AB3" s="1426"/>
      <c r="AC3" s="1427"/>
    </row>
    <row r="4" spans="1:29" ht="15.75" customHeight="1">
      <c r="A4" s="1428"/>
      <c r="B4" s="1429"/>
      <c r="C4" s="1430">
        <v>1996</v>
      </c>
      <c r="D4" s="1431">
        <v>1997</v>
      </c>
      <c r="E4" s="1430">
        <v>1998</v>
      </c>
      <c r="F4" s="1431">
        <v>1999</v>
      </c>
      <c r="G4" s="1430">
        <v>2000</v>
      </c>
      <c r="H4" s="1431">
        <v>2001</v>
      </c>
      <c r="I4" s="1430">
        <v>2002</v>
      </c>
      <c r="J4" s="1431">
        <v>2003</v>
      </c>
      <c r="K4" s="1430">
        <v>2004</v>
      </c>
      <c r="L4" s="1431">
        <v>2005</v>
      </c>
      <c r="M4" s="1430">
        <v>2006</v>
      </c>
      <c r="N4" s="1431">
        <v>2007</v>
      </c>
      <c r="O4" s="1430">
        <v>2008</v>
      </c>
      <c r="P4" s="1431">
        <v>2009</v>
      </c>
      <c r="Q4" s="1430">
        <v>2010</v>
      </c>
      <c r="R4" s="1431">
        <v>2011</v>
      </c>
      <c r="S4" s="1432" t="s">
        <v>2050</v>
      </c>
      <c r="U4" s="1415"/>
      <c r="V4" s="1423"/>
      <c r="W4" s="1423"/>
      <c r="X4" s="1423"/>
      <c r="Y4" s="1423"/>
      <c r="Z4" s="1433"/>
      <c r="AA4" s="1434"/>
      <c r="AB4" s="1426"/>
      <c r="AC4" s="1427"/>
    </row>
    <row r="5" spans="1:29" ht="14.25" customHeight="1">
      <c r="A5" s="1435"/>
      <c r="B5" s="1435"/>
      <c r="C5" s="1436"/>
      <c r="D5" s="1437"/>
      <c r="E5" s="1436"/>
      <c r="F5" s="1437"/>
      <c r="G5" s="1436"/>
      <c r="H5" s="1437"/>
      <c r="I5" s="1436"/>
      <c r="J5" s="1437"/>
      <c r="K5" s="1436"/>
      <c r="L5" s="1437"/>
      <c r="M5" s="1436"/>
      <c r="N5" s="1437"/>
      <c r="O5" s="1436"/>
      <c r="P5" s="1437"/>
      <c r="Q5" s="1438"/>
      <c r="R5" s="1439"/>
      <c r="S5" s="1438"/>
      <c r="U5" s="1415"/>
      <c r="V5" s="1423"/>
      <c r="W5" s="1440"/>
      <c r="X5" s="1423"/>
      <c r="Y5" s="1423"/>
      <c r="Z5" s="1441"/>
      <c r="AA5" s="1442"/>
      <c r="AB5" s="1441"/>
      <c r="AC5" s="1443"/>
    </row>
    <row r="6" spans="1:29">
      <c r="A6" s="1444"/>
      <c r="B6" s="1445"/>
      <c r="C6" s="1446"/>
      <c r="D6" s="1445"/>
      <c r="E6" s="1446"/>
      <c r="F6" s="1445"/>
      <c r="G6" s="1446"/>
      <c r="H6" s="1445"/>
      <c r="I6" s="1446"/>
      <c r="J6" s="1445"/>
      <c r="K6" s="1446"/>
      <c r="L6" s="1445"/>
      <c r="M6" s="1446"/>
      <c r="N6" s="1445"/>
      <c r="O6" s="1446"/>
      <c r="P6" s="1445"/>
      <c r="Q6" s="1446"/>
      <c r="R6" s="1445"/>
      <c r="S6" s="1446"/>
      <c r="U6" s="1415"/>
      <c r="V6" s="1423"/>
      <c r="W6" s="1423"/>
      <c r="X6" s="1423"/>
      <c r="Y6" s="1423"/>
      <c r="Z6" s="1433"/>
      <c r="AA6" s="1447"/>
      <c r="AB6" s="1426"/>
      <c r="AC6" s="1427"/>
    </row>
    <row r="7" spans="1:29" ht="13.25" customHeight="1" thickBot="1">
      <c r="A7" s="1448"/>
      <c r="B7" s="1449"/>
      <c r="C7" s="1450"/>
      <c r="D7" s="1450"/>
      <c r="E7" s="1450"/>
      <c r="F7" s="1450"/>
      <c r="G7" s="1450"/>
      <c r="H7" s="1450"/>
      <c r="I7" s="1450"/>
      <c r="J7" s="1450"/>
      <c r="K7" s="1450"/>
      <c r="L7" s="1450"/>
      <c r="M7" s="1450"/>
      <c r="N7" s="1450"/>
      <c r="O7" s="1451"/>
      <c r="P7" s="1450"/>
      <c r="Q7" s="1452"/>
      <c r="R7" s="1452"/>
      <c r="S7" s="1452"/>
      <c r="U7" s="1453"/>
      <c r="V7" s="1423"/>
      <c r="W7" s="1454"/>
      <c r="X7" s="1423"/>
      <c r="Y7" s="1423"/>
      <c r="Z7" s="1415"/>
      <c r="AA7" s="1455"/>
      <c r="AB7" s="1426"/>
      <c r="AC7" s="1427"/>
    </row>
    <row r="8" spans="1:29" ht="18" customHeight="1" thickBot="1">
      <c r="A8" s="1456" t="s">
        <v>2051</v>
      </c>
      <c r="B8" s="1457"/>
      <c r="C8" s="1450"/>
      <c r="D8" s="1450"/>
      <c r="E8" s="1450"/>
      <c r="F8" s="1450"/>
      <c r="G8" s="1450"/>
      <c r="H8" s="1450"/>
      <c r="I8" s="1450"/>
      <c r="J8" s="1450"/>
      <c r="K8" s="1450"/>
      <c r="L8" s="1450"/>
      <c r="M8" s="1450"/>
      <c r="N8" s="1450"/>
      <c r="O8" s="1451"/>
      <c r="P8" s="1450"/>
      <c r="Q8" s="1452"/>
      <c r="R8" s="1452"/>
      <c r="S8" s="1452"/>
      <c r="U8" s="1453"/>
      <c r="V8" s="1423"/>
      <c r="W8" s="1454"/>
      <c r="X8" s="1423"/>
      <c r="Y8" s="1423"/>
      <c r="Z8" s="1415"/>
      <c r="AA8" s="1455"/>
      <c r="AB8" s="1426"/>
      <c r="AC8" s="1427"/>
    </row>
    <row r="9" spans="1:29" ht="9" customHeight="1" thickBot="1">
      <c r="A9" s="1448"/>
      <c r="B9" s="1449"/>
      <c r="C9" s="1450"/>
      <c r="D9" s="1450"/>
      <c r="E9" s="1450"/>
      <c r="F9" s="1450"/>
      <c r="G9" s="1450"/>
      <c r="H9" s="1450"/>
      <c r="I9" s="1450"/>
      <c r="J9" s="1450"/>
      <c r="K9" s="1450"/>
      <c r="L9" s="1450"/>
      <c r="M9" s="1450"/>
      <c r="N9" s="1450"/>
      <c r="O9" s="1451"/>
      <c r="P9" s="1450"/>
      <c r="Q9" s="1452"/>
      <c r="R9" s="1452"/>
      <c r="S9" s="1452"/>
      <c r="U9" s="1453"/>
      <c r="V9" s="1423"/>
      <c r="W9" s="1454"/>
      <c r="X9" s="1423"/>
      <c r="Y9" s="1423"/>
      <c r="Z9" s="1415"/>
      <c r="AA9" s="1455"/>
      <c r="AB9" s="1426"/>
      <c r="AC9" s="1427"/>
    </row>
    <row r="10" spans="1:29" s="1468" customFormat="1" ht="16.75" customHeight="1" thickBot="1">
      <c r="A10" s="1458" t="s">
        <v>2052</v>
      </c>
      <c r="B10" s="1459"/>
      <c r="C10" s="1460">
        <v>37468.621584899993</v>
      </c>
      <c r="D10" s="1461">
        <v>38209.908416353559</v>
      </c>
      <c r="E10" s="1460">
        <v>39815.013078757198</v>
      </c>
      <c r="F10" s="1461">
        <v>41104.451764019817</v>
      </c>
      <c r="G10" s="1460">
        <v>42842.933951834144</v>
      </c>
      <c r="H10" s="1461">
        <v>45572.841048926202</v>
      </c>
      <c r="I10" s="1460">
        <v>47388.633486638137</v>
      </c>
      <c r="J10" s="1461">
        <v>49265.161352870738</v>
      </c>
      <c r="K10" s="1460">
        <v>51007.71667083916</v>
      </c>
      <c r="L10" s="1461">
        <v>52043.04088068397</v>
      </c>
      <c r="M10" s="1460">
        <v>52773.346851683025</v>
      </c>
      <c r="N10" s="1461">
        <v>55214.945110235072</v>
      </c>
      <c r="O10" s="1460">
        <v>58426.052863864068</v>
      </c>
      <c r="P10" s="1462">
        <v>60980.754804584423</v>
      </c>
      <c r="Q10" s="1460">
        <v>62494.916428919067</v>
      </c>
      <c r="R10" s="1463">
        <v>64574.011718882532</v>
      </c>
      <c r="S10" s="1464" t="s">
        <v>29</v>
      </c>
      <c r="T10" s="1465"/>
      <c r="U10" s="1414"/>
      <c r="V10" s="1466"/>
      <c r="W10" s="1466"/>
      <c r="X10" s="1466"/>
      <c r="Y10" s="1423"/>
      <c r="Z10" s="1453"/>
      <c r="AA10" s="1467"/>
      <c r="AB10" s="1453"/>
    </row>
    <row r="11" spans="1:29" ht="17.25" customHeight="1" thickBot="1">
      <c r="A11" s="1469"/>
      <c r="B11" s="1470"/>
      <c r="C11" s="1471"/>
      <c r="D11" s="1472"/>
      <c r="E11" s="1471"/>
      <c r="F11" s="1472"/>
      <c r="G11" s="1471"/>
      <c r="H11" s="1472"/>
      <c r="I11" s="1471"/>
      <c r="J11" s="1472"/>
      <c r="K11" s="1471"/>
      <c r="L11" s="1472"/>
      <c r="M11" s="1471"/>
      <c r="N11" s="1472"/>
      <c r="O11" s="1471"/>
      <c r="P11" s="1472"/>
      <c r="Q11" s="1471"/>
      <c r="R11" s="1472"/>
      <c r="S11" s="1471"/>
      <c r="U11" s="1473"/>
      <c r="V11" s="1473"/>
      <c r="W11" s="1474"/>
      <c r="X11" s="1473"/>
      <c r="Y11" s="1415"/>
      <c r="Z11" s="1415"/>
      <c r="AA11" s="1455"/>
      <c r="AB11" s="1415"/>
    </row>
    <row r="12" spans="1:29" ht="18" customHeight="1" thickBot="1">
      <c r="A12" s="1475" t="s">
        <v>2053</v>
      </c>
      <c r="B12" s="1457"/>
      <c r="C12" s="1476">
        <v>5976.68608119694</v>
      </c>
      <c r="D12" s="1477">
        <v>5920.5324887865727</v>
      </c>
      <c r="E12" s="1476">
        <v>5989.0401962979158</v>
      </c>
      <c r="F12" s="1477">
        <v>6272.8466257392192</v>
      </c>
      <c r="G12" s="1476">
        <v>6460.9578237170608</v>
      </c>
      <c r="H12" s="1477">
        <v>7635.1420777467765</v>
      </c>
      <c r="I12" s="1476">
        <v>8429.5101560943567</v>
      </c>
      <c r="J12" s="1477">
        <v>8778.10319716105</v>
      </c>
      <c r="K12" s="1476">
        <v>8632.7243530636424</v>
      </c>
      <c r="L12" s="1477">
        <v>8704.8174529394601</v>
      </c>
      <c r="M12" s="1476">
        <v>8536.5423231378227</v>
      </c>
      <c r="N12" s="1477">
        <v>8960.8447878915576</v>
      </c>
      <c r="O12" s="1478">
        <v>10892.863194019999</v>
      </c>
      <c r="P12" s="1477">
        <v>11812.531518999062</v>
      </c>
      <c r="Q12" s="1478">
        <v>11842.966931600004</v>
      </c>
      <c r="R12" s="1477">
        <v>12512.756314920003</v>
      </c>
      <c r="S12" s="1478" t="s">
        <v>29</v>
      </c>
      <c r="U12" s="1479"/>
      <c r="V12" s="1466"/>
      <c r="W12" s="1474"/>
      <c r="X12" s="1466"/>
      <c r="Y12" s="1423"/>
      <c r="Z12" s="1415"/>
      <c r="AA12" s="1455"/>
      <c r="AB12" s="1426"/>
      <c r="AC12" s="1427"/>
    </row>
    <row r="13" spans="1:29" ht="14" thickBot="1">
      <c r="A13" s="1480" t="s">
        <v>2054</v>
      </c>
      <c r="B13" s="1470"/>
      <c r="C13" s="1481">
        <v>129.23078991</v>
      </c>
      <c r="D13" s="1482">
        <v>117.49672024</v>
      </c>
      <c r="E13" s="1481">
        <v>116.89201141000001</v>
      </c>
      <c r="F13" s="1482">
        <v>126.031144</v>
      </c>
      <c r="G13" s="1481">
        <v>145.00575000000001</v>
      </c>
      <c r="H13" s="1482">
        <v>164.3904</v>
      </c>
      <c r="I13" s="1481">
        <v>177.72408200000001</v>
      </c>
      <c r="J13" s="1482">
        <v>155.57770199999999</v>
      </c>
      <c r="K13" s="1481">
        <v>137.73953900000001</v>
      </c>
      <c r="L13" s="1482">
        <v>126.93680499999999</v>
      </c>
      <c r="M13" s="1481">
        <v>121.25849500000001</v>
      </c>
      <c r="N13" s="1482">
        <v>180.203757</v>
      </c>
      <c r="O13" s="1481">
        <v>190.7</v>
      </c>
      <c r="P13" s="1482">
        <v>235.31799999999996</v>
      </c>
      <c r="Q13" s="1481">
        <v>194.01</v>
      </c>
      <c r="R13" s="1482">
        <v>144.57000000000002</v>
      </c>
      <c r="S13" s="1481" t="s">
        <v>29</v>
      </c>
      <c r="U13" s="1414"/>
      <c r="V13" s="1466"/>
      <c r="W13" s="1474"/>
      <c r="X13" s="1466"/>
      <c r="Y13" s="1423"/>
      <c r="Z13" s="1433"/>
      <c r="AA13" s="1483"/>
      <c r="AB13" s="1426"/>
      <c r="AC13" s="1427"/>
    </row>
    <row r="14" spans="1:29" ht="14" thickBot="1">
      <c r="A14" s="1480" t="s">
        <v>2055</v>
      </c>
      <c r="B14" s="1470"/>
      <c r="C14" s="1481">
        <v>4784.5780118902267</v>
      </c>
      <c r="D14" s="1482">
        <v>4715.2771265677929</v>
      </c>
      <c r="E14" s="1481">
        <v>4705.6176243116033</v>
      </c>
      <c r="F14" s="1482">
        <v>4970.909962638395</v>
      </c>
      <c r="G14" s="1481">
        <v>5115.6656802381985</v>
      </c>
      <c r="H14" s="1482">
        <v>6059.2656324562704</v>
      </c>
      <c r="I14" s="1481">
        <v>6823.5309806680871</v>
      </c>
      <c r="J14" s="1482">
        <v>7254.6764879217662</v>
      </c>
      <c r="K14" s="1481">
        <v>7117.8318535254821</v>
      </c>
      <c r="L14" s="1482">
        <v>7397.3768416285438</v>
      </c>
      <c r="M14" s="1481">
        <v>7523.1773202740087</v>
      </c>
      <c r="N14" s="1482">
        <v>7771.8251720893604</v>
      </c>
      <c r="O14" s="1484">
        <v>9143.9026519999989</v>
      </c>
      <c r="P14" s="1482">
        <v>9940.3914481753054</v>
      </c>
      <c r="Q14" s="1484">
        <v>10018.500700000002</v>
      </c>
      <c r="R14" s="1482">
        <v>10445.450260970003</v>
      </c>
      <c r="S14" s="1484" t="s">
        <v>29</v>
      </c>
      <c r="U14" s="1414"/>
      <c r="V14" s="1466"/>
      <c r="W14" s="1474"/>
      <c r="X14" s="1466"/>
      <c r="Y14" s="1423"/>
      <c r="Z14" s="1433"/>
      <c r="AA14" s="1483"/>
      <c r="AB14" s="1426"/>
      <c r="AC14" s="1427"/>
    </row>
    <row r="15" spans="1:29" ht="14" thickBot="1">
      <c r="A15" s="1480" t="s">
        <v>2056</v>
      </c>
      <c r="B15" s="1470"/>
      <c r="C15" s="1481">
        <v>1062.8772793967141</v>
      </c>
      <c r="D15" s="1482">
        <v>1087.7586419787795</v>
      </c>
      <c r="E15" s="1481">
        <v>1166.5305605763128</v>
      </c>
      <c r="F15" s="1482">
        <v>1175.9055191008242</v>
      </c>
      <c r="G15" s="1481">
        <v>1200.286393478862</v>
      </c>
      <c r="H15" s="1482">
        <v>1411.4860452905059</v>
      </c>
      <c r="I15" s="1481">
        <v>1428.2550934262702</v>
      </c>
      <c r="J15" s="1482">
        <v>1367.8490072392833</v>
      </c>
      <c r="K15" s="1481">
        <v>1377.1529605381609</v>
      </c>
      <c r="L15" s="1482">
        <v>1180.5038063109164</v>
      </c>
      <c r="M15" s="1481">
        <v>892.10650786381348</v>
      </c>
      <c r="N15" s="1482">
        <v>1008.8158588021977</v>
      </c>
      <c r="O15" s="1484">
        <v>1558.2605420199998</v>
      </c>
      <c r="P15" s="1482">
        <v>1636.8220708237566</v>
      </c>
      <c r="Q15" s="1484">
        <v>1630.4562316000001</v>
      </c>
      <c r="R15" s="1482">
        <v>1922.73605395</v>
      </c>
      <c r="S15" s="1484" t="s">
        <v>29</v>
      </c>
      <c r="U15" s="1414"/>
      <c r="V15" s="1466"/>
      <c r="W15" s="1474"/>
      <c r="X15" s="1466"/>
      <c r="Y15" s="1423"/>
      <c r="Z15" s="1433"/>
      <c r="AA15" s="1483"/>
      <c r="AB15" s="1426"/>
      <c r="AC15" s="1427"/>
    </row>
    <row r="16" spans="1:29" ht="15.75" customHeight="1" thickBot="1">
      <c r="A16" s="1480"/>
      <c r="B16" s="1470"/>
      <c r="C16" s="1485"/>
      <c r="D16" s="1486"/>
      <c r="E16" s="1485"/>
      <c r="F16" s="1486"/>
      <c r="G16" s="1485"/>
      <c r="H16" s="1486"/>
      <c r="I16" s="1485"/>
      <c r="J16" s="1486"/>
      <c r="K16" s="1485"/>
      <c r="L16" s="1486"/>
      <c r="M16" s="1485"/>
      <c r="N16" s="1486"/>
      <c r="O16" s="1485"/>
      <c r="P16" s="1486"/>
      <c r="Q16" s="1485"/>
      <c r="R16" s="1486"/>
      <c r="S16" s="1485"/>
      <c r="U16" s="1473"/>
      <c r="V16" s="1473"/>
      <c r="W16" s="1474"/>
      <c r="X16" s="1473"/>
      <c r="Y16" s="1415"/>
      <c r="Z16" s="1415"/>
      <c r="AA16" s="1483"/>
      <c r="AB16" s="1415"/>
    </row>
    <row r="17" spans="1:29" s="1468" customFormat="1" ht="17.25" customHeight="1" thickBot="1">
      <c r="A17" s="1469" t="s">
        <v>2057</v>
      </c>
      <c r="B17" s="1470"/>
      <c r="C17" s="1471"/>
      <c r="D17" s="1472"/>
      <c r="E17" s="1471"/>
      <c r="F17" s="1472"/>
      <c r="G17" s="1471"/>
      <c r="H17" s="1472"/>
      <c r="I17" s="1471"/>
      <c r="J17" s="1472"/>
      <c r="K17" s="1471"/>
      <c r="L17" s="1472"/>
      <c r="M17" s="1471"/>
      <c r="N17" s="1472"/>
      <c r="O17" s="1471"/>
      <c r="P17" s="1472"/>
      <c r="Q17" s="1471"/>
      <c r="R17" s="1472"/>
      <c r="S17" s="1471"/>
      <c r="U17" s="1487"/>
      <c r="V17" s="1473"/>
      <c r="W17" s="1474"/>
      <c r="X17" s="1473"/>
      <c r="Y17" s="1415"/>
      <c r="Z17" s="1453"/>
      <c r="AA17" s="1455"/>
      <c r="AB17" s="1453"/>
    </row>
    <row r="18" spans="1:29" ht="14" thickBot="1">
      <c r="A18" s="1480" t="s">
        <v>2058</v>
      </c>
      <c r="B18" s="1470"/>
      <c r="C18" s="1481">
        <v>11739.7</v>
      </c>
      <c r="D18" s="1482">
        <v>12260.3</v>
      </c>
      <c r="E18" s="1481">
        <v>12798.7</v>
      </c>
      <c r="F18" s="1482">
        <v>13282.2</v>
      </c>
      <c r="G18" s="1481">
        <v>14059.1</v>
      </c>
      <c r="H18" s="1482">
        <v>14886.7</v>
      </c>
      <c r="I18" s="1481">
        <v>15483.3</v>
      </c>
      <c r="J18" s="1482">
        <v>16304.208000000002</v>
      </c>
      <c r="K18" s="1481">
        <v>17379.804</v>
      </c>
      <c r="L18" s="1482">
        <v>18272.676915579999</v>
      </c>
      <c r="M18" s="1481">
        <v>18616.168259350641</v>
      </c>
      <c r="N18" s="1482">
        <v>19476.572300669999</v>
      </c>
      <c r="O18" s="1481">
        <v>20552.327783749999</v>
      </c>
      <c r="P18" s="1482">
        <v>21382.792581599992</v>
      </c>
      <c r="Q18" s="1481">
        <v>22025.051492989991</v>
      </c>
      <c r="R18" s="1482">
        <v>22567.047601959992</v>
      </c>
      <c r="S18" s="1481" t="s">
        <v>29</v>
      </c>
      <c r="U18" s="1479"/>
      <c r="V18" s="1488"/>
      <c r="W18" s="1474"/>
      <c r="X18" s="1488"/>
      <c r="Y18" s="1433"/>
      <c r="Z18" s="1415"/>
      <c r="AA18" s="1483"/>
      <c r="AB18" s="1415"/>
    </row>
    <row r="19" spans="1:29" ht="15.75" customHeight="1" thickBot="1">
      <c r="A19" s="1480"/>
      <c r="B19" s="1470"/>
      <c r="C19" s="1485"/>
      <c r="D19" s="1486"/>
      <c r="E19" s="1485"/>
      <c r="F19" s="1486"/>
      <c r="G19" s="1485"/>
      <c r="H19" s="1486"/>
      <c r="I19" s="1485"/>
      <c r="J19" s="1486"/>
      <c r="K19" s="1485"/>
      <c r="L19" s="1486"/>
      <c r="M19" s="1485"/>
      <c r="N19" s="1486"/>
      <c r="O19" s="1485"/>
      <c r="P19" s="1486"/>
      <c r="Q19" s="1485"/>
      <c r="R19" s="1486"/>
      <c r="S19" s="1485"/>
      <c r="U19" s="1473"/>
      <c r="V19" s="1473"/>
      <c r="W19" s="1474"/>
      <c r="X19" s="1473"/>
      <c r="Y19" s="1415"/>
      <c r="Z19" s="1415"/>
      <c r="AA19" s="1483"/>
      <c r="AB19" s="1415"/>
    </row>
    <row r="20" spans="1:29" s="1468" customFormat="1" ht="14" thickBot="1">
      <c r="A20" s="1469" t="s">
        <v>2059</v>
      </c>
      <c r="B20" s="1470"/>
      <c r="C20" s="1489">
        <v>4896.5</v>
      </c>
      <c r="D20" s="1490">
        <v>4463.4000000000005</v>
      </c>
      <c r="E20" s="1489">
        <v>4590.2</v>
      </c>
      <c r="F20" s="1490">
        <v>4331.8999999999996</v>
      </c>
      <c r="G20" s="1489">
        <v>4546.7</v>
      </c>
      <c r="H20" s="1490">
        <v>4699.8999999999996</v>
      </c>
      <c r="I20" s="1489">
        <v>4615.5</v>
      </c>
      <c r="J20" s="1490">
        <v>4477.9040000000005</v>
      </c>
      <c r="K20" s="1489">
        <v>4511.7479999999996</v>
      </c>
      <c r="L20" s="1490">
        <v>4674.7509002500001</v>
      </c>
      <c r="M20" s="1489">
        <v>4820.2721687900003</v>
      </c>
      <c r="N20" s="1490">
        <v>5090.8464520100015</v>
      </c>
      <c r="O20" s="1489">
        <v>5247.4394720000009</v>
      </c>
      <c r="P20" s="1490">
        <v>5384.151709929999</v>
      </c>
      <c r="Q20" s="1489">
        <v>5404.6559707300012</v>
      </c>
      <c r="R20" s="1490">
        <v>5536.3219024960008</v>
      </c>
      <c r="S20" s="1489" t="s">
        <v>29</v>
      </c>
      <c r="U20" s="1479"/>
      <c r="V20" s="1487"/>
      <c r="W20" s="1487"/>
      <c r="X20" s="1487"/>
      <c r="Y20" s="1453"/>
      <c r="Z20" s="1453"/>
      <c r="AA20" s="1455"/>
      <c r="AB20" s="1453"/>
    </row>
    <row r="21" spans="1:29" s="1468" customFormat="1" ht="16.5" customHeight="1" thickBot="1">
      <c r="A21" s="1480" t="s">
        <v>2060</v>
      </c>
      <c r="B21" s="1470"/>
      <c r="C21" s="1481">
        <v>4375.2</v>
      </c>
      <c r="D21" s="1482">
        <v>3892.3</v>
      </c>
      <c r="E21" s="1481">
        <v>4038.2</v>
      </c>
      <c r="F21" s="1482">
        <v>3415.2</v>
      </c>
      <c r="G21" s="1481">
        <v>2646.1</v>
      </c>
      <c r="H21" s="1482">
        <v>1875.9</v>
      </c>
      <c r="I21" s="1481">
        <v>1740.9</v>
      </c>
      <c r="J21" s="1482">
        <v>1645.404</v>
      </c>
      <c r="K21" s="1481">
        <v>1205.748</v>
      </c>
      <c r="L21" s="1482">
        <v>1392.2470854699995</v>
      </c>
      <c r="M21" s="1481">
        <v>1351.0005863899996</v>
      </c>
      <c r="N21" s="1482">
        <v>1445.5131748099991</v>
      </c>
      <c r="O21" s="1481">
        <v>1567.1814719999993</v>
      </c>
      <c r="P21" s="1482">
        <v>1593.5517099299991</v>
      </c>
      <c r="Q21" s="1481">
        <v>1559.7453327099993</v>
      </c>
      <c r="R21" s="1482">
        <v>1272.9336613599992</v>
      </c>
      <c r="S21" s="1481" t="s">
        <v>29</v>
      </c>
      <c r="U21" s="1479"/>
      <c r="V21" s="1487"/>
      <c r="W21" s="1487"/>
      <c r="X21" s="1474"/>
      <c r="Y21" s="1453"/>
      <c r="Z21" s="1453"/>
      <c r="AA21" s="1491"/>
      <c r="AB21" s="1453"/>
    </row>
    <row r="22" spans="1:29" s="1468" customFormat="1" ht="15.75" customHeight="1" thickBot="1">
      <c r="A22" s="1480" t="s">
        <v>2061</v>
      </c>
      <c r="B22" s="1470"/>
      <c r="C22" s="1481">
        <v>521.29999999999995</v>
      </c>
      <c r="D22" s="1482">
        <v>571.1</v>
      </c>
      <c r="E22" s="1481">
        <v>552</v>
      </c>
      <c r="F22" s="1482">
        <v>916.7</v>
      </c>
      <c r="G22" s="1481">
        <v>1900.6</v>
      </c>
      <c r="H22" s="1482">
        <v>2824</v>
      </c>
      <c r="I22" s="1481">
        <v>2874.6</v>
      </c>
      <c r="J22" s="1482">
        <v>2832.5</v>
      </c>
      <c r="K22" s="1481">
        <v>3306</v>
      </c>
      <c r="L22" s="1482">
        <v>3282.5038147800005</v>
      </c>
      <c r="M22" s="1481">
        <v>3469.2715824000006</v>
      </c>
      <c r="N22" s="1482">
        <v>3645.3332772000026</v>
      </c>
      <c r="O22" s="1481">
        <v>3680.2580000000016</v>
      </c>
      <c r="P22" s="1482">
        <v>3790.6</v>
      </c>
      <c r="Q22" s="1481">
        <v>3844.9106380200019</v>
      </c>
      <c r="R22" s="1482">
        <v>4263.3882411360019</v>
      </c>
      <c r="S22" s="1481" t="s">
        <v>29</v>
      </c>
      <c r="U22" s="1479"/>
      <c r="V22" s="1487"/>
      <c r="W22" s="1474"/>
      <c r="X22" s="1487"/>
      <c r="Y22" s="1453"/>
      <c r="Z22" s="1453"/>
      <c r="AA22" s="1491"/>
      <c r="AB22" s="1453"/>
    </row>
    <row r="23" spans="1:29" ht="14" thickBot="1">
      <c r="A23" s="1480"/>
      <c r="B23" s="1428"/>
      <c r="C23" s="1485"/>
      <c r="D23" s="1486"/>
      <c r="E23" s="1485"/>
      <c r="F23" s="1486"/>
      <c r="G23" s="1485"/>
      <c r="H23" s="1486"/>
      <c r="I23" s="1485"/>
      <c r="J23" s="1486"/>
      <c r="K23" s="1485"/>
      <c r="L23" s="1486"/>
      <c r="M23" s="1485"/>
      <c r="N23" s="1486"/>
      <c r="O23" s="1485"/>
      <c r="P23" s="1486"/>
      <c r="Q23" s="1485"/>
      <c r="R23" s="1486"/>
      <c r="S23" s="1485"/>
      <c r="U23" s="1473"/>
      <c r="V23" s="1473"/>
      <c r="W23" s="1474"/>
      <c r="X23" s="1473"/>
      <c r="Y23" s="1415"/>
      <c r="Z23" s="1415"/>
      <c r="AA23" s="1483"/>
      <c r="AB23" s="1415"/>
    </row>
    <row r="24" spans="1:29" s="1468" customFormat="1" ht="14" thickBot="1">
      <c r="A24" s="1469" t="s">
        <v>2062</v>
      </c>
      <c r="B24" s="1470"/>
      <c r="C24" s="1464"/>
      <c r="D24" s="1463"/>
      <c r="E24" s="1464"/>
      <c r="F24" s="1463"/>
      <c r="G24" s="1464"/>
      <c r="H24" s="1463"/>
      <c r="I24" s="1464"/>
      <c r="J24" s="1463"/>
      <c r="K24" s="1464"/>
      <c r="L24" s="1463"/>
      <c r="M24" s="1464"/>
      <c r="N24" s="1463"/>
      <c r="O24" s="1464"/>
      <c r="P24" s="1463"/>
      <c r="Q24" s="1464"/>
      <c r="R24" s="1463"/>
      <c r="S24" s="1464"/>
      <c r="U24" s="1479"/>
      <c r="V24" s="1487"/>
      <c r="W24" s="1487"/>
      <c r="X24" s="1487"/>
      <c r="Y24" s="1453"/>
      <c r="Z24" s="1453"/>
      <c r="AA24" s="1455"/>
      <c r="AB24" s="1453"/>
    </row>
    <row r="25" spans="1:29" ht="14" thickBot="1">
      <c r="A25" s="1480" t="s">
        <v>2063</v>
      </c>
      <c r="B25" s="1470"/>
      <c r="C25" s="1481">
        <v>1678.5</v>
      </c>
      <c r="D25" s="1482">
        <v>1778</v>
      </c>
      <c r="E25" s="1481">
        <v>2097.1999999999998</v>
      </c>
      <c r="F25" s="1482">
        <v>2189.9</v>
      </c>
      <c r="G25" s="1481">
        <v>2288</v>
      </c>
      <c r="H25" s="1482">
        <v>2400.1889999999999</v>
      </c>
      <c r="I25" s="1481">
        <v>2502.83</v>
      </c>
      <c r="J25" s="1482">
        <v>2588.5</v>
      </c>
      <c r="K25" s="1481">
        <v>2832.3</v>
      </c>
      <c r="L25" s="1482">
        <v>2994.9866096700002</v>
      </c>
      <c r="M25" s="1481">
        <v>3038.7113187199998</v>
      </c>
      <c r="N25" s="1482">
        <v>3155.0668707</v>
      </c>
      <c r="O25" s="1481">
        <v>3290.4542289599999</v>
      </c>
      <c r="P25" s="1482">
        <v>3382.4718481499999</v>
      </c>
      <c r="Q25" s="1481">
        <v>3408.7146446100001</v>
      </c>
      <c r="R25" s="1482">
        <v>3575.1042570199997</v>
      </c>
      <c r="S25" s="1481" t="s">
        <v>29</v>
      </c>
      <c r="U25" s="1414"/>
      <c r="V25" s="1473"/>
      <c r="W25" s="1474"/>
      <c r="X25" s="1473"/>
      <c r="Y25" s="1415"/>
      <c r="Z25" s="1415"/>
      <c r="AA25" s="1483"/>
      <c r="AB25" s="1415"/>
    </row>
    <row r="26" spans="1:29" ht="14" thickBot="1">
      <c r="A26" s="1480" t="s">
        <v>2064</v>
      </c>
      <c r="B26" s="1470"/>
      <c r="C26" s="1481">
        <v>92.3</v>
      </c>
      <c r="D26" s="1482">
        <v>106.4</v>
      </c>
      <c r="E26" s="1481">
        <v>57.8</v>
      </c>
      <c r="F26" s="1482">
        <v>59.7</v>
      </c>
      <c r="G26" s="1481">
        <v>55.1</v>
      </c>
      <c r="H26" s="1482">
        <v>28.06</v>
      </c>
      <c r="I26" s="1481">
        <v>38.17</v>
      </c>
      <c r="J26" s="1482">
        <v>39</v>
      </c>
      <c r="K26" s="1481">
        <v>35.9</v>
      </c>
      <c r="L26" s="1482">
        <v>36.691305870000001</v>
      </c>
      <c r="M26" s="1481">
        <v>42.792587509999997</v>
      </c>
      <c r="N26" s="1482">
        <v>45.914382520000004</v>
      </c>
      <c r="O26" s="1481">
        <v>47.179055349999999</v>
      </c>
      <c r="P26" s="1482">
        <v>43.52313178</v>
      </c>
      <c r="Q26" s="1481">
        <v>41.799594509999999</v>
      </c>
      <c r="R26" s="1482">
        <v>37.909190549999998</v>
      </c>
      <c r="S26" s="1481" t="s">
        <v>29</v>
      </c>
      <c r="U26" s="1414"/>
      <c r="V26" s="1473"/>
      <c r="W26" s="1474"/>
      <c r="X26" s="1473"/>
      <c r="Y26" s="1415"/>
      <c r="Z26" s="1415"/>
      <c r="AA26" s="1483"/>
      <c r="AB26" s="1415"/>
    </row>
    <row r="27" spans="1:29" ht="14" thickBot="1">
      <c r="A27" s="1480"/>
      <c r="B27" s="1428"/>
      <c r="C27" s="1481"/>
      <c r="D27" s="1482"/>
      <c r="E27" s="1481"/>
      <c r="F27" s="1482"/>
      <c r="G27" s="1481"/>
      <c r="H27" s="1482"/>
      <c r="I27" s="1481"/>
      <c r="J27" s="1482"/>
      <c r="K27" s="1481"/>
      <c r="L27" s="1482"/>
      <c r="M27" s="1481"/>
      <c r="N27" s="1482"/>
      <c r="O27" s="1481"/>
      <c r="P27" s="1482"/>
      <c r="Q27" s="1481"/>
      <c r="R27" s="1482"/>
      <c r="S27" s="1481"/>
      <c r="U27" s="1473"/>
      <c r="V27" s="1473"/>
      <c r="W27" s="1474"/>
      <c r="X27" s="1473"/>
      <c r="Y27" s="1415"/>
      <c r="Z27" s="1415"/>
      <c r="AA27" s="1483"/>
      <c r="AB27" s="1415"/>
    </row>
    <row r="28" spans="1:29" ht="17.25" customHeight="1" thickBot="1">
      <c r="A28" s="1469" t="s">
        <v>2065</v>
      </c>
      <c r="B28" s="1470"/>
      <c r="C28" s="1464">
        <v>360.34572496402706</v>
      </c>
      <c r="D28" s="1463">
        <v>367.4485025408178</v>
      </c>
      <c r="E28" s="1464">
        <v>375.28251008174271</v>
      </c>
      <c r="F28" s="1463">
        <v>388.70889016736163</v>
      </c>
      <c r="G28" s="1464">
        <v>420.16510495683008</v>
      </c>
      <c r="H28" s="1463">
        <v>442.73533222173643</v>
      </c>
      <c r="I28" s="1464">
        <v>456.31192849787288</v>
      </c>
      <c r="J28" s="1463">
        <v>462.16066224325613</v>
      </c>
      <c r="K28" s="1464">
        <v>460.54510480676197</v>
      </c>
      <c r="L28" s="1463">
        <v>480.96670935903251</v>
      </c>
      <c r="M28" s="1464">
        <v>500.28122327763629</v>
      </c>
      <c r="N28" s="1463">
        <v>535.48298288401816</v>
      </c>
      <c r="O28" s="1464">
        <v>600.9</v>
      </c>
      <c r="P28" s="1463">
        <v>589.40634856941779</v>
      </c>
      <c r="Q28" s="1464">
        <v>619.9388180696119</v>
      </c>
      <c r="R28" s="1463">
        <v>602.71525309567551</v>
      </c>
      <c r="S28" s="1464" t="s">
        <v>29</v>
      </c>
      <c r="U28" s="1414"/>
      <c r="V28" s="1473"/>
      <c r="W28" s="1474"/>
      <c r="X28" s="1473"/>
      <c r="Y28" s="1415"/>
      <c r="Z28" s="1415"/>
      <c r="AA28" s="1455"/>
      <c r="AB28" s="1415"/>
    </row>
    <row r="29" spans="1:29" ht="12.75" customHeight="1" thickBot="1">
      <c r="A29" s="1469"/>
      <c r="B29" s="1492"/>
      <c r="C29" s="1460"/>
      <c r="D29" s="1461"/>
      <c r="E29" s="1493"/>
      <c r="F29" s="1494"/>
      <c r="G29" s="1493"/>
      <c r="H29" s="1494"/>
      <c r="I29" s="1493"/>
      <c r="J29" s="1494"/>
      <c r="K29" s="1493"/>
      <c r="L29" s="1494"/>
      <c r="M29" s="1493"/>
      <c r="N29" s="1494"/>
      <c r="O29" s="1493"/>
      <c r="P29" s="1494"/>
      <c r="Q29" s="1493"/>
      <c r="R29" s="1494"/>
      <c r="S29" s="1493"/>
      <c r="U29" s="1473"/>
      <c r="V29" s="1473"/>
      <c r="W29" s="1473"/>
      <c r="X29" s="1473"/>
      <c r="Y29" s="1415"/>
      <c r="Z29" s="1415"/>
      <c r="AA29" s="1467"/>
      <c r="AB29" s="1415"/>
    </row>
    <row r="30" spans="1:29" s="1468" customFormat="1" ht="16" thickBot="1">
      <c r="A30" s="1456" t="s">
        <v>2066</v>
      </c>
      <c r="B30" s="1470"/>
      <c r="C30" s="1495">
        <v>12724.589778739028</v>
      </c>
      <c r="D30" s="1496">
        <v>13313.827425026169</v>
      </c>
      <c r="E30" s="1495">
        <v>13906.790372377538</v>
      </c>
      <c r="F30" s="1496">
        <v>14579.196248113234</v>
      </c>
      <c r="G30" s="1495">
        <v>15012.911023160248</v>
      </c>
      <c r="H30" s="1496">
        <v>15480.114638957686</v>
      </c>
      <c r="I30" s="1495">
        <v>15863.011402045904</v>
      </c>
      <c r="J30" s="1496">
        <v>16615.285493466428</v>
      </c>
      <c r="K30" s="1495">
        <v>17154.695212968756</v>
      </c>
      <c r="L30" s="1496">
        <v>16878.150987015477</v>
      </c>
      <c r="M30" s="1495">
        <v>17218.578970896924</v>
      </c>
      <c r="N30" s="1496">
        <v>17950.217333559493</v>
      </c>
      <c r="O30" s="1495">
        <v>17794.889129784067</v>
      </c>
      <c r="P30" s="1496">
        <v>18385.877665555956</v>
      </c>
      <c r="Q30" s="1495">
        <v>19151.788976409454</v>
      </c>
      <c r="R30" s="1496">
        <v>19742.157198840858</v>
      </c>
      <c r="S30" s="1495" t="s">
        <v>29</v>
      </c>
      <c r="U30" s="1479"/>
      <c r="V30" s="1487"/>
      <c r="W30" s="1487"/>
      <c r="X30" s="1487"/>
      <c r="Y30" s="1453"/>
      <c r="Z30" s="1453"/>
      <c r="AA30" s="1455"/>
      <c r="AB30" s="1453"/>
    </row>
    <row r="31" spans="1:29" ht="13.25" customHeight="1" thickBot="1">
      <c r="A31" s="1448"/>
      <c r="B31" s="1449"/>
      <c r="C31" s="1450"/>
      <c r="D31" s="1450"/>
      <c r="E31" s="1450"/>
      <c r="F31" s="1450"/>
      <c r="G31" s="1450"/>
      <c r="H31" s="1450"/>
      <c r="I31" s="1450"/>
      <c r="J31" s="1450"/>
      <c r="K31" s="1450"/>
      <c r="L31" s="1450"/>
      <c r="M31" s="1450"/>
      <c r="N31" s="1450"/>
      <c r="O31" s="1451"/>
      <c r="P31" s="1450"/>
      <c r="Q31" s="1451"/>
      <c r="R31" s="1450"/>
      <c r="S31" s="1451"/>
      <c r="U31" s="1487"/>
      <c r="V31" s="1466"/>
      <c r="W31" s="1474"/>
      <c r="X31" s="1466"/>
      <c r="Y31" s="1423"/>
      <c r="Z31" s="1415"/>
      <c r="AA31" s="1455"/>
      <c r="AB31" s="1426"/>
      <c r="AC31" s="1427"/>
    </row>
    <row r="32" spans="1:29" ht="18" customHeight="1" thickBot="1">
      <c r="A32" s="1456" t="s">
        <v>2067</v>
      </c>
      <c r="B32" s="1457"/>
      <c r="C32" s="1450"/>
      <c r="D32" s="1450"/>
      <c r="E32" s="1450"/>
      <c r="F32" s="1450"/>
      <c r="G32" s="1450"/>
      <c r="H32" s="1450"/>
      <c r="I32" s="1450"/>
      <c r="J32" s="1450"/>
      <c r="K32" s="1450"/>
      <c r="L32" s="1450"/>
      <c r="M32" s="1450"/>
      <c r="N32" s="1450"/>
      <c r="O32" s="1451"/>
      <c r="P32" s="1450"/>
      <c r="Q32" s="1451"/>
      <c r="R32" s="1450"/>
      <c r="S32" s="1451"/>
      <c r="U32" s="1487"/>
      <c r="V32" s="1466"/>
      <c r="W32" s="1474"/>
      <c r="X32" s="1466"/>
      <c r="Y32" s="1423"/>
      <c r="Z32" s="1415"/>
      <c r="AA32" s="1455"/>
      <c r="AB32" s="1426"/>
      <c r="AC32" s="1427"/>
    </row>
    <row r="33" spans="1:30" ht="9" customHeight="1" thickBot="1">
      <c r="A33" s="1448"/>
      <c r="B33" s="1449"/>
      <c r="C33" s="1450"/>
      <c r="D33" s="1450"/>
      <c r="E33" s="1450"/>
      <c r="F33" s="1450"/>
      <c r="G33" s="1450"/>
      <c r="H33" s="1450"/>
      <c r="I33" s="1450"/>
      <c r="J33" s="1450"/>
      <c r="K33" s="1450"/>
      <c r="L33" s="1450"/>
      <c r="M33" s="1450"/>
      <c r="N33" s="1450"/>
      <c r="O33" s="1451"/>
      <c r="P33" s="1450"/>
      <c r="Q33" s="1451"/>
      <c r="R33" s="1450"/>
      <c r="S33" s="1451"/>
      <c r="U33" s="1487"/>
      <c r="V33" s="1466"/>
      <c r="W33" s="1474"/>
      <c r="X33" s="1466"/>
      <c r="Y33" s="1423"/>
      <c r="Z33" s="1415"/>
      <c r="AA33" s="1455"/>
      <c r="AB33" s="1426"/>
      <c r="AC33" s="1427"/>
    </row>
    <row r="34" spans="1:30" s="1411" customFormat="1" ht="18" customHeight="1" thickBot="1">
      <c r="A34" s="1497" t="s">
        <v>2068</v>
      </c>
      <c r="B34" s="1469"/>
      <c r="C34" s="1489">
        <v>16013.063153744108</v>
      </c>
      <c r="D34" s="1490">
        <v>16937.3</v>
      </c>
      <c r="E34" s="1489">
        <v>17695.3</v>
      </c>
      <c r="F34" s="1498">
        <v>17814.400000000001</v>
      </c>
      <c r="G34" s="1499">
        <v>18507</v>
      </c>
      <c r="H34" s="1498">
        <v>19132.150000000001</v>
      </c>
      <c r="I34" s="1499">
        <v>20686.975043999999</v>
      </c>
      <c r="J34" s="1498">
        <v>22048.513701</v>
      </c>
      <c r="K34" s="1499">
        <v>23360.39678399</v>
      </c>
      <c r="L34" s="1498">
        <v>23865.649597220003</v>
      </c>
      <c r="M34" s="1499">
        <v>24817.983544449999</v>
      </c>
      <c r="N34" s="1498">
        <v>25247.301839669999</v>
      </c>
      <c r="O34" s="1499">
        <v>25543.38584368</v>
      </c>
      <c r="P34" s="1498">
        <v>25752.822451619999</v>
      </c>
      <c r="Q34" s="1499">
        <v>27979.759926830004</v>
      </c>
      <c r="R34" s="1498">
        <v>29826.624212180002</v>
      </c>
      <c r="S34" s="1499">
        <v>30725.588059700007</v>
      </c>
      <c r="U34" s="1500"/>
      <c r="V34" s="1501"/>
      <c r="W34" s="1502"/>
      <c r="X34" s="1501"/>
      <c r="Y34" s="1503"/>
      <c r="Z34" s="1503"/>
      <c r="AA34" s="1504"/>
      <c r="AB34" s="1503"/>
    </row>
    <row r="35" spans="1:30" ht="15" customHeight="1" thickBot="1">
      <c r="A35" s="1470"/>
      <c r="B35" s="1492" t="s">
        <v>2069</v>
      </c>
      <c r="C35" s="1505">
        <v>11035.2</v>
      </c>
      <c r="D35" s="1506">
        <v>11924.8</v>
      </c>
      <c r="E35" s="1505">
        <v>12604.2</v>
      </c>
      <c r="F35" s="1506">
        <v>12949.5</v>
      </c>
      <c r="G35" s="1505">
        <v>13346.7</v>
      </c>
      <c r="H35" s="1506">
        <v>13954.7</v>
      </c>
      <c r="I35" s="1505">
        <v>15296.16</v>
      </c>
      <c r="J35" s="1506">
        <v>16759.707467</v>
      </c>
      <c r="K35" s="1505">
        <v>17979.586842000001</v>
      </c>
      <c r="L35" s="1506">
        <v>18442.676721830001</v>
      </c>
      <c r="M35" s="1505">
        <v>19234.85838514</v>
      </c>
      <c r="N35" s="1506">
        <v>19629.610287169999</v>
      </c>
      <c r="O35" s="1505">
        <v>19621.43996068</v>
      </c>
      <c r="P35" s="1506">
        <v>20057.64279962</v>
      </c>
      <c r="Q35" s="1505">
        <v>21955.717553830003</v>
      </c>
      <c r="R35" s="1506">
        <v>23513.73191518</v>
      </c>
      <c r="S35" s="1505" vm="23">
        <v>24303.676293700006</v>
      </c>
      <c r="U35" s="1414"/>
      <c r="V35" s="1473"/>
      <c r="W35" s="1487"/>
      <c r="X35" s="1473"/>
      <c r="Y35" s="1415"/>
      <c r="Z35" s="1415"/>
      <c r="AA35" s="1507"/>
      <c r="AB35" s="1508"/>
    </row>
    <row r="36" spans="1:30" ht="14.25" customHeight="1" thickBot="1">
      <c r="A36" s="1470"/>
      <c r="B36" s="1492" t="s">
        <v>2070</v>
      </c>
      <c r="C36" s="1505">
        <v>4337.5</v>
      </c>
      <c r="D36" s="1506">
        <v>4410.6000000000004</v>
      </c>
      <c r="E36" s="1505">
        <v>4453.3</v>
      </c>
      <c r="F36" s="1506">
        <v>3766.7</v>
      </c>
      <c r="G36" s="1505">
        <v>2917.4</v>
      </c>
      <c r="H36" s="1506">
        <v>1986.99</v>
      </c>
      <c r="I36" s="1505">
        <v>1958.4404729999999</v>
      </c>
      <c r="J36" s="1506">
        <v>1882.6076640000001</v>
      </c>
      <c r="K36" s="1505">
        <v>1358.7895999899999</v>
      </c>
      <c r="L36" s="1506">
        <v>1397.6693543900001</v>
      </c>
      <c r="M36" s="1505">
        <v>1384.0624223099999</v>
      </c>
      <c r="N36" s="1506">
        <v>1410.6232075</v>
      </c>
      <c r="O36" s="1505">
        <v>1412.4505677400002</v>
      </c>
      <c r="P36" s="1509">
        <v>1381.60592514</v>
      </c>
      <c r="Q36" s="1505">
        <v>1442.6310089400001</v>
      </c>
      <c r="R36" s="1509">
        <v>1273.43894946</v>
      </c>
      <c r="S36" s="1505" vm="46">
        <v>1409.6364930300003</v>
      </c>
      <c r="U36" s="1414"/>
      <c r="V36" s="1473"/>
      <c r="W36" s="1473"/>
      <c r="X36" s="1473"/>
      <c r="Y36" s="1415"/>
      <c r="Z36" s="1415"/>
      <c r="AA36" s="1507"/>
      <c r="AB36" s="1415"/>
    </row>
    <row r="37" spans="1:30" ht="15" customHeight="1" thickBot="1">
      <c r="A37" s="1470"/>
      <c r="B37" s="1492" t="s">
        <v>2071</v>
      </c>
      <c r="C37" s="1505">
        <v>640.36315374410731</v>
      </c>
      <c r="D37" s="1506">
        <v>601.9</v>
      </c>
      <c r="E37" s="1505">
        <v>637.79999999999995</v>
      </c>
      <c r="F37" s="1506">
        <v>1098.2</v>
      </c>
      <c r="G37" s="1505">
        <v>2242.9</v>
      </c>
      <c r="H37" s="1506">
        <v>3190.46</v>
      </c>
      <c r="I37" s="1505">
        <v>3432.3745709999994</v>
      </c>
      <c r="J37" s="1506">
        <v>3406.1985699999996</v>
      </c>
      <c r="K37" s="1505">
        <v>4022.0203419999989</v>
      </c>
      <c r="L37" s="1506">
        <v>4025.3035210000007</v>
      </c>
      <c r="M37" s="1505">
        <v>4199.0627370000002</v>
      </c>
      <c r="N37" s="1506">
        <v>4207.0683449999997</v>
      </c>
      <c r="O37" s="1505">
        <v>4509.4953152600001</v>
      </c>
      <c r="P37" s="1509">
        <v>4313.5737268599996</v>
      </c>
      <c r="Q37" s="1505">
        <v>4581.4113640599999</v>
      </c>
      <c r="R37" s="1509">
        <v>5039.4533475400003</v>
      </c>
      <c r="S37" s="1505">
        <v>5012.2752729699996</v>
      </c>
      <c r="U37" s="1414"/>
      <c r="V37" s="1473"/>
      <c r="W37" s="1473"/>
      <c r="X37" s="1473"/>
      <c r="Y37" s="1415"/>
      <c r="Z37" s="1415"/>
      <c r="AA37" s="1507"/>
      <c r="AB37" s="1415"/>
    </row>
    <row r="38" spans="1:30" ht="11.25" customHeight="1" thickBot="1">
      <c r="A38" s="1470"/>
      <c r="B38" s="1470"/>
      <c r="C38" s="1493"/>
      <c r="D38" s="1494"/>
      <c r="E38" s="1493"/>
      <c r="F38" s="1494"/>
      <c r="G38" s="1493"/>
      <c r="H38" s="1494"/>
      <c r="I38" s="1493"/>
      <c r="J38" s="1494"/>
      <c r="K38" s="1493"/>
      <c r="L38" s="1494"/>
      <c r="M38" s="1493"/>
      <c r="N38" s="1494"/>
      <c r="O38" s="1493"/>
      <c r="P38" s="1494"/>
      <c r="Q38" s="1493"/>
      <c r="R38" s="1494"/>
      <c r="S38" s="1493"/>
      <c r="U38" s="1473"/>
      <c r="V38" s="1473"/>
      <c r="W38" s="1473"/>
      <c r="X38" s="1473"/>
      <c r="Y38" s="1415"/>
      <c r="Z38" s="1415"/>
      <c r="AA38" s="1467"/>
      <c r="AB38" s="1415"/>
    </row>
    <row r="39" spans="1:30" s="1411" customFormat="1" ht="18" customHeight="1" thickBot="1">
      <c r="A39" s="1497" t="s">
        <v>2072</v>
      </c>
      <c r="B39" s="1469"/>
      <c r="C39" s="1489">
        <v>15102.804354694834</v>
      </c>
      <c r="D39" s="1490">
        <v>15124.699999999999</v>
      </c>
      <c r="E39" s="1489">
        <v>15686.5</v>
      </c>
      <c r="F39" s="1498">
        <v>15981.6</v>
      </c>
      <c r="G39" s="1499">
        <v>16973.2</v>
      </c>
      <c r="H39" s="1498">
        <v>17916.27</v>
      </c>
      <c r="I39" s="1499">
        <v>18410.553496</v>
      </c>
      <c r="J39" s="1498">
        <v>19050.633227000002</v>
      </c>
      <c r="K39" s="1499">
        <v>20102.942228620002</v>
      </c>
      <c r="L39" s="1498">
        <v>21309.873442980002</v>
      </c>
      <c r="M39" s="1499">
        <v>21538.251839210003</v>
      </c>
      <c r="N39" s="1498">
        <v>22631.527031209996</v>
      </c>
      <c r="O39" s="1499">
        <v>23800.904075779996</v>
      </c>
      <c r="P39" s="1498">
        <v>24661.917405919998</v>
      </c>
      <c r="Q39" s="1499">
        <v>25369.419981530002</v>
      </c>
      <c r="R39" s="1498">
        <v>26006.848310950001</v>
      </c>
      <c r="S39" s="1499">
        <v>26227.790702449998</v>
      </c>
      <c r="U39" s="1500"/>
      <c r="V39" s="1501"/>
      <c r="W39" s="1502"/>
      <c r="X39" s="1501"/>
      <c r="Y39" s="1503"/>
      <c r="Z39" s="1503"/>
      <c r="AA39" s="1504"/>
      <c r="AB39" s="1503"/>
    </row>
    <row r="40" spans="1:30" ht="15" customHeight="1" thickBot="1">
      <c r="A40" s="1470"/>
      <c r="B40" s="1492" t="s">
        <v>2069</v>
      </c>
      <c r="C40" s="1505">
        <v>10780.5</v>
      </c>
      <c r="D40" s="1506">
        <v>11360.5</v>
      </c>
      <c r="E40" s="1505">
        <v>11926.9</v>
      </c>
      <c r="F40" s="1506">
        <v>12430.6</v>
      </c>
      <c r="G40" s="1505">
        <v>13190.3</v>
      </c>
      <c r="H40" s="1506">
        <v>13986.27</v>
      </c>
      <c r="I40" s="1505">
        <v>14592.75</v>
      </c>
      <c r="J40" s="1506">
        <v>15335.619704000001</v>
      </c>
      <c r="K40" s="1505">
        <v>16307.508545000001</v>
      </c>
      <c r="L40" s="1506">
        <v>17352.720037080002</v>
      </c>
      <c r="M40" s="1505">
        <v>17563.915602790003</v>
      </c>
      <c r="N40" s="1506">
        <v>18423.621994609999</v>
      </c>
      <c r="O40" s="1505">
        <v>19431.457254779998</v>
      </c>
      <c r="P40" s="1506">
        <v>20273.850593919997</v>
      </c>
      <c r="Q40" s="1505">
        <v>20883.74693053</v>
      </c>
      <c r="R40" s="1506">
        <v>21356.405837950002</v>
      </c>
      <c r="S40" s="1505">
        <v>22195.991088449999</v>
      </c>
      <c r="U40" s="1414"/>
      <c r="V40" s="1473"/>
      <c r="W40" s="1487"/>
      <c r="X40" s="1473"/>
      <c r="Y40" s="1415"/>
      <c r="Z40" s="1415"/>
      <c r="AA40" s="1507"/>
      <c r="AB40" s="1508"/>
    </row>
    <row r="41" spans="1:30" ht="14.25" customHeight="1" thickBot="1">
      <c r="A41" s="1470"/>
      <c r="B41" s="1492" t="s">
        <v>2070</v>
      </c>
      <c r="C41" s="1505">
        <v>3809.6285714248806</v>
      </c>
      <c r="D41" s="1506">
        <v>3288.3</v>
      </c>
      <c r="E41" s="1505">
        <v>3299.5</v>
      </c>
      <c r="F41" s="1506">
        <v>2787.1</v>
      </c>
      <c r="G41" s="1505">
        <v>2199.1</v>
      </c>
      <c r="H41" s="1506">
        <v>1576.7</v>
      </c>
      <c r="I41" s="1505">
        <v>1422.34175</v>
      </c>
      <c r="J41" s="1506">
        <v>1354.5729260000001</v>
      </c>
      <c r="K41" s="1505">
        <v>1040.45917962</v>
      </c>
      <c r="L41" s="1506">
        <v>1144.4166189</v>
      </c>
      <c r="M41" s="1505">
        <v>1083.2765844199998</v>
      </c>
      <c r="N41" s="1506">
        <v>1170.1273056000002</v>
      </c>
      <c r="O41" s="1505">
        <v>1241.37670198</v>
      </c>
      <c r="P41" s="1509">
        <v>1229.2542896300001</v>
      </c>
      <c r="Q41" s="1505">
        <v>1281.58085265</v>
      </c>
      <c r="R41" s="1509">
        <v>979.24089520000007</v>
      </c>
      <c r="S41" s="1505" vm="218">
        <v>1078.0633512200002</v>
      </c>
      <c r="U41" s="1414"/>
      <c r="V41" s="1473"/>
      <c r="W41" s="1473"/>
      <c r="X41" s="1473"/>
      <c r="Y41" s="1415"/>
      <c r="Z41" s="1415"/>
      <c r="AA41" s="1507"/>
      <c r="AB41" s="1415"/>
    </row>
    <row r="42" spans="1:30" ht="15" customHeight="1" thickBot="1">
      <c r="A42" s="1470"/>
      <c r="B42" s="1492" t="s">
        <v>2071</v>
      </c>
      <c r="C42" s="1505">
        <v>512.67578326995283</v>
      </c>
      <c r="D42" s="1506">
        <v>475.9</v>
      </c>
      <c r="E42" s="1505">
        <v>460.1</v>
      </c>
      <c r="F42" s="1506">
        <v>763.9</v>
      </c>
      <c r="G42" s="1505">
        <v>1583.8</v>
      </c>
      <c r="H42" s="1506">
        <v>2353.3000000000002</v>
      </c>
      <c r="I42" s="1505">
        <v>2395.4617459999999</v>
      </c>
      <c r="J42" s="1506">
        <v>2360.4405969999998</v>
      </c>
      <c r="K42" s="1505">
        <v>2754.9745040000003</v>
      </c>
      <c r="L42" s="1506">
        <v>2812.7367870000003</v>
      </c>
      <c r="M42" s="1505">
        <v>2891.0596519999999</v>
      </c>
      <c r="N42" s="1506">
        <v>3037.7777310000001</v>
      </c>
      <c r="O42" s="1505">
        <v>3128.0701190199998</v>
      </c>
      <c r="P42" s="1509">
        <v>3158.8125223699999</v>
      </c>
      <c r="Q42" s="1505">
        <v>3204.0921983499998</v>
      </c>
      <c r="R42" s="1509">
        <v>3671.2015778</v>
      </c>
      <c r="S42" s="1505">
        <v>2953.7362627799998</v>
      </c>
      <c r="U42" s="1414"/>
      <c r="V42" s="1473"/>
      <c r="W42" s="1473"/>
      <c r="X42" s="1473"/>
      <c r="Y42" s="1415"/>
      <c r="Z42" s="1415"/>
      <c r="AA42" s="1507"/>
      <c r="AB42" s="1415"/>
    </row>
    <row r="43" spans="1:30" ht="11.25" customHeight="1" thickBot="1">
      <c r="A43" s="1470"/>
      <c r="B43" s="1470"/>
      <c r="C43" s="1493"/>
      <c r="D43" s="1494"/>
      <c r="E43" s="1493"/>
      <c r="F43" s="1494"/>
      <c r="G43" s="1493"/>
      <c r="H43" s="1494"/>
      <c r="I43" s="1493"/>
      <c r="J43" s="1494"/>
      <c r="K43" s="1493"/>
      <c r="L43" s="1494"/>
      <c r="M43" s="1493"/>
      <c r="N43" s="1494"/>
      <c r="O43" s="1493"/>
      <c r="P43" s="1494"/>
      <c r="Q43" s="1493"/>
      <c r="R43" s="1494"/>
      <c r="S43" s="1493"/>
      <c r="U43" s="1473"/>
      <c r="V43" s="1473"/>
      <c r="W43" s="1473"/>
      <c r="X43" s="1473"/>
      <c r="Y43" s="1415"/>
      <c r="Z43" s="1415"/>
      <c r="AA43" s="1467"/>
      <c r="AB43" s="1415"/>
    </row>
    <row r="44" spans="1:30" s="1411" customFormat="1" ht="18" customHeight="1" thickBot="1">
      <c r="A44" s="1497" t="s">
        <v>2073</v>
      </c>
      <c r="B44" s="1469"/>
      <c r="C44" s="1489">
        <v>1770.8</v>
      </c>
      <c r="D44" s="1490">
        <v>1884.4</v>
      </c>
      <c r="E44" s="1489">
        <v>2155</v>
      </c>
      <c r="F44" s="1498">
        <v>2249.6</v>
      </c>
      <c r="G44" s="1499">
        <v>2343.1</v>
      </c>
      <c r="H44" s="1498">
        <v>2428.2489999999998</v>
      </c>
      <c r="I44" s="1499">
        <v>2541</v>
      </c>
      <c r="J44" s="1498">
        <v>2627.5</v>
      </c>
      <c r="K44" s="1499">
        <v>2868.2000000000003</v>
      </c>
      <c r="L44" s="1498">
        <v>3031.6779155400004</v>
      </c>
      <c r="M44" s="1499">
        <v>3081.5039062299998</v>
      </c>
      <c r="N44" s="1498">
        <v>3200.9812532199999</v>
      </c>
      <c r="O44" s="1499">
        <v>3337.6332843099999</v>
      </c>
      <c r="P44" s="1498">
        <v>3425.9949799299998</v>
      </c>
      <c r="Q44" s="1499">
        <v>3450.5142391200002</v>
      </c>
      <c r="R44" s="1498">
        <v>3613.0134475700002</v>
      </c>
      <c r="S44" s="1499">
        <v>3756.1376600299991</v>
      </c>
      <c r="U44" s="1500"/>
      <c r="V44" s="1510"/>
      <c r="W44" s="1502"/>
      <c r="X44" s="1510"/>
      <c r="Y44" s="1503"/>
      <c r="Z44" s="1503"/>
      <c r="AA44" s="1504"/>
      <c r="AB44" s="1503"/>
      <c r="AD44" s="1410"/>
    </row>
    <row r="45" spans="1:30" ht="13.5" customHeight="1" thickBot="1">
      <c r="A45" s="1470"/>
      <c r="B45" s="1492" t="s">
        <v>2074</v>
      </c>
      <c r="C45" s="1511">
        <v>1678.5</v>
      </c>
      <c r="D45" s="1512">
        <v>1778</v>
      </c>
      <c r="E45" s="1511">
        <v>2097.1999999999998</v>
      </c>
      <c r="F45" s="1512">
        <v>2189.9</v>
      </c>
      <c r="G45" s="1511">
        <v>2288</v>
      </c>
      <c r="H45" s="1512">
        <v>2400.1889999999999</v>
      </c>
      <c r="I45" s="1511">
        <v>2502.83</v>
      </c>
      <c r="J45" s="1512">
        <v>2588.5</v>
      </c>
      <c r="K45" s="1511">
        <v>2832.3</v>
      </c>
      <c r="L45" s="1512">
        <v>2994.9866096700002</v>
      </c>
      <c r="M45" s="1511">
        <v>3038.7113187199998</v>
      </c>
      <c r="N45" s="1512">
        <v>3155.0668707</v>
      </c>
      <c r="O45" s="1511">
        <v>3290.4542289599999</v>
      </c>
      <c r="P45" s="1513">
        <v>3382.4718481499999</v>
      </c>
      <c r="Q45" s="1511">
        <v>3408.7146446100001</v>
      </c>
      <c r="R45" s="1513">
        <v>3575.1042570200002</v>
      </c>
      <c r="S45" s="1511">
        <v>3705.2372038999993</v>
      </c>
      <c r="U45" s="1414"/>
      <c r="V45" s="1473"/>
      <c r="W45" s="1473"/>
      <c r="X45" s="1473"/>
      <c r="Y45" s="1415"/>
      <c r="Z45" s="1415"/>
      <c r="AA45" s="1514"/>
      <c r="AB45" s="1508"/>
      <c r="AC45" s="1414"/>
      <c r="AD45" s="1515"/>
    </row>
    <row r="46" spans="1:30" ht="13.5" customHeight="1" thickBot="1">
      <c r="A46" s="1470"/>
      <c r="B46" s="1492" t="s">
        <v>2075</v>
      </c>
      <c r="C46" s="1511">
        <v>92.3</v>
      </c>
      <c r="D46" s="1512">
        <v>106.4</v>
      </c>
      <c r="E46" s="1511">
        <v>57.8</v>
      </c>
      <c r="F46" s="1512">
        <v>59.7</v>
      </c>
      <c r="G46" s="1511">
        <v>55.1</v>
      </c>
      <c r="H46" s="1512">
        <v>28.06</v>
      </c>
      <c r="I46" s="1511">
        <v>38.17</v>
      </c>
      <c r="J46" s="1512">
        <v>39</v>
      </c>
      <c r="K46" s="1511">
        <v>35.9</v>
      </c>
      <c r="L46" s="1512">
        <v>36.691305870000001</v>
      </c>
      <c r="M46" s="1511">
        <v>42.792587509999997</v>
      </c>
      <c r="N46" s="1512">
        <v>45.914382520000004</v>
      </c>
      <c r="O46" s="1511">
        <v>47.179055349999999</v>
      </c>
      <c r="P46" s="1513">
        <v>43.52313178</v>
      </c>
      <c r="Q46" s="1511">
        <v>41.799594509999999</v>
      </c>
      <c r="R46" s="1513">
        <v>37.909190549999998</v>
      </c>
      <c r="S46" s="1511" vm="23">
        <v>50.900456129999995</v>
      </c>
      <c r="U46" s="1414"/>
      <c r="V46" s="1473"/>
      <c r="W46" s="1473"/>
      <c r="X46" s="1473"/>
      <c r="Y46" s="1415"/>
      <c r="Z46" s="1415"/>
      <c r="AA46" s="1514"/>
      <c r="AB46" s="1508"/>
      <c r="AC46" s="1414"/>
      <c r="AD46" s="1515"/>
    </row>
    <row r="47" spans="1:30" ht="11.25" customHeight="1" thickBot="1">
      <c r="A47" s="1470"/>
      <c r="B47" s="1470"/>
      <c r="C47" s="1493"/>
      <c r="D47" s="1494"/>
      <c r="E47" s="1493"/>
      <c r="F47" s="1494"/>
      <c r="G47" s="1493"/>
      <c r="H47" s="1494"/>
      <c r="I47" s="1493"/>
      <c r="J47" s="1494"/>
      <c r="K47" s="1493"/>
      <c r="L47" s="1494"/>
      <c r="M47" s="1493"/>
      <c r="N47" s="1494"/>
      <c r="O47" s="1493"/>
      <c r="P47" s="1494"/>
      <c r="Q47" s="1493"/>
      <c r="R47" s="1494"/>
      <c r="S47" s="1493"/>
      <c r="U47" s="1473"/>
      <c r="V47" s="1473"/>
      <c r="W47" s="1473"/>
      <c r="X47" s="1473"/>
      <c r="Y47" s="1415"/>
      <c r="Z47" s="1415"/>
      <c r="AA47" s="1467"/>
      <c r="AB47" s="1415"/>
      <c r="AC47" s="1414"/>
      <c r="AD47" s="1414"/>
    </row>
    <row r="48" spans="1:30" s="1411" customFormat="1" ht="18" customHeight="1" thickBot="1">
      <c r="A48" s="1497" t="s">
        <v>2076</v>
      </c>
      <c r="B48" s="1469"/>
      <c r="C48" s="1489">
        <v>16360.92857142488</v>
      </c>
      <c r="D48" s="1490">
        <v>16533.2</v>
      </c>
      <c r="E48" s="1489">
        <v>17381.399999999998</v>
      </c>
      <c r="F48" s="1498">
        <v>17467.3</v>
      </c>
      <c r="G48" s="1499">
        <v>17732.5</v>
      </c>
      <c r="H48" s="1498">
        <v>17991.218999999997</v>
      </c>
      <c r="I48" s="1499">
        <v>18556.091750000003</v>
      </c>
      <c r="J48" s="1498">
        <v>19317.692630000001</v>
      </c>
      <c r="K48" s="1499">
        <v>20216.167724620002</v>
      </c>
      <c r="L48" s="1498">
        <v>21528.814571520001</v>
      </c>
      <c r="M48" s="1499">
        <v>21728.696093440005</v>
      </c>
      <c r="N48" s="1498">
        <v>22794.730553429999</v>
      </c>
      <c r="O48" s="1499">
        <v>24010.467241069997</v>
      </c>
      <c r="P48" s="1498">
        <v>24929.099863479994</v>
      </c>
      <c r="Q48" s="1499">
        <v>25615.842022300003</v>
      </c>
      <c r="R48" s="1498">
        <v>25948.660180720002</v>
      </c>
      <c r="S48" s="1499">
        <v>27030.192099699998</v>
      </c>
      <c r="U48" s="1500"/>
      <c r="V48" s="1501"/>
      <c r="W48" s="1502"/>
      <c r="X48" s="1501"/>
      <c r="Y48" s="1503"/>
      <c r="Z48" s="1503"/>
      <c r="AA48" s="1504"/>
      <c r="AB48" s="1503"/>
      <c r="AC48" s="1410"/>
      <c r="AD48" s="1410"/>
    </row>
    <row r="49" spans="1:31" ht="15" customHeight="1" thickBot="1">
      <c r="A49" s="1470"/>
      <c r="B49" s="1492" t="s">
        <v>2069</v>
      </c>
      <c r="C49" s="1511">
        <v>12459</v>
      </c>
      <c r="D49" s="1512">
        <v>13138.5</v>
      </c>
      <c r="E49" s="1511">
        <v>14024.099999999999</v>
      </c>
      <c r="F49" s="1512">
        <v>14620.5</v>
      </c>
      <c r="G49" s="1511">
        <v>15478.3</v>
      </c>
      <c r="H49" s="1512">
        <v>16386.458999999999</v>
      </c>
      <c r="I49" s="1511">
        <v>17095.580000000002</v>
      </c>
      <c r="J49" s="1512">
        <v>17924.119704000001</v>
      </c>
      <c r="K49" s="1511">
        <v>19139.808545</v>
      </c>
      <c r="L49" s="1512">
        <v>20347.706646750001</v>
      </c>
      <c r="M49" s="1511">
        <v>20602.626921510004</v>
      </c>
      <c r="N49" s="1512">
        <v>21578.68886531</v>
      </c>
      <c r="O49" s="1511">
        <v>22721.911483739997</v>
      </c>
      <c r="P49" s="1513">
        <v>23656.322442069995</v>
      </c>
      <c r="Q49" s="1511">
        <v>24292.461575140002</v>
      </c>
      <c r="R49" s="1513">
        <v>24931.510094970003</v>
      </c>
      <c r="S49" s="1511">
        <v>25901.228292349999</v>
      </c>
      <c r="U49" s="1479"/>
      <c r="V49" s="1473"/>
      <c r="W49" s="1487"/>
      <c r="X49" s="1473"/>
      <c r="Y49" s="1415"/>
      <c r="Z49" s="1415"/>
      <c r="AA49" s="1507"/>
      <c r="AB49" s="1508"/>
      <c r="AC49" s="1414"/>
      <c r="AD49" s="1414"/>
    </row>
    <row r="50" spans="1:31" ht="14.25" customHeight="1" thickBot="1">
      <c r="A50" s="1470"/>
      <c r="B50" s="1492" t="s">
        <v>2070</v>
      </c>
      <c r="C50" s="1511">
        <v>3901.9285714248808</v>
      </c>
      <c r="D50" s="1512">
        <v>3394.7000000000003</v>
      </c>
      <c r="E50" s="1511">
        <v>3357.3</v>
      </c>
      <c r="F50" s="1512">
        <v>2846.7999999999997</v>
      </c>
      <c r="G50" s="1511">
        <v>2254.1999999999998</v>
      </c>
      <c r="H50" s="1512">
        <v>1604.76</v>
      </c>
      <c r="I50" s="1511">
        <v>1460.5117500000001</v>
      </c>
      <c r="J50" s="1512">
        <v>1393.5729260000001</v>
      </c>
      <c r="K50" s="1511">
        <v>1076.3591796200001</v>
      </c>
      <c r="L50" s="1512">
        <v>1181.10792477</v>
      </c>
      <c r="M50" s="1511">
        <v>1126.0691719299998</v>
      </c>
      <c r="N50" s="1512">
        <v>1216.0416881200003</v>
      </c>
      <c r="O50" s="1511">
        <v>1288.55575733</v>
      </c>
      <c r="P50" s="1513">
        <v>1272.7774214100002</v>
      </c>
      <c r="Q50" s="1511">
        <v>1323.3804471599999</v>
      </c>
      <c r="R50" s="1513">
        <v>1017.15008575</v>
      </c>
      <c r="S50" s="1511">
        <v>1128.9638073500003</v>
      </c>
      <c r="U50" s="1479"/>
      <c r="V50" s="1473"/>
      <c r="W50" s="1473"/>
      <c r="X50" s="1473"/>
      <c r="Y50" s="1415"/>
      <c r="Z50" s="1415"/>
      <c r="AA50" s="1507"/>
      <c r="AB50" s="1415"/>
      <c r="AC50" s="1414"/>
      <c r="AD50" s="1414"/>
    </row>
    <row r="51" spans="1:31" ht="15.75" customHeight="1" thickBot="1">
      <c r="A51" s="1480"/>
      <c r="B51" s="1470"/>
      <c r="C51" s="1516"/>
      <c r="D51" s="1517"/>
      <c r="E51" s="1516"/>
      <c r="F51" s="1486"/>
      <c r="G51" s="1485"/>
      <c r="H51" s="1486"/>
      <c r="I51" s="1485"/>
      <c r="J51" s="1486"/>
      <c r="K51" s="1485"/>
      <c r="L51" s="1486"/>
      <c r="M51" s="1485"/>
      <c r="N51" s="1486"/>
      <c r="O51" s="1518"/>
      <c r="P51" s="1486"/>
      <c r="Q51" s="1518"/>
      <c r="R51" s="1486"/>
      <c r="S51" s="1518"/>
      <c r="U51" s="1473"/>
      <c r="V51" s="1473"/>
      <c r="W51" s="1473"/>
      <c r="X51" s="1473"/>
      <c r="Y51" s="1415"/>
      <c r="Z51" s="1415"/>
      <c r="AA51" s="1491"/>
      <c r="AB51" s="1508"/>
      <c r="AC51" s="1414"/>
      <c r="AD51" s="1410"/>
      <c r="AE51" s="1410"/>
    </row>
    <row r="52" spans="1:31" s="1521" customFormat="1" ht="16.5" customHeight="1" thickBot="1">
      <c r="A52" s="1497" t="s">
        <v>2077</v>
      </c>
      <c r="B52" s="1469"/>
      <c r="C52" s="1519">
        <v>1815.57</v>
      </c>
      <c r="D52" s="1520">
        <v>2087.14</v>
      </c>
      <c r="E52" s="1519">
        <v>2263.1999999999998</v>
      </c>
      <c r="F52" s="1520">
        <v>2476.6</v>
      </c>
      <c r="G52" s="1519">
        <v>2532.8000000000002</v>
      </c>
      <c r="H52" s="1520">
        <v>2671.6</v>
      </c>
      <c r="I52" s="1519">
        <v>2848.4</v>
      </c>
      <c r="J52" s="1520">
        <v>2961.1</v>
      </c>
      <c r="K52" s="1519">
        <v>3025.3</v>
      </c>
      <c r="L52" s="1520">
        <v>3119.6250399999999</v>
      </c>
      <c r="M52" s="1519">
        <v>3230.0145429999998</v>
      </c>
      <c r="N52" s="1520">
        <v>3432.1861340000005</v>
      </c>
      <c r="O52" s="1519">
        <v>3398.253929</v>
      </c>
      <c r="P52" s="1520">
        <v>3542.4140867700003</v>
      </c>
      <c r="Q52" s="1519">
        <v>3979.8429310299998</v>
      </c>
      <c r="R52" s="1520">
        <v>4070.3476851999999</v>
      </c>
      <c r="S52" s="1519">
        <v>3967.7031699399995</v>
      </c>
      <c r="U52" s="1410"/>
      <c r="V52" s="1502"/>
      <c r="W52" s="1502"/>
      <c r="X52" s="1522"/>
      <c r="Y52" s="1523"/>
      <c r="Z52" s="1523"/>
      <c r="AA52" s="1504"/>
      <c r="AB52" s="1523"/>
      <c r="AC52" s="1500"/>
      <c r="AD52" s="1500"/>
    </row>
    <row r="53" spans="1:31" ht="16.5" customHeight="1" thickBot="1">
      <c r="A53" s="1524"/>
      <c r="B53" s="1525"/>
      <c r="C53" s="1526"/>
      <c r="D53" s="1527"/>
      <c r="E53" s="1526"/>
      <c r="F53" s="1527"/>
      <c r="G53" s="1526"/>
      <c r="H53" s="1527"/>
      <c r="I53" s="1526"/>
      <c r="J53" s="1527"/>
      <c r="K53" s="1526"/>
      <c r="L53" s="1527"/>
      <c r="M53" s="1526"/>
      <c r="N53" s="1527"/>
      <c r="O53" s="1528"/>
      <c r="P53" s="1527"/>
      <c r="Q53" s="1528"/>
      <c r="R53" s="1527"/>
      <c r="S53" s="1528"/>
      <c r="U53" s="1473"/>
      <c r="V53" s="1473"/>
      <c r="W53" s="1474"/>
      <c r="X53" s="1473"/>
      <c r="Y53" s="1415"/>
      <c r="Z53" s="1415"/>
      <c r="AA53" s="1455"/>
      <c r="AB53" s="1415"/>
      <c r="AC53" s="1414"/>
      <c r="AD53" s="1414"/>
    </row>
    <row r="54" spans="1:31" ht="13.25" customHeight="1">
      <c r="A54" s="1417"/>
      <c r="B54" s="1447"/>
      <c r="C54" s="1529"/>
      <c r="D54" s="1529"/>
      <c r="E54" s="1529"/>
      <c r="F54" s="1529"/>
      <c r="G54" s="1529"/>
      <c r="H54" s="1529"/>
      <c r="I54" s="1529"/>
      <c r="J54" s="1529"/>
      <c r="K54" s="1529"/>
      <c r="L54" s="1529"/>
      <c r="M54" s="1529"/>
      <c r="N54" s="1529"/>
      <c r="O54" s="1530"/>
      <c r="P54" s="1529"/>
      <c r="Q54" s="1530"/>
      <c r="R54" s="1529"/>
      <c r="S54" s="1530"/>
      <c r="U54" s="1487"/>
      <c r="V54" s="1466"/>
      <c r="W54" s="1474"/>
      <c r="X54" s="1466"/>
      <c r="Y54" s="1423"/>
      <c r="Z54" s="1415"/>
      <c r="AA54" s="1455"/>
      <c r="AB54" s="1426"/>
      <c r="AC54" s="1531"/>
      <c r="AD54" s="1414"/>
    </row>
    <row r="55" spans="1:31" ht="11.5" customHeight="1" thickBot="1">
      <c r="A55" s="1532"/>
      <c r="B55" s="1533"/>
      <c r="C55" s="1534"/>
      <c r="D55" s="1535"/>
      <c r="E55" s="1534"/>
      <c r="F55" s="1536"/>
      <c r="G55" s="1537"/>
      <c r="H55" s="1536"/>
      <c r="I55" s="1537"/>
      <c r="J55" s="1536"/>
      <c r="K55" s="1537"/>
      <c r="L55" s="1536"/>
      <c r="M55" s="1537"/>
      <c r="N55" s="1536"/>
      <c r="O55" s="1538"/>
      <c r="P55" s="1536"/>
      <c r="Q55" s="1538"/>
      <c r="R55" s="1536"/>
      <c r="S55" s="1538"/>
      <c r="U55" s="1473"/>
      <c r="V55" s="1473"/>
      <c r="W55" s="1473"/>
      <c r="X55" s="1473"/>
      <c r="Y55" s="1415"/>
      <c r="Z55" s="1415"/>
      <c r="AA55" s="1491"/>
      <c r="AB55" s="1508"/>
      <c r="AC55" s="1414"/>
      <c r="AD55" s="1410"/>
      <c r="AE55" s="1410"/>
    </row>
    <row r="56" spans="1:31" ht="17.25" customHeight="1" thickBot="1">
      <c r="A56" s="1480" t="s">
        <v>2078</v>
      </c>
      <c r="B56" s="1470"/>
      <c r="C56" s="1481">
        <v>5273.2258587145679</v>
      </c>
      <c r="D56" s="1482">
        <v>5371.4148132973496</v>
      </c>
      <c r="E56" s="1481">
        <v>5582.675033421332</v>
      </c>
      <c r="F56" s="1482">
        <v>5735.4478095920094</v>
      </c>
      <c r="G56" s="1481">
        <v>5942.9441459536711</v>
      </c>
      <c r="H56" s="1482">
        <v>6276.9577355721549</v>
      </c>
      <c r="I56" s="1481">
        <v>6449.3898810983646</v>
      </c>
      <c r="J56" s="1482">
        <v>6652.9131741119318</v>
      </c>
      <c r="K56" s="1481">
        <v>6842.8964671900767</v>
      </c>
      <c r="L56" s="1482">
        <v>6937.9111736214763</v>
      </c>
      <c r="M56" s="1481">
        <v>6982.8098875825708</v>
      </c>
      <c r="N56" s="1482">
        <v>7247.3882809995739</v>
      </c>
      <c r="O56" s="1481">
        <v>7576.9197972189631</v>
      </c>
      <c r="P56" s="1482">
        <v>7816.764740928912</v>
      </c>
      <c r="Q56" s="1481">
        <v>7933.272379127915</v>
      </c>
      <c r="R56" s="1482">
        <v>8161.1177444413861</v>
      </c>
      <c r="S56" s="1481" t="s">
        <v>29</v>
      </c>
      <c r="U56" s="1473"/>
      <c r="V56" s="1473"/>
      <c r="W56" s="1474"/>
      <c r="X56" s="1473"/>
      <c r="Y56" s="1415"/>
      <c r="Z56" s="1415"/>
      <c r="AA56" s="1455"/>
      <c r="AB56" s="1415"/>
      <c r="AC56" s="1414"/>
      <c r="AD56" s="1414"/>
    </row>
    <row r="57" spans="1:31" ht="11.5" customHeight="1" thickBot="1">
      <c r="A57" s="1480"/>
      <c r="B57" s="1470"/>
      <c r="C57" s="1516"/>
      <c r="D57" s="1517"/>
      <c r="E57" s="1516"/>
      <c r="F57" s="1486"/>
      <c r="G57" s="1485"/>
      <c r="H57" s="1486"/>
      <c r="I57" s="1485"/>
      <c r="J57" s="1486"/>
      <c r="K57" s="1485"/>
      <c r="L57" s="1486"/>
      <c r="M57" s="1485"/>
      <c r="N57" s="1486"/>
      <c r="O57" s="1518"/>
      <c r="P57" s="1486"/>
      <c r="Q57" s="1518"/>
      <c r="R57" s="1486"/>
      <c r="S57" s="1518"/>
      <c r="U57" s="1473"/>
      <c r="V57" s="1473"/>
      <c r="W57" s="1473"/>
      <c r="X57" s="1473"/>
      <c r="Y57" s="1415"/>
      <c r="Z57" s="1415"/>
      <c r="AA57" s="1491"/>
      <c r="AB57" s="1508"/>
      <c r="AC57" s="1414"/>
      <c r="AD57" s="1410"/>
      <c r="AE57" s="1410"/>
    </row>
    <row r="58" spans="1:31" ht="17.25" customHeight="1" thickBot="1">
      <c r="A58" s="1480" t="s">
        <v>2079</v>
      </c>
      <c r="B58" s="1470"/>
      <c r="C58" s="1481">
        <v>1538.9393456106855</v>
      </c>
      <c r="D58" s="1482">
        <v>1663.8889491853145</v>
      </c>
      <c r="E58" s="1481">
        <v>1753.683394842503</v>
      </c>
      <c r="F58" s="1482">
        <v>1792.6969718267821</v>
      </c>
      <c r="G58" s="1481">
        <v>1850.1645719756871</v>
      </c>
      <c r="H58" s="1482">
        <v>1917.1642434992227</v>
      </c>
      <c r="I58" s="1481">
        <v>2090.6486849170938</v>
      </c>
      <c r="J58" s="1482">
        <v>2281.464868725081</v>
      </c>
      <c r="K58" s="1481">
        <v>2441.8668834361247</v>
      </c>
      <c r="L58" s="1482">
        <v>2487.4603849935415</v>
      </c>
      <c r="M58" s="1481">
        <v>2582.7207564451369</v>
      </c>
      <c r="N58" s="1482">
        <v>2612.1277928402606</v>
      </c>
      <c r="O58" s="1481">
        <v>2585.7925929424223</v>
      </c>
      <c r="P58" s="1482">
        <v>2610.6051067988465</v>
      </c>
      <c r="Q58" s="1481">
        <v>2834.4985299573032</v>
      </c>
      <c r="R58" s="1482">
        <v>3005.4532786500799</v>
      </c>
      <c r="S58" s="1481">
        <v>3075.2296739515696</v>
      </c>
      <c r="U58" s="1473"/>
      <c r="V58" s="1473"/>
      <c r="W58" s="1474"/>
      <c r="X58" s="1473"/>
      <c r="Y58" s="1415"/>
      <c r="Z58" s="1415"/>
      <c r="AA58" s="1455"/>
      <c r="AB58" s="1415"/>
      <c r="AC58" s="1414"/>
      <c r="AD58" s="1414"/>
    </row>
    <row r="59" spans="1:31" ht="9.5" customHeight="1" thickBot="1">
      <c r="A59" s="1524"/>
      <c r="B59" s="1525"/>
      <c r="C59" s="1526"/>
      <c r="D59" s="1527"/>
      <c r="E59" s="1526"/>
      <c r="F59" s="1527"/>
      <c r="G59" s="1526"/>
      <c r="H59" s="1527"/>
      <c r="I59" s="1526"/>
      <c r="J59" s="1527"/>
      <c r="K59" s="1526"/>
      <c r="L59" s="1527"/>
      <c r="M59" s="1526"/>
      <c r="N59" s="1527"/>
      <c r="O59" s="1528"/>
      <c r="P59" s="1527"/>
      <c r="Q59" s="1528"/>
      <c r="R59" s="1527"/>
      <c r="S59" s="1528"/>
      <c r="U59" s="1473"/>
      <c r="V59" s="1473"/>
      <c r="W59" s="1474"/>
      <c r="X59" s="1473"/>
      <c r="Y59" s="1415"/>
      <c r="Z59" s="1415"/>
      <c r="AA59" s="1455"/>
      <c r="AB59" s="1415"/>
    </row>
    <row r="60" spans="1:31" ht="13.5" customHeight="1">
      <c r="A60" s="1539" t="s">
        <v>2142</v>
      </c>
      <c r="B60" s="1539"/>
      <c r="C60" s="1540"/>
      <c r="D60" s="1540"/>
      <c r="E60" s="1540"/>
      <c r="F60" s="1540"/>
      <c r="G60" s="1540"/>
      <c r="H60" s="1540"/>
      <c r="I60" s="1540"/>
      <c r="J60" s="1540"/>
      <c r="K60" s="1540"/>
      <c r="M60" s="1540"/>
      <c r="O60" s="1540"/>
      <c r="Q60" s="1540"/>
      <c r="R60" s="1540"/>
      <c r="S60" s="1540"/>
    </row>
    <row r="61" spans="1:31" ht="13.25" customHeight="1">
      <c r="A61" s="1541"/>
      <c r="B61" s="1542"/>
      <c r="T61" s="1543"/>
      <c r="U61" s="1543"/>
      <c r="V61" s="1543"/>
      <c r="Y61" s="1544"/>
    </row>
    <row r="62" spans="1:31" ht="14.25" customHeight="1">
      <c r="A62" s="1545" t="s">
        <v>2080</v>
      </c>
      <c r="B62" s="1542"/>
      <c r="Q62" s="1414"/>
      <c r="S62" s="1414"/>
      <c r="T62" s="1543"/>
      <c r="U62" s="1543"/>
      <c r="V62" s="1543"/>
      <c r="Y62" s="1544"/>
    </row>
    <row r="63" spans="1:31" ht="14.25" customHeight="1">
      <c r="A63" s="1545" t="s">
        <v>2081</v>
      </c>
      <c r="B63" s="1542"/>
      <c r="Q63" s="1414"/>
      <c r="S63" s="1414"/>
      <c r="T63" s="1543"/>
      <c r="U63" s="1543"/>
      <c r="V63" s="1543"/>
      <c r="Y63" s="1544"/>
    </row>
    <row r="64" spans="1:31" s="1541" customFormat="1" ht="12.75" customHeight="1">
      <c r="A64" s="1546" t="s">
        <v>2082</v>
      </c>
      <c r="B64" s="1547"/>
      <c r="C64" s="1547"/>
      <c r="D64" s="1547"/>
      <c r="E64" s="1547"/>
      <c r="F64" s="1547"/>
      <c r="G64" s="1547"/>
      <c r="H64" s="1547"/>
      <c r="I64" s="1547"/>
    </row>
    <row r="65" spans="1:25" s="1541" customFormat="1" ht="12.75" customHeight="1">
      <c r="A65" s="1546" t="s">
        <v>2083</v>
      </c>
      <c r="B65" s="1547"/>
      <c r="C65" s="1547"/>
      <c r="D65" s="1547"/>
      <c r="E65" s="1547"/>
      <c r="F65" s="1547"/>
      <c r="G65" s="1547"/>
      <c r="H65" s="1547"/>
      <c r="I65" s="1547"/>
    </row>
    <row r="66" spans="1:25" ht="14.25" customHeight="1">
      <c r="A66" s="1545" t="s">
        <v>2084</v>
      </c>
      <c r="B66" s="1542"/>
      <c r="Q66" s="1414"/>
      <c r="S66" s="1414"/>
      <c r="T66" s="1543"/>
      <c r="U66" s="1543"/>
      <c r="V66" s="1543"/>
      <c r="Y66" s="1544"/>
    </row>
    <row r="67" spans="1:25" s="1541" customFormat="1" ht="12.75" customHeight="1">
      <c r="A67" s="1546" t="s">
        <v>2085</v>
      </c>
      <c r="B67" s="1547"/>
      <c r="C67" s="1547"/>
      <c r="D67" s="1547"/>
      <c r="E67" s="1547"/>
      <c r="F67" s="1547"/>
      <c r="G67" s="1547"/>
      <c r="H67" s="1547"/>
      <c r="I67" s="1547"/>
    </row>
    <row r="68" spans="1:25" s="1541" customFormat="1" ht="12.75" customHeight="1">
      <c r="A68" s="1548" t="s">
        <v>2086</v>
      </c>
      <c r="B68" s="1547"/>
      <c r="C68" s="1547"/>
      <c r="D68" s="1547"/>
      <c r="E68" s="1547"/>
      <c r="F68" s="1547"/>
      <c r="G68" s="1547"/>
      <c r="H68" s="1547"/>
      <c r="I68" s="1547"/>
    </row>
    <row r="69" spans="1:25" s="1541" customFormat="1" ht="12.75" customHeight="1">
      <c r="A69" s="1548" t="s">
        <v>2087</v>
      </c>
      <c r="B69" s="1547"/>
      <c r="C69" s="1547"/>
      <c r="D69" s="1547"/>
      <c r="E69" s="1547"/>
      <c r="F69" s="1547"/>
      <c r="G69" s="1547"/>
      <c r="H69" s="1547"/>
      <c r="I69" s="1547"/>
    </row>
    <row r="70" spans="1:25" ht="14.25" customHeight="1">
      <c r="A70" s="1545" t="s">
        <v>2088</v>
      </c>
      <c r="B70" s="1542"/>
      <c r="Q70" s="1414"/>
      <c r="S70" s="1414"/>
      <c r="T70" s="1543"/>
      <c r="U70" s="1543"/>
      <c r="V70" s="1543"/>
      <c r="Y70" s="1544"/>
    </row>
    <row r="71" spans="1:25" ht="13.25" customHeight="1">
      <c r="A71" s="1545" t="s">
        <v>2089</v>
      </c>
      <c r="B71" s="1542"/>
      <c r="T71" s="1543"/>
      <c r="U71" s="1543"/>
      <c r="V71" s="1543"/>
      <c r="Y71" s="1544"/>
    </row>
    <row r="72" spans="1:25" ht="13.25" customHeight="1">
      <c r="A72" s="1545" t="s">
        <v>2090</v>
      </c>
      <c r="B72" s="1542"/>
      <c r="T72" s="1543"/>
      <c r="U72" s="1543"/>
      <c r="V72" s="1543"/>
      <c r="Y72" s="1544"/>
    </row>
    <row r="73" spans="1:25" ht="13.25" customHeight="1">
      <c r="A73" s="1545" t="s">
        <v>2091</v>
      </c>
      <c r="B73" s="1542"/>
      <c r="T73" s="1543"/>
      <c r="U73" s="1543"/>
      <c r="V73" s="1543"/>
      <c r="Y73" s="1544"/>
    </row>
    <row r="74" spans="1:25" ht="13.25" customHeight="1">
      <c r="A74" s="1545" t="s">
        <v>2092</v>
      </c>
      <c r="B74" s="1542"/>
      <c r="T74" s="1543"/>
      <c r="U74" s="1543"/>
      <c r="V74" s="1543"/>
      <c r="Y74" s="1544"/>
    </row>
    <row r="75" spans="1:25" ht="14.25" customHeight="1">
      <c r="A75" s="1545" t="s">
        <v>2093</v>
      </c>
      <c r="B75" s="1542"/>
      <c r="Q75" s="1414"/>
      <c r="S75" s="1414"/>
      <c r="T75" s="1543"/>
      <c r="U75" s="1543"/>
      <c r="V75" s="1543"/>
      <c r="Y75" s="1544"/>
    </row>
    <row r="76" spans="1:25" ht="14.25" customHeight="1">
      <c r="A76" s="1545" t="s">
        <v>2094</v>
      </c>
      <c r="B76" s="1542"/>
      <c r="Q76" s="1414"/>
      <c r="S76" s="1414"/>
      <c r="T76" s="1543"/>
      <c r="U76" s="1543"/>
      <c r="V76" s="1543"/>
      <c r="Y76" s="1544"/>
    </row>
    <row r="77" spans="1:25" ht="14.25" customHeight="1">
      <c r="A77" s="1545" t="s">
        <v>2095</v>
      </c>
      <c r="B77" s="1542"/>
      <c r="Q77" s="1414"/>
      <c r="S77" s="1414"/>
      <c r="T77" s="1543"/>
      <c r="U77" s="1543"/>
      <c r="V77" s="1543"/>
      <c r="Y77" s="1544"/>
    </row>
    <row r="78" spans="1:25" ht="14.25" customHeight="1">
      <c r="A78" s="1546" t="s">
        <v>2096</v>
      </c>
      <c r="B78" s="1542"/>
      <c r="Q78" s="1414"/>
      <c r="S78" s="1414"/>
      <c r="T78" s="1543"/>
      <c r="U78" s="1543"/>
      <c r="V78" s="1543"/>
      <c r="Y78" s="1544"/>
    </row>
    <row r="79" spans="1:25" ht="14.25" customHeight="1">
      <c r="A79" s="1549" t="s">
        <v>2097</v>
      </c>
      <c r="B79" s="1542"/>
      <c r="Q79" s="1414"/>
      <c r="S79" s="1414"/>
      <c r="T79" s="1543"/>
      <c r="U79" s="1543"/>
      <c r="V79" s="1543"/>
      <c r="Y79" s="1544"/>
    </row>
    <row r="80" spans="1:25" ht="14.25" customHeight="1">
      <c r="A80" s="1549" t="s">
        <v>2098</v>
      </c>
      <c r="B80" s="1542"/>
      <c r="Q80" s="1414"/>
      <c r="S80" s="1414"/>
      <c r="T80" s="1543"/>
      <c r="U80" s="1543"/>
      <c r="V80" s="1543"/>
      <c r="Y80" s="1544"/>
    </row>
    <row r="81" spans="1:25" ht="14.25" customHeight="1">
      <c r="A81" s="1541"/>
      <c r="B81" s="1542"/>
      <c r="Q81" s="1414"/>
      <c r="S81" s="1414"/>
      <c r="T81" s="1543"/>
      <c r="U81" s="1543"/>
      <c r="V81" s="1543"/>
      <c r="Y81" s="1544"/>
    </row>
    <row r="82" spans="1:25">
      <c r="A82" s="1540"/>
      <c r="B82" s="1540"/>
    </row>
    <row r="83" spans="1:25">
      <c r="A83" s="1542" t="s">
        <v>395</v>
      </c>
      <c r="B83" s="1540"/>
      <c r="C83" s="1543"/>
      <c r="D83" s="1543"/>
      <c r="E83" s="1543"/>
      <c r="F83" s="1543"/>
      <c r="G83" s="1543"/>
    </row>
    <row r="84" spans="1:25">
      <c r="A84" s="1540"/>
      <c r="B84" s="1550"/>
      <c r="C84" s="1543"/>
      <c r="D84" s="1543"/>
      <c r="E84" s="1543"/>
      <c r="F84" s="1543"/>
      <c r="G84" s="1543"/>
    </row>
    <row r="85" spans="1:25">
      <c r="A85" s="1549" t="s">
        <v>2099</v>
      </c>
      <c r="B85" s="1551"/>
      <c r="C85" s="1543"/>
      <c r="D85" s="1543"/>
      <c r="E85" s="1543"/>
      <c r="F85" s="1543"/>
      <c r="G85" s="1543"/>
    </row>
    <row r="86" spans="1:25">
      <c r="A86" s="1540"/>
      <c r="B86" s="1552"/>
      <c r="P86" s="1414"/>
      <c r="Q86" s="1414"/>
      <c r="R86" s="1414"/>
      <c r="S86" s="1414"/>
      <c r="T86" s="1414"/>
      <c r="U86" s="1414"/>
      <c r="V86" s="1414"/>
      <c r="W86" s="1414"/>
      <c r="X86" s="1414"/>
      <c r="Y86" s="1553"/>
    </row>
    <row r="87" spans="1:25">
      <c r="A87" s="1473"/>
      <c r="B87" s="1554"/>
      <c r="C87" s="1414"/>
      <c r="D87" s="1549"/>
      <c r="E87" s="1414"/>
      <c r="F87" s="1414"/>
      <c r="G87" s="1414"/>
      <c r="H87" s="1414"/>
      <c r="I87" s="1414"/>
      <c r="J87" s="1414"/>
      <c r="K87" s="1414"/>
      <c r="L87" s="1414"/>
      <c r="M87" s="1414"/>
      <c r="N87" s="1414"/>
      <c r="O87" s="1414"/>
      <c r="P87" s="1414"/>
      <c r="Q87" s="1414"/>
      <c r="R87" s="1414"/>
      <c r="S87" s="1414"/>
      <c r="T87" s="1414"/>
      <c r="U87" s="1414"/>
      <c r="V87" s="1414"/>
      <c r="W87" s="1414"/>
      <c r="X87" s="1414"/>
      <c r="Y87" s="1553"/>
    </row>
    <row r="88" spans="1:25" ht="14">
      <c r="A88" s="1555"/>
      <c r="B88" s="1556"/>
      <c r="C88" s="1556"/>
      <c r="D88" s="1556"/>
      <c r="E88" s="1556"/>
      <c r="F88" s="1556"/>
      <c r="G88" s="1556"/>
      <c r="H88" s="1545"/>
      <c r="I88" s="1545"/>
      <c r="J88" s="1545"/>
      <c r="K88" s="1414"/>
      <c r="L88" s="1414"/>
      <c r="M88" s="1414"/>
      <c r="N88" s="1557"/>
      <c r="O88" s="1414"/>
      <c r="P88" s="1414"/>
      <c r="Q88" s="1414"/>
      <c r="R88" s="1414"/>
      <c r="S88" s="1414"/>
      <c r="T88" s="1414"/>
      <c r="U88" s="1414"/>
      <c r="V88" s="1414"/>
      <c r="W88" s="1414"/>
      <c r="X88" s="1414"/>
      <c r="Y88" s="1414"/>
    </row>
    <row r="89" spans="1:25">
      <c r="A89" s="1414"/>
      <c r="B89" s="1414"/>
      <c r="C89" s="1414"/>
      <c r="D89" s="1414"/>
      <c r="E89" s="1414"/>
      <c r="F89" s="1414"/>
      <c r="G89" s="1414"/>
      <c r="H89" s="1414"/>
      <c r="I89" s="1414"/>
      <c r="J89" s="1414"/>
      <c r="K89" s="1414"/>
      <c r="L89" s="1414"/>
      <c r="M89" s="1414"/>
      <c r="N89" s="1414"/>
      <c r="O89" s="1414"/>
      <c r="P89" s="1414"/>
      <c r="Q89" s="1414"/>
      <c r="R89" s="1414"/>
      <c r="S89" s="1414"/>
      <c r="T89" s="1414"/>
      <c r="U89" s="1414"/>
      <c r="V89" s="1414"/>
      <c r="W89" s="1414"/>
      <c r="X89" s="1414"/>
      <c r="Y89" s="1553"/>
    </row>
    <row r="90" spans="1:25">
      <c r="A90" s="1414"/>
      <c r="B90" s="1501"/>
      <c r="C90" s="1414"/>
      <c r="D90" s="1414"/>
      <c r="E90" s="1414"/>
      <c r="F90" s="1414"/>
      <c r="G90" s="1558"/>
      <c r="H90" s="1414"/>
      <c r="I90" s="1414"/>
      <c r="J90" s="1414"/>
      <c r="K90" s="1414"/>
      <c r="L90" s="1414"/>
      <c r="M90" s="1414"/>
      <c r="N90" s="1414"/>
      <c r="O90" s="1414"/>
    </row>
    <row r="91" spans="1:25" ht="16">
      <c r="A91" s="1414"/>
      <c r="B91" s="1414"/>
      <c r="C91" s="1414"/>
      <c r="D91" s="1414"/>
      <c r="E91" s="1414"/>
      <c r="F91" s="1414"/>
      <c r="G91" s="1558"/>
      <c r="H91" s="1414"/>
      <c r="I91" s="1559"/>
      <c r="J91" s="1560"/>
      <c r="K91" s="1414"/>
      <c r="L91" s="1414"/>
      <c r="M91" s="1414"/>
      <c r="N91" s="1414"/>
      <c r="O91" s="1414"/>
      <c r="Y91" s="1408"/>
    </row>
    <row r="92" spans="1:25" ht="16">
      <c r="A92" s="1414"/>
      <c r="B92" s="1473"/>
      <c r="C92" s="1414"/>
      <c r="D92" s="1414"/>
      <c r="E92" s="1414"/>
      <c r="F92" s="1414"/>
      <c r="G92" s="1561"/>
      <c r="H92" s="1562"/>
      <c r="I92" s="1563"/>
      <c r="J92" s="1560"/>
      <c r="K92" s="1414"/>
      <c r="L92" s="1414"/>
      <c r="M92" s="1414"/>
      <c r="N92" s="1414"/>
      <c r="O92" s="1414"/>
      <c r="U92" s="1543"/>
      <c r="Y92" s="1408"/>
    </row>
    <row r="93" spans="1:25" ht="14">
      <c r="A93" s="1414"/>
      <c r="B93" s="1473"/>
      <c r="C93" s="1414"/>
      <c r="D93" s="1414"/>
      <c r="E93" s="1414"/>
      <c r="F93" s="1414"/>
      <c r="G93" s="1561"/>
      <c r="H93" s="1562"/>
      <c r="I93" s="1563"/>
      <c r="J93" s="1414"/>
      <c r="K93" s="1414"/>
      <c r="L93" s="1414"/>
      <c r="M93" s="1414"/>
      <c r="N93" s="1414"/>
      <c r="O93" s="1414"/>
      <c r="P93" s="1414"/>
      <c r="Q93" s="1414"/>
      <c r="R93" s="1414"/>
      <c r="S93" s="1414"/>
      <c r="Y93" s="1408"/>
    </row>
    <row r="94" spans="1:25">
      <c r="A94" s="1414"/>
      <c r="B94" s="1473"/>
      <c r="C94" s="1410"/>
      <c r="D94" s="1410"/>
      <c r="E94" s="1410"/>
      <c r="F94" s="1410"/>
      <c r="G94" s="1410"/>
      <c r="H94" s="1410"/>
      <c r="I94" s="1410"/>
      <c r="J94" s="1564"/>
      <c r="K94" s="1410"/>
      <c r="L94" s="1410"/>
      <c r="M94" s="1410"/>
      <c r="N94" s="1410"/>
      <c r="O94" s="1410"/>
      <c r="P94" s="1410"/>
      <c r="Q94" s="1410"/>
      <c r="R94" s="1410"/>
      <c r="S94" s="1410"/>
      <c r="Y94" s="1408"/>
    </row>
    <row r="95" spans="1:25" ht="14">
      <c r="A95" s="1414"/>
      <c r="B95" s="2032"/>
      <c r="C95" s="1414"/>
      <c r="D95" s="1414"/>
      <c r="E95" s="1414"/>
      <c r="F95" s="1565"/>
      <c r="G95" s="1561"/>
      <c r="H95" s="1566"/>
      <c r="I95" s="1567"/>
      <c r="J95" s="1414"/>
      <c r="K95" s="1414"/>
      <c r="L95" s="1414"/>
      <c r="M95" s="1414"/>
      <c r="N95" s="1414"/>
      <c r="O95" s="1414"/>
      <c r="P95" s="1414"/>
      <c r="Q95" s="1414"/>
      <c r="R95" s="1414"/>
      <c r="S95" s="1414"/>
      <c r="Y95" s="1408"/>
    </row>
    <row r="96" spans="1:25">
      <c r="A96" s="1414"/>
      <c r="B96" s="2033"/>
      <c r="C96" s="1565"/>
      <c r="D96" s="1565"/>
      <c r="E96" s="1565"/>
      <c r="F96" s="1565"/>
      <c r="G96" s="1565"/>
      <c r="H96" s="1565"/>
      <c r="I96" s="1565"/>
      <c r="J96" s="1565"/>
      <c r="K96" s="1565"/>
      <c r="L96" s="1565"/>
      <c r="M96" s="1565"/>
      <c r="N96" s="1565"/>
      <c r="O96" s="1565"/>
      <c r="P96" s="1565"/>
      <c r="Q96" s="1565"/>
      <c r="R96" s="1568"/>
      <c r="S96" s="1565"/>
      <c r="T96" s="1569"/>
      <c r="U96" s="1569"/>
      <c r="V96" s="1569"/>
      <c r="Y96" s="1408"/>
    </row>
    <row r="97" spans="1:25">
      <c r="A97" s="1414"/>
      <c r="B97" s="1473"/>
      <c r="C97" s="1570"/>
      <c r="D97" s="1570"/>
      <c r="E97" s="1570"/>
      <c r="F97" s="1570"/>
      <c r="G97" s="1570"/>
      <c r="H97" s="1570"/>
      <c r="I97" s="1570"/>
      <c r="J97" s="1570"/>
      <c r="K97" s="1570"/>
      <c r="L97" s="1570"/>
      <c r="M97" s="1570"/>
      <c r="N97" s="1570"/>
      <c r="O97" s="1570"/>
      <c r="P97" s="1570"/>
      <c r="Q97" s="1570"/>
      <c r="R97" s="1531"/>
      <c r="S97" s="1570"/>
      <c r="Y97" s="1408"/>
    </row>
    <row r="98" spans="1:25" ht="14">
      <c r="A98" s="1414"/>
      <c r="B98" s="1473"/>
      <c r="C98" s="1414"/>
      <c r="D98" s="1414"/>
      <c r="E98" s="1414"/>
      <c r="F98" s="1414"/>
      <c r="G98" s="1561"/>
      <c r="H98" s="1562"/>
      <c r="I98" s="1563"/>
      <c r="J98" s="1414"/>
      <c r="K98" s="1414"/>
      <c r="L98" s="1410"/>
      <c r="M98" s="1410"/>
      <c r="N98" s="1410"/>
      <c r="O98" s="1410"/>
      <c r="P98" s="1410"/>
      <c r="Q98" s="1410"/>
      <c r="R98" s="1410"/>
      <c r="S98" s="1410"/>
      <c r="T98" s="1414"/>
      <c r="Y98" s="1408"/>
    </row>
    <row r="99" spans="1:25">
      <c r="A99" s="1414"/>
      <c r="B99" s="1473"/>
      <c r="C99" s="1410"/>
      <c r="D99" s="1410"/>
      <c r="E99" s="1410"/>
      <c r="F99" s="1410"/>
      <c r="G99" s="1410"/>
      <c r="H99" s="1410"/>
      <c r="I99" s="1410"/>
      <c r="J99" s="1564"/>
      <c r="K99" s="1410"/>
      <c r="L99" s="1410"/>
      <c r="M99" s="1410"/>
      <c r="N99" s="1410"/>
      <c r="O99" s="1410"/>
      <c r="P99" s="1410"/>
      <c r="Q99" s="1410"/>
      <c r="R99" s="1410"/>
      <c r="S99" s="1410"/>
      <c r="Y99" s="1408"/>
    </row>
    <row r="100" spans="1:25" ht="14">
      <c r="A100" s="1414"/>
      <c r="B100" s="1473"/>
      <c r="C100" s="1571"/>
      <c r="D100" s="1571"/>
      <c r="E100" s="1571"/>
      <c r="F100" s="1571"/>
      <c r="G100" s="1571"/>
      <c r="H100" s="1572"/>
      <c r="I100" s="1571"/>
      <c r="J100" s="1571"/>
      <c r="K100" s="1571"/>
      <c r="L100" s="1571"/>
      <c r="M100" s="1571"/>
      <c r="N100" s="1571"/>
      <c r="O100" s="1571"/>
      <c r="P100" s="1571"/>
      <c r="Q100" s="1571"/>
      <c r="R100" s="1571"/>
      <c r="S100" s="1571"/>
      <c r="Y100" s="1408"/>
    </row>
    <row r="101" spans="1:25">
      <c r="A101" s="1414"/>
      <c r="B101" s="1473"/>
      <c r="C101" s="1414"/>
      <c r="D101" s="1414"/>
      <c r="E101" s="1414"/>
      <c r="F101" s="1414"/>
      <c r="G101" s="1561"/>
      <c r="H101" s="1545"/>
      <c r="I101" s="1410"/>
      <c r="J101" s="1414"/>
      <c r="K101" s="1414"/>
      <c r="L101" s="1414"/>
      <c r="M101" s="1414"/>
      <c r="N101" s="1414"/>
      <c r="O101" s="1414"/>
      <c r="P101" s="1414"/>
      <c r="Q101" s="1414"/>
      <c r="R101" s="1414"/>
      <c r="S101" s="1414"/>
      <c r="Y101" s="1408"/>
    </row>
    <row r="102" spans="1:25">
      <c r="A102" s="1414"/>
      <c r="B102" s="1473"/>
    </row>
    <row r="103" spans="1:25" ht="16">
      <c r="A103" s="1573"/>
      <c r="B103" s="1473"/>
      <c r="C103" s="1414"/>
      <c r="D103" s="1414"/>
      <c r="E103" s="1414"/>
      <c r="F103" s="1414"/>
      <c r="G103" s="1574"/>
      <c r="H103" s="1575"/>
      <c r="I103" s="1414"/>
      <c r="J103" s="1414"/>
      <c r="K103" s="1414"/>
      <c r="L103" s="1414"/>
      <c r="M103" s="1414"/>
      <c r="N103" s="1414"/>
      <c r="O103" s="1414"/>
    </row>
    <row r="104" spans="1:25">
      <c r="A104" s="1473"/>
      <c r="B104" s="1473"/>
      <c r="C104" s="1414"/>
      <c r="D104" s="1414"/>
      <c r="E104" s="1414"/>
      <c r="F104" s="1414"/>
      <c r="G104" s="1414"/>
      <c r="H104" s="1414"/>
      <c r="I104" s="1414"/>
      <c r="J104" s="1414"/>
      <c r="K104" s="1414"/>
      <c r="L104" s="1414"/>
      <c r="M104" s="1414"/>
      <c r="N104" s="1414"/>
      <c r="O104" s="1414"/>
    </row>
    <row r="105" spans="1:25">
      <c r="A105" s="1473"/>
      <c r="B105" s="1473"/>
      <c r="C105" s="1414"/>
      <c r="D105" s="1414"/>
      <c r="E105" s="1414"/>
      <c r="F105" s="1414"/>
      <c r="G105" s="1414"/>
      <c r="H105" s="1414"/>
      <c r="I105" s="1414"/>
      <c r="J105" s="1414"/>
      <c r="K105" s="1414"/>
      <c r="L105" s="1414"/>
      <c r="M105" s="1414"/>
      <c r="N105" s="1414"/>
      <c r="O105" s="1414"/>
    </row>
    <row r="106" spans="1:25">
      <c r="A106" s="1473"/>
      <c r="B106" s="1473"/>
      <c r="C106" s="1414"/>
      <c r="D106" s="1414"/>
      <c r="E106" s="1414"/>
      <c r="F106" s="1414"/>
      <c r="G106" s="1414"/>
      <c r="H106" s="1414"/>
      <c r="I106" s="1414"/>
      <c r="J106" s="1414"/>
      <c r="K106" s="1414"/>
      <c r="L106" s="1414"/>
      <c r="M106" s="1414"/>
      <c r="N106" s="1414"/>
      <c r="O106" s="1414"/>
    </row>
    <row r="107" spans="1:25">
      <c r="A107" s="1473"/>
      <c r="B107" s="1473"/>
      <c r="C107" s="1414"/>
      <c r="D107" s="1414"/>
      <c r="E107" s="1414"/>
      <c r="F107" s="1414"/>
      <c r="G107" s="1414"/>
      <c r="H107" s="1414"/>
      <c r="I107" s="1414"/>
      <c r="J107" s="1414"/>
      <c r="K107" s="1414"/>
      <c r="L107" s="1414"/>
      <c r="M107" s="1414"/>
      <c r="N107" s="1414"/>
      <c r="O107" s="1414"/>
    </row>
    <row r="108" spans="1:25">
      <c r="A108" s="1473"/>
      <c r="B108" s="1548"/>
      <c r="C108" s="1414"/>
      <c r="D108" s="1414"/>
      <c r="E108" s="1414"/>
      <c r="F108" s="1414"/>
      <c r="G108" s="1414"/>
      <c r="H108" s="1414"/>
      <c r="I108" s="1414"/>
      <c r="J108" s="1414"/>
      <c r="K108" s="1414"/>
      <c r="L108" s="1414"/>
      <c r="M108" s="1414"/>
      <c r="N108" s="1414"/>
      <c r="O108" s="1414"/>
    </row>
    <row r="109" spans="1:25">
      <c r="A109" s="1473"/>
      <c r="B109" s="1548"/>
      <c r="C109" s="1414"/>
      <c r="D109" s="1414"/>
      <c r="E109" s="1414"/>
      <c r="F109" s="1414"/>
      <c r="G109" s="1414"/>
      <c r="H109" s="1414"/>
      <c r="I109" s="1414"/>
      <c r="J109" s="1414"/>
      <c r="K109" s="1414"/>
      <c r="L109" s="1414"/>
      <c r="M109" s="1414"/>
      <c r="N109" s="1414"/>
      <c r="O109" s="1414"/>
    </row>
    <row r="110" spans="1:25">
      <c r="A110" s="1473"/>
      <c r="B110" s="1548"/>
      <c r="C110" s="1414"/>
      <c r="D110" s="1414"/>
      <c r="E110" s="1414"/>
      <c r="F110" s="1414"/>
      <c r="G110" s="1414"/>
      <c r="H110" s="1414"/>
      <c r="I110" s="1414"/>
      <c r="J110" s="1414"/>
      <c r="K110" s="1414"/>
      <c r="L110" s="1414"/>
      <c r="M110" s="1414"/>
      <c r="N110" s="1414"/>
      <c r="O110" s="1414"/>
    </row>
    <row r="111" spans="1:25">
      <c r="A111" s="1473"/>
      <c r="B111" s="1473"/>
      <c r="C111" s="1414"/>
      <c r="D111" s="1414"/>
      <c r="E111" s="1414"/>
      <c r="F111" s="1414"/>
      <c r="G111" s="1414"/>
      <c r="H111" s="1414"/>
      <c r="I111" s="1414"/>
      <c r="J111" s="1414"/>
      <c r="K111" s="1414"/>
      <c r="L111" s="1414"/>
      <c r="M111" s="1414"/>
      <c r="N111" s="1414"/>
      <c r="O111" s="1414"/>
    </row>
    <row r="112" spans="1:25">
      <c r="A112" s="1473"/>
      <c r="B112" s="1473"/>
      <c r="C112" s="1414"/>
      <c r="D112" s="1414"/>
      <c r="E112" s="1414"/>
      <c r="F112" s="1414"/>
      <c r="G112" s="1414"/>
      <c r="H112" s="1414"/>
      <c r="I112" s="1414"/>
      <c r="J112" s="1414"/>
      <c r="K112" s="1414"/>
      <c r="L112" s="1414"/>
      <c r="M112" s="1414"/>
      <c r="N112" s="1414"/>
      <c r="O112" s="1414"/>
    </row>
    <row r="113" spans="1:15">
      <c r="A113" s="1414"/>
      <c r="B113" s="1473"/>
      <c r="C113" s="1414"/>
      <c r="D113" s="1414"/>
      <c r="E113" s="1414"/>
      <c r="F113" s="1414"/>
      <c r="G113" s="1414"/>
      <c r="H113" s="1414"/>
      <c r="I113" s="1414"/>
      <c r="J113" s="1414"/>
      <c r="K113" s="1414"/>
      <c r="L113" s="1414"/>
      <c r="M113" s="1414"/>
      <c r="N113" s="1414"/>
      <c r="O113" s="1414"/>
    </row>
    <row r="114" spans="1:15">
      <c r="A114" s="1473"/>
      <c r="B114" s="1473"/>
      <c r="C114" s="1414"/>
      <c r="D114" s="1414"/>
      <c r="E114" s="1414"/>
      <c r="F114" s="1414"/>
      <c r="G114" s="1414"/>
      <c r="H114" s="1414"/>
      <c r="I114" s="1414"/>
      <c r="J114" s="1414"/>
      <c r="K114" s="1414"/>
      <c r="L114" s="1414"/>
      <c r="M114" s="1414"/>
      <c r="N114" s="1414"/>
      <c r="O114" s="1414"/>
    </row>
    <row r="115" spans="1:15">
      <c r="A115" s="1473"/>
      <c r="B115" s="1473"/>
      <c r="C115" s="1414"/>
      <c r="D115" s="1414"/>
      <c r="E115" s="1414"/>
      <c r="F115" s="1414"/>
      <c r="G115" s="1414"/>
      <c r="H115" s="1414"/>
      <c r="I115" s="1414"/>
      <c r="J115" s="1414"/>
      <c r="K115" s="1414"/>
      <c r="L115" s="1414"/>
      <c r="M115" s="1414"/>
      <c r="N115" s="1414"/>
      <c r="O115" s="1414"/>
    </row>
    <row r="116" spans="1:15">
      <c r="A116" s="1473"/>
      <c r="B116" s="1473"/>
      <c r="C116" s="1414"/>
      <c r="D116" s="1414"/>
      <c r="E116" s="1414"/>
      <c r="F116" s="1414"/>
      <c r="G116" s="1414"/>
      <c r="H116" s="1414"/>
      <c r="I116" s="1414"/>
      <c r="J116" s="1414"/>
      <c r="K116" s="1414"/>
      <c r="L116" s="1414"/>
      <c r="M116" s="1414"/>
      <c r="N116" s="1414"/>
      <c r="O116" s="1414"/>
    </row>
    <row r="117" spans="1:15">
      <c r="A117" s="1473"/>
      <c r="B117" s="1473"/>
      <c r="C117" s="1414"/>
      <c r="D117" s="1414"/>
      <c r="E117" s="1414"/>
      <c r="F117" s="1414"/>
      <c r="G117" s="1414"/>
      <c r="H117" s="1414"/>
      <c r="I117" s="1414"/>
      <c r="J117" s="1414"/>
      <c r="K117" s="1414"/>
      <c r="L117" s="1414"/>
      <c r="M117" s="1414"/>
      <c r="N117" s="1414"/>
      <c r="O117" s="1414"/>
    </row>
    <row r="118" spans="1:15">
      <c r="A118" s="1473"/>
      <c r="B118" s="1473"/>
      <c r="C118" s="1414"/>
      <c r="D118" s="1414"/>
      <c r="E118" s="1414"/>
      <c r="F118" s="1414"/>
      <c r="G118" s="1414"/>
      <c r="H118" s="1414"/>
      <c r="I118" s="1414"/>
      <c r="J118" s="1414"/>
      <c r="K118" s="1414"/>
      <c r="L118" s="1414"/>
      <c r="M118" s="1414"/>
      <c r="N118" s="1414"/>
      <c r="O118" s="1414"/>
    </row>
    <row r="119" spans="1:15">
      <c r="A119" s="1540"/>
      <c r="B119" s="1540"/>
    </row>
    <row r="120" spans="1:15">
      <c r="A120" s="1540"/>
      <c r="B120" s="1540"/>
    </row>
    <row r="125" spans="1:15">
      <c r="B125" s="1540"/>
    </row>
    <row r="126" spans="1:15">
      <c r="B126" s="1540"/>
    </row>
    <row r="127" spans="1:15">
      <c r="A127" s="1540"/>
      <c r="B127" s="1540"/>
    </row>
    <row r="128" spans="1:15">
      <c r="A128" s="1540"/>
      <c r="B128" s="1540"/>
    </row>
    <row r="129" spans="1:15">
      <c r="A129" s="1540"/>
      <c r="B129" s="1540"/>
    </row>
    <row r="130" spans="1:15">
      <c r="A130" s="1540"/>
      <c r="B130" s="1540"/>
    </row>
    <row r="131" spans="1:15">
      <c r="A131" s="1540"/>
      <c r="B131" s="1540"/>
    </row>
    <row r="132" spans="1:15">
      <c r="A132" s="1540"/>
      <c r="B132" s="1540"/>
    </row>
    <row r="133" spans="1:15" ht="16">
      <c r="A133" s="1576"/>
      <c r="B133" s="1540"/>
    </row>
    <row r="134" spans="1:15">
      <c r="A134" s="1540"/>
      <c r="B134" s="1540"/>
    </row>
    <row r="135" spans="1:15">
      <c r="A135" s="1414"/>
      <c r="B135" s="1473"/>
      <c r="C135" s="1414"/>
      <c r="D135" s="1414"/>
      <c r="E135" s="1414"/>
      <c r="F135" s="1414"/>
      <c r="G135" s="1414"/>
      <c r="H135" s="1414"/>
      <c r="I135" s="1414"/>
      <c r="J135" s="1414"/>
      <c r="K135" s="1414"/>
      <c r="L135" s="1414"/>
      <c r="M135" s="1414"/>
      <c r="N135" s="1414"/>
      <c r="O135" s="1414"/>
    </row>
    <row r="136" spans="1:15">
      <c r="A136" s="1473"/>
      <c r="B136" s="1501"/>
      <c r="C136" s="1414"/>
      <c r="D136" s="1414"/>
      <c r="E136" s="1414"/>
      <c r="F136" s="1414"/>
      <c r="G136" s="1558"/>
      <c r="H136" s="1414"/>
      <c r="I136" s="1414"/>
      <c r="J136" s="1414"/>
      <c r="K136" s="1414"/>
      <c r="L136" s="1414"/>
      <c r="M136" s="1414"/>
      <c r="N136" s="1414"/>
      <c r="O136" s="1414"/>
    </row>
    <row r="137" spans="1:15">
      <c r="A137" s="1414"/>
      <c r="B137" s="1414"/>
      <c r="C137" s="1414"/>
      <c r="D137" s="1414"/>
      <c r="E137" s="1414"/>
      <c r="F137" s="1414"/>
      <c r="G137" s="1558"/>
      <c r="H137" s="1414"/>
      <c r="I137" s="1559"/>
      <c r="J137" s="1414"/>
      <c r="K137" s="1414"/>
      <c r="L137" s="1414"/>
      <c r="M137" s="1414"/>
      <c r="N137" s="1414"/>
      <c r="O137" s="1414"/>
    </row>
    <row r="138" spans="1:15" ht="14">
      <c r="A138" s="1414"/>
      <c r="B138" s="1473"/>
      <c r="C138" s="1414"/>
      <c r="D138" s="1414"/>
      <c r="E138" s="1414"/>
      <c r="F138" s="1414"/>
      <c r="G138" s="1561"/>
      <c r="H138" s="1562"/>
      <c r="I138" s="1563"/>
      <c r="J138" s="1414"/>
      <c r="K138" s="1414"/>
      <c r="L138" s="1414"/>
      <c r="M138" s="1414"/>
      <c r="N138" s="1414"/>
      <c r="O138" s="1414"/>
    </row>
    <row r="139" spans="1:15" ht="16">
      <c r="A139" s="1414"/>
      <c r="B139" s="1473"/>
      <c r="C139" s="1414"/>
      <c r="D139" s="1414"/>
      <c r="E139" s="1414"/>
      <c r="F139" s="1414"/>
      <c r="G139" s="1561"/>
      <c r="H139" s="1562"/>
      <c r="I139" s="1563"/>
      <c r="J139" s="1414"/>
      <c r="K139" s="1414"/>
      <c r="L139" s="1560"/>
      <c r="M139" s="1414"/>
      <c r="N139" s="1414"/>
      <c r="O139" s="1414"/>
    </row>
    <row r="140" spans="1:15" ht="16">
      <c r="A140" s="1414"/>
      <c r="B140" s="1473"/>
      <c r="C140" s="1414"/>
      <c r="D140" s="1414"/>
      <c r="E140" s="1414"/>
      <c r="F140" s="1414"/>
      <c r="G140" s="1561"/>
      <c r="H140" s="1562"/>
      <c r="I140" s="1563"/>
      <c r="J140" s="1414"/>
      <c r="K140" s="1414"/>
      <c r="L140" s="1560"/>
      <c r="M140" s="1414"/>
      <c r="N140" s="1414"/>
      <c r="O140" s="1414"/>
    </row>
    <row r="141" spans="1:15" ht="14">
      <c r="A141" s="1414"/>
      <c r="B141" s="1473"/>
      <c r="C141" s="1414"/>
      <c r="D141" s="1414"/>
      <c r="E141" s="1414"/>
      <c r="F141" s="1414"/>
      <c r="G141" s="1561"/>
      <c r="H141" s="1562"/>
      <c r="I141" s="1563"/>
      <c r="J141" s="1414"/>
      <c r="K141" s="1414"/>
      <c r="L141" s="1414"/>
      <c r="M141" s="1414"/>
      <c r="N141" s="1414"/>
      <c r="O141" s="1414"/>
    </row>
    <row r="142" spans="1:15" ht="14">
      <c r="A142" s="1414"/>
      <c r="B142" s="1473"/>
      <c r="C142" s="1414"/>
      <c r="D142" s="1414"/>
      <c r="E142" s="1414"/>
      <c r="F142" s="1414"/>
      <c r="G142" s="1561"/>
      <c r="H142" s="1562"/>
      <c r="I142" s="1563"/>
      <c r="J142" s="1414"/>
      <c r="K142" s="1414"/>
      <c r="L142" s="1414"/>
      <c r="M142" s="1414"/>
      <c r="N142" s="1414"/>
      <c r="O142" s="1414"/>
    </row>
    <row r="143" spans="1:15" ht="14">
      <c r="A143" s="1414"/>
      <c r="B143" s="1473"/>
      <c r="C143" s="1414"/>
      <c r="D143" s="1414"/>
      <c r="E143" s="1414"/>
      <c r="F143" s="1414"/>
      <c r="G143" s="1561"/>
      <c r="H143" s="1562"/>
      <c r="I143" s="1563"/>
      <c r="J143" s="1414"/>
      <c r="K143" s="1414"/>
      <c r="L143" s="1414"/>
      <c r="M143" s="1414"/>
      <c r="N143" s="1414"/>
      <c r="O143" s="1414"/>
    </row>
    <row r="144" spans="1:15" ht="14">
      <c r="A144" s="1414"/>
      <c r="B144" s="1473"/>
      <c r="C144" s="1414"/>
      <c r="D144" s="1414"/>
      <c r="E144" s="1414"/>
      <c r="F144" s="1414"/>
      <c r="G144" s="1561"/>
      <c r="H144" s="1562"/>
      <c r="I144" s="1563"/>
      <c r="J144" s="1414"/>
      <c r="K144" s="1414"/>
      <c r="L144" s="1414"/>
      <c r="M144" s="1414"/>
      <c r="N144" s="1414"/>
      <c r="O144" s="1414"/>
    </row>
    <row r="145" spans="1:15" ht="14">
      <c r="A145" s="1414"/>
      <c r="B145" s="1473"/>
      <c r="C145" s="1414"/>
      <c r="D145" s="1414"/>
      <c r="E145" s="1414"/>
      <c r="F145" s="1414"/>
      <c r="G145" s="1561"/>
      <c r="H145" s="1562"/>
      <c r="I145" s="1563"/>
      <c r="J145" s="1414"/>
      <c r="K145" s="1414"/>
      <c r="L145" s="1414"/>
      <c r="M145" s="1414"/>
      <c r="N145" s="1414"/>
      <c r="O145" s="1414"/>
    </row>
    <row r="146" spans="1:15" ht="14">
      <c r="A146" s="1414"/>
      <c r="B146" s="1473"/>
      <c r="C146" s="1414"/>
      <c r="D146" s="1414"/>
      <c r="E146" s="1414"/>
      <c r="F146" s="1414"/>
      <c r="G146" s="1561"/>
      <c r="H146" s="1562"/>
      <c r="I146" s="1563"/>
      <c r="J146" s="1414"/>
      <c r="K146" s="1414"/>
      <c r="L146" s="1414"/>
      <c r="M146" s="1414"/>
      <c r="N146" s="1414"/>
      <c r="O146" s="1414"/>
    </row>
    <row r="147" spans="1:15" ht="14">
      <c r="A147" s="1414"/>
      <c r="B147" s="1473"/>
      <c r="C147" s="1414"/>
      <c r="D147" s="1414"/>
      <c r="E147" s="1414"/>
      <c r="F147" s="1414"/>
      <c r="G147" s="1561"/>
      <c r="H147" s="1562"/>
      <c r="I147" s="1563"/>
      <c r="J147" s="1414"/>
      <c r="K147" s="1414"/>
      <c r="L147" s="1414"/>
      <c r="M147" s="1414"/>
      <c r="N147" s="1414"/>
      <c r="O147" s="1414"/>
    </row>
    <row r="148" spans="1:15">
      <c r="A148" s="1414"/>
      <c r="B148" s="1473"/>
      <c r="C148" s="1414"/>
      <c r="D148" s="1414"/>
      <c r="E148" s="1414"/>
      <c r="F148" s="1414"/>
      <c r="G148" s="1561"/>
      <c r="H148" s="1545"/>
      <c r="I148" s="1410"/>
      <c r="J148" s="1414"/>
      <c r="K148" s="1414"/>
      <c r="L148" s="1414"/>
      <c r="M148" s="1414"/>
      <c r="N148" s="1414"/>
      <c r="O148" s="1414"/>
    </row>
    <row r="149" spans="1:15" ht="14">
      <c r="A149" s="1414"/>
      <c r="B149" s="1473"/>
      <c r="C149" s="1414"/>
      <c r="D149" s="1414"/>
      <c r="E149" s="1414"/>
      <c r="F149" s="1414"/>
      <c r="G149" s="1565"/>
      <c r="H149" s="1562"/>
      <c r="I149" s="1414"/>
      <c r="J149" s="1414"/>
      <c r="K149" s="1414"/>
      <c r="L149" s="1414"/>
      <c r="M149" s="1414"/>
      <c r="N149" s="1414"/>
      <c r="O149" s="1414"/>
    </row>
    <row r="150" spans="1:15" ht="16">
      <c r="A150" s="1573"/>
      <c r="B150" s="1473"/>
      <c r="C150" s="1414"/>
      <c r="D150" s="1414"/>
      <c r="E150" s="1414"/>
      <c r="F150" s="1414"/>
      <c r="G150" s="1574"/>
      <c r="H150" s="1575"/>
      <c r="I150" s="1414"/>
      <c r="J150" s="1414"/>
      <c r="K150" s="1414"/>
      <c r="L150" s="1414"/>
      <c r="M150" s="1414"/>
      <c r="N150" s="1414"/>
      <c r="O150" s="1414"/>
    </row>
    <row r="151" spans="1:15">
      <c r="A151" s="1414"/>
      <c r="B151" s="1414"/>
      <c r="C151" s="1414"/>
      <c r="D151" s="1414"/>
      <c r="E151" s="1414"/>
      <c r="F151" s="1414"/>
      <c r="G151" s="1414"/>
      <c r="H151" s="1414"/>
      <c r="I151" s="1414"/>
      <c r="J151" s="1414"/>
      <c r="K151" s="1414"/>
      <c r="L151" s="1414"/>
      <c r="M151" s="1414"/>
      <c r="N151" s="1414"/>
      <c r="O151" s="1414"/>
    </row>
    <row r="154" spans="1:15">
      <c r="B154" s="1569"/>
    </row>
    <row r="155" spans="1:15">
      <c r="B155" s="1569"/>
    </row>
    <row r="156" spans="1:15">
      <c r="B156" s="1569"/>
    </row>
    <row r="157" spans="1:15">
      <c r="B157" s="1569"/>
    </row>
    <row r="158" spans="1:15">
      <c r="B158" s="1569"/>
    </row>
    <row r="159" spans="1:15">
      <c r="B159" s="1569"/>
    </row>
    <row r="160" spans="1:15">
      <c r="B160" s="1569"/>
    </row>
    <row r="161" spans="2:2">
      <c r="B161" s="1569"/>
    </row>
    <row r="162" spans="2:2">
      <c r="B162" s="1569"/>
    </row>
    <row r="163" spans="2:2">
      <c r="B163" s="1569"/>
    </row>
    <row r="164" spans="2:2">
      <c r="B164" s="1569"/>
    </row>
    <row r="165" spans="2:2">
      <c r="B165" s="1569"/>
    </row>
    <row r="166" spans="2:2">
      <c r="B166" s="1569"/>
    </row>
    <row r="167" spans="2:2">
      <c r="B167" s="1569"/>
    </row>
    <row r="168" spans="2:2">
      <c r="B168" s="1569"/>
    </row>
    <row r="169" spans="2:2">
      <c r="B169" s="1569"/>
    </row>
    <row r="170" spans="2:2">
      <c r="B170" s="1569"/>
    </row>
    <row r="171" spans="2:2">
      <c r="B171" s="1569"/>
    </row>
    <row r="172" spans="2:2">
      <c r="B172" s="1569"/>
    </row>
    <row r="173" spans="2:2">
      <c r="B173" s="1569"/>
    </row>
    <row r="174" spans="2:2">
      <c r="B174" s="1569"/>
    </row>
    <row r="175" spans="2:2">
      <c r="B175" s="1569"/>
    </row>
    <row r="176" spans="2:2">
      <c r="B176" s="1569"/>
    </row>
    <row r="177" spans="2:2">
      <c r="B177" s="1569"/>
    </row>
    <row r="178" spans="2:2">
      <c r="B178" s="1569"/>
    </row>
    <row r="179" spans="2:2">
      <c r="B179" s="1569"/>
    </row>
    <row r="180" spans="2:2">
      <c r="B180" s="1569"/>
    </row>
    <row r="181" spans="2:2">
      <c r="B181" s="1569"/>
    </row>
    <row r="182" spans="2:2">
      <c r="B182" s="1569"/>
    </row>
    <row r="183" spans="2:2">
      <c r="B183" s="1569"/>
    </row>
  </sheetData>
  <pageMargins left="0.51181102362204722" right="0.39370078740157483" top="0.35" bottom="0.27559055118110237" header="0.19685039370078741" footer="0.15748031496062992"/>
  <pageSetup paperSize="9" scale="56" fitToHeight="2" orientation="landscape" cellComments="asDisplayed"/>
  <headerFooter alignWithMargins="0">
    <oddFooter>&amp;R&amp;P/&amp;N</oddFooter>
  </headerFooter>
  <rowBreaks count="1" manualBreakCount="1">
    <brk id="61" max="16383"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2EC2-88E2-3146-9677-C8531DB0C509}">
  <sheetPr>
    <pageSetUpPr fitToPage="1"/>
  </sheetPr>
  <dimension ref="A1:B10"/>
  <sheetViews>
    <sheetView zoomScale="115" zoomScaleNormal="115" workbookViewId="0">
      <selection activeCell="F22" sqref="F22"/>
    </sheetView>
  </sheetViews>
  <sheetFormatPr baseColWidth="10" defaultColWidth="11.59765625" defaultRowHeight="13"/>
  <cols>
    <col min="1" max="1" width="5.59765625" style="65" customWidth="1"/>
    <col min="2" max="16384" width="11.59765625" style="65"/>
  </cols>
  <sheetData>
    <row r="1" spans="1:2" ht="16">
      <c r="A1" s="66" t="s">
        <v>1710</v>
      </c>
    </row>
    <row r="2" spans="1:2" ht="16">
      <c r="A2" s="66"/>
    </row>
    <row r="3" spans="1:2" s="1204" customFormat="1">
      <c r="A3" s="1203" t="s">
        <v>31</v>
      </c>
      <c r="B3" s="64" t="s">
        <v>1711</v>
      </c>
    </row>
    <row r="4" spans="1:2" s="1204" customFormat="1">
      <c r="A4" s="1203" t="s">
        <v>32</v>
      </c>
      <c r="B4" s="64" t="s">
        <v>1712</v>
      </c>
    </row>
    <row r="5" spans="1:2">
      <c r="A5" s="1203" t="s">
        <v>33</v>
      </c>
      <c r="B5" s="64" t="s">
        <v>1713</v>
      </c>
    </row>
    <row r="6" spans="1:2">
      <c r="A6" s="1203" t="s">
        <v>1714</v>
      </c>
      <c r="B6" s="64" t="s">
        <v>1715</v>
      </c>
    </row>
    <row r="7" spans="1:2" s="1204" customFormat="1">
      <c r="A7" s="1203" t="s">
        <v>1716</v>
      </c>
      <c r="B7" s="64" t="s">
        <v>1717</v>
      </c>
    </row>
    <row r="8" spans="1:2" ht="18.75" customHeight="1"/>
    <row r="10" spans="1:2">
      <c r="A10" s="70" t="s">
        <v>395</v>
      </c>
    </row>
  </sheetData>
  <pageMargins left="0.46" right="0.35" top="0.88" bottom="0.984251969" header="0.4921259845" footer="0.4921259845"/>
  <pageSetup paperSize="9" orientation="portrait"/>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EDCC9-D83D-654F-B30E-008B9A5636AF}">
  <dimension ref="A1:K32"/>
  <sheetViews>
    <sheetView topLeftCell="A8" zoomScaleNormal="100" workbookViewId="0">
      <selection activeCell="A25" sqref="A25"/>
    </sheetView>
  </sheetViews>
  <sheetFormatPr baseColWidth="10" defaultColWidth="11.3984375" defaultRowHeight="13"/>
  <cols>
    <col min="1" max="1" width="21.796875" style="3" customWidth="1"/>
    <col min="2" max="3" width="13.3984375" style="3" customWidth="1"/>
    <col min="4" max="4" width="13.59765625" style="3" customWidth="1"/>
    <col min="5" max="6" width="13.3984375" style="3" customWidth="1"/>
    <col min="7" max="7" width="13.59765625" style="3" customWidth="1"/>
    <col min="8" max="16384" width="11.3984375" style="3"/>
  </cols>
  <sheetData>
    <row r="1" spans="1:11" s="2" customFormat="1" ht="14" customHeight="1"/>
    <row r="2" spans="1:11" s="2" customFormat="1" ht="21.5" customHeight="1">
      <c r="A2" s="164" t="s">
        <v>1718</v>
      </c>
      <c r="G2" s="329"/>
    </row>
    <row r="3" spans="1:11" ht="24" customHeight="1">
      <c r="A3" s="109" t="s">
        <v>1719</v>
      </c>
      <c r="B3" s="110" t="s">
        <v>1450</v>
      </c>
      <c r="C3" s="111" t="s">
        <v>949</v>
      </c>
      <c r="D3" s="110" t="s">
        <v>1450</v>
      </c>
      <c r="E3" s="111" t="s">
        <v>949</v>
      </c>
      <c r="F3" s="110" t="s">
        <v>230</v>
      </c>
      <c r="G3" s="155" t="s">
        <v>256</v>
      </c>
    </row>
    <row r="4" spans="1:11" ht="15" customHeight="1">
      <c r="A4" s="112" t="s">
        <v>1720</v>
      </c>
      <c r="B4" s="113" t="s">
        <v>1721</v>
      </c>
      <c r="C4" s="114" t="s">
        <v>876</v>
      </c>
      <c r="D4" s="113" t="s">
        <v>1722</v>
      </c>
      <c r="E4" s="114" t="s">
        <v>876</v>
      </c>
      <c r="F4" s="113"/>
      <c r="G4" s="156" t="s">
        <v>257</v>
      </c>
    </row>
    <row r="5" spans="1:11" ht="15" customHeight="1">
      <c r="A5" s="112"/>
      <c r="B5" s="113"/>
      <c r="C5" s="114" t="s">
        <v>487</v>
      </c>
      <c r="D5" s="113"/>
      <c r="E5" s="114" t="s">
        <v>487</v>
      </c>
      <c r="F5" s="113"/>
      <c r="G5" s="156" t="s">
        <v>258</v>
      </c>
    </row>
    <row r="6" spans="1:11" ht="14.25" customHeight="1">
      <c r="A6" s="116"/>
      <c r="B6" s="117"/>
      <c r="C6" s="118"/>
      <c r="D6" s="117"/>
      <c r="E6" s="118"/>
      <c r="F6" s="117"/>
      <c r="G6" s="157"/>
    </row>
    <row r="7" spans="1:11" ht="21.5" customHeight="1" thickBot="1">
      <c r="A7" s="120">
        <v>1996</v>
      </c>
      <c r="B7" s="339">
        <v>82</v>
      </c>
      <c r="C7" s="146">
        <v>0.56551724137931036</v>
      </c>
      <c r="D7" s="132">
        <v>63</v>
      </c>
      <c r="E7" s="146">
        <v>0.43448275862068964</v>
      </c>
      <c r="F7" s="132">
        <v>145</v>
      </c>
      <c r="G7" s="158" t="s">
        <v>29</v>
      </c>
      <c r="I7" s="9"/>
      <c r="J7" s="9"/>
      <c r="K7" s="9"/>
    </row>
    <row r="8" spans="1:11" ht="18.5" customHeight="1" thickBot="1">
      <c r="A8" s="123">
        <v>1997</v>
      </c>
      <c r="B8" s="317">
        <v>60</v>
      </c>
      <c r="C8" s="659">
        <v>0.46511627906976744</v>
      </c>
      <c r="D8" s="134">
        <v>69</v>
      </c>
      <c r="E8" s="659">
        <v>0.53488372093023251</v>
      </c>
      <c r="F8" s="134">
        <v>129</v>
      </c>
      <c r="G8" s="1205">
        <v>-0.1103448275862069</v>
      </c>
    </row>
    <row r="9" spans="1:11" ht="18.5" customHeight="1" thickBot="1">
      <c r="A9" s="123">
        <v>1998</v>
      </c>
      <c r="B9" s="317">
        <v>62</v>
      </c>
      <c r="C9" s="659">
        <v>0.52542372881355937</v>
      </c>
      <c r="D9" s="134">
        <v>56</v>
      </c>
      <c r="E9" s="659">
        <v>0.47457627118644069</v>
      </c>
      <c r="F9" s="134">
        <v>118</v>
      </c>
      <c r="G9" s="1205">
        <v>-8.5271317829457363E-2</v>
      </c>
    </row>
    <row r="10" spans="1:11" ht="20" customHeight="1" thickBot="1">
      <c r="A10" s="123">
        <v>1999</v>
      </c>
      <c r="B10" s="317">
        <v>59</v>
      </c>
      <c r="C10" s="659">
        <v>0.54128440366972475</v>
      </c>
      <c r="D10" s="134">
        <v>50</v>
      </c>
      <c r="E10" s="659">
        <v>0.45871559633027525</v>
      </c>
      <c r="F10" s="134">
        <v>109</v>
      </c>
      <c r="G10" s="1205">
        <v>-7.6271186440677971E-2</v>
      </c>
    </row>
    <row r="11" spans="1:11" ht="19.5" customHeight="1" thickBot="1">
      <c r="A11" s="123">
        <v>2000</v>
      </c>
      <c r="B11" s="317">
        <v>59</v>
      </c>
      <c r="C11" s="659">
        <v>0.58415841584158412</v>
      </c>
      <c r="D11" s="134">
        <v>42</v>
      </c>
      <c r="E11" s="659">
        <v>0.41584158415841582</v>
      </c>
      <c r="F11" s="134">
        <v>101</v>
      </c>
      <c r="G11" s="1205">
        <v>-7.3394495412844041E-2</v>
      </c>
    </row>
    <row r="12" spans="1:11" ht="20" customHeight="1" thickBot="1">
      <c r="A12" s="123">
        <v>2001</v>
      </c>
      <c r="B12" s="317">
        <v>64</v>
      </c>
      <c r="C12" s="659">
        <v>0.64646464646464652</v>
      </c>
      <c r="D12" s="134">
        <v>35</v>
      </c>
      <c r="E12" s="659">
        <v>0.35353535353535354</v>
      </c>
      <c r="F12" s="134">
        <v>99</v>
      </c>
      <c r="G12" s="1205">
        <v>-1.9801980198019802E-2</v>
      </c>
    </row>
    <row r="13" spans="1:11" ht="20" customHeight="1" thickBot="1">
      <c r="A13" s="123">
        <v>2002</v>
      </c>
      <c r="B13" s="317">
        <v>68</v>
      </c>
      <c r="C13" s="659">
        <v>0.73118279569892475</v>
      </c>
      <c r="D13" s="134">
        <v>25</v>
      </c>
      <c r="E13" s="659">
        <v>0.26881720430107525</v>
      </c>
      <c r="F13" s="134">
        <v>93</v>
      </c>
      <c r="G13" s="1205">
        <v>-6.0606060606060608E-2</v>
      </c>
    </row>
    <row r="14" spans="1:11" ht="20" customHeight="1" thickBot="1">
      <c r="A14" s="123">
        <v>2003</v>
      </c>
      <c r="B14" s="317">
        <v>70</v>
      </c>
      <c r="C14" s="659">
        <v>0.75268817204301075</v>
      </c>
      <c r="D14" s="134">
        <v>23</v>
      </c>
      <c r="E14" s="659">
        <v>0.24731182795698925</v>
      </c>
      <c r="F14" s="134">
        <v>93</v>
      </c>
      <c r="G14" s="1205">
        <v>0</v>
      </c>
    </row>
    <row r="15" spans="1:11" ht="20" customHeight="1" thickBot="1">
      <c r="A15" s="123">
        <v>2004</v>
      </c>
      <c r="B15" s="317">
        <v>72</v>
      </c>
      <c r="C15" s="659">
        <v>0.77419354838709675</v>
      </c>
      <c r="D15" s="134">
        <v>21</v>
      </c>
      <c r="E15" s="659">
        <v>0.22580645161290322</v>
      </c>
      <c r="F15" s="134">
        <v>93</v>
      </c>
      <c r="G15" s="1205">
        <v>0</v>
      </c>
    </row>
    <row r="16" spans="1:11" ht="20" customHeight="1" thickBot="1">
      <c r="A16" s="123">
        <v>2005</v>
      </c>
      <c r="B16" s="317">
        <v>65</v>
      </c>
      <c r="C16" s="659">
        <v>0.76470588235294112</v>
      </c>
      <c r="D16" s="134">
        <v>20</v>
      </c>
      <c r="E16" s="659">
        <v>0.23529411764705882</v>
      </c>
      <c r="F16" s="134">
        <v>85</v>
      </c>
      <c r="G16" s="1205">
        <v>-8.6021505376344093E-2</v>
      </c>
    </row>
    <row r="17" spans="1:7" ht="20" customHeight="1" thickBot="1">
      <c r="A17" s="123">
        <v>2006</v>
      </c>
      <c r="B17" s="317">
        <v>66</v>
      </c>
      <c r="C17" s="659">
        <v>0.75862068965517238</v>
      </c>
      <c r="D17" s="134">
        <v>21</v>
      </c>
      <c r="E17" s="659">
        <v>0.2413793103448276</v>
      </c>
      <c r="F17" s="134">
        <v>87</v>
      </c>
      <c r="G17" s="1205">
        <v>2.3529411764705882E-2</v>
      </c>
    </row>
    <row r="18" spans="1:7" ht="20" customHeight="1" thickBot="1">
      <c r="A18" s="123">
        <v>2007</v>
      </c>
      <c r="B18" s="317">
        <v>66</v>
      </c>
      <c r="C18" s="659">
        <v>0.75862068965517238</v>
      </c>
      <c r="D18" s="134">
        <v>21</v>
      </c>
      <c r="E18" s="659">
        <v>0.2413793103448276</v>
      </c>
      <c r="F18" s="134">
        <v>87</v>
      </c>
      <c r="G18" s="1205">
        <v>0</v>
      </c>
    </row>
    <row r="19" spans="1:7" ht="20" customHeight="1" thickBot="1">
      <c r="A19" s="123">
        <v>2008</v>
      </c>
      <c r="B19" s="317">
        <v>63</v>
      </c>
      <c r="C19" s="659">
        <v>0.73255813953488369</v>
      </c>
      <c r="D19" s="134">
        <v>23</v>
      </c>
      <c r="E19" s="659">
        <v>0.26744186046511625</v>
      </c>
      <c r="F19" s="134">
        <v>86</v>
      </c>
      <c r="G19" s="1205">
        <v>-1.1494252873563204E-2</v>
      </c>
    </row>
    <row r="20" spans="1:7" ht="20" customHeight="1" thickBot="1">
      <c r="A20" s="123">
        <v>2009</v>
      </c>
      <c r="B20" s="317">
        <v>59</v>
      </c>
      <c r="C20" s="659">
        <v>0.71951219512195119</v>
      </c>
      <c r="D20" s="134">
        <v>23</v>
      </c>
      <c r="E20" s="659">
        <v>0.28048780487804881</v>
      </c>
      <c r="F20" s="134">
        <v>82</v>
      </c>
      <c r="G20" s="1205">
        <v>-4.6511627906976716E-2</v>
      </c>
    </row>
    <row r="21" spans="1:7" ht="20" customHeight="1" thickBot="1">
      <c r="A21" s="123">
        <v>2010</v>
      </c>
      <c r="B21" s="317">
        <v>55</v>
      </c>
      <c r="C21" s="659">
        <v>0.67901234567901236</v>
      </c>
      <c r="D21" s="134">
        <v>26</v>
      </c>
      <c r="E21" s="659">
        <v>0.32098765432098764</v>
      </c>
      <c r="F21" s="134">
        <v>81</v>
      </c>
      <c r="G21" s="1205">
        <v>-1.2195121951219523E-2</v>
      </c>
    </row>
    <row r="22" spans="1:7" ht="20" customHeight="1" thickBot="1">
      <c r="A22" s="123">
        <v>2011</v>
      </c>
      <c r="B22" s="317">
        <v>38</v>
      </c>
      <c r="C22" s="659">
        <v>0.60317460317460314</v>
      </c>
      <c r="D22" s="134">
        <v>25</v>
      </c>
      <c r="E22" s="659">
        <v>0.3968253968253968</v>
      </c>
      <c r="F22" s="134">
        <v>63</v>
      </c>
      <c r="G22" s="1205">
        <v>-0.22222222222222221</v>
      </c>
    </row>
    <row r="23" spans="1:7" ht="24.75" customHeight="1" thickBot="1">
      <c r="A23" s="430">
        <v>2012</v>
      </c>
      <c r="B23" s="1972">
        <v>36</v>
      </c>
      <c r="C23" s="2001">
        <v>0.5901639344262295</v>
      </c>
      <c r="D23" s="2000">
        <v>25</v>
      </c>
      <c r="E23" s="2001">
        <v>0.4098360655737705</v>
      </c>
      <c r="F23" s="331">
        <v>61</v>
      </c>
      <c r="G23" s="160">
        <v>-3.1746031746031744E-2</v>
      </c>
    </row>
    <row r="24" spans="1:7" ht="16.75" customHeight="1">
      <c r="A24" s="130" t="s">
        <v>2549</v>
      </c>
      <c r="B24" s="130"/>
      <c r="C24" s="130"/>
      <c r="D24" s="130"/>
      <c r="E24" s="130"/>
      <c r="F24" s="130"/>
      <c r="G24" s="130"/>
    </row>
    <row r="25" spans="1:7">
      <c r="A25" s="131"/>
      <c r="B25" s="131"/>
      <c r="C25" s="131"/>
      <c r="D25" s="131"/>
      <c r="E25" s="131"/>
      <c r="F25" s="131"/>
      <c r="G25" s="131"/>
    </row>
    <row r="26" spans="1:7">
      <c r="A26" s="131" t="s">
        <v>1723</v>
      </c>
      <c r="B26" s="131"/>
      <c r="C26" s="131"/>
      <c r="D26" s="131"/>
      <c r="E26" s="131"/>
      <c r="F26" s="131"/>
      <c r="G26" s="131"/>
    </row>
    <row r="27" spans="1:7">
      <c r="A27" s="131"/>
      <c r="B27" s="131"/>
      <c r="C27" s="131"/>
      <c r="D27" s="131"/>
      <c r="E27" s="131"/>
      <c r="F27" s="131"/>
      <c r="G27" s="131"/>
    </row>
    <row r="28" spans="1:7">
      <c r="A28" s="3" t="s">
        <v>1724</v>
      </c>
    </row>
    <row r="29" spans="1:7">
      <c r="A29" s="3" t="s">
        <v>1725</v>
      </c>
    </row>
    <row r="32" spans="1:7">
      <c r="A32" s="131" t="s">
        <v>395</v>
      </c>
    </row>
  </sheetData>
  <pageMargins left="0.55118110236220474" right="0.55118110236220474" top="0.82677165354330717" bottom="0.47244094488188981" header="0.47244094488188981" footer="0.51181102362204722"/>
  <pageSetup paperSize="9" scale="80" orientation="portrait" horizontalDpi="1200" verticalDpi="1200"/>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28E6-B954-3340-BE44-E271AED0C5B3}">
  <sheetPr>
    <pageSetUpPr fitToPage="1"/>
  </sheetPr>
  <dimension ref="A1:M36"/>
  <sheetViews>
    <sheetView topLeftCell="A11" zoomScaleNormal="100" workbookViewId="0">
      <selection activeCell="I30" sqref="I30"/>
    </sheetView>
  </sheetViews>
  <sheetFormatPr baseColWidth="10" defaultColWidth="11.3984375" defaultRowHeight="13"/>
  <cols>
    <col min="1" max="1" width="18" style="3" customWidth="1"/>
    <col min="2" max="9" width="14.3984375" style="3" customWidth="1"/>
    <col min="10" max="16384" width="11.3984375" style="3"/>
  </cols>
  <sheetData>
    <row r="1" spans="1:13" s="2" customFormat="1" ht="14" customHeight="1"/>
    <row r="2" spans="1:13" s="2" customFormat="1" ht="24" customHeight="1">
      <c r="A2" s="222" t="s">
        <v>1726</v>
      </c>
      <c r="B2" s="328"/>
      <c r="C2" s="328"/>
      <c r="D2" s="328"/>
      <c r="E2" s="328"/>
      <c r="F2" s="328"/>
      <c r="G2" s="329"/>
    </row>
    <row r="3" spans="1:13" ht="27" customHeight="1">
      <c r="A3" s="109" t="s">
        <v>1719</v>
      </c>
      <c r="B3" s="1206" t="s">
        <v>1727</v>
      </c>
      <c r="C3" s="1207"/>
      <c r="D3" s="1207"/>
      <c r="E3" s="1207"/>
      <c r="F3" s="1207"/>
      <c r="G3" s="1207"/>
      <c r="H3" s="1208" t="s">
        <v>1728</v>
      </c>
      <c r="I3" s="1209"/>
    </row>
    <row r="4" spans="1:13" ht="19.75" customHeight="1">
      <c r="A4" s="112" t="s">
        <v>1720</v>
      </c>
      <c r="B4" s="113" t="s">
        <v>1729</v>
      </c>
      <c r="C4" s="156" t="s">
        <v>256</v>
      </c>
      <c r="D4" s="113" t="s">
        <v>1729</v>
      </c>
      <c r="E4" s="156" t="s">
        <v>256</v>
      </c>
      <c r="F4" s="113" t="s">
        <v>1729</v>
      </c>
      <c r="G4" s="156" t="s">
        <v>256</v>
      </c>
      <c r="H4" s="113" t="s">
        <v>1730</v>
      </c>
      <c r="I4" s="156" t="s">
        <v>256</v>
      </c>
    </row>
    <row r="5" spans="1:13" ht="18" customHeight="1">
      <c r="A5" s="112"/>
      <c r="B5" s="426" t="s">
        <v>1731</v>
      </c>
      <c r="C5" s="771" t="s">
        <v>257</v>
      </c>
      <c r="D5" s="426" t="s">
        <v>1732</v>
      </c>
      <c r="E5" s="771" t="s">
        <v>257</v>
      </c>
      <c r="F5" s="426" t="s">
        <v>1733</v>
      </c>
      <c r="G5" s="771" t="s">
        <v>257</v>
      </c>
      <c r="H5" s="426" t="s">
        <v>1734</v>
      </c>
      <c r="I5" s="771" t="s">
        <v>257</v>
      </c>
    </row>
    <row r="6" spans="1:13" ht="24" customHeight="1">
      <c r="A6" s="116"/>
      <c r="B6" s="117"/>
      <c r="C6" s="157" t="s">
        <v>258</v>
      </c>
      <c r="D6" s="117"/>
      <c r="E6" s="157" t="s">
        <v>1735</v>
      </c>
      <c r="F6" s="117"/>
      <c r="G6" s="157" t="s">
        <v>1735</v>
      </c>
      <c r="H6" s="117"/>
      <c r="I6" s="157" t="s">
        <v>1735</v>
      </c>
    </row>
    <row r="7" spans="1:13" ht="22.75" customHeight="1" thickBot="1">
      <c r="A7" s="120">
        <v>1996</v>
      </c>
      <c r="B7" s="132">
        <v>913.21658500000001</v>
      </c>
      <c r="C7" s="158" t="s">
        <v>29</v>
      </c>
      <c r="D7" s="132">
        <v>2674.048675</v>
      </c>
      <c r="E7" s="1210" t="s">
        <v>29</v>
      </c>
      <c r="F7" s="132" t="s">
        <v>29</v>
      </c>
      <c r="G7" s="1210" t="s">
        <v>29</v>
      </c>
      <c r="H7" s="132">
        <v>530</v>
      </c>
      <c r="I7" s="158" t="s">
        <v>29</v>
      </c>
      <c r="K7" s="9"/>
      <c r="L7" s="9"/>
      <c r="M7" s="9"/>
    </row>
    <row r="8" spans="1:13" ht="17.5" customHeight="1" thickBot="1">
      <c r="A8" s="123">
        <v>1997</v>
      </c>
      <c r="B8" s="134">
        <v>951.20448216581099</v>
      </c>
      <c r="C8" s="159">
        <v>4.1597905458332182E-2</v>
      </c>
      <c r="D8" s="134">
        <v>2894.7924399622598</v>
      </c>
      <c r="E8" s="159">
        <v>8.2550391481658339E-2</v>
      </c>
      <c r="F8" s="134" t="s">
        <v>29</v>
      </c>
      <c r="G8" s="159" t="s">
        <v>29</v>
      </c>
      <c r="H8" s="134">
        <v>532</v>
      </c>
      <c r="I8" s="159">
        <v>3.7735849056603774E-3</v>
      </c>
    </row>
    <row r="9" spans="1:13" ht="19.25" customHeight="1" thickBot="1">
      <c r="A9" s="123">
        <v>1998</v>
      </c>
      <c r="B9" s="134">
        <v>1005.42211</v>
      </c>
      <c r="C9" s="159">
        <v>5.6998919633704945E-2</v>
      </c>
      <c r="D9" s="134">
        <v>3172.9022279999999</v>
      </c>
      <c r="E9" s="159">
        <v>9.6072445194504488E-2</v>
      </c>
      <c r="F9" s="134" t="s">
        <v>29</v>
      </c>
      <c r="G9" s="159" t="s">
        <v>29</v>
      </c>
      <c r="H9" s="134">
        <v>609.28660000000002</v>
      </c>
      <c r="I9" s="159">
        <v>0.14527556390977447</v>
      </c>
    </row>
    <row r="10" spans="1:13" ht="20" customHeight="1" thickBot="1">
      <c r="A10" s="123">
        <v>1999</v>
      </c>
      <c r="B10" s="134">
        <v>1043.283537</v>
      </c>
      <c r="C10" s="159">
        <v>3.7657245273828376E-2</v>
      </c>
      <c r="D10" s="134">
        <v>3340.3853559999998</v>
      </c>
      <c r="E10" s="159">
        <v>5.2785467677512014E-2</v>
      </c>
      <c r="F10" s="134" t="s">
        <v>29</v>
      </c>
      <c r="G10" s="159" t="s">
        <v>29</v>
      </c>
      <c r="H10" s="134">
        <v>659.60795700000006</v>
      </c>
      <c r="I10" s="159">
        <v>8.2590618273896119E-2</v>
      </c>
    </row>
    <row r="11" spans="1:13" ht="20.25" customHeight="1" thickBot="1">
      <c r="A11" s="123">
        <v>2000</v>
      </c>
      <c r="B11" s="134">
        <v>1090.4996369999999</v>
      </c>
      <c r="C11" s="159">
        <v>4.5257207964549594E-2</v>
      </c>
      <c r="D11" s="134">
        <v>3554.1311930000002</v>
      </c>
      <c r="E11" s="159">
        <v>6.3988376854805129E-2</v>
      </c>
      <c r="F11" s="134" t="s">
        <v>29</v>
      </c>
      <c r="G11" s="159" t="s">
        <v>29</v>
      </c>
      <c r="H11" s="134">
        <v>732.09943699999997</v>
      </c>
      <c r="I11" s="159">
        <v>0.10990085736640061</v>
      </c>
    </row>
    <row r="12" spans="1:13" ht="20" customHeight="1" thickBot="1">
      <c r="A12" s="123">
        <v>2001</v>
      </c>
      <c r="B12" s="134">
        <v>1148.4065562125586</v>
      </c>
      <c r="C12" s="159">
        <v>5.3101273258432738E-2</v>
      </c>
      <c r="D12" s="134">
        <v>3804.1073437743612</v>
      </c>
      <c r="E12" s="159">
        <v>7.0333968331472624E-2</v>
      </c>
      <c r="F12" s="134" t="s">
        <v>29</v>
      </c>
      <c r="G12" s="159" t="s">
        <v>29</v>
      </c>
      <c r="H12" s="134">
        <v>844.73803099999998</v>
      </c>
      <c r="I12" s="159">
        <v>0.15385696028065654</v>
      </c>
    </row>
    <row r="13" spans="1:13" ht="20" customHeight="1" thickBot="1">
      <c r="A13" s="123">
        <v>2002</v>
      </c>
      <c r="B13" s="134">
        <v>1176.9857406315903</v>
      </c>
      <c r="C13" s="159">
        <v>2.4885946761994921E-2</v>
      </c>
      <c r="D13" s="134">
        <v>3992.1493332093432</v>
      </c>
      <c r="E13" s="159">
        <v>4.9431304756087785E-2</v>
      </c>
      <c r="F13" s="134" t="s">
        <v>29</v>
      </c>
      <c r="G13" s="159" t="s">
        <v>29</v>
      </c>
      <c r="H13" s="134">
        <v>928.34341900000004</v>
      </c>
      <c r="I13" s="159">
        <v>9.8971971110414073E-2</v>
      </c>
    </row>
    <row r="14" spans="1:13" ht="20" customHeight="1" thickBot="1">
      <c r="A14" s="123">
        <v>2003</v>
      </c>
      <c r="B14" s="134">
        <v>1165.5985248499421</v>
      </c>
      <c r="C14" s="159">
        <v>-9.6748969749944191E-3</v>
      </c>
      <c r="D14" s="134">
        <v>4231.4747261964076</v>
      </c>
      <c r="E14" s="159">
        <v>5.9949008168656705E-2</v>
      </c>
      <c r="F14" s="134" t="s">
        <v>29</v>
      </c>
      <c r="G14" s="159" t="s">
        <v>29</v>
      </c>
      <c r="H14" s="134">
        <v>1008.669965</v>
      </c>
      <c r="I14" s="159">
        <v>8.652675761576116E-2</v>
      </c>
    </row>
    <row r="15" spans="1:13" ht="20" customHeight="1" thickBot="1">
      <c r="A15" s="123">
        <v>2004</v>
      </c>
      <c r="B15" s="134">
        <v>1233.4256947047143</v>
      </c>
      <c r="C15" s="159">
        <v>5.8190850802169757E-2</v>
      </c>
      <c r="D15" s="134">
        <v>4554.5751523643485</v>
      </c>
      <c r="E15" s="159">
        <v>7.6356458935622609E-2</v>
      </c>
      <c r="F15" s="134" t="s">
        <v>29</v>
      </c>
      <c r="G15" s="159" t="s">
        <v>29</v>
      </c>
      <c r="H15" s="134">
        <v>1102.909758</v>
      </c>
      <c r="I15" s="159">
        <v>9.3429760248685462E-2</v>
      </c>
    </row>
    <row r="16" spans="1:13" ht="20" customHeight="1" thickBot="1">
      <c r="A16" s="123">
        <v>2005</v>
      </c>
      <c r="B16" s="134">
        <v>1249.2878390447622</v>
      </c>
      <c r="C16" s="159">
        <v>1.286023504143507E-2</v>
      </c>
      <c r="D16" s="134">
        <v>4844.6728040822618</v>
      </c>
      <c r="E16" s="159">
        <v>6.3693679874251119E-2</v>
      </c>
      <c r="F16" s="134" t="s">
        <v>29</v>
      </c>
      <c r="G16" s="159" t="s">
        <v>29</v>
      </c>
      <c r="H16" s="134">
        <v>1201.552809</v>
      </c>
      <c r="I16" s="159">
        <v>8.9438914004059442E-2</v>
      </c>
    </row>
    <row r="17" spans="1:9" ht="20" customHeight="1" thickBot="1">
      <c r="A17" s="123">
        <v>2006</v>
      </c>
      <c r="B17" s="134">
        <v>1280.5357003449858</v>
      </c>
      <c r="C17" s="159">
        <v>2.5012539403342388E-2</v>
      </c>
      <c r="D17" s="134">
        <v>4994.7882609152675</v>
      </c>
      <c r="E17" s="159">
        <v>3.0985674967876901E-2</v>
      </c>
      <c r="F17" s="134" t="s">
        <v>29</v>
      </c>
      <c r="G17" s="159" t="s">
        <v>29</v>
      </c>
      <c r="H17" s="134">
        <v>1236.2073047456083</v>
      </c>
      <c r="I17" s="159">
        <v>2.884142543385149E-2</v>
      </c>
    </row>
    <row r="18" spans="1:9" ht="20" customHeight="1" thickBot="1">
      <c r="A18" s="123">
        <v>2007</v>
      </c>
      <c r="B18" s="134">
        <v>1328.2484532036312</v>
      </c>
      <c r="C18" s="159">
        <v>3.7259994270984614E-2</v>
      </c>
      <c r="D18" s="134">
        <v>5286.2111265764588</v>
      </c>
      <c r="E18" s="159">
        <v>5.8345389321426341E-2</v>
      </c>
      <c r="F18" s="134" t="s">
        <v>29</v>
      </c>
      <c r="G18" s="159" t="s">
        <v>29</v>
      </c>
      <c r="H18" s="134">
        <v>1323.229456</v>
      </c>
      <c r="I18" s="159">
        <v>7.0394464520899647E-2</v>
      </c>
    </row>
    <row r="19" spans="1:9" ht="20" customHeight="1" thickBot="1">
      <c r="A19" s="123">
        <v>2008</v>
      </c>
      <c r="B19" s="134">
        <v>1413.6658153593723</v>
      </c>
      <c r="C19" s="159">
        <v>6.4308271505772119E-2</v>
      </c>
      <c r="D19" s="134">
        <v>5584.9685713290592</v>
      </c>
      <c r="E19" s="159">
        <v>5.6516366372617144E-2</v>
      </c>
      <c r="F19" s="134" t="s">
        <v>29</v>
      </c>
      <c r="G19" s="159" t="s">
        <v>29</v>
      </c>
      <c r="H19" s="134">
        <v>1444.5191400000001</v>
      </c>
      <c r="I19" s="159">
        <v>9.1661868204360841E-2</v>
      </c>
    </row>
    <row r="20" spans="1:9" ht="20" customHeight="1" thickBot="1">
      <c r="A20" s="123">
        <v>2009</v>
      </c>
      <c r="B20" s="134">
        <v>1466.6020914374751</v>
      </c>
      <c r="C20" s="159">
        <v>3.744610324657649E-2</v>
      </c>
      <c r="D20" s="134">
        <v>5832.6763857591932</v>
      </c>
      <c r="E20" s="159">
        <v>4.4352588786580549E-2</v>
      </c>
      <c r="F20" s="134" t="s">
        <v>29</v>
      </c>
      <c r="G20" s="159" t="s">
        <v>29</v>
      </c>
      <c r="H20" s="134">
        <v>1561.012176</v>
      </c>
      <c r="I20" s="159">
        <v>8.0644854591542359E-2</v>
      </c>
    </row>
    <row r="21" spans="1:9" ht="20" customHeight="1" thickBot="1">
      <c r="A21" s="123">
        <v>2010</v>
      </c>
      <c r="B21" s="134">
        <v>1484.1461971649883</v>
      </c>
      <c r="C21" s="159">
        <v>1.1962416956815769E-2</v>
      </c>
      <c r="D21" s="134">
        <v>5995.9585199097392</v>
      </c>
      <c r="E21" s="159">
        <v>2.7994375712187436E-2</v>
      </c>
      <c r="F21" s="134" t="s">
        <v>29</v>
      </c>
      <c r="G21" s="159" t="s">
        <v>29</v>
      </c>
      <c r="H21" s="134">
        <v>1545.7138600000001</v>
      </c>
      <c r="I21" s="159">
        <v>-9.8002541140972399E-3</v>
      </c>
    </row>
    <row r="22" spans="1:9" ht="20" customHeight="1" thickBot="1">
      <c r="A22" s="123">
        <v>2011</v>
      </c>
      <c r="B22" s="134">
        <v>1497.262430776653</v>
      </c>
      <c r="C22" s="159">
        <v>8.8375617150919794E-3</v>
      </c>
      <c r="D22" s="134">
        <v>6104.6428431117456</v>
      </c>
      <c r="E22" s="159">
        <v>1.8126263355744854E-2</v>
      </c>
      <c r="F22" s="134" t="s">
        <v>29</v>
      </c>
      <c r="G22" s="159" t="s">
        <v>29</v>
      </c>
      <c r="H22" s="134">
        <v>1497.322009</v>
      </c>
      <c r="I22" s="159">
        <v>-3.1307121099373503E-2</v>
      </c>
    </row>
    <row r="23" spans="1:9" ht="24" customHeight="1" thickBot="1">
      <c r="A23" s="430">
        <v>2012</v>
      </c>
      <c r="B23" s="2000">
        <v>1492.5121436756388</v>
      </c>
      <c r="C23" s="753">
        <v>-3.1726482968988945E-3</v>
      </c>
      <c r="D23" s="2000">
        <v>6081.1312675938352</v>
      </c>
      <c r="E23" s="753">
        <v>-3.8514252384871384E-3</v>
      </c>
      <c r="F23" s="2000">
        <v>5078.731074639798</v>
      </c>
      <c r="G23" s="753" t="s">
        <v>29</v>
      </c>
      <c r="H23" s="2000">
        <v>1564.3890551745117</v>
      </c>
      <c r="I23" s="753">
        <v>4.4791331304415261E-2</v>
      </c>
    </row>
    <row r="24" spans="1:9" ht="15.5" customHeight="1">
      <c r="A24" s="130" t="s">
        <v>2549</v>
      </c>
      <c r="B24" s="130"/>
      <c r="C24" s="130"/>
      <c r="D24" s="130"/>
      <c r="E24" s="130"/>
      <c r="F24" s="130"/>
      <c r="G24" s="130"/>
      <c r="H24" s="130"/>
      <c r="I24" s="130"/>
    </row>
    <row r="25" spans="1:9">
      <c r="A25" s="131"/>
      <c r="B25" s="131"/>
      <c r="C25" s="131"/>
      <c r="D25" s="131"/>
      <c r="E25" s="131"/>
      <c r="F25" s="131"/>
      <c r="G25" s="131"/>
    </row>
    <row r="26" spans="1:9">
      <c r="A26" s="131" t="s">
        <v>1723</v>
      </c>
      <c r="B26" s="131"/>
      <c r="C26" s="131"/>
      <c r="D26" s="131"/>
      <c r="E26" s="131"/>
      <c r="F26" s="131"/>
      <c r="G26" s="131"/>
    </row>
    <row r="27" spans="1:9">
      <c r="A27" s="131"/>
      <c r="B27" s="131"/>
      <c r="C27" s="131"/>
      <c r="D27" s="131"/>
      <c r="E27" s="131"/>
      <c r="F27" s="131"/>
      <c r="G27" s="131"/>
    </row>
    <row r="28" spans="1:9">
      <c r="A28" s="131" t="s">
        <v>1736</v>
      </c>
    </row>
    <row r="29" spans="1:9">
      <c r="A29" s="742" t="s">
        <v>1737</v>
      </c>
    </row>
    <row r="30" spans="1:9">
      <c r="A30" s="131" t="s">
        <v>1738</v>
      </c>
    </row>
    <row r="31" spans="1:9">
      <c r="A31" s="742" t="s">
        <v>1739</v>
      </c>
    </row>
    <row r="32" spans="1:9">
      <c r="A32" s="742" t="s">
        <v>1740</v>
      </c>
    </row>
    <row r="33" spans="1:1">
      <c r="A33" s="742" t="s">
        <v>1741</v>
      </c>
    </row>
    <row r="36" spans="1:1">
      <c r="A36" s="131" t="s">
        <v>395</v>
      </c>
    </row>
  </sheetData>
  <pageMargins left="0.4" right="0.4" top="0.9055118110236221" bottom="0.47244094488188981" header="0.51181102362204722" footer="0.51181102362204722"/>
  <pageSetup paperSize="9" scale="72" orientation="portrait" horizontalDpi="1200" verticalDpi="1200"/>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4529-5998-8145-80D9-50F4D69205E9}">
  <sheetPr>
    <pageSetUpPr fitToPage="1"/>
  </sheetPr>
  <dimension ref="A1:J35"/>
  <sheetViews>
    <sheetView topLeftCell="A10" zoomScaleNormal="100" workbookViewId="0">
      <selection activeCell="K29" sqref="K29"/>
    </sheetView>
  </sheetViews>
  <sheetFormatPr baseColWidth="10" defaultColWidth="11.3984375" defaultRowHeight="13"/>
  <cols>
    <col min="1" max="1" width="14.796875" style="3" customWidth="1"/>
    <col min="2" max="2" width="16.59765625" style="338" customWidth="1"/>
    <col min="3" max="3" width="16.19921875" style="283" customWidth="1"/>
    <col min="4" max="4" width="16.19921875" style="338" customWidth="1"/>
    <col min="5" max="5" width="16.19921875" style="283" customWidth="1"/>
    <col min="6" max="6" width="16.19921875" style="338" customWidth="1"/>
    <col min="7" max="7" width="16.19921875" style="283" customWidth="1"/>
    <col min="8" max="8" width="7.59765625" style="3" customWidth="1"/>
    <col min="9" max="9" width="6.3984375" style="3" customWidth="1"/>
    <col min="10" max="10" width="8.59765625" style="3" customWidth="1"/>
    <col min="11" max="16384" width="11.3984375" style="3"/>
  </cols>
  <sheetData>
    <row r="1" spans="1:10" s="2" customFormat="1" ht="18.75" customHeight="1">
      <c r="A1" s="523"/>
      <c r="B1" s="524"/>
      <c r="C1" s="1211"/>
      <c r="D1" s="1212"/>
      <c r="E1" s="1211"/>
      <c r="F1" s="1212"/>
      <c r="G1" s="1211"/>
    </row>
    <row r="2" spans="1:10" s="2" customFormat="1" ht="40.5" customHeight="1">
      <c r="A2" s="2077" t="s">
        <v>1742</v>
      </c>
      <c r="B2" s="2055"/>
      <c r="C2" s="2055"/>
      <c r="D2" s="2055"/>
      <c r="E2" s="2055"/>
      <c r="F2" s="2055"/>
      <c r="G2" s="329">
        <v>2012</v>
      </c>
    </row>
    <row r="3" spans="1:10" ht="27" customHeight="1">
      <c r="A3" s="109" t="s">
        <v>637</v>
      </c>
      <c r="B3" s="556" t="s">
        <v>638</v>
      </c>
      <c r="C3" s="111" t="s">
        <v>1743</v>
      </c>
      <c r="D3" s="556" t="s">
        <v>639</v>
      </c>
      <c r="E3" s="111" t="s">
        <v>1743</v>
      </c>
      <c r="F3" s="556" t="s">
        <v>242</v>
      </c>
      <c r="G3" s="111" t="s">
        <v>1743</v>
      </c>
    </row>
    <row r="4" spans="1:10" ht="15" customHeight="1">
      <c r="A4" s="156"/>
      <c r="B4" s="348"/>
      <c r="C4" s="114" t="s">
        <v>1744</v>
      </c>
      <c r="D4" s="348"/>
      <c r="E4" s="114" t="s">
        <v>1744</v>
      </c>
      <c r="F4" s="348" t="s">
        <v>620</v>
      </c>
      <c r="G4" s="114" t="s">
        <v>1744</v>
      </c>
    </row>
    <row r="5" spans="1:10" ht="15" customHeight="1">
      <c r="A5" s="156"/>
      <c r="B5" s="348"/>
      <c r="C5" s="114" t="s">
        <v>258</v>
      </c>
      <c r="D5" s="348"/>
      <c r="E5" s="114" t="s">
        <v>258</v>
      </c>
      <c r="F5" s="348"/>
      <c r="G5" s="114" t="s">
        <v>258</v>
      </c>
    </row>
    <row r="6" spans="1:10" ht="23" customHeight="1">
      <c r="A6" s="157"/>
      <c r="B6" s="330"/>
      <c r="C6" s="118"/>
      <c r="D6" s="330"/>
      <c r="E6" s="118"/>
      <c r="F6" s="330"/>
      <c r="G6" s="118"/>
    </row>
    <row r="7" spans="1:10" ht="30" customHeight="1" thickBot="1">
      <c r="A7" s="302" t="s">
        <v>1745</v>
      </c>
      <c r="B7" s="132">
        <v>0</v>
      </c>
      <c r="C7" s="146" t="s">
        <v>29</v>
      </c>
      <c r="D7" s="132">
        <v>0</v>
      </c>
      <c r="E7" s="146" t="s">
        <v>29</v>
      </c>
      <c r="F7" s="132">
        <v>0</v>
      </c>
      <c r="G7" s="146" t="s">
        <v>29</v>
      </c>
      <c r="H7" s="1213"/>
      <c r="I7" s="1213"/>
      <c r="J7" s="1213"/>
    </row>
    <row r="8" spans="1:10" ht="20" customHeight="1" thickBot="1">
      <c r="A8" s="307" t="s">
        <v>1746</v>
      </c>
      <c r="B8" s="1987">
        <v>-195.77163478401422</v>
      </c>
      <c r="C8" s="1988">
        <v>8.0550279095158146</v>
      </c>
      <c r="D8" s="1989">
        <v>-154.00273471892191</v>
      </c>
      <c r="E8" s="1988">
        <v>5.6680831127319777</v>
      </c>
      <c r="F8" s="1989">
        <v>-174.86040711170995</v>
      </c>
      <c r="G8" s="1988">
        <v>6.8411269941745729</v>
      </c>
      <c r="H8" s="1213"/>
      <c r="I8" s="1213"/>
      <c r="J8" s="1213"/>
    </row>
    <row r="9" spans="1:10" ht="20" customHeight="1" thickBot="1">
      <c r="A9" s="307" t="s">
        <v>1747</v>
      </c>
      <c r="B9" s="1990">
        <v>-193.20627230562542</v>
      </c>
      <c r="C9" s="1991">
        <v>5.6131727362909771</v>
      </c>
      <c r="D9" s="1990">
        <v>-105.15505947309923</v>
      </c>
      <c r="E9" s="1991">
        <v>4.1721203798505115</v>
      </c>
      <c r="F9" s="1990">
        <v>-149.53500025598041</v>
      </c>
      <c r="G9" s="1991">
        <v>4.8637129549564122</v>
      </c>
      <c r="H9" s="1213"/>
      <c r="I9" s="1213"/>
      <c r="J9" s="1213"/>
    </row>
    <row r="10" spans="1:10" ht="20" customHeight="1" thickBot="1">
      <c r="A10" s="307" t="s">
        <v>1748</v>
      </c>
      <c r="B10" s="1990">
        <v>-182.24597965803284</v>
      </c>
      <c r="C10" s="1991">
        <v>6.6695693723662828</v>
      </c>
      <c r="D10" s="1990">
        <v>-75.297216631248006</v>
      </c>
      <c r="E10" s="1991">
        <v>2.2760978296778944</v>
      </c>
      <c r="F10" s="1990">
        <v>-129.23129796346936</v>
      </c>
      <c r="G10" s="1991">
        <v>4.2522147530776806</v>
      </c>
      <c r="H10" s="1213"/>
      <c r="I10" s="1213"/>
      <c r="J10" s="1213"/>
    </row>
    <row r="11" spans="1:10" ht="20" customHeight="1" thickBot="1">
      <c r="A11" s="307" t="s">
        <v>1749</v>
      </c>
      <c r="B11" s="1990">
        <v>-164.61963768891036</v>
      </c>
      <c r="C11" s="1991">
        <v>4.9618900184994743</v>
      </c>
      <c r="D11" s="1990">
        <v>-84.715299671595602</v>
      </c>
      <c r="E11" s="1991">
        <v>0.87024642079148862</v>
      </c>
      <c r="F11" s="1990">
        <v>-124.91969278672394</v>
      </c>
      <c r="G11" s="1991">
        <v>2.874464275186142</v>
      </c>
      <c r="H11" s="1213"/>
      <c r="I11" s="1213"/>
      <c r="J11" s="1213"/>
    </row>
    <row r="12" spans="1:10" ht="20" customHeight="1" thickBot="1">
      <c r="A12" s="307" t="s">
        <v>1750</v>
      </c>
      <c r="B12" s="1990">
        <v>-144.83301221180642</v>
      </c>
      <c r="C12" s="1991">
        <v>4.4579390659330329</v>
      </c>
      <c r="D12" s="1990">
        <v>-92.15598199904683</v>
      </c>
      <c r="E12" s="1991">
        <v>1.8180759435473561</v>
      </c>
      <c r="F12" s="1990">
        <v>-118.66410842464788</v>
      </c>
      <c r="G12" s="1991">
        <v>3.1433284671747543</v>
      </c>
      <c r="H12" s="1213"/>
      <c r="I12" s="1213"/>
      <c r="J12" s="1213"/>
    </row>
    <row r="13" spans="1:10" ht="20" customHeight="1" thickBot="1">
      <c r="A13" s="307" t="s">
        <v>1751</v>
      </c>
      <c r="B13" s="1990">
        <v>-115.46841158373256</v>
      </c>
      <c r="C13" s="1991">
        <v>4.2728293594310998</v>
      </c>
      <c r="D13" s="1990">
        <v>-66.461509463668889</v>
      </c>
      <c r="E13" s="1991">
        <v>2.199133776628301</v>
      </c>
      <c r="F13" s="1990">
        <v>-91.37605864227163</v>
      </c>
      <c r="G13" s="1991">
        <v>3.2109667322865789</v>
      </c>
      <c r="H13" s="1213"/>
      <c r="I13" s="1213"/>
      <c r="J13" s="1213"/>
    </row>
    <row r="14" spans="1:10" ht="20" customHeight="1" thickBot="1">
      <c r="A14" s="307" t="s">
        <v>1752</v>
      </c>
      <c r="B14" s="1990">
        <v>-74.330296679633705</v>
      </c>
      <c r="C14" s="1991">
        <v>0.86663845587145261</v>
      </c>
      <c r="D14" s="1990">
        <v>-32.443322863248092</v>
      </c>
      <c r="E14" s="1991">
        <v>-0.41284168662173926</v>
      </c>
      <c r="F14" s="1990">
        <v>-53.653879884727885</v>
      </c>
      <c r="G14" s="1991">
        <v>0.26245978922520408</v>
      </c>
      <c r="H14" s="1213"/>
      <c r="I14" s="1213"/>
      <c r="J14" s="1213"/>
    </row>
    <row r="15" spans="1:10" ht="20" customHeight="1" thickBot="1">
      <c r="A15" s="307" t="s">
        <v>1753</v>
      </c>
      <c r="B15" s="1990">
        <v>-13.776049715674562</v>
      </c>
      <c r="C15" s="1991">
        <v>-1.8418205884242713</v>
      </c>
      <c r="D15" s="1990">
        <v>7.2192784500482317</v>
      </c>
      <c r="E15" s="1991">
        <v>-0.68651001655975552</v>
      </c>
      <c r="F15" s="1990">
        <v>-3.3258127044522228</v>
      </c>
      <c r="G15" s="1991">
        <v>-1.3030130756983151</v>
      </c>
      <c r="H15" s="1213"/>
      <c r="I15" s="1213"/>
      <c r="J15" s="1213"/>
    </row>
    <row r="16" spans="1:10" ht="20" customHeight="1" thickBot="1">
      <c r="A16" s="307" t="s">
        <v>1754</v>
      </c>
      <c r="B16" s="1990">
        <v>59.346959087179236</v>
      </c>
      <c r="C16" s="1991">
        <v>-6.5788842466774398</v>
      </c>
      <c r="D16" s="1990">
        <v>63.027995605090858</v>
      </c>
      <c r="E16" s="1991">
        <v>-2.377517789976288</v>
      </c>
      <c r="F16" s="1990">
        <v>61.212987544658596</v>
      </c>
      <c r="G16" s="1991">
        <v>-4.4489365487628945</v>
      </c>
      <c r="H16" s="1213"/>
      <c r="I16" s="1213"/>
      <c r="J16" s="1213"/>
    </row>
    <row r="17" spans="1:10" ht="20" customHeight="1" thickBot="1">
      <c r="A17" s="307" t="s">
        <v>1755</v>
      </c>
      <c r="B17" s="1990">
        <v>156.43970850952772</v>
      </c>
      <c r="C17" s="1991">
        <v>-6.5485784228072532</v>
      </c>
      <c r="D17" s="1990">
        <v>144.81136891889787</v>
      </c>
      <c r="E17" s="1991">
        <v>-3.3265285254786363</v>
      </c>
      <c r="F17" s="1990">
        <v>150.42863216381147</v>
      </c>
      <c r="G17" s="1991">
        <v>-4.8646298943065176</v>
      </c>
      <c r="H17" s="1213"/>
      <c r="I17" s="1213"/>
      <c r="J17" s="1213"/>
    </row>
    <row r="18" spans="1:10" ht="20" customHeight="1" thickBot="1">
      <c r="A18" s="307" t="s">
        <v>1756</v>
      </c>
      <c r="B18" s="1990">
        <v>261.35854601759178</v>
      </c>
      <c r="C18" s="1991">
        <v>-13.983455856928174</v>
      </c>
      <c r="D18" s="1990">
        <v>235.4396213435071</v>
      </c>
      <c r="E18" s="1991">
        <v>-8.5693176748498558</v>
      </c>
      <c r="F18" s="1990">
        <v>247.3418530432948</v>
      </c>
      <c r="G18" s="1991">
        <v>-10.975447585719735</v>
      </c>
      <c r="H18" s="1213"/>
      <c r="I18" s="1213"/>
      <c r="J18" s="1213"/>
    </row>
    <row r="19" spans="1:10" ht="20" customHeight="1" thickBot="1">
      <c r="A19" s="307" t="s">
        <v>1757</v>
      </c>
      <c r="B19" s="1990">
        <v>386.92158832039524</v>
      </c>
      <c r="C19" s="1991">
        <v>-17.366822406053529</v>
      </c>
      <c r="D19" s="1990">
        <v>368.84818604426493</v>
      </c>
      <c r="E19" s="1991">
        <v>-6.677596346150267</v>
      </c>
      <c r="F19" s="1990">
        <v>376.64697413703288</v>
      </c>
      <c r="G19" s="1991">
        <v>-11.217046857050605</v>
      </c>
      <c r="H19" s="1213"/>
      <c r="I19" s="1213"/>
      <c r="J19" s="1213"/>
    </row>
    <row r="20" spans="1:10" ht="20" customHeight="1" thickBot="1">
      <c r="A20" s="307" t="s">
        <v>1758</v>
      </c>
      <c r="B20" s="1992">
        <v>505.51421089183015</v>
      </c>
      <c r="C20" s="1993">
        <v>-17.771969342830232</v>
      </c>
      <c r="D20" s="1992">
        <v>534.28798577833231</v>
      </c>
      <c r="E20" s="1993">
        <v>-12.344637337832751</v>
      </c>
      <c r="F20" s="1992">
        <v>523.19092083255566</v>
      </c>
      <c r="G20" s="1993">
        <v>-14.555463083043605</v>
      </c>
      <c r="H20" s="1213"/>
      <c r="I20" s="1213"/>
      <c r="J20" s="1213"/>
    </row>
    <row r="21" spans="1:10" ht="20" customHeight="1" thickBot="1">
      <c r="A21" s="307" t="s">
        <v>1759</v>
      </c>
      <c r="B21" s="1994">
        <v>649.52089790527475</v>
      </c>
      <c r="C21" s="1995">
        <v>-24.10134354339948</v>
      </c>
      <c r="D21" s="1996">
        <v>783.96655154303573</v>
      </c>
      <c r="E21" s="1995">
        <v>-21.008605826301505</v>
      </c>
      <c r="F21" s="1996">
        <v>739.58039290000681</v>
      </c>
      <c r="G21" s="1995">
        <v>-22.442641176062466</v>
      </c>
      <c r="H21" s="1213"/>
      <c r="I21" s="1213"/>
      <c r="J21" s="1213"/>
    </row>
    <row r="22" spans="1:10" ht="23.5" customHeight="1" thickBot="1">
      <c r="A22" s="174" t="s">
        <v>1760</v>
      </c>
      <c r="B22" s="1997">
        <v>886.21144031375115</v>
      </c>
      <c r="C22" s="1998">
        <v>-51.285957172218104</v>
      </c>
      <c r="D22" s="1999">
        <v>1173.7348191554106</v>
      </c>
      <c r="E22" s="1998">
        <v>-40.161988830059954</v>
      </c>
      <c r="F22" s="1999">
        <v>1097.12317524236</v>
      </c>
      <c r="G22" s="1998">
        <v>-43.849618025328482</v>
      </c>
      <c r="H22" s="1213"/>
      <c r="I22" s="1213"/>
      <c r="J22" s="1213"/>
    </row>
    <row r="23" spans="1:10" ht="18.5" customHeight="1">
      <c r="A23" s="130" t="s">
        <v>1789</v>
      </c>
      <c r="B23" s="333"/>
      <c r="C23" s="510"/>
      <c r="D23" s="333"/>
      <c r="E23" s="510"/>
      <c r="F23" s="333"/>
      <c r="G23" s="510"/>
    </row>
    <row r="24" spans="1:10" ht="11.25" customHeight="1">
      <c r="A24" s="131"/>
      <c r="B24" s="335"/>
      <c r="C24" s="334"/>
      <c r="D24" s="335"/>
      <c r="E24" s="334"/>
      <c r="F24" s="335"/>
      <c r="G24" s="334"/>
    </row>
    <row r="25" spans="1:10" ht="15.75" customHeight="1">
      <c r="A25" s="131" t="s">
        <v>1723</v>
      </c>
      <c r="B25" s="335"/>
      <c r="C25" s="334"/>
      <c r="D25" s="335"/>
      <c r="E25" s="334"/>
      <c r="F25" s="335"/>
      <c r="G25" s="334"/>
    </row>
    <row r="26" spans="1:10">
      <c r="A26" s="1214"/>
      <c r="B26" s="335"/>
      <c r="C26" s="334"/>
      <c r="D26" s="335"/>
      <c r="E26" s="334"/>
      <c r="F26" s="335"/>
      <c r="G26" s="334"/>
    </row>
    <row r="27" spans="1:10">
      <c r="A27" s="1214" t="s">
        <v>1761</v>
      </c>
      <c r="B27" s="335"/>
      <c r="C27" s="334"/>
      <c r="D27" s="335"/>
      <c r="E27" s="334"/>
      <c r="F27" s="335"/>
      <c r="G27" s="334"/>
    </row>
    <row r="28" spans="1:10">
      <c r="A28" s="1214" t="s">
        <v>1762</v>
      </c>
      <c r="B28" s="335"/>
      <c r="C28" s="334"/>
      <c r="D28" s="335"/>
      <c r="E28" s="334"/>
      <c r="F28" s="335"/>
      <c r="G28" s="334"/>
    </row>
    <row r="29" spans="1:10">
      <c r="A29" s="1214" t="s">
        <v>1763</v>
      </c>
      <c r="B29" s="335"/>
      <c r="C29" s="334"/>
      <c r="D29" s="335"/>
      <c r="E29" s="334"/>
      <c r="F29" s="335"/>
      <c r="G29" s="334"/>
    </row>
    <row r="30" spans="1:10">
      <c r="A30" s="1214" t="s">
        <v>1764</v>
      </c>
      <c r="B30" s="335"/>
      <c r="C30" s="334"/>
      <c r="D30" s="335"/>
      <c r="E30" s="334"/>
      <c r="F30" s="335"/>
      <c r="G30" s="334"/>
    </row>
    <row r="31" spans="1:10">
      <c r="A31" s="1214" t="s">
        <v>1765</v>
      </c>
      <c r="B31" s="335"/>
      <c r="C31" s="334"/>
      <c r="D31" s="335"/>
      <c r="E31" s="334"/>
      <c r="F31" s="335"/>
      <c r="G31" s="334"/>
    </row>
    <row r="32" spans="1:10">
      <c r="A32" s="1214" t="s">
        <v>1766</v>
      </c>
      <c r="B32" s="335"/>
      <c r="C32" s="334"/>
      <c r="D32" s="335"/>
      <c r="E32" s="334"/>
      <c r="F32" s="335"/>
      <c r="G32" s="334"/>
    </row>
    <row r="33" spans="1:7">
      <c r="A33" s="1214"/>
      <c r="B33" s="335"/>
      <c r="C33" s="334"/>
      <c r="D33" s="335"/>
      <c r="E33" s="334"/>
      <c r="F33" s="335"/>
      <c r="G33" s="334"/>
    </row>
    <row r="34" spans="1:7">
      <c r="A34" s="1214"/>
      <c r="B34" s="335"/>
      <c r="C34" s="334"/>
      <c r="D34" s="335"/>
      <c r="E34" s="334"/>
      <c r="F34" s="335"/>
      <c r="G34" s="334"/>
    </row>
    <row r="35" spans="1:7">
      <c r="A35" s="131" t="s">
        <v>395</v>
      </c>
    </row>
  </sheetData>
  <mergeCells count="1">
    <mergeCell ref="A2:F2"/>
  </mergeCells>
  <pageMargins left="0.47244094488188981" right="0.32" top="0.74803149606299213" bottom="0.86614173228346458" header="0.39370078740157483" footer="0.51181102362204722"/>
  <pageSetup paperSize="9" scale="80" orientation="portrait" horizontalDpi="1200" verticalDpi="12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2A6F-856A-E14B-9674-215DF9049E3C}">
  <sheetPr>
    <pageSetUpPr fitToPage="1"/>
  </sheetPr>
  <dimension ref="A1:H47"/>
  <sheetViews>
    <sheetView zoomScaleNormal="100" workbookViewId="0">
      <selection activeCell="A35" sqref="A35"/>
    </sheetView>
  </sheetViews>
  <sheetFormatPr baseColWidth="10" defaultColWidth="11.3984375" defaultRowHeight="13"/>
  <cols>
    <col min="1" max="5" width="14.796875" style="3" customWidth="1"/>
    <col min="6" max="6" width="15.59765625" style="3" customWidth="1"/>
    <col min="7" max="7" width="15" style="43" customWidth="1"/>
    <col min="8" max="8" width="12.19921875" style="3" customWidth="1"/>
    <col min="9" max="16384" width="11.3984375" style="3"/>
  </cols>
  <sheetData>
    <row r="1" spans="1:8" s="2" customFormat="1" ht="14" customHeight="1">
      <c r="G1" s="425"/>
    </row>
    <row r="2" spans="1:8" s="2" customFormat="1" ht="46.25" customHeight="1">
      <c r="A2" s="2054" t="s">
        <v>1767</v>
      </c>
      <c r="B2" s="2078"/>
      <c r="C2" s="2078"/>
      <c r="D2" s="2078"/>
      <c r="E2" s="2078"/>
      <c r="F2" s="2078"/>
      <c r="G2" s="139">
        <v>2012</v>
      </c>
    </row>
    <row r="3" spans="1:8" ht="27" customHeight="1">
      <c r="A3" s="109" t="s">
        <v>426</v>
      </c>
      <c r="B3" s="110" t="s">
        <v>427</v>
      </c>
      <c r="C3" s="111" t="s">
        <v>482</v>
      </c>
      <c r="D3" s="110" t="s">
        <v>483</v>
      </c>
      <c r="E3" s="111" t="s">
        <v>230</v>
      </c>
      <c r="F3" s="110" t="s">
        <v>230</v>
      </c>
      <c r="G3" s="1215" t="s">
        <v>518</v>
      </c>
    </row>
    <row r="4" spans="1:8" ht="15" customHeight="1">
      <c r="A4" s="156"/>
      <c r="B4" s="113"/>
      <c r="C4" s="156"/>
      <c r="D4" s="300"/>
      <c r="E4" s="114" t="s">
        <v>429</v>
      </c>
      <c r="F4" s="113" t="s">
        <v>1768</v>
      </c>
      <c r="G4" s="1109" t="s">
        <v>427</v>
      </c>
    </row>
    <row r="5" spans="1:8" ht="15" customHeight="1">
      <c r="A5" s="156"/>
      <c r="B5" s="113"/>
      <c r="C5" s="156"/>
      <c r="D5" s="300"/>
      <c r="E5" s="114"/>
      <c r="F5" s="113" t="s">
        <v>429</v>
      </c>
      <c r="G5" s="1109" t="s">
        <v>874</v>
      </c>
    </row>
    <row r="6" spans="1:8" ht="24" customHeight="1">
      <c r="A6" s="157"/>
      <c r="B6" s="169"/>
      <c r="C6" s="157"/>
      <c r="D6" s="169"/>
      <c r="E6" s="118"/>
      <c r="F6" s="117"/>
      <c r="G6" s="1079"/>
      <c r="H6" s="301"/>
    </row>
    <row r="7" spans="1:8" ht="30" customHeight="1" thickBot="1">
      <c r="A7" s="302" t="s">
        <v>434</v>
      </c>
      <c r="B7" s="1974">
        <v>254036</v>
      </c>
      <c r="C7" s="1975">
        <v>555704</v>
      </c>
      <c r="D7" s="1974">
        <v>579701</v>
      </c>
      <c r="E7" s="1975">
        <v>1135407</v>
      </c>
      <c r="F7" s="1974">
        <v>1389442</v>
      </c>
      <c r="G7" s="1976">
        <v>130447</v>
      </c>
      <c r="H7" s="306"/>
    </row>
    <row r="8" spans="1:8" ht="20" customHeight="1" thickBot="1">
      <c r="A8" s="307" t="s">
        <v>435</v>
      </c>
      <c r="B8" s="1974">
        <v>175881</v>
      </c>
      <c r="C8" s="1975">
        <v>387696</v>
      </c>
      <c r="D8" s="1974">
        <v>418789</v>
      </c>
      <c r="E8" s="1975">
        <v>806483</v>
      </c>
      <c r="F8" s="1974">
        <v>982364</v>
      </c>
      <c r="G8" s="1976">
        <v>89806</v>
      </c>
      <c r="H8" s="306"/>
    </row>
    <row r="9" spans="1:8" ht="20" customHeight="1" thickBot="1">
      <c r="A9" s="307" t="s">
        <v>436</v>
      </c>
      <c r="B9" s="1974">
        <v>75012</v>
      </c>
      <c r="C9" s="1975">
        <v>151228</v>
      </c>
      <c r="D9" s="1974">
        <v>157202</v>
      </c>
      <c r="E9" s="1975">
        <v>308431</v>
      </c>
      <c r="F9" s="1974">
        <v>383443</v>
      </c>
      <c r="G9" s="1976">
        <v>38542</v>
      </c>
      <c r="H9" s="306"/>
    </row>
    <row r="10" spans="1:8" ht="20" customHeight="1" thickBot="1">
      <c r="A10" s="307" t="s">
        <v>437</v>
      </c>
      <c r="B10" s="1974">
        <v>6946</v>
      </c>
      <c r="C10" s="1975">
        <v>14347</v>
      </c>
      <c r="D10" s="1974">
        <v>14284</v>
      </c>
      <c r="E10" s="1975">
        <v>28629</v>
      </c>
      <c r="F10" s="1974">
        <v>35575</v>
      </c>
      <c r="G10" s="1976">
        <v>3611</v>
      </c>
      <c r="H10" s="306"/>
    </row>
    <row r="11" spans="1:8" ht="20" customHeight="1" thickBot="1">
      <c r="A11" s="307" t="s">
        <v>438</v>
      </c>
      <c r="B11" s="1974">
        <v>28651</v>
      </c>
      <c r="C11" s="1975">
        <v>60911</v>
      </c>
      <c r="D11" s="1974">
        <v>58797</v>
      </c>
      <c r="E11" s="1975">
        <v>119709</v>
      </c>
      <c r="F11" s="1974">
        <v>148361</v>
      </c>
      <c r="G11" s="1976">
        <v>14673</v>
      </c>
      <c r="H11" s="306"/>
    </row>
    <row r="12" spans="1:8" ht="20" customHeight="1" thickBot="1">
      <c r="A12" s="307" t="s">
        <v>439</v>
      </c>
      <c r="B12" s="1974">
        <v>7155</v>
      </c>
      <c r="C12" s="1975">
        <v>14727</v>
      </c>
      <c r="D12" s="1974">
        <v>14476</v>
      </c>
      <c r="E12" s="1975">
        <v>29206</v>
      </c>
      <c r="F12" s="1974">
        <v>36362</v>
      </c>
      <c r="G12" s="1976">
        <v>3658</v>
      </c>
      <c r="H12" s="306"/>
    </row>
    <row r="13" spans="1:8" ht="20" customHeight="1" thickBot="1">
      <c r="A13" s="307" t="s">
        <v>440</v>
      </c>
      <c r="B13" s="1974">
        <v>7335</v>
      </c>
      <c r="C13" s="1975">
        <v>16946</v>
      </c>
      <c r="D13" s="1974">
        <v>16671</v>
      </c>
      <c r="E13" s="1975">
        <v>33617</v>
      </c>
      <c r="F13" s="1974">
        <v>40952</v>
      </c>
      <c r="G13" s="1976">
        <v>3789</v>
      </c>
      <c r="H13" s="306"/>
    </row>
    <row r="14" spans="1:8" ht="20" customHeight="1" thickBot="1">
      <c r="A14" s="307" t="s">
        <v>441</v>
      </c>
      <c r="B14" s="1974">
        <v>7205</v>
      </c>
      <c r="C14" s="1975">
        <v>16087</v>
      </c>
      <c r="D14" s="1974">
        <v>16046</v>
      </c>
      <c r="E14" s="1975">
        <v>32133</v>
      </c>
      <c r="F14" s="1974">
        <v>39338</v>
      </c>
      <c r="G14" s="1976">
        <v>3724</v>
      </c>
      <c r="H14" s="306"/>
    </row>
    <row r="15" spans="1:8" ht="20" customHeight="1" thickBot="1">
      <c r="A15" s="307" t="s">
        <v>442</v>
      </c>
      <c r="B15" s="1974">
        <v>21903</v>
      </c>
      <c r="C15" s="1975">
        <v>46745</v>
      </c>
      <c r="D15" s="1974">
        <v>46359</v>
      </c>
      <c r="E15" s="1975">
        <v>93103</v>
      </c>
      <c r="F15" s="1974">
        <v>115005</v>
      </c>
      <c r="G15" s="1976">
        <v>11209</v>
      </c>
      <c r="H15" s="306"/>
    </row>
    <row r="16" spans="1:8" ht="20" customHeight="1" thickBot="1">
      <c r="A16" s="307" t="s">
        <v>443</v>
      </c>
      <c r="B16" s="1974">
        <v>62657</v>
      </c>
      <c r="C16" s="1975">
        <v>110810</v>
      </c>
      <c r="D16" s="1974">
        <v>113329</v>
      </c>
      <c r="E16" s="1975">
        <v>224139</v>
      </c>
      <c r="F16" s="1974">
        <v>286796</v>
      </c>
      <c r="G16" s="1976">
        <v>32037</v>
      </c>
      <c r="H16" s="306"/>
    </row>
    <row r="17" spans="1:8" ht="20" customHeight="1" thickBot="1">
      <c r="A17" s="307" t="s">
        <v>444</v>
      </c>
      <c r="B17" s="1974">
        <v>46650</v>
      </c>
      <c r="C17" s="1975">
        <v>103691</v>
      </c>
      <c r="D17" s="1974">
        <v>107989</v>
      </c>
      <c r="E17" s="1975">
        <v>211681</v>
      </c>
      <c r="F17" s="1974">
        <v>258332</v>
      </c>
      <c r="G17" s="1976">
        <v>23953</v>
      </c>
      <c r="H17" s="306"/>
    </row>
    <row r="18" spans="1:8" ht="20" customHeight="1" thickBot="1">
      <c r="A18" s="307" t="s">
        <v>445</v>
      </c>
      <c r="B18" s="1974">
        <v>28639</v>
      </c>
      <c r="C18" s="1975">
        <v>75812</v>
      </c>
      <c r="D18" s="1974">
        <v>82851</v>
      </c>
      <c r="E18" s="1975">
        <v>158663</v>
      </c>
      <c r="F18" s="1974">
        <v>187301</v>
      </c>
      <c r="G18" s="1976">
        <v>14767</v>
      </c>
      <c r="H18" s="306"/>
    </row>
    <row r="19" spans="1:8" ht="20" customHeight="1" thickBot="1">
      <c r="A19" s="307" t="s">
        <v>446</v>
      </c>
      <c r="B19" s="1974">
        <v>49099</v>
      </c>
      <c r="C19" s="1975">
        <v>109723</v>
      </c>
      <c r="D19" s="1974">
        <v>116762</v>
      </c>
      <c r="E19" s="1975">
        <v>226489</v>
      </c>
      <c r="F19" s="1974">
        <v>275588</v>
      </c>
      <c r="G19" s="1976">
        <v>25194</v>
      </c>
      <c r="H19" s="306"/>
    </row>
    <row r="20" spans="1:8" ht="20" customHeight="1" thickBot="1">
      <c r="A20" s="307" t="s">
        <v>447</v>
      </c>
      <c r="B20" s="1974">
        <v>13642</v>
      </c>
      <c r="C20" s="1975">
        <v>31941</v>
      </c>
      <c r="D20" s="1974">
        <v>33274</v>
      </c>
      <c r="E20" s="1975">
        <v>65213</v>
      </c>
      <c r="F20" s="1974">
        <v>78855</v>
      </c>
      <c r="G20" s="1976">
        <v>7067</v>
      </c>
      <c r="H20" s="306"/>
    </row>
    <row r="21" spans="1:8" ht="20" customHeight="1" thickBot="1">
      <c r="A21" s="1216" t="s">
        <v>448</v>
      </c>
      <c r="B21" s="1977">
        <v>10296</v>
      </c>
      <c r="C21" s="1978">
        <v>21728</v>
      </c>
      <c r="D21" s="1977">
        <v>21926</v>
      </c>
      <c r="E21" s="1978">
        <v>43652</v>
      </c>
      <c r="F21" s="1977">
        <v>53948</v>
      </c>
      <c r="G21" s="1979">
        <v>5397</v>
      </c>
      <c r="H21" s="306"/>
    </row>
    <row r="22" spans="1:8" ht="20" customHeight="1" thickBot="1">
      <c r="A22" s="312" t="s">
        <v>449</v>
      </c>
      <c r="B22" s="1980">
        <v>3352</v>
      </c>
      <c r="C22" s="1981">
        <v>6386</v>
      </c>
      <c r="D22" s="1980">
        <v>6048</v>
      </c>
      <c r="E22" s="1981">
        <v>12438</v>
      </c>
      <c r="F22" s="1980">
        <v>15790</v>
      </c>
      <c r="G22" s="1982">
        <v>1740</v>
      </c>
      <c r="H22" s="306"/>
    </row>
    <row r="23" spans="1:8" ht="20" customHeight="1" thickBot="1">
      <c r="A23" s="312" t="s">
        <v>450</v>
      </c>
      <c r="B23" s="1980">
        <v>94911</v>
      </c>
      <c r="C23" s="1981">
        <v>191878</v>
      </c>
      <c r="D23" s="1980">
        <v>196958</v>
      </c>
      <c r="E23" s="1981">
        <v>388839</v>
      </c>
      <c r="F23" s="1980">
        <v>483750</v>
      </c>
      <c r="G23" s="1982">
        <v>48388</v>
      </c>
      <c r="H23" s="306"/>
    </row>
    <row r="24" spans="1:8" ht="20" customHeight="1" thickBot="1">
      <c r="A24" s="312" t="s">
        <v>451</v>
      </c>
      <c r="B24" s="1980">
        <v>33426</v>
      </c>
      <c r="C24" s="1981">
        <v>81342</v>
      </c>
      <c r="D24" s="1980">
        <v>82174</v>
      </c>
      <c r="E24" s="1981">
        <v>163515</v>
      </c>
      <c r="F24" s="1980">
        <v>196942</v>
      </c>
      <c r="G24" s="1982">
        <v>17147</v>
      </c>
      <c r="H24" s="306"/>
    </row>
    <row r="25" spans="1:8" ht="20" customHeight="1" thickBot="1">
      <c r="A25" s="312" t="s">
        <v>452</v>
      </c>
      <c r="B25" s="1980">
        <v>119326</v>
      </c>
      <c r="C25" s="1981">
        <v>252121</v>
      </c>
      <c r="D25" s="1980">
        <v>255159</v>
      </c>
      <c r="E25" s="1981">
        <v>507283</v>
      </c>
      <c r="F25" s="1980">
        <v>626608</v>
      </c>
      <c r="G25" s="1982">
        <v>61508</v>
      </c>
      <c r="H25" s="306"/>
    </row>
    <row r="26" spans="1:8" ht="20" customHeight="1" thickBot="1">
      <c r="A26" s="1217" t="s">
        <v>453</v>
      </c>
      <c r="B26" s="1968">
        <v>49803</v>
      </c>
      <c r="C26" s="1969">
        <v>103063</v>
      </c>
      <c r="D26" s="1968">
        <v>102819</v>
      </c>
      <c r="E26" s="1969">
        <v>205880</v>
      </c>
      <c r="F26" s="1968">
        <v>255684</v>
      </c>
      <c r="G26" s="1983">
        <v>25650</v>
      </c>
      <c r="H26" s="306"/>
    </row>
    <row r="27" spans="1:8" ht="20" customHeight="1" thickBot="1">
      <c r="A27" s="307" t="s">
        <v>454</v>
      </c>
      <c r="B27" s="1974">
        <v>59030</v>
      </c>
      <c r="C27" s="1975">
        <v>132303</v>
      </c>
      <c r="D27" s="1974">
        <v>145062</v>
      </c>
      <c r="E27" s="1975">
        <v>277369</v>
      </c>
      <c r="F27" s="1974">
        <v>336399</v>
      </c>
      <c r="G27" s="1976">
        <v>30293</v>
      </c>
      <c r="H27" s="306"/>
    </row>
    <row r="28" spans="1:8" ht="20" customHeight="1" thickBot="1">
      <c r="A28" s="307" t="s">
        <v>455</v>
      </c>
      <c r="B28" s="1974">
        <v>148018</v>
      </c>
      <c r="C28" s="1975">
        <v>270216</v>
      </c>
      <c r="D28" s="1974">
        <v>292702</v>
      </c>
      <c r="E28" s="1975">
        <v>562919</v>
      </c>
      <c r="F28" s="1974">
        <v>710937</v>
      </c>
      <c r="G28" s="1976">
        <v>75889</v>
      </c>
      <c r="H28" s="306"/>
    </row>
    <row r="29" spans="1:8" ht="20" customHeight="1" thickBot="1">
      <c r="A29" s="307" t="s">
        <v>456</v>
      </c>
      <c r="B29" s="1974">
        <v>60557</v>
      </c>
      <c r="C29" s="1975">
        <v>128419</v>
      </c>
      <c r="D29" s="1974">
        <v>132353</v>
      </c>
      <c r="E29" s="1975">
        <v>260774</v>
      </c>
      <c r="F29" s="1974">
        <v>321331</v>
      </c>
      <c r="G29" s="1976">
        <v>31032</v>
      </c>
      <c r="H29" s="306"/>
    </row>
    <row r="30" spans="1:8" ht="20" customHeight="1" thickBot="1">
      <c r="A30" s="307" t="s">
        <v>457</v>
      </c>
      <c r="B30" s="1974">
        <v>34960</v>
      </c>
      <c r="C30" s="1975">
        <v>66303</v>
      </c>
      <c r="D30" s="1974">
        <v>72073</v>
      </c>
      <c r="E30" s="1975">
        <v>138377</v>
      </c>
      <c r="F30" s="1974">
        <v>173338</v>
      </c>
      <c r="G30" s="1976">
        <v>17992</v>
      </c>
      <c r="H30" s="306"/>
    </row>
    <row r="31" spans="1:8" ht="20" customHeight="1" thickBot="1">
      <c r="A31" s="307" t="s">
        <v>458</v>
      </c>
      <c r="B31" s="1974">
        <v>88267</v>
      </c>
      <c r="C31" s="1975">
        <v>161866</v>
      </c>
      <c r="D31" s="1974">
        <v>178510</v>
      </c>
      <c r="E31" s="1975">
        <v>340377</v>
      </c>
      <c r="F31" s="1974">
        <v>428644</v>
      </c>
      <c r="G31" s="1976">
        <v>45117</v>
      </c>
      <c r="H31" s="306"/>
    </row>
    <row r="32" spans="1:8" ht="20" customHeight="1" thickBot="1">
      <c r="A32" s="174" t="s">
        <v>459</v>
      </c>
      <c r="B32" s="1974">
        <v>14608</v>
      </c>
      <c r="C32" s="1975">
        <v>27232</v>
      </c>
      <c r="D32" s="1974">
        <v>28822</v>
      </c>
      <c r="E32" s="1975">
        <v>56054</v>
      </c>
      <c r="F32" s="1974">
        <v>70661</v>
      </c>
      <c r="G32" s="1976">
        <v>7534</v>
      </c>
      <c r="H32" s="306"/>
    </row>
    <row r="33" spans="1:8" ht="30" customHeight="1" thickBot="1">
      <c r="A33" s="322" t="s">
        <v>462</v>
      </c>
      <c r="B33" s="1984">
        <v>1501365</v>
      </c>
      <c r="C33" s="1985">
        <v>3139225</v>
      </c>
      <c r="D33" s="1984">
        <v>3291136</v>
      </c>
      <c r="E33" s="1985">
        <v>6430380</v>
      </c>
      <c r="F33" s="1984">
        <v>7931746</v>
      </c>
      <c r="G33" s="1986">
        <v>770164</v>
      </c>
      <c r="H33" s="306"/>
    </row>
    <row r="34" spans="1:8" ht="20" customHeight="1">
      <c r="A34" s="130" t="s">
        <v>2549</v>
      </c>
      <c r="B34" s="130"/>
      <c r="C34" s="130"/>
      <c r="D34" s="130"/>
      <c r="E34" s="130"/>
      <c r="F34" s="130"/>
      <c r="H34" s="301"/>
    </row>
    <row r="35" spans="1:8" ht="11.25" customHeight="1">
      <c r="A35" s="131"/>
      <c r="B35" s="131"/>
      <c r="C35" s="131"/>
      <c r="D35" s="131"/>
      <c r="E35" s="131"/>
      <c r="F35" s="131"/>
      <c r="H35" s="301"/>
    </row>
    <row r="36" spans="1:8" ht="14.25" customHeight="1">
      <c r="A36" s="131" t="s">
        <v>1723</v>
      </c>
      <c r="B36" s="131"/>
      <c r="C36" s="131"/>
      <c r="D36" s="131"/>
      <c r="E36" s="131"/>
      <c r="F36" s="131"/>
      <c r="H36" s="301"/>
    </row>
    <row r="37" spans="1:8" ht="13.5" customHeight="1">
      <c r="A37" s="131"/>
      <c r="B37" s="131"/>
      <c r="C37" s="131"/>
      <c r="D37" s="131"/>
      <c r="E37" s="131"/>
      <c r="F37" s="131"/>
      <c r="H37" s="301"/>
    </row>
    <row r="38" spans="1:8" ht="12" customHeight="1">
      <c r="A38" s="131" t="s">
        <v>1769</v>
      </c>
    </row>
    <row r="39" spans="1:8" ht="12.75" customHeight="1">
      <c r="A39" s="558" t="s">
        <v>1770</v>
      </c>
      <c r="G39" s="3"/>
    </row>
    <row r="40" spans="1:8" ht="12" customHeight="1">
      <c r="A40" s="3" t="s">
        <v>1771</v>
      </c>
      <c r="G40" s="3"/>
    </row>
    <row r="41" spans="1:8" ht="12" customHeight="1">
      <c r="A41" s="3" t="s">
        <v>1772</v>
      </c>
      <c r="G41" s="3"/>
    </row>
    <row r="42" spans="1:8" ht="12" customHeight="1">
      <c r="A42" s="3" t="s">
        <v>1773</v>
      </c>
      <c r="G42" s="3"/>
    </row>
    <row r="43" spans="1:8" ht="12" customHeight="1">
      <c r="A43" s="1218" t="s">
        <v>1774</v>
      </c>
      <c r="C43" s="3" t="s">
        <v>1775</v>
      </c>
      <c r="G43" s="3"/>
    </row>
    <row r="44" spans="1:8" ht="12" customHeight="1">
      <c r="A44" s="3" t="s">
        <v>1776</v>
      </c>
      <c r="G44" s="3"/>
    </row>
    <row r="45" spans="1:8" ht="12" customHeight="1"/>
    <row r="46" spans="1:8" ht="12" customHeight="1"/>
    <row r="47" spans="1:8" ht="12" customHeight="1">
      <c r="A47" s="131" t="s">
        <v>395</v>
      </c>
    </row>
  </sheetData>
  <mergeCells count="1">
    <mergeCell ref="A2:F2"/>
  </mergeCells>
  <hyperlinks>
    <hyperlink ref="A43" r:id="rId1" xr:uid="{8071EAB7-B750-6345-995C-F7D27C1E4C68}"/>
  </hyperlinks>
  <pageMargins left="0.51181102362204722" right="0.28999999999999998" top="0.43307086614173229" bottom="0.47244094488188981" header="0.31496062992125984" footer="0.51181102362204722"/>
  <pageSetup paperSize="9" scale="83" orientation="portrait"/>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FC7A6-E1D7-3C4D-AB5A-78CD90C227E6}">
  <sheetPr>
    <pageSetUpPr fitToPage="1"/>
  </sheetPr>
  <dimension ref="A1:H49"/>
  <sheetViews>
    <sheetView topLeftCell="A23" zoomScaleNormal="100" workbookViewId="0">
      <selection activeCell="A35" sqref="A35"/>
    </sheetView>
  </sheetViews>
  <sheetFormatPr baseColWidth="10" defaultColWidth="11.3984375" defaultRowHeight="13"/>
  <cols>
    <col min="1" max="1" width="14.796875" style="3" customWidth="1"/>
    <col min="2" max="6" width="19.59765625" style="3" customWidth="1"/>
    <col min="7" max="7" width="13.59765625" style="3" customWidth="1"/>
    <col min="8" max="8" width="15.19921875" style="3" hidden="1" customWidth="1"/>
    <col min="9" max="9" width="8.796875" style="3" customWidth="1"/>
    <col min="10" max="16384" width="11.3984375" style="3"/>
  </cols>
  <sheetData>
    <row r="1" spans="1:8" s="2" customFormat="1" ht="14" customHeight="1"/>
    <row r="2" spans="1:8" s="2" customFormat="1" ht="45" customHeight="1">
      <c r="A2" s="2054" t="s">
        <v>1777</v>
      </c>
      <c r="B2" s="2055"/>
      <c r="C2" s="2055"/>
      <c r="D2" s="2055"/>
      <c r="E2" s="2055"/>
      <c r="F2" s="139">
        <v>2012</v>
      </c>
    </row>
    <row r="3" spans="1:8" ht="27" customHeight="1">
      <c r="A3" s="109" t="s">
        <v>426</v>
      </c>
      <c r="B3" s="110" t="s">
        <v>427</v>
      </c>
      <c r="C3" s="111" t="s">
        <v>482</v>
      </c>
      <c r="D3" s="110" t="s">
        <v>483</v>
      </c>
      <c r="E3" s="111" t="s">
        <v>230</v>
      </c>
      <c r="F3" s="110" t="s">
        <v>230</v>
      </c>
    </row>
    <row r="4" spans="1:8" ht="15" customHeight="1">
      <c r="A4" s="156"/>
      <c r="B4" s="113"/>
      <c r="C4" s="156"/>
      <c r="D4" s="300"/>
      <c r="E4" s="114" t="s">
        <v>1778</v>
      </c>
      <c r="F4" s="113" t="s">
        <v>1768</v>
      </c>
    </row>
    <row r="5" spans="1:8" ht="15" customHeight="1">
      <c r="A5" s="156"/>
      <c r="B5" s="113"/>
      <c r="C5" s="156"/>
      <c r="D5" s="300"/>
      <c r="E5" s="114" t="s">
        <v>1779</v>
      </c>
      <c r="F5" s="113" t="s">
        <v>429</v>
      </c>
    </row>
    <row r="6" spans="1:8" ht="24" customHeight="1">
      <c r="A6" s="157"/>
      <c r="B6" s="169"/>
      <c r="C6" s="157"/>
      <c r="D6" s="169"/>
      <c r="E6" s="118"/>
      <c r="F6" s="117"/>
    </row>
    <row r="7" spans="1:8" ht="30" customHeight="1" thickBot="1">
      <c r="A7" s="302" t="s">
        <v>434</v>
      </c>
      <c r="B7" s="1968">
        <v>242532267</v>
      </c>
      <c r="C7" s="1969">
        <v>1439970169</v>
      </c>
      <c r="D7" s="1968">
        <v>2054735750</v>
      </c>
      <c r="E7" s="1969">
        <v>3494705919</v>
      </c>
      <c r="F7" s="1968">
        <v>3737238186</v>
      </c>
      <c r="H7" s="8">
        <v>2156035045</v>
      </c>
    </row>
    <row r="8" spans="1:8" ht="20" customHeight="1" thickBot="1">
      <c r="A8" s="307" t="s">
        <v>435</v>
      </c>
      <c r="B8" s="1970">
        <v>133910531</v>
      </c>
      <c r="C8" s="1971">
        <v>1079122555</v>
      </c>
      <c r="D8" s="1970">
        <v>1540519384</v>
      </c>
      <c r="E8" s="1971">
        <v>2619641939</v>
      </c>
      <c r="F8" s="1970">
        <v>2753552470</v>
      </c>
      <c r="H8" s="8">
        <v>1563935884</v>
      </c>
    </row>
    <row r="9" spans="1:8" ht="20" customHeight="1" thickBot="1">
      <c r="A9" s="307" t="s">
        <v>436</v>
      </c>
      <c r="B9" s="1970">
        <v>54852573</v>
      </c>
      <c r="C9" s="1971">
        <v>354227834</v>
      </c>
      <c r="D9" s="1970">
        <v>490245725</v>
      </c>
      <c r="E9" s="1971">
        <v>844473559</v>
      </c>
      <c r="F9" s="1970">
        <v>899326132</v>
      </c>
      <c r="H9" s="8">
        <v>464604355</v>
      </c>
    </row>
    <row r="10" spans="1:8" ht="20" customHeight="1" thickBot="1">
      <c r="A10" s="307" t="s">
        <v>437</v>
      </c>
      <c r="B10" s="1970">
        <v>4501706</v>
      </c>
      <c r="C10" s="1971">
        <v>32866609</v>
      </c>
      <c r="D10" s="1970">
        <v>41367457</v>
      </c>
      <c r="E10" s="1971">
        <v>74234066</v>
      </c>
      <c r="F10" s="1970">
        <v>78735772</v>
      </c>
      <c r="H10" s="8">
        <v>45901795</v>
      </c>
    </row>
    <row r="11" spans="1:8" ht="20" customHeight="1" thickBot="1">
      <c r="A11" s="307" t="s">
        <v>438</v>
      </c>
      <c r="B11" s="1970">
        <v>24207841</v>
      </c>
      <c r="C11" s="1971">
        <v>143067008</v>
      </c>
      <c r="D11" s="1970">
        <v>182024991</v>
      </c>
      <c r="E11" s="1971">
        <v>325091999</v>
      </c>
      <c r="F11" s="1970">
        <v>349299840</v>
      </c>
      <c r="H11" s="8">
        <v>171549320</v>
      </c>
    </row>
    <row r="12" spans="1:8" ht="20" customHeight="1" thickBot="1">
      <c r="A12" s="307" t="s">
        <v>439</v>
      </c>
      <c r="B12" s="1970">
        <v>5784750</v>
      </c>
      <c r="C12" s="1971">
        <v>33771810</v>
      </c>
      <c r="D12" s="1970">
        <v>42453776</v>
      </c>
      <c r="E12" s="1971">
        <v>76225586</v>
      </c>
      <c r="F12" s="1970">
        <v>82010336</v>
      </c>
      <c r="H12" s="8">
        <v>41764939</v>
      </c>
    </row>
    <row r="13" spans="1:8" ht="20" customHeight="1" thickBot="1">
      <c r="A13" s="307" t="s">
        <v>440</v>
      </c>
      <c r="B13" s="1970">
        <v>5162733</v>
      </c>
      <c r="C13" s="1971">
        <v>38420509</v>
      </c>
      <c r="D13" s="1970">
        <v>48930724</v>
      </c>
      <c r="E13" s="1971">
        <v>87351233</v>
      </c>
      <c r="F13" s="1970">
        <v>92513966</v>
      </c>
      <c r="H13" s="8">
        <v>44323506</v>
      </c>
    </row>
    <row r="14" spans="1:8" ht="20" customHeight="1" thickBot="1">
      <c r="A14" s="307" t="s">
        <v>441</v>
      </c>
      <c r="B14" s="1970">
        <v>5447349</v>
      </c>
      <c r="C14" s="1971">
        <v>39650316</v>
      </c>
      <c r="D14" s="1970">
        <v>50770817</v>
      </c>
      <c r="E14" s="1971">
        <v>90421133</v>
      </c>
      <c r="F14" s="1970">
        <v>95868482</v>
      </c>
      <c r="H14" s="8">
        <v>55927154</v>
      </c>
    </row>
    <row r="15" spans="1:8" ht="20" customHeight="1" thickBot="1">
      <c r="A15" s="307" t="s">
        <v>442</v>
      </c>
      <c r="B15" s="1970">
        <v>17088450</v>
      </c>
      <c r="C15" s="1971">
        <v>102310588</v>
      </c>
      <c r="D15" s="1970">
        <v>139822260</v>
      </c>
      <c r="E15" s="1971">
        <v>242132848</v>
      </c>
      <c r="F15" s="1970">
        <v>259221298</v>
      </c>
      <c r="H15" s="8">
        <v>128772453</v>
      </c>
    </row>
    <row r="16" spans="1:8" ht="20" customHeight="1" thickBot="1">
      <c r="A16" s="307" t="s">
        <v>443</v>
      </c>
      <c r="B16" s="1970">
        <v>51996003</v>
      </c>
      <c r="C16" s="1971">
        <v>273871701</v>
      </c>
      <c r="D16" s="1970">
        <v>379524794</v>
      </c>
      <c r="E16" s="1971">
        <v>653396495</v>
      </c>
      <c r="F16" s="1970">
        <v>705392498</v>
      </c>
      <c r="H16" s="8">
        <v>391250033</v>
      </c>
    </row>
    <row r="17" spans="1:8" ht="20" customHeight="1" thickBot="1">
      <c r="A17" s="307" t="s">
        <v>444</v>
      </c>
      <c r="B17" s="1970">
        <v>40757356</v>
      </c>
      <c r="C17" s="1971">
        <v>274287805</v>
      </c>
      <c r="D17" s="1970">
        <v>367555005</v>
      </c>
      <c r="E17" s="1971">
        <v>641842810</v>
      </c>
      <c r="F17" s="1970">
        <v>682600166</v>
      </c>
      <c r="H17" s="8">
        <v>393696828</v>
      </c>
    </row>
    <row r="18" spans="1:8" ht="20" customHeight="1" thickBot="1">
      <c r="A18" s="307" t="s">
        <v>445</v>
      </c>
      <c r="B18" s="1970">
        <v>33010181</v>
      </c>
      <c r="C18" s="1971">
        <v>251919522</v>
      </c>
      <c r="D18" s="1970">
        <v>390475835</v>
      </c>
      <c r="E18" s="1971">
        <v>642395357</v>
      </c>
      <c r="F18" s="1970">
        <v>675405538</v>
      </c>
      <c r="H18" s="8">
        <v>473520714</v>
      </c>
    </row>
    <row r="19" spans="1:8" ht="20" customHeight="1" thickBot="1">
      <c r="A19" s="307" t="s">
        <v>446</v>
      </c>
      <c r="B19" s="1970">
        <v>48692006</v>
      </c>
      <c r="C19" s="1971">
        <v>313212872</v>
      </c>
      <c r="D19" s="1970">
        <v>449379093</v>
      </c>
      <c r="E19" s="1971">
        <v>762591965</v>
      </c>
      <c r="F19" s="1970">
        <v>811283971</v>
      </c>
      <c r="H19" s="8">
        <v>469771093</v>
      </c>
    </row>
    <row r="20" spans="1:8" ht="20" customHeight="1" thickBot="1">
      <c r="A20" s="307" t="s">
        <v>447</v>
      </c>
      <c r="B20" s="1970">
        <v>9720846</v>
      </c>
      <c r="C20" s="1971">
        <v>78369834</v>
      </c>
      <c r="D20" s="1970">
        <v>114672363</v>
      </c>
      <c r="E20" s="1971">
        <v>193042197</v>
      </c>
      <c r="F20" s="1970">
        <v>202763043</v>
      </c>
      <c r="H20" s="8">
        <v>127694959</v>
      </c>
    </row>
    <row r="21" spans="1:8" ht="20" customHeight="1" thickBot="1">
      <c r="A21" s="307" t="s">
        <v>448</v>
      </c>
      <c r="B21" s="1970">
        <v>7275120</v>
      </c>
      <c r="C21" s="1971">
        <v>50452502</v>
      </c>
      <c r="D21" s="1970">
        <v>68082851</v>
      </c>
      <c r="E21" s="1971">
        <v>118535353</v>
      </c>
      <c r="F21" s="1970">
        <v>125810473</v>
      </c>
      <c r="H21" s="8">
        <v>69489100</v>
      </c>
    </row>
    <row r="22" spans="1:8" ht="20" customHeight="1" thickBot="1">
      <c r="A22" s="307" t="s">
        <v>449</v>
      </c>
      <c r="B22" s="1970">
        <v>1878727</v>
      </c>
      <c r="C22" s="1971">
        <v>12571980</v>
      </c>
      <c r="D22" s="1970">
        <v>15819764</v>
      </c>
      <c r="E22" s="1971">
        <v>28391744</v>
      </c>
      <c r="F22" s="1970">
        <v>30270471</v>
      </c>
      <c r="H22" s="8">
        <v>16712649</v>
      </c>
    </row>
    <row r="23" spans="1:8" ht="20" customHeight="1" thickBot="1">
      <c r="A23" s="307" t="s">
        <v>450</v>
      </c>
      <c r="B23" s="1970">
        <v>78216599</v>
      </c>
      <c r="C23" s="1971">
        <v>456145239</v>
      </c>
      <c r="D23" s="1970">
        <v>629248231</v>
      </c>
      <c r="E23" s="1971">
        <v>1085393470</v>
      </c>
      <c r="F23" s="1970">
        <v>1163610069</v>
      </c>
      <c r="H23" s="8">
        <v>615853738</v>
      </c>
    </row>
    <row r="24" spans="1:8" ht="20" customHeight="1" thickBot="1">
      <c r="A24" s="307" t="s">
        <v>451</v>
      </c>
      <c r="B24" s="1970">
        <v>27931336</v>
      </c>
      <c r="C24" s="1971">
        <v>184259556</v>
      </c>
      <c r="D24" s="1970">
        <v>252656687</v>
      </c>
      <c r="E24" s="1971">
        <v>436916243</v>
      </c>
      <c r="F24" s="1970">
        <v>464847579</v>
      </c>
      <c r="H24" s="8">
        <v>264690646</v>
      </c>
    </row>
    <row r="25" spans="1:8" ht="20" customHeight="1" thickBot="1">
      <c r="A25" s="307" t="s">
        <v>452</v>
      </c>
      <c r="B25" s="1970">
        <v>104643581</v>
      </c>
      <c r="C25" s="1971">
        <v>631363542</v>
      </c>
      <c r="D25" s="1970">
        <v>845742239</v>
      </c>
      <c r="E25" s="1971">
        <v>1477105781</v>
      </c>
      <c r="F25" s="1970">
        <v>1581749362</v>
      </c>
      <c r="H25" s="8">
        <v>819222625</v>
      </c>
    </row>
    <row r="26" spans="1:8" ht="20" customHeight="1" thickBot="1">
      <c r="A26" s="307" t="s">
        <v>453</v>
      </c>
      <c r="B26" s="1970">
        <v>40283566</v>
      </c>
      <c r="C26" s="1971">
        <v>231671266</v>
      </c>
      <c r="D26" s="1970">
        <v>317663386</v>
      </c>
      <c r="E26" s="1971">
        <v>549334652</v>
      </c>
      <c r="F26" s="1970">
        <v>589618218</v>
      </c>
      <c r="H26" s="8">
        <v>344655658</v>
      </c>
    </row>
    <row r="27" spans="1:8" ht="20" customHeight="1" thickBot="1">
      <c r="A27" s="307" t="s">
        <v>454</v>
      </c>
      <c r="B27" s="1970">
        <v>52534531</v>
      </c>
      <c r="C27" s="1971">
        <v>379593464</v>
      </c>
      <c r="D27" s="1970">
        <v>537166180</v>
      </c>
      <c r="E27" s="1971">
        <v>916759644</v>
      </c>
      <c r="F27" s="1970">
        <v>969294175</v>
      </c>
      <c r="H27" s="8">
        <v>627641817</v>
      </c>
    </row>
    <row r="28" spans="1:8" ht="20" customHeight="1" thickBot="1">
      <c r="A28" s="307" t="s">
        <v>455</v>
      </c>
      <c r="B28" s="1970">
        <v>147031919</v>
      </c>
      <c r="C28" s="1971">
        <v>754863661</v>
      </c>
      <c r="D28" s="1970">
        <v>1147450073</v>
      </c>
      <c r="E28" s="1971">
        <v>1902313734</v>
      </c>
      <c r="F28" s="1970">
        <v>2049345653</v>
      </c>
      <c r="H28" s="8">
        <v>1280335377</v>
      </c>
    </row>
    <row r="29" spans="1:8" ht="20" customHeight="1" thickBot="1">
      <c r="A29" s="307" t="s">
        <v>456</v>
      </c>
      <c r="B29" s="1970">
        <v>48987061</v>
      </c>
      <c r="C29" s="1971">
        <v>313238846</v>
      </c>
      <c r="D29" s="1970">
        <v>430942655</v>
      </c>
      <c r="E29" s="1971">
        <v>744181501</v>
      </c>
      <c r="F29" s="1970">
        <v>793168562</v>
      </c>
      <c r="H29" s="8">
        <v>410743307</v>
      </c>
    </row>
    <row r="30" spans="1:8" ht="20" customHeight="1" thickBot="1">
      <c r="A30" s="307" t="s">
        <v>457</v>
      </c>
      <c r="B30" s="1970">
        <v>28039492</v>
      </c>
      <c r="C30" s="1971">
        <v>171025352</v>
      </c>
      <c r="D30" s="1970">
        <v>255060273</v>
      </c>
      <c r="E30" s="1971">
        <v>426085625</v>
      </c>
      <c r="F30" s="1970">
        <v>454125117</v>
      </c>
      <c r="H30" s="8">
        <v>318756043</v>
      </c>
    </row>
    <row r="31" spans="1:8" ht="20" customHeight="1" thickBot="1">
      <c r="A31" s="307" t="s">
        <v>458</v>
      </c>
      <c r="B31" s="1970">
        <v>104547766</v>
      </c>
      <c r="C31" s="1971">
        <v>534929399</v>
      </c>
      <c r="D31" s="1970">
        <v>838455768</v>
      </c>
      <c r="E31" s="1971">
        <v>1373385167</v>
      </c>
      <c r="F31" s="1970">
        <v>1477932933</v>
      </c>
      <c r="H31" s="8">
        <v>966736347</v>
      </c>
    </row>
    <row r="32" spans="1:8" ht="20" customHeight="1" thickBot="1">
      <c r="A32" s="174" t="s">
        <v>459</v>
      </c>
      <c r="B32" s="1970">
        <v>11407261</v>
      </c>
      <c r="C32" s="1971">
        <v>74435687</v>
      </c>
      <c r="D32" s="1970">
        <v>107102326</v>
      </c>
      <c r="E32" s="1971">
        <v>181538013</v>
      </c>
      <c r="F32" s="1970">
        <v>192945274</v>
      </c>
      <c r="H32" s="8">
        <v>146808815</v>
      </c>
    </row>
    <row r="33" spans="1:8" ht="30" customHeight="1" thickBot="1">
      <c r="A33" s="322" t="s">
        <v>462</v>
      </c>
      <c r="B33" s="1972">
        <v>1330441551</v>
      </c>
      <c r="C33" s="1973">
        <v>8249619626</v>
      </c>
      <c r="D33" s="1972">
        <v>11737868407</v>
      </c>
      <c r="E33" s="1973">
        <v>19987488033</v>
      </c>
      <c r="F33" s="1972">
        <v>21317929584</v>
      </c>
      <c r="H33" s="8">
        <v>12410394200</v>
      </c>
    </row>
    <row r="34" spans="1:8" ht="20" customHeight="1">
      <c r="A34" s="130" t="s">
        <v>2549</v>
      </c>
      <c r="B34" s="130"/>
      <c r="C34" s="130"/>
      <c r="D34" s="130"/>
      <c r="E34" s="130"/>
      <c r="F34" s="130"/>
    </row>
    <row r="35" spans="1:8" ht="12.75" customHeight="1">
      <c r="A35" s="131"/>
      <c r="B35" s="131"/>
      <c r="C35" s="131"/>
      <c r="D35" s="131"/>
      <c r="E35" s="131"/>
      <c r="F35" s="131"/>
    </row>
    <row r="36" spans="1:8" ht="14.25" customHeight="1">
      <c r="A36" s="131" t="s">
        <v>1723</v>
      </c>
      <c r="B36" s="131"/>
      <c r="C36" s="131"/>
      <c r="D36" s="131"/>
      <c r="E36" s="131"/>
      <c r="F36" s="131"/>
    </row>
    <row r="37" spans="1:8" ht="10.5" customHeight="1">
      <c r="A37" s="131"/>
      <c r="B37" s="131"/>
      <c r="C37" s="131"/>
      <c r="D37" s="131"/>
      <c r="E37" s="131"/>
      <c r="F37" s="131"/>
    </row>
    <row r="38" spans="1:8" ht="15" customHeight="1">
      <c r="A38" s="131" t="s">
        <v>1780</v>
      </c>
      <c r="B38" s="131"/>
      <c r="C38" s="131"/>
      <c r="D38" s="131"/>
      <c r="E38" s="131"/>
      <c r="F38" s="131"/>
    </row>
    <row r="39" spans="1:8" ht="15" customHeight="1">
      <c r="A39" s="3" t="s">
        <v>1781</v>
      </c>
    </row>
    <row r="40" spans="1:8" ht="15" customHeight="1">
      <c r="A40" s="1219" t="s">
        <v>1782</v>
      </c>
    </row>
    <row r="41" spans="1:8" ht="15" customHeight="1">
      <c r="A41" s="1219" t="s">
        <v>1783</v>
      </c>
    </row>
    <row r="42" spans="1:8" ht="15" customHeight="1">
      <c r="A42" s="1219" t="s">
        <v>1784</v>
      </c>
    </row>
    <row r="43" spans="1:8" ht="15" customHeight="1">
      <c r="A43" s="1220" t="s">
        <v>1785</v>
      </c>
    </row>
    <row r="44" spans="1:8" ht="15" customHeight="1">
      <c r="A44" s="336" t="s">
        <v>1786</v>
      </c>
    </row>
    <row r="45" spans="1:8" ht="15" customHeight="1">
      <c r="A45" s="1219" t="s">
        <v>1787</v>
      </c>
    </row>
    <row r="46" spans="1:8" ht="15" customHeight="1">
      <c r="A46" s="1219" t="s">
        <v>1788</v>
      </c>
    </row>
    <row r="47" spans="1:8" ht="12" customHeight="1"/>
    <row r="48" spans="1:8" ht="12" customHeight="1"/>
    <row r="49" spans="1:1" ht="12" customHeight="1">
      <c r="A49" s="131" t="s">
        <v>395</v>
      </c>
    </row>
  </sheetData>
  <mergeCells count="1">
    <mergeCell ref="A2:E2"/>
  </mergeCells>
  <pageMargins left="0.59055118110236227" right="0.41" top="0.74803149606299213" bottom="0.47244094488188981" header="0.35433070866141736" footer="0.51181102362204722"/>
  <pageSetup paperSize="9" scale="74" orientation="portrait" horizontalDpi="4294967292" verticalDpi="4294967292"/>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19E4-12CA-8E41-84BB-227A4102B3DD}">
  <sheetPr>
    <pageSetUpPr fitToPage="1"/>
  </sheetPr>
  <dimension ref="A1:H23"/>
  <sheetViews>
    <sheetView zoomScale="115" zoomScaleNormal="115" workbookViewId="0">
      <selection activeCell="H20" sqref="H20"/>
    </sheetView>
  </sheetViews>
  <sheetFormatPr baseColWidth="10" defaultColWidth="11.59765625" defaultRowHeight="13"/>
  <cols>
    <col min="1" max="1" width="5.59765625" style="65" customWidth="1"/>
    <col min="2" max="16384" width="11.59765625" style="65"/>
  </cols>
  <sheetData>
    <row r="1" spans="1:3" ht="16">
      <c r="A1" s="66" t="s">
        <v>669</v>
      </c>
    </row>
    <row r="3" spans="1:3">
      <c r="A3" s="68">
        <v>11.01</v>
      </c>
      <c r="B3" s="63" t="s">
        <v>670</v>
      </c>
      <c r="C3" s="542"/>
    </row>
    <row r="4" spans="1:3">
      <c r="A4" s="68">
        <v>11.02</v>
      </c>
      <c r="B4" s="63" t="s">
        <v>671</v>
      </c>
      <c r="C4" s="542"/>
    </row>
    <row r="5" spans="1:3">
      <c r="A5" s="68">
        <v>11.03</v>
      </c>
      <c r="B5" s="63" t="s">
        <v>672</v>
      </c>
      <c r="C5" s="542"/>
    </row>
    <row r="6" spans="1:3">
      <c r="A6" s="68">
        <v>11.04</v>
      </c>
      <c r="B6" s="543" t="s">
        <v>673</v>
      </c>
      <c r="C6" s="542"/>
    </row>
    <row r="7" spans="1:3">
      <c r="A7" s="68">
        <v>11.05</v>
      </c>
      <c r="B7" s="63" t="s">
        <v>674</v>
      </c>
      <c r="C7" s="542"/>
    </row>
    <row r="8" spans="1:3">
      <c r="A8" s="68">
        <v>11.06</v>
      </c>
      <c r="B8" s="63" t="s">
        <v>675</v>
      </c>
      <c r="C8" s="542"/>
    </row>
    <row r="9" spans="1:3">
      <c r="A9" s="68">
        <v>11.07</v>
      </c>
      <c r="B9" s="63" t="s">
        <v>676</v>
      </c>
      <c r="C9" s="542"/>
    </row>
    <row r="10" spans="1:3">
      <c r="A10" s="68">
        <v>11.08</v>
      </c>
      <c r="B10" s="63" t="s">
        <v>677</v>
      </c>
      <c r="C10" s="542"/>
    </row>
    <row r="11" spans="1:3">
      <c r="A11" s="68">
        <v>11.09</v>
      </c>
      <c r="B11" s="63" t="s">
        <v>678</v>
      </c>
      <c r="C11" s="542"/>
    </row>
    <row r="12" spans="1:3">
      <c r="A12" s="68">
        <v>11.1</v>
      </c>
      <c r="B12" s="63" t="s">
        <v>679</v>
      </c>
      <c r="C12" s="542"/>
    </row>
    <row r="13" spans="1:3">
      <c r="A13" s="68">
        <v>11.11</v>
      </c>
      <c r="B13" s="64" t="s">
        <v>680</v>
      </c>
      <c r="C13" s="542"/>
    </row>
    <row r="14" spans="1:3">
      <c r="A14" s="68">
        <v>11.12</v>
      </c>
      <c r="B14" s="63" t="s">
        <v>681</v>
      </c>
      <c r="C14" s="542"/>
    </row>
    <row r="15" spans="1:3">
      <c r="A15" s="68">
        <v>11.13</v>
      </c>
      <c r="B15" s="63" t="s">
        <v>682</v>
      </c>
      <c r="C15" s="542"/>
    </row>
    <row r="16" spans="1:3">
      <c r="A16" s="68">
        <v>11.14</v>
      </c>
      <c r="B16" s="64" t="s">
        <v>683</v>
      </c>
      <c r="C16" s="542"/>
    </row>
    <row r="17" spans="1:8">
      <c r="A17" s="68">
        <v>11.15</v>
      </c>
      <c r="B17" s="64" t="s">
        <v>684</v>
      </c>
      <c r="C17" s="542"/>
    </row>
    <row r="18" spans="1:8">
      <c r="A18" s="68">
        <v>11.16</v>
      </c>
      <c r="B18" s="64" t="s">
        <v>685</v>
      </c>
      <c r="C18" s="542"/>
    </row>
    <row r="19" spans="1:8">
      <c r="A19" s="68">
        <v>11.17</v>
      </c>
      <c r="B19" s="64" t="s">
        <v>686</v>
      </c>
      <c r="C19" s="542"/>
    </row>
    <row r="20" spans="1:8">
      <c r="A20" s="68">
        <v>11.18</v>
      </c>
      <c r="B20" s="64" t="s">
        <v>687</v>
      </c>
      <c r="C20" s="542"/>
      <c r="H20" s="544"/>
    </row>
    <row r="21" spans="1:8">
      <c r="A21" s="68"/>
      <c r="B21" s="67"/>
    </row>
    <row r="23" spans="1:8">
      <c r="A23" s="70" t="s">
        <v>395</v>
      </c>
    </row>
  </sheetData>
  <pageMargins left="0.46" right="0.46" top="0.63" bottom="0.984251969" header="0.38" footer="0.4921259845"/>
  <pageSetup paperSize="9" orientation="portrait"/>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79C2-EFBA-EB43-AD15-4BF10FF97E3E}">
  <sheetPr>
    <pageSetUpPr fitToPage="1"/>
  </sheetPr>
  <dimension ref="A1:K32"/>
  <sheetViews>
    <sheetView zoomScaleNormal="100" workbookViewId="0">
      <selection activeCell="G26" sqref="G26"/>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2" customFormat="1" ht="14" customHeight="1"/>
    <row r="2" spans="1:11" s="2" customFormat="1" ht="25.25" customHeight="1">
      <c r="A2" s="139" t="s">
        <v>820</v>
      </c>
      <c r="G2" s="222"/>
    </row>
    <row r="3" spans="1:11" ht="24" customHeight="1">
      <c r="A3" s="109" t="s">
        <v>821</v>
      </c>
      <c r="B3" s="110" t="s">
        <v>482</v>
      </c>
      <c r="C3" s="111" t="s">
        <v>483</v>
      </c>
      <c r="D3" s="110" t="s">
        <v>429</v>
      </c>
      <c r="E3" s="111" t="s">
        <v>427</v>
      </c>
      <c r="F3" s="110" t="s">
        <v>230</v>
      </c>
      <c r="G3" s="155" t="s">
        <v>256</v>
      </c>
    </row>
    <row r="4" spans="1:11" ht="15" customHeight="1">
      <c r="A4" s="112"/>
      <c r="B4" s="113"/>
      <c r="C4" s="114"/>
      <c r="D4" s="113"/>
      <c r="E4" s="115"/>
      <c r="F4" s="113"/>
      <c r="G4" s="156" t="s">
        <v>257</v>
      </c>
    </row>
    <row r="5" spans="1:11" ht="15" customHeight="1">
      <c r="A5" s="112"/>
      <c r="B5" s="113"/>
      <c r="C5" s="114"/>
      <c r="D5" s="113"/>
      <c r="E5" s="115"/>
      <c r="F5" s="113"/>
      <c r="G5" s="156" t="s">
        <v>258</v>
      </c>
    </row>
    <row r="6" spans="1:11" ht="24" customHeight="1">
      <c r="A6" s="116"/>
      <c r="B6" s="117"/>
      <c r="C6" s="118"/>
      <c r="D6" s="117"/>
      <c r="E6" s="119"/>
      <c r="F6" s="117"/>
      <c r="G6" s="157"/>
    </row>
    <row r="7" spans="1:11" ht="1.5" customHeight="1" thickBot="1">
      <c r="A7" s="120">
        <v>1996</v>
      </c>
      <c r="B7" s="132">
        <v>2792349</v>
      </c>
      <c r="C7" s="133">
        <v>2968829</v>
      </c>
      <c r="D7" s="132">
        <v>5761178</v>
      </c>
      <c r="E7" s="133">
        <v>1471489</v>
      </c>
      <c r="F7" s="132">
        <v>7232667</v>
      </c>
      <c r="G7" s="158">
        <v>1.8350297937143788E-2</v>
      </c>
    </row>
    <row r="8" spans="1:11" ht="0.75" hidden="1" customHeight="1" thickBot="1">
      <c r="A8" s="123">
        <v>1997</v>
      </c>
      <c r="B8" s="134">
        <v>2750986</v>
      </c>
      <c r="C8" s="135">
        <v>2929423</v>
      </c>
      <c r="D8" s="134">
        <v>5680409</v>
      </c>
      <c r="E8" s="135">
        <v>1556062</v>
      </c>
      <c r="F8" s="134">
        <v>7236471</v>
      </c>
      <c r="G8" s="159">
        <v>5.2594706765844463E-4</v>
      </c>
      <c r="I8" s="9"/>
      <c r="J8" s="9"/>
      <c r="K8" s="9"/>
    </row>
    <row r="9" spans="1:11" ht="19.5" hidden="1" customHeight="1" thickBot="1">
      <c r="A9" s="123">
        <v>1998</v>
      </c>
      <c r="B9" s="134">
        <v>2746839</v>
      </c>
      <c r="C9" s="135">
        <v>2927739</v>
      </c>
      <c r="D9" s="134">
        <v>5674578</v>
      </c>
      <c r="E9" s="135">
        <v>1572038</v>
      </c>
      <c r="F9" s="134">
        <v>7246616</v>
      </c>
      <c r="G9" s="159">
        <v>1.401926436242196E-3</v>
      </c>
    </row>
    <row r="10" spans="1:11" ht="0.5" hidden="1" customHeight="1" thickBot="1">
      <c r="A10" s="123">
        <v>1999</v>
      </c>
      <c r="B10" s="134">
        <v>2760031</v>
      </c>
      <c r="C10" s="135">
        <v>2940891</v>
      </c>
      <c r="D10" s="134">
        <v>5700922</v>
      </c>
      <c r="E10" s="135">
        <v>1569600</v>
      </c>
      <c r="F10" s="134">
        <v>7270522</v>
      </c>
      <c r="G10" s="159">
        <v>3.298919109278041E-3</v>
      </c>
    </row>
    <row r="11" spans="1:11" ht="19.75" hidden="1" customHeight="1" thickBot="1">
      <c r="A11" s="123">
        <v>2000</v>
      </c>
      <c r="B11" s="134">
        <v>2758998</v>
      </c>
      <c r="C11" s="135">
        <v>2947662</v>
      </c>
      <c r="D11" s="134">
        <v>5706660</v>
      </c>
      <c r="E11" s="135">
        <v>1558453</v>
      </c>
      <c r="F11" s="134">
        <v>7265113</v>
      </c>
      <c r="G11" s="159">
        <v>-7.4396308820742166E-4</v>
      </c>
    </row>
    <row r="12" spans="1:11" ht="20" hidden="1" customHeight="1" thickBot="1">
      <c r="A12" s="123">
        <v>2001</v>
      </c>
      <c r="B12" s="134">
        <v>2778660</v>
      </c>
      <c r="C12" s="135">
        <v>2968477</v>
      </c>
      <c r="D12" s="134">
        <v>5747137</v>
      </c>
      <c r="E12" s="135">
        <v>1553913</v>
      </c>
      <c r="F12" s="134">
        <v>7301050</v>
      </c>
      <c r="G12" s="159">
        <v>4.9465163170896312E-3</v>
      </c>
    </row>
    <row r="13" spans="1:11" ht="20" customHeight="1" thickBot="1">
      <c r="A13" s="123">
        <v>2002</v>
      </c>
      <c r="B13" s="134">
        <v>2803463</v>
      </c>
      <c r="C13" s="135">
        <v>2992002</v>
      </c>
      <c r="D13" s="134">
        <v>5795465</v>
      </c>
      <c r="E13" s="135">
        <v>1549167</v>
      </c>
      <c r="F13" s="134">
        <v>7344632</v>
      </c>
      <c r="G13" s="159">
        <v>5.9692783914642418E-3</v>
      </c>
    </row>
    <row r="14" spans="1:11" ht="20" customHeight="1" thickBot="1">
      <c r="A14" s="123">
        <v>2003</v>
      </c>
      <c r="B14" s="134">
        <v>2880411</v>
      </c>
      <c r="C14" s="135">
        <v>2950352</v>
      </c>
      <c r="D14" s="134">
        <v>5830763</v>
      </c>
      <c r="E14" s="135">
        <v>1541742</v>
      </c>
      <c r="F14" s="134">
        <v>7372505</v>
      </c>
      <c r="G14" s="159">
        <v>3.7950165508632699E-3</v>
      </c>
    </row>
    <row r="15" spans="1:11" ht="20" customHeight="1" thickBot="1">
      <c r="A15" s="123">
        <v>2004</v>
      </c>
      <c r="B15" s="134">
        <v>2832331</v>
      </c>
      <c r="C15" s="135">
        <v>3021580</v>
      </c>
      <c r="D15" s="134">
        <v>5853911</v>
      </c>
      <c r="E15" s="135">
        <v>1529663</v>
      </c>
      <c r="F15" s="134">
        <v>7383574</v>
      </c>
      <c r="G15" s="159">
        <v>1.5013892835610148E-3</v>
      </c>
    </row>
    <row r="16" spans="1:11" ht="20" customHeight="1" thickBot="1">
      <c r="A16" s="123">
        <v>2005</v>
      </c>
      <c r="B16" s="134">
        <v>2861206</v>
      </c>
      <c r="C16" s="135">
        <v>3049366</v>
      </c>
      <c r="D16" s="134">
        <v>5910572</v>
      </c>
      <c r="E16" s="135">
        <v>1525293</v>
      </c>
      <c r="F16" s="134">
        <v>7435865</v>
      </c>
      <c r="G16" s="159">
        <v>7.0820716363104719E-3</v>
      </c>
    </row>
    <row r="17" spans="1:7" ht="20" customHeight="1" thickBot="1">
      <c r="A17" s="123">
        <v>2006</v>
      </c>
      <c r="B17" s="134">
        <v>2886537.34</v>
      </c>
      <c r="C17" s="135">
        <v>3073653.46</v>
      </c>
      <c r="D17" s="134">
        <v>5960190.7999999998</v>
      </c>
      <c r="E17" s="135">
        <v>1518236.03</v>
      </c>
      <c r="F17" s="134">
        <v>7478426.8300000001</v>
      </c>
      <c r="G17" s="159">
        <v>5.7238572782050134E-3</v>
      </c>
    </row>
    <row r="18" spans="1:7" ht="20" customHeight="1" thickBot="1">
      <c r="A18" s="123">
        <v>2007</v>
      </c>
      <c r="B18" s="134">
        <v>2922195.75</v>
      </c>
      <c r="C18" s="135">
        <v>3104949.1</v>
      </c>
      <c r="D18" s="134">
        <v>6027144.8499999996</v>
      </c>
      <c r="E18" s="135">
        <v>1510442.56</v>
      </c>
      <c r="F18" s="134">
        <v>7537587.4100000001</v>
      </c>
      <c r="G18" s="159">
        <v>7.9108322304732859E-3</v>
      </c>
    </row>
    <row r="19" spans="1:7" ht="20" customHeight="1" thickBot="1">
      <c r="A19" s="123">
        <v>2008</v>
      </c>
      <c r="B19" s="134">
        <v>2966175.79</v>
      </c>
      <c r="C19" s="135">
        <v>3141735.96</v>
      </c>
      <c r="D19" s="134">
        <v>6107911.75</v>
      </c>
      <c r="E19" s="135">
        <v>1507651.61</v>
      </c>
      <c r="F19" s="134">
        <v>7615563.3600000003</v>
      </c>
      <c r="G19" s="159">
        <v>1.0344948026280942E-2</v>
      </c>
    </row>
    <row r="20" spans="1:7" ht="20" customHeight="1" thickBot="1">
      <c r="A20" s="123">
        <v>2009</v>
      </c>
      <c r="B20" s="134">
        <v>3018366.51</v>
      </c>
      <c r="C20" s="135">
        <v>3183510.14</v>
      </c>
      <c r="D20" s="134">
        <v>6201876.6500000004</v>
      </c>
      <c r="E20" s="135">
        <v>1506974.9</v>
      </c>
      <c r="F20" s="134">
        <v>7708851.5500000007</v>
      </c>
      <c r="G20" s="159">
        <v>1.2249676824959144E-2</v>
      </c>
    </row>
    <row r="21" spans="1:7" ht="20" customHeight="1" thickBot="1">
      <c r="A21" s="123">
        <v>2010</v>
      </c>
      <c r="B21" s="134">
        <v>3056460.47</v>
      </c>
      <c r="C21" s="135">
        <v>3218553.79</v>
      </c>
      <c r="D21" s="134">
        <v>6275014.2599999998</v>
      </c>
      <c r="E21" s="135">
        <v>1504647.58</v>
      </c>
      <c r="F21" s="134">
        <v>7779661.8399999999</v>
      </c>
      <c r="G21" s="159">
        <v>9.1855822544668619E-3</v>
      </c>
    </row>
    <row r="22" spans="1:7" ht="20" customHeight="1" thickBot="1">
      <c r="A22" s="123">
        <v>2011</v>
      </c>
      <c r="B22" s="134">
        <v>3103820.45</v>
      </c>
      <c r="C22" s="135">
        <v>3255003.5</v>
      </c>
      <c r="D22" s="134">
        <v>6358823.9500000002</v>
      </c>
      <c r="E22" s="135">
        <v>1503946.51</v>
      </c>
      <c r="F22" s="134">
        <v>7862770.46</v>
      </c>
      <c r="G22" s="159">
        <v>1.0682806233644815E-2</v>
      </c>
    </row>
    <row r="23" spans="1:7" ht="30" customHeight="1" thickBot="1">
      <c r="A23" s="126">
        <v>2012</v>
      </c>
      <c r="B23" s="136">
        <v>3151552.15</v>
      </c>
      <c r="C23" s="137">
        <v>3292915.95</v>
      </c>
      <c r="D23" s="136">
        <v>6444468.0999999996</v>
      </c>
      <c r="E23" s="137">
        <v>1508889.28</v>
      </c>
      <c r="F23" s="136">
        <v>7953357.3799999999</v>
      </c>
      <c r="G23" s="160">
        <v>1.1520992563732957E-2</v>
      </c>
    </row>
    <row r="24" spans="1:7" ht="20" customHeight="1">
      <c r="A24" s="130" t="s">
        <v>396</v>
      </c>
      <c r="B24" s="354"/>
      <c r="C24" s="354"/>
      <c r="D24" s="354"/>
      <c r="E24" s="354"/>
      <c r="F24" s="354"/>
      <c r="G24" s="356"/>
    </row>
    <row r="25" spans="1:7" ht="20" customHeight="1">
      <c r="A25" s="131"/>
      <c r="B25" s="357"/>
      <c r="C25" s="357"/>
      <c r="D25" s="357"/>
      <c r="E25" s="357"/>
      <c r="F25" s="357"/>
      <c r="G25" s="358"/>
    </row>
    <row r="26" spans="1:7" ht="12.75" customHeight="1">
      <c r="A26" s="647" t="s">
        <v>822</v>
      </c>
      <c r="B26" s="357"/>
      <c r="C26" s="357"/>
      <c r="D26" s="357"/>
      <c r="E26" s="357"/>
      <c r="F26" s="357"/>
      <c r="G26" s="358"/>
    </row>
    <row r="27" spans="1:7" ht="12.75" customHeight="1">
      <c r="A27" s="205" t="s">
        <v>823</v>
      </c>
    </row>
    <row r="29" spans="1:7">
      <c r="A29" s="3" t="s">
        <v>824</v>
      </c>
    </row>
    <row r="32" spans="1:7">
      <c r="A32" s="3" t="s">
        <v>395</v>
      </c>
    </row>
  </sheetData>
  <pageMargins left="0.5" right="0.49" top="1.03" bottom="0.49" header="0.56000000000000005" footer="0.4921259845"/>
  <pageSetup paperSize="9" scale="89" orientation="portrait" horizontalDpi="1200" verticalDpi="12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2258-E7E8-A44C-AF70-AF38FA2FA9D4}">
  <sheetPr>
    <pageSetUpPr fitToPage="1"/>
  </sheetPr>
  <dimension ref="A1:K33"/>
  <sheetViews>
    <sheetView topLeftCell="A3" zoomScaleNormal="100" workbookViewId="0">
      <selection activeCell="A22" sqref="A22:IV22"/>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8" width="8.796875" style="3" customWidth="1"/>
    <col min="9" max="16384" width="11.3984375" style="3"/>
  </cols>
  <sheetData>
    <row r="1" spans="1:11" s="2" customFormat="1" ht="14" customHeight="1"/>
    <row r="2" spans="1:11" s="2" customFormat="1" ht="24" customHeight="1">
      <c r="A2" s="139" t="s">
        <v>825</v>
      </c>
      <c r="G2" s="442"/>
    </row>
    <row r="3" spans="1:11" ht="24" customHeight="1">
      <c r="A3" s="109" t="s">
        <v>821</v>
      </c>
      <c r="B3" s="110" t="s">
        <v>482</v>
      </c>
      <c r="C3" s="111" t="s">
        <v>483</v>
      </c>
      <c r="D3" s="110" t="s">
        <v>429</v>
      </c>
      <c r="E3" s="111" t="s">
        <v>826</v>
      </c>
      <c r="F3" s="110" t="s">
        <v>230</v>
      </c>
      <c r="G3" s="155" t="s">
        <v>256</v>
      </c>
    </row>
    <row r="4" spans="1:11" ht="15" customHeight="1">
      <c r="A4" s="112"/>
      <c r="B4" s="113"/>
      <c r="C4" s="114"/>
      <c r="D4" s="113"/>
      <c r="E4" s="115"/>
      <c r="F4" s="113"/>
      <c r="G4" s="156" t="s">
        <v>257</v>
      </c>
    </row>
    <row r="5" spans="1:11" ht="15" customHeight="1">
      <c r="A5" s="112"/>
      <c r="B5" s="113"/>
      <c r="C5" s="114"/>
      <c r="D5" s="113"/>
      <c r="E5" s="115"/>
      <c r="F5" s="113"/>
      <c r="G5" s="156" t="s">
        <v>258</v>
      </c>
    </row>
    <row r="6" spans="1:11" ht="24" customHeight="1">
      <c r="A6" s="116"/>
      <c r="B6" s="117"/>
      <c r="C6" s="118"/>
      <c r="D6" s="117"/>
      <c r="E6" s="119"/>
      <c r="F6" s="117"/>
      <c r="G6" s="157"/>
    </row>
    <row r="7" spans="1:11" ht="1.75" customHeight="1" thickBot="1">
      <c r="A7" s="120">
        <v>1996</v>
      </c>
      <c r="B7" s="132">
        <v>2760146</v>
      </c>
      <c r="C7" s="133">
        <v>2938608</v>
      </c>
      <c r="D7" s="132">
        <v>5698754</v>
      </c>
      <c r="E7" s="133">
        <v>1496000</v>
      </c>
      <c r="F7" s="132">
        <v>7194754</v>
      </c>
      <c r="G7" s="158">
        <v>4.3855246833913626E-3</v>
      </c>
    </row>
    <row r="8" spans="1:11" ht="0.75" hidden="1" customHeight="1" thickBot="1">
      <c r="A8" s="123">
        <v>1997</v>
      </c>
      <c r="B8" s="134">
        <v>2725064</v>
      </c>
      <c r="C8" s="135">
        <v>2902973</v>
      </c>
      <c r="D8" s="134">
        <v>5628037</v>
      </c>
      <c r="E8" s="135">
        <v>1586768</v>
      </c>
      <c r="F8" s="134">
        <v>7214805</v>
      </c>
      <c r="G8" s="159">
        <v>2.7868916713483186E-3</v>
      </c>
      <c r="I8" s="9"/>
      <c r="J8" s="9"/>
      <c r="K8" s="9"/>
    </row>
    <row r="9" spans="1:11" ht="19.5" hidden="1" customHeight="1" thickBot="1">
      <c r="A9" s="123">
        <v>1998</v>
      </c>
      <c r="B9" s="134">
        <v>2736949</v>
      </c>
      <c r="C9" s="135">
        <v>2915969</v>
      </c>
      <c r="D9" s="134">
        <v>5652918</v>
      </c>
      <c r="E9" s="135">
        <v>1595685</v>
      </c>
      <c r="F9" s="134">
        <v>7248603</v>
      </c>
      <c r="G9" s="159">
        <v>4.6845340934370365E-3</v>
      </c>
    </row>
    <row r="10" spans="1:11" ht="19.75" hidden="1" customHeight="1" thickBot="1">
      <c r="A10" s="123">
        <v>1999</v>
      </c>
      <c r="B10" s="134">
        <v>2741177</v>
      </c>
      <c r="C10" s="135">
        <v>2926032</v>
      </c>
      <c r="D10" s="134">
        <v>5667209</v>
      </c>
      <c r="E10" s="135">
        <v>1599325</v>
      </c>
      <c r="F10" s="134">
        <v>7266534</v>
      </c>
      <c r="G10" s="159">
        <v>2.4737180391863093E-3</v>
      </c>
    </row>
    <row r="11" spans="1:11" ht="0.5" customHeight="1" thickBot="1">
      <c r="A11" s="123">
        <v>2000</v>
      </c>
      <c r="B11" s="134">
        <v>2746615</v>
      </c>
      <c r="C11" s="135">
        <v>2936748</v>
      </c>
      <c r="D11" s="134">
        <v>5683363</v>
      </c>
      <c r="E11" s="135">
        <v>1584748</v>
      </c>
      <c r="F11" s="134">
        <v>7268111</v>
      </c>
      <c r="G11" s="159">
        <v>2.1702231077429761E-4</v>
      </c>
    </row>
    <row r="12" spans="1:11" ht="20" hidden="1" customHeight="1" thickBot="1">
      <c r="A12" s="123">
        <v>2001</v>
      </c>
      <c r="B12" s="134">
        <v>2775829</v>
      </c>
      <c r="C12" s="135">
        <v>2962533</v>
      </c>
      <c r="D12" s="134">
        <v>5738362</v>
      </c>
      <c r="E12" s="135">
        <v>1582925</v>
      </c>
      <c r="F12" s="134">
        <v>7321287</v>
      </c>
      <c r="G12" s="159">
        <v>7.3163439578729601E-3</v>
      </c>
    </row>
    <row r="13" spans="1:11" ht="20" customHeight="1" thickBot="1">
      <c r="A13" s="123">
        <v>2002</v>
      </c>
      <c r="B13" s="134">
        <v>2798041</v>
      </c>
      <c r="C13" s="135">
        <v>2982916</v>
      </c>
      <c r="D13" s="134">
        <v>5780957</v>
      </c>
      <c r="E13" s="135">
        <v>1578408</v>
      </c>
      <c r="F13" s="134">
        <v>7359365</v>
      </c>
      <c r="G13" s="159">
        <v>5.2009981305199482E-3</v>
      </c>
    </row>
    <row r="14" spans="1:11" ht="19.5" customHeight="1" thickBot="1">
      <c r="A14" s="123">
        <v>2003</v>
      </c>
      <c r="B14" s="134">
        <v>2818135</v>
      </c>
      <c r="C14" s="135">
        <v>3002978</v>
      </c>
      <c r="D14" s="134">
        <v>5821113</v>
      </c>
      <c r="E14" s="135">
        <v>1572075</v>
      </c>
      <c r="F14" s="134">
        <v>7393188</v>
      </c>
      <c r="G14" s="159">
        <v>4.5959128267180661E-3</v>
      </c>
    </row>
    <row r="15" spans="1:11" ht="19.5" customHeight="1" thickBot="1">
      <c r="A15" s="123">
        <v>2004</v>
      </c>
      <c r="B15" s="134">
        <v>2834642</v>
      </c>
      <c r="C15" s="135">
        <v>3021025</v>
      </c>
      <c r="D15" s="134">
        <v>5855667</v>
      </c>
      <c r="E15" s="135">
        <v>1564307</v>
      </c>
      <c r="F15" s="134">
        <v>7419974</v>
      </c>
      <c r="G15" s="159">
        <v>3.623064907858423E-3</v>
      </c>
    </row>
    <row r="16" spans="1:11" ht="19.5" customHeight="1" thickBot="1">
      <c r="A16" s="123">
        <v>2005</v>
      </c>
      <c r="B16" s="134">
        <v>2858735</v>
      </c>
      <c r="C16" s="135">
        <v>3042765</v>
      </c>
      <c r="D16" s="134">
        <v>5901500</v>
      </c>
      <c r="E16" s="135">
        <v>1556975</v>
      </c>
      <c r="F16" s="134">
        <v>7458475</v>
      </c>
      <c r="G16" s="159">
        <v>5.1888321980642083E-3</v>
      </c>
    </row>
    <row r="17" spans="1:7" ht="19.5" customHeight="1" thickBot="1">
      <c r="A17" s="123">
        <v>2006</v>
      </c>
      <c r="B17" s="134">
        <v>2887156</v>
      </c>
      <c r="C17" s="135">
        <v>3068025</v>
      </c>
      <c r="D17" s="134">
        <v>5955181</v>
      </c>
      <c r="E17" s="135">
        <v>1552364</v>
      </c>
      <c r="F17" s="134">
        <v>7507545</v>
      </c>
      <c r="G17" s="159">
        <v>6.5790929110842722E-3</v>
      </c>
    </row>
    <row r="18" spans="1:7" ht="19.5" customHeight="1" thickBot="1">
      <c r="A18" s="123">
        <v>2007</v>
      </c>
      <c r="B18" s="134">
        <v>2927022</v>
      </c>
      <c r="C18" s="135">
        <v>3102846</v>
      </c>
      <c r="D18" s="134">
        <v>6029868</v>
      </c>
      <c r="E18" s="135">
        <v>1547264</v>
      </c>
      <c r="F18" s="134">
        <v>7577132</v>
      </c>
      <c r="G18" s="159">
        <v>9.2689421109031223E-3</v>
      </c>
    </row>
    <row r="19" spans="1:7" ht="19.5" customHeight="1" thickBot="1">
      <c r="A19" s="123">
        <v>2008</v>
      </c>
      <c r="B19" s="134">
        <v>2977802</v>
      </c>
      <c r="C19" s="135">
        <v>3143748</v>
      </c>
      <c r="D19" s="134">
        <v>6121550</v>
      </c>
      <c r="E19" s="135">
        <v>1548061</v>
      </c>
      <c r="F19" s="134">
        <v>7669611</v>
      </c>
      <c r="G19" s="159">
        <v>1.2205013717591306E-2</v>
      </c>
    </row>
    <row r="20" spans="1:7" ht="19.5" customHeight="1" thickBot="1">
      <c r="A20" s="123">
        <v>2009</v>
      </c>
      <c r="B20" s="134">
        <v>3021437</v>
      </c>
      <c r="C20" s="135">
        <v>3181817</v>
      </c>
      <c r="D20" s="134">
        <v>6203254</v>
      </c>
      <c r="E20" s="135">
        <v>1545668</v>
      </c>
      <c r="F20" s="134">
        <v>7748922</v>
      </c>
      <c r="G20" s="159">
        <v>1.0340941672269954E-2</v>
      </c>
    </row>
    <row r="21" spans="1:7" ht="19.5" customHeight="1" thickBot="1">
      <c r="A21" s="123">
        <v>2010</v>
      </c>
      <c r="B21" s="134">
        <v>3060091</v>
      </c>
      <c r="C21" s="135">
        <v>3216359</v>
      </c>
      <c r="D21" s="134">
        <v>6276450</v>
      </c>
      <c r="E21" s="135">
        <v>1546183</v>
      </c>
      <c r="F21" s="134">
        <v>7822633</v>
      </c>
      <c r="G21" s="159">
        <v>9.5124199211193972E-3</v>
      </c>
    </row>
    <row r="22" spans="1:7" ht="19.5" customHeight="1" thickBot="1">
      <c r="A22" s="123">
        <v>2011</v>
      </c>
      <c r="B22" s="134">
        <v>3107638</v>
      </c>
      <c r="C22" s="135">
        <v>3253232</v>
      </c>
      <c r="D22" s="134">
        <v>6360870</v>
      </c>
      <c r="E22" s="135">
        <v>1546149</v>
      </c>
      <c r="F22" s="134">
        <v>7907019</v>
      </c>
      <c r="G22" s="159">
        <v>1.0787416461950805E-2</v>
      </c>
    </row>
    <row r="23" spans="1:7" ht="23.25" customHeight="1" thickBot="1">
      <c r="A23" s="126">
        <v>2012</v>
      </c>
      <c r="B23" s="136">
        <v>3155476</v>
      </c>
      <c r="C23" s="137">
        <v>3291504</v>
      </c>
      <c r="D23" s="136">
        <v>6446980</v>
      </c>
      <c r="E23" s="137">
        <v>1552289</v>
      </c>
      <c r="F23" s="136">
        <v>7999269</v>
      </c>
      <c r="G23" s="160">
        <v>1.1666849415689962E-2</v>
      </c>
    </row>
    <row r="24" spans="1:7" ht="20" customHeight="1">
      <c r="A24" s="130" t="s">
        <v>396</v>
      </c>
      <c r="B24" s="354"/>
      <c r="C24" s="354"/>
      <c r="D24" s="354"/>
      <c r="E24" s="354"/>
      <c r="F24" s="354"/>
      <c r="G24" s="356"/>
    </row>
    <row r="25" spans="1:7" ht="13.5" customHeight="1">
      <c r="A25" s="131"/>
      <c r="B25" s="357"/>
      <c r="C25" s="357"/>
      <c r="D25" s="357"/>
      <c r="E25" s="357"/>
      <c r="F25" s="357"/>
      <c r="G25" s="358"/>
    </row>
    <row r="26" spans="1:7" ht="12.75" customHeight="1">
      <c r="A26" s="3" t="s">
        <v>827</v>
      </c>
    </row>
    <row r="27" spans="1:7" ht="12.75" customHeight="1">
      <c r="A27" s="205" t="s">
        <v>828</v>
      </c>
    </row>
    <row r="28" spans="1:7" ht="12.75" customHeight="1">
      <c r="A28" s="359" t="s">
        <v>829</v>
      </c>
    </row>
    <row r="29" spans="1:7">
      <c r="A29" s="648"/>
    </row>
    <row r="30" spans="1:7">
      <c r="A30" s="3" t="s">
        <v>830</v>
      </c>
    </row>
    <row r="33" spans="1:1">
      <c r="A33" s="3" t="s">
        <v>395</v>
      </c>
    </row>
  </sheetData>
  <pageMargins left="0.37" right="0.31" top="0.94488188976377963" bottom="0.47244094488188981" header="0.51181102362204722" footer="0.51181102362204722"/>
  <pageSetup paperSize="9" scale="84" orientation="portrait" horizontalDpi="1200" verticalDpi="12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65A3-1AA7-EF4A-AF5B-B0AF1F4BD786}">
  <sheetPr>
    <pageSetUpPr fitToPage="1"/>
  </sheetPr>
  <dimension ref="A1:F46"/>
  <sheetViews>
    <sheetView topLeftCell="A20" zoomScaleNormal="100" workbookViewId="0">
      <selection activeCell="A22" sqref="A22:IV22"/>
    </sheetView>
  </sheetViews>
  <sheetFormatPr baseColWidth="10" defaultColWidth="11.3984375" defaultRowHeight="13"/>
  <cols>
    <col min="1" max="1" width="16.3984375" style="3" customWidth="1"/>
    <col min="2" max="5" width="17.3984375" style="3" customWidth="1"/>
    <col min="6" max="6" width="17.3984375" style="424" customWidth="1"/>
    <col min="7" max="8" width="11.3984375" style="3"/>
    <col min="9" max="9" width="14.59765625" style="3" customWidth="1"/>
    <col min="10" max="16384" width="11.3984375" style="3"/>
  </cols>
  <sheetData>
    <row r="1" spans="1:6" s="2" customFormat="1" ht="14" customHeight="1">
      <c r="F1" s="649"/>
    </row>
    <row r="2" spans="1:6" s="2" customFormat="1" ht="25.75" customHeight="1">
      <c r="A2" s="139" t="s">
        <v>831</v>
      </c>
      <c r="F2" s="442">
        <v>2012</v>
      </c>
    </row>
    <row r="3" spans="1:6" ht="27" customHeight="1">
      <c r="A3" s="109" t="s">
        <v>426</v>
      </c>
      <c r="B3" s="110" t="s">
        <v>482</v>
      </c>
      <c r="C3" s="111" t="s">
        <v>483</v>
      </c>
      <c r="D3" s="110" t="s">
        <v>427</v>
      </c>
      <c r="E3" s="111" t="s">
        <v>230</v>
      </c>
      <c r="F3" s="650" t="s">
        <v>832</v>
      </c>
    </row>
    <row r="4" spans="1:6" ht="12" customHeight="1">
      <c r="A4" s="156"/>
      <c r="B4" s="300"/>
      <c r="C4" s="156"/>
      <c r="D4" s="300"/>
      <c r="E4" s="156"/>
      <c r="F4" s="651" t="s">
        <v>833</v>
      </c>
    </row>
    <row r="5" spans="1:6" ht="30.75" customHeight="1">
      <c r="A5" s="157"/>
      <c r="B5" s="169"/>
      <c r="C5" s="157"/>
      <c r="D5" s="169"/>
      <c r="E5" s="157"/>
      <c r="F5" s="652" t="s">
        <v>258</v>
      </c>
    </row>
    <row r="6" spans="1:6" ht="30" customHeight="1" thickBot="1">
      <c r="A6" s="302" t="s">
        <v>434</v>
      </c>
      <c r="B6" s="303">
        <v>558275</v>
      </c>
      <c r="C6" s="304">
        <v>580052</v>
      </c>
      <c r="D6" s="303">
        <v>262890</v>
      </c>
      <c r="E6" s="304">
        <v>1401217</v>
      </c>
      <c r="F6" s="305">
        <v>1.3424896304573553E-2</v>
      </c>
    </row>
    <row r="7" spans="1:6" ht="20" customHeight="1" thickBot="1">
      <c r="A7" s="307" t="s">
        <v>435</v>
      </c>
      <c r="B7" s="317">
        <v>390249</v>
      </c>
      <c r="C7" s="318">
        <v>417939</v>
      </c>
      <c r="D7" s="317">
        <v>181531</v>
      </c>
      <c r="E7" s="318">
        <v>989719</v>
      </c>
      <c r="F7" s="319">
        <v>5.4574250746941555E-3</v>
      </c>
    </row>
    <row r="8" spans="1:6" ht="20" customHeight="1" thickBot="1">
      <c r="A8" s="307" t="s">
        <v>436</v>
      </c>
      <c r="B8" s="317">
        <v>152416</v>
      </c>
      <c r="C8" s="318">
        <v>157368</v>
      </c>
      <c r="D8" s="317">
        <v>77228</v>
      </c>
      <c r="E8" s="318">
        <v>387012</v>
      </c>
      <c r="F8" s="319">
        <v>1.2113604268005673E-2</v>
      </c>
    </row>
    <row r="9" spans="1:6" ht="20" customHeight="1" thickBot="1">
      <c r="A9" s="307" t="s">
        <v>437</v>
      </c>
      <c r="B9" s="317">
        <v>14498</v>
      </c>
      <c r="C9" s="318">
        <v>14250</v>
      </c>
      <c r="D9" s="317">
        <v>7128</v>
      </c>
      <c r="E9" s="318">
        <v>35876</v>
      </c>
      <c r="F9" s="319">
        <v>7.4415208783802367E-3</v>
      </c>
    </row>
    <row r="10" spans="1:6" ht="20" customHeight="1" thickBot="1">
      <c r="A10" s="307" t="s">
        <v>438</v>
      </c>
      <c r="B10" s="317">
        <v>61634</v>
      </c>
      <c r="C10" s="318">
        <v>59038</v>
      </c>
      <c r="D10" s="317">
        <v>29590</v>
      </c>
      <c r="E10" s="318">
        <v>150262</v>
      </c>
      <c r="F10" s="319">
        <v>1.3687910249404744E-2</v>
      </c>
    </row>
    <row r="11" spans="1:6" ht="20" customHeight="1" thickBot="1">
      <c r="A11" s="307" t="s">
        <v>439</v>
      </c>
      <c r="B11" s="317">
        <v>14859</v>
      </c>
      <c r="C11" s="318">
        <v>14474</v>
      </c>
      <c r="D11" s="317">
        <v>7353</v>
      </c>
      <c r="E11" s="318">
        <v>36686</v>
      </c>
      <c r="F11" s="319">
        <v>9.2434662998623907E-3</v>
      </c>
    </row>
    <row r="12" spans="1:6" ht="20" customHeight="1" thickBot="1">
      <c r="A12" s="307" t="s">
        <v>440</v>
      </c>
      <c r="B12" s="317">
        <v>17136</v>
      </c>
      <c r="C12" s="318">
        <v>16668</v>
      </c>
      <c r="D12" s="317">
        <v>7535</v>
      </c>
      <c r="E12" s="318">
        <v>41339</v>
      </c>
      <c r="F12" s="319">
        <v>6.4027656052196846E-3</v>
      </c>
    </row>
    <row r="13" spans="1:6" ht="20" customHeight="1" thickBot="1">
      <c r="A13" s="307" t="s">
        <v>441</v>
      </c>
      <c r="B13" s="317">
        <v>16260</v>
      </c>
      <c r="C13" s="318">
        <v>16025</v>
      </c>
      <c r="D13" s="317">
        <v>7408</v>
      </c>
      <c r="E13" s="318">
        <v>39693</v>
      </c>
      <c r="F13" s="319">
        <v>8.2810475779206971E-3</v>
      </c>
    </row>
    <row r="14" spans="1:6" ht="20" customHeight="1" thickBot="1">
      <c r="A14" s="307" t="s">
        <v>442</v>
      </c>
      <c r="B14" s="317">
        <v>47273</v>
      </c>
      <c r="C14" s="318">
        <v>46648</v>
      </c>
      <c r="D14" s="317">
        <v>22670</v>
      </c>
      <c r="E14" s="318">
        <v>116591</v>
      </c>
      <c r="F14" s="319">
        <v>1.2540491719280622E-2</v>
      </c>
    </row>
    <row r="15" spans="1:6" ht="20" customHeight="1" thickBot="1">
      <c r="A15" s="307" t="s">
        <v>443</v>
      </c>
      <c r="B15" s="317">
        <v>112521</v>
      </c>
      <c r="C15" s="318">
        <v>114170</v>
      </c>
      <c r="D15" s="317">
        <v>65104</v>
      </c>
      <c r="E15" s="318">
        <v>291795</v>
      </c>
      <c r="F15" s="319">
        <v>2.4147552778899017E-2</v>
      </c>
    </row>
    <row r="16" spans="1:6" ht="20" customHeight="1" thickBot="1">
      <c r="A16" s="307" t="s">
        <v>444</v>
      </c>
      <c r="B16" s="317">
        <v>104428</v>
      </c>
      <c r="C16" s="318">
        <v>108225</v>
      </c>
      <c r="D16" s="317">
        <v>48356</v>
      </c>
      <c r="E16" s="318">
        <v>261009</v>
      </c>
      <c r="F16" s="319">
        <v>8.3757982699803613E-3</v>
      </c>
    </row>
    <row r="17" spans="1:6" ht="20" customHeight="1" thickBot="1">
      <c r="A17" s="307" t="s">
        <v>445</v>
      </c>
      <c r="B17" s="317">
        <v>71282</v>
      </c>
      <c r="C17" s="318">
        <v>80433</v>
      </c>
      <c r="D17" s="317">
        <v>29097</v>
      </c>
      <c r="E17" s="318">
        <v>180812</v>
      </c>
      <c r="F17" s="319">
        <v>3.5521612681215231E-3</v>
      </c>
    </row>
    <row r="18" spans="1:6" ht="20" customHeight="1" thickBot="1">
      <c r="A18" s="307" t="s">
        <v>446</v>
      </c>
      <c r="B18" s="317">
        <v>108930</v>
      </c>
      <c r="C18" s="318">
        <v>116138</v>
      </c>
      <c r="D18" s="317">
        <v>50600</v>
      </c>
      <c r="E18" s="318">
        <v>275668</v>
      </c>
      <c r="F18" s="319">
        <v>7.6910704624877368E-3</v>
      </c>
    </row>
    <row r="19" spans="1:6" ht="20" customHeight="1" thickBot="1">
      <c r="A19" s="307" t="s">
        <v>447</v>
      </c>
      <c r="B19" s="317">
        <v>31034</v>
      </c>
      <c r="C19" s="318">
        <v>32731</v>
      </c>
      <c r="D19" s="317">
        <v>14020</v>
      </c>
      <c r="E19" s="318">
        <v>77785</v>
      </c>
      <c r="F19" s="319">
        <v>1.0024281614792407E-2</v>
      </c>
    </row>
    <row r="20" spans="1:6" ht="20" customHeight="1" thickBot="1">
      <c r="A20" s="307" t="s">
        <v>448</v>
      </c>
      <c r="B20" s="317">
        <v>21853</v>
      </c>
      <c r="C20" s="318">
        <v>21835</v>
      </c>
      <c r="D20" s="317">
        <v>10595</v>
      </c>
      <c r="E20" s="318">
        <v>54283</v>
      </c>
      <c r="F20" s="319">
        <v>3.9393378953209712E-3</v>
      </c>
    </row>
    <row r="21" spans="1:6" ht="20" customHeight="1" thickBot="1">
      <c r="A21" s="307" t="s">
        <v>449</v>
      </c>
      <c r="B21" s="317">
        <v>6559</v>
      </c>
      <c r="C21" s="318">
        <v>6024</v>
      </c>
      <c r="D21" s="317">
        <v>3421</v>
      </c>
      <c r="E21" s="318">
        <v>16004</v>
      </c>
      <c r="F21" s="319">
        <v>1.1950679734429315E-2</v>
      </c>
    </row>
    <row r="22" spans="1:6" ht="20" customHeight="1" thickBot="1">
      <c r="A22" s="307" t="s">
        <v>450</v>
      </c>
      <c r="B22" s="317">
        <v>193007</v>
      </c>
      <c r="C22" s="318">
        <v>196692</v>
      </c>
      <c r="D22" s="317">
        <v>97920</v>
      </c>
      <c r="E22" s="318">
        <v>487619</v>
      </c>
      <c r="F22" s="319">
        <v>7.6938019739778429E-3</v>
      </c>
    </row>
    <row r="23" spans="1:6" ht="20" customHeight="1" thickBot="1">
      <c r="A23" s="307" t="s">
        <v>451</v>
      </c>
      <c r="B23" s="317">
        <v>81637</v>
      </c>
      <c r="C23" s="318">
        <v>82459</v>
      </c>
      <c r="D23" s="317">
        <v>34400</v>
      </c>
      <c r="E23" s="318">
        <v>198496</v>
      </c>
      <c r="F23" s="319">
        <v>-8.9594008274862524E-4</v>
      </c>
    </row>
    <row r="24" spans="1:6" ht="20" customHeight="1" thickBot="1">
      <c r="A24" s="307" t="s">
        <v>452</v>
      </c>
      <c r="B24" s="317">
        <v>251748</v>
      </c>
      <c r="C24" s="318">
        <v>254994</v>
      </c>
      <c r="D24" s="317">
        <v>123173</v>
      </c>
      <c r="E24" s="318">
        <v>629915</v>
      </c>
      <c r="F24" s="319">
        <v>1.3482748356890673E-2</v>
      </c>
    </row>
    <row r="25" spans="1:6" ht="20" customHeight="1" thickBot="1">
      <c r="A25" s="307" t="s">
        <v>453</v>
      </c>
      <c r="B25" s="317">
        <v>102563</v>
      </c>
      <c r="C25" s="318">
        <v>102440</v>
      </c>
      <c r="D25" s="317">
        <v>51216</v>
      </c>
      <c r="E25" s="318">
        <v>256219</v>
      </c>
      <c r="F25" s="319">
        <v>1.7016496514932644E-2</v>
      </c>
    </row>
    <row r="26" spans="1:6" ht="20" customHeight="1" thickBot="1">
      <c r="A26" s="307" t="s">
        <v>454</v>
      </c>
      <c r="B26" s="317">
        <v>132862</v>
      </c>
      <c r="C26" s="318">
        <v>144599</v>
      </c>
      <c r="D26" s="317">
        <v>61036</v>
      </c>
      <c r="E26" s="318">
        <v>338497</v>
      </c>
      <c r="F26" s="319">
        <v>9.3330590069982122E-3</v>
      </c>
    </row>
    <row r="27" spans="1:6" ht="20" customHeight="1" thickBot="1">
      <c r="A27" s="307" t="s">
        <v>455</v>
      </c>
      <c r="B27" s="317">
        <v>274184</v>
      </c>
      <c r="C27" s="318">
        <v>294521</v>
      </c>
      <c r="D27" s="317">
        <v>154409</v>
      </c>
      <c r="E27" s="318">
        <v>723114</v>
      </c>
      <c r="F27" s="319">
        <v>1.7886929605141821E-2</v>
      </c>
    </row>
    <row r="28" spans="1:6" ht="20" customHeight="1" thickBot="1">
      <c r="A28" s="307" t="s">
        <v>456</v>
      </c>
      <c r="B28" s="317">
        <v>130065</v>
      </c>
      <c r="C28" s="318">
        <v>133292</v>
      </c>
      <c r="D28" s="317">
        <v>63135</v>
      </c>
      <c r="E28" s="318">
        <v>326492</v>
      </c>
      <c r="F28" s="319">
        <v>1.5366147205264413E-2</v>
      </c>
    </row>
    <row r="29" spans="1:6" ht="20" customHeight="1" thickBot="1">
      <c r="A29" s="307" t="s">
        <v>457</v>
      </c>
      <c r="B29" s="317">
        <v>67069</v>
      </c>
      <c r="C29" s="318">
        <v>72136</v>
      </c>
      <c r="D29" s="317">
        <v>36255</v>
      </c>
      <c r="E29" s="318">
        <v>175460</v>
      </c>
      <c r="F29" s="319">
        <v>9.8998503510994151E-3</v>
      </c>
    </row>
    <row r="30" spans="1:6" ht="20" customHeight="1" thickBot="1">
      <c r="A30" s="307" t="s">
        <v>458</v>
      </c>
      <c r="B30" s="317">
        <v>162643</v>
      </c>
      <c r="C30" s="318">
        <v>178002</v>
      </c>
      <c r="D30" s="317">
        <v>90306</v>
      </c>
      <c r="E30" s="318">
        <v>430951</v>
      </c>
      <c r="F30" s="319">
        <v>1.2035432312728744E-2</v>
      </c>
    </row>
    <row r="31" spans="1:6" ht="22" customHeight="1" thickBot="1">
      <c r="A31" s="174" t="s">
        <v>459</v>
      </c>
      <c r="B31" s="476">
        <v>27525</v>
      </c>
      <c r="C31" s="475">
        <v>28839</v>
      </c>
      <c r="D31" s="476">
        <v>15127</v>
      </c>
      <c r="E31" s="475">
        <v>71491</v>
      </c>
      <c r="F31" s="653">
        <v>5.4710134736013494E-3</v>
      </c>
    </row>
    <row r="32" spans="1:6" ht="21.75" customHeight="1" thickBot="1">
      <c r="A32" s="174" t="s">
        <v>834</v>
      </c>
      <c r="B32" s="476">
        <v>3152511</v>
      </c>
      <c r="C32" s="475">
        <v>3289993</v>
      </c>
      <c r="D32" s="476">
        <v>1551504</v>
      </c>
      <c r="E32" s="475">
        <v>7994008</v>
      </c>
      <c r="F32" s="653">
        <v>1.1440629607876618E-2</v>
      </c>
    </row>
    <row r="33" spans="1:6" ht="18.75" customHeight="1" thickBot="1">
      <c r="A33" s="187" t="s">
        <v>700</v>
      </c>
      <c r="B33" s="476">
        <v>2965</v>
      </c>
      <c r="C33" s="475">
        <v>1511</v>
      </c>
      <c r="D33" s="476">
        <v>785</v>
      </c>
      <c r="E33" s="475">
        <v>5261</v>
      </c>
      <c r="F33" s="653">
        <v>0.53247888144480049</v>
      </c>
    </row>
    <row r="34" spans="1:6" ht="0.5" customHeight="1" thickBot="1">
      <c r="A34" s="174" t="s">
        <v>835</v>
      </c>
      <c r="B34" s="476">
        <v>1</v>
      </c>
      <c r="C34" s="475">
        <v>1</v>
      </c>
      <c r="D34" s="476">
        <v>1</v>
      </c>
      <c r="E34" s="475">
        <v>3</v>
      </c>
      <c r="F34" s="653" t="e">
        <v>#VALUE!</v>
      </c>
    </row>
    <row r="35" spans="1:6" s="138" customFormat="1" ht="30" customHeight="1" thickBot="1">
      <c r="A35" s="654" t="s">
        <v>836</v>
      </c>
      <c r="B35" s="353">
        <v>3155476</v>
      </c>
      <c r="C35" s="206">
        <v>3291504</v>
      </c>
      <c r="D35" s="353">
        <v>1552289</v>
      </c>
      <c r="E35" s="495">
        <v>7999269</v>
      </c>
      <c r="F35" s="655">
        <v>1.1666849415689962E-2</v>
      </c>
    </row>
    <row r="36" spans="1:6" ht="17.5" customHeight="1">
      <c r="A36" s="131" t="s">
        <v>396</v>
      </c>
    </row>
    <row r="38" spans="1:6">
      <c r="A38" s="131" t="s">
        <v>837</v>
      </c>
    </row>
    <row r="39" spans="1:6">
      <c r="A39" s="656" t="s">
        <v>838</v>
      </c>
    </row>
    <row r="40" spans="1:6">
      <c r="A40" s="131" t="s">
        <v>839</v>
      </c>
    </row>
    <row r="41" spans="1:6">
      <c r="A41" s="131" t="s">
        <v>840</v>
      </c>
    </row>
    <row r="43" spans="1:6">
      <c r="A43" s="3" t="s">
        <v>841</v>
      </c>
    </row>
    <row r="46" spans="1:6">
      <c r="A46" s="336" t="s">
        <v>395</v>
      </c>
    </row>
  </sheetData>
  <pageMargins left="0.62" right="0.52" top="0.74803149606299213" bottom="0.47244094488188981" header="0.43307086614173229" footer="0.31496062992125984"/>
  <pageSetup paperSize="9" scale="89" orientation="portrait" horizontalDpi="1200" verticalDpi="1200"/>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B483-6D34-E24A-9EF2-88B84FB1EC0F}">
  <sheetPr>
    <pageSetUpPr fitToPage="1"/>
  </sheetPr>
  <dimension ref="A1:J35"/>
  <sheetViews>
    <sheetView topLeftCell="A21" zoomScaleNormal="100" workbookViewId="0">
      <selection activeCell="A25" sqref="A25"/>
    </sheetView>
  </sheetViews>
  <sheetFormatPr baseColWidth="10" defaultColWidth="11.3984375" defaultRowHeight="13"/>
  <cols>
    <col min="1" max="1" width="18.19921875" style="3" customWidth="1"/>
    <col min="2" max="6" width="22.59765625" style="3" customWidth="1"/>
    <col min="7" max="16384" width="11.3984375" style="3"/>
  </cols>
  <sheetData>
    <row r="1" spans="1:10" s="2" customFormat="1" ht="14" customHeight="1"/>
    <row r="2" spans="1:10" s="2" customFormat="1" ht="28" customHeight="1">
      <c r="A2" s="139" t="s">
        <v>1826</v>
      </c>
      <c r="C2" s="343"/>
      <c r="D2" s="343"/>
    </row>
    <row r="3" spans="1:10" ht="24" customHeight="1">
      <c r="A3" s="109" t="s">
        <v>225</v>
      </c>
      <c r="B3" s="1209" t="s">
        <v>1827</v>
      </c>
      <c r="C3" s="427" t="s">
        <v>1827</v>
      </c>
      <c r="D3" s="1209" t="s">
        <v>1828</v>
      </c>
      <c r="E3" s="1242" t="s">
        <v>1828</v>
      </c>
      <c r="F3" s="1209" t="s">
        <v>1829</v>
      </c>
    </row>
    <row r="4" spans="1:10" ht="18" customHeight="1">
      <c r="A4" s="112"/>
      <c r="B4" s="426" t="s">
        <v>1828</v>
      </c>
      <c r="C4" s="427" t="s">
        <v>1828</v>
      </c>
      <c r="D4" s="426" t="s">
        <v>1830</v>
      </c>
      <c r="E4" s="1243" t="s">
        <v>1831</v>
      </c>
      <c r="F4" s="426" t="s">
        <v>1832</v>
      </c>
    </row>
    <row r="5" spans="1:10" ht="18.75" customHeight="1">
      <c r="A5" s="112"/>
      <c r="B5" s="426" t="s">
        <v>1833</v>
      </c>
      <c r="C5" s="427" t="s">
        <v>1834</v>
      </c>
      <c r="D5" s="426" t="s">
        <v>1835</v>
      </c>
      <c r="E5" s="1243" t="s">
        <v>1835</v>
      </c>
      <c r="F5" s="426" t="s">
        <v>1836</v>
      </c>
    </row>
    <row r="6" spans="1:10" ht="24" customHeight="1">
      <c r="A6" s="116"/>
      <c r="B6" s="117"/>
      <c r="C6" s="118"/>
      <c r="D6" s="117"/>
      <c r="E6" s="1244"/>
      <c r="F6" s="117"/>
    </row>
    <row r="7" spans="1:10" ht="22.25" customHeight="1" thickBot="1">
      <c r="A7" s="120">
        <v>1996</v>
      </c>
      <c r="B7" s="132">
        <v>7232667</v>
      </c>
      <c r="C7" s="133">
        <v>7170504.333333333</v>
      </c>
      <c r="D7" s="132" t="s">
        <v>29</v>
      </c>
      <c r="E7" s="529">
        <v>7194754</v>
      </c>
      <c r="F7" s="132">
        <v>7105446</v>
      </c>
    </row>
    <row r="8" spans="1:10" ht="20.5" customHeight="1" thickBot="1">
      <c r="A8" s="123">
        <v>1997</v>
      </c>
      <c r="B8" s="134">
        <v>7236471</v>
      </c>
      <c r="C8" s="135">
        <v>7182491.833333334</v>
      </c>
      <c r="D8" s="134" t="s">
        <v>29</v>
      </c>
      <c r="E8" s="1245">
        <v>7214805</v>
      </c>
      <c r="F8" s="134">
        <v>7113565</v>
      </c>
      <c r="H8" s="9"/>
      <c r="I8" s="9"/>
      <c r="J8" s="9"/>
    </row>
    <row r="9" spans="1:10" ht="19.75" customHeight="1" thickBot="1">
      <c r="A9" s="123">
        <v>1998</v>
      </c>
      <c r="B9" s="134">
        <v>7246616</v>
      </c>
      <c r="C9" s="135">
        <v>7211591.916666666</v>
      </c>
      <c r="D9" s="134" t="s">
        <v>29</v>
      </c>
      <c r="E9" s="1245">
        <v>7248603</v>
      </c>
      <c r="F9" s="134">
        <v>7131888</v>
      </c>
    </row>
    <row r="10" spans="1:10" ht="20" customHeight="1" thickBot="1">
      <c r="A10" s="123">
        <v>1999</v>
      </c>
      <c r="B10" s="134">
        <v>7270522</v>
      </c>
      <c r="C10" s="135">
        <v>7248704.333333334</v>
      </c>
      <c r="D10" s="134" t="s">
        <v>29</v>
      </c>
      <c r="E10" s="1245">
        <v>7266534</v>
      </c>
      <c r="F10" s="134">
        <v>7166738</v>
      </c>
    </row>
    <row r="11" spans="1:10" ht="20" customHeight="1" thickBot="1">
      <c r="A11" s="123">
        <v>2000</v>
      </c>
      <c r="B11" s="134">
        <v>7265113</v>
      </c>
      <c r="C11" s="135">
        <v>7262246.833333333</v>
      </c>
      <c r="D11" s="134" t="s">
        <v>29</v>
      </c>
      <c r="E11" s="1245">
        <v>7268111</v>
      </c>
      <c r="F11" s="134">
        <v>7209042</v>
      </c>
    </row>
    <row r="12" spans="1:10" ht="20" customHeight="1" thickBot="1">
      <c r="A12" s="123">
        <v>2001</v>
      </c>
      <c r="B12" s="134">
        <v>7301050</v>
      </c>
      <c r="C12" s="135">
        <v>7296058.5199999996</v>
      </c>
      <c r="D12" s="134" t="s">
        <v>29</v>
      </c>
      <c r="E12" s="1245">
        <v>7321287</v>
      </c>
      <c r="F12" s="134">
        <v>7260339</v>
      </c>
    </row>
    <row r="13" spans="1:10" ht="20" customHeight="1" thickBot="1">
      <c r="A13" s="123">
        <v>2002</v>
      </c>
      <c r="B13" s="134">
        <v>7344632</v>
      </c>
      <c r="C13" s="135">
        <v>7341111.2499999991</v>
      </c>
      <c r="D13" s="134" t="s">
        <v>29</v>
      </c>
      <c r="E13" s="1245">
        <v>7359365</v>
      </c>
      <c r="F13" s="134">
        <v>7347770</v>
      </c>
    </row>
    <row r="14" spans="1:10" ht="20" customHeight="1" thickBot="1">
      <c r="A14" s="123">
        <v>2003</v>
      </c>
      <c r="B14" s="134">
        <v>7372505</v>
      </c>
      <c r="C14" s="135">
        <v>7377771.6699999999</v>
      </c>
      <c r="D14" s="134" t="s">
        <v>29</v>
      </c>
      <c r="E14" s="1245">
        <v>7393188</v>
      </c>
      <c r="F14" s="134">
        <v>7405051</v>
      </c>
    </row>
    <row r="15" spans="1:10" ht="20" customHeight="1" thickBot="1">
      <c r="A15" s="123">
        <v>2004</v>
      </c>
      <c r="B15" s="134">
        <v>7383574</v>
      </c>
      <c r="C15" s="135">
        <v>7411732</v>
      </c>
      <c r="D15" s="134" t="s">
        <v>29</v>
      </c>
      <c r="E15" s="1245">
        <v>7419974</v>
      </c>
      <c r="F15" s="134">
        <v>7454112</v>
      </c>
    </row>
    <row r="16" spans="1:10" ht="20" customHeight="1" thickBot="1">
      <c r="A16" s="123">
        <v>2005</v>
      </c>
      <c r="B16" s="134">
        <v>7435865</v>
      </c>
      <c r="C16" s="135">
        <v>7444739</v>
      </c>
      <c r="D16" s="134">
        <v>7426709</v>
      </c>
      <c r="E16" s="1245">
        <v>7458475</v>
      </c>
      <c r="F16" s="134">
        <v>7501255</v>
      </c>
    </row>
    <row r="17" spans="1:6" ht="20" customHeight="1" thickBot="1">
      <c r="A17" s="123">
        <v>2006</v>
      </c>
      <c r="B17" s="134">
        <v>7478426.8300000001</v>
      </c>
      <c r="C17" s="135">
        <v>7488730</v>
      </c>
      <c r="D17" s="134">
        <v>7470156</v>
      </c>
      <c r="E17" s="1245">
        <v>7507545</v>
      </c>
      <c r="F17" s="134">
        <v>7557609</v>
      </c>
    </row>
    <row r="18" spans="1:6" ht="20" customHeight="1" thickBot="1">
      <c r="A18" s="123">
        <v>2007</v>
      </c>
      <c r="B18" s="134">
        <v>7537587.4100000001</v>
      </c>
      <c r="C18" s="135">
        <v>7517067</v>
      </c>
      <c r="D18" s="134">
        <v>7548213</v>
      </c>
      <c r="E18" s="1245">
        <v>7577132</v>
      </c>
      <c r="F18" s="134">
        <v>7618599</v>
      </c>
    </row>
    <row r="19" spans="1:6" ht="20" customHeight="1" thickBot="1">
      <c r="A19" s="123">
        <v>2008</v>
      </c>
      <c r="B19" s="134">
        <v>7615563.3600000003</v>
      </c>
      <c r="C19" s="135">
        <v>7602868</v>
      </c>
      <c r="D19" s="134">
        <v>7611232</v>
      </c>
      <c r="E19" s="1245">
        <v>7669611</v>
      </c>
      <c r="F19" s="134">
        <v>7711056</v>
      </c>
    </row>
    <row r="20" spans="1:6" ht="20" customHeight="1" thickBot="1">
      <c r="A20" s="123">
        <v>2009</v>
      </c>
      <c r="B20" s="134">
        <v>7708851.5500000007</v>
      </c>
      <c r="C20" s="135">
        <v>7692449</v>
      </c>
      <c r="D20" s="134">
        <v>7717311</v>
      </c>
      <c r="E20" s="1245">
        <v>7748922</v>
      </c>
      <c r="F20" s="134">
        <v>7801278</v>
      </c>
    </row>
    <row r="21" spans="1:6" ht="20" customHeight="1" thickBot="1">
      <c r="A21" s="123">
        <v>2010</v>
      </c>
      <c r="B21" s="134">
        <v>7779661.8399999999</v>
      </c>
      <c r="C21" s="135">
        <v>7764759</v>
      </c>
      <c r="D21" s="134">
        <v>7783558.0800000001</v>
      </c>
      <c r="E21" s="1245">
        <v>7822633</v>
      </c>
      <c r="F21" s="134">
        <v>7877571</v>
      </c>
    </row>
    <row r="22" spans="1:6" ht="20" customHeight="1" thickBot="1">
      <c r="A22" s="123">
        <v>2011</v>
      </c>
      <c r="B22" s="134">
        <v>7862770.46</v>
      </c>
      <c r="C22" s="135">
        <v>7840441</v>
      </c>
      <c r="D22" s="1088">
        <v>7860791</v>
      </c>
      <c r="E22" s="1246">
        <v>7907019.0999999996</v>
      </c>
      <c r="F22" s="134">
        <v>7912398</v>
      </c>
    </row>
    <row r="23" spans="1:6" ht="30" customHeight="1" thickBot="1">
      <c r="A23" s="126">
        <v>2012</v>
      </c>
      <c r="B23" s="136">
        <v>7953357.3799999999</v>
      </c>
      <c r="C23" s="1967">
        <v>7931746</v>
      </c>
      <c r="D23" s="136">
        <v>7932245</v>
      </c>
      <c r="E23" s="1247">
        <v>7999269</v>
      </c>
      <c r="F23" s="136">
        <v>7996861</v>
      </c>
    </row>
    <row r="24" spans="1:6" ht="20" customHeight="1">
      <c r="A24" s="130" t="s">
        <v>2549</v>
      </c>
      <c r="B24" s="354"/>
      <c r="C24" s="354"/>
      <c r="D24" s="354"/>
      <c r="E24" s="354"/>
      <c r="F24" s="354"/>
    </row>
    <row r="25" spans="1:6" ht="12.75" customHeight="1">
      <c r="A25" s="131"/>
      <c r="B25" s="357"/>
      <c r="C25" s="357"/>
      <c r="D25" s="357"/>
      <c r="E25" s="357"/>
      <c r="F25" s="357"/>
    </row>
    <row r="26" spans="1:6" ht="12.75" customHeight="1">
      <c r="A26" s="647" t="s">
        <v>1837</v>
      </c>
      <c r="B26" s="357"/>
      <c r="C26" s="357"/>
      <c r="D26" s="357"/>
      <c r="E26" s="357"/>
      <c r="F26" s="357"/>
    </row>
    <row r="27" spans="1:6" ht="12" customHeight="1">
      <c r="A27" s="1220" t="s">
        <v>1852</v>
      </c>
    </row>
    <row r="28" spans="1:6" ht="12" customHeight="1">
      <c r="A28" s="336" t="s">
        <v>1786</v>
      </c>
    </row>
    <row r="29" spans="1:6" ht="13.75" customHeight="1">
      <c r="A29" s="647" t="s">
        <v>1838</v>
      </c>
    </row>
    <row r="30" spans="1:6" ht="15" customHeight="1">
      <c r="A30" s="131" t="s">
        <v>1839</v>
      </c>
    </row>
    <row r="32" spans="1:6">
      <c r="A32" s="3" t="s">
        <v>1840</v>
      </c>
    </row>
    <row r="35" spans="1:1">
      <c r="A35" s="3" t="s">
        <v>395</v>
      </c>
    </row>
  </sheetData>
  <pageMargins left="0.44" right="0.28000000000000003" top="0.70866141732283472" bottom="0.47244094488188981" header="0.55118110236220474" footer="0.51181102362204722"/>
  <pageSetup paperSize="9" scale="68" orientation="portrait" horizontalDpi="1200" verticalDpi="12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A647-A062-E546-9757-E6BD0BD254B2}">
  <sheetPr>
    <pageSetUpPr fitToPage="1"/>
  </sheetPr>
  <dimension ref="A1:G31"/>
  <sheetViews>
    <sheetView zoomScaleNormal="100" workbookViewId="0">
      <selection activeCell="I24" sqref="I24"/>
    </sheetView>
  </sheetViews>
  <sheetFormatPr baseColWidth="10" defaultColWidth="11.3984375" defaultRowHeight="13"/>
  <cols>
    <col min="1" max="1" width="18.19921875" style="3" customWidth="1"/>
    <col min="2" max="7" width="14.59765625" style="3" customWidth="1"/>
    <col min="8" max="16384" width="11.3984375" style="3"/>
  </cols>
  <sheetData>
    <row r="1" spans="1:7" s="2" customFormat="1" ht="14" customHeight="1"/>
    <row r="2" spans="1:7" s="2" customFormat="1" ht="28" customHeight="1">
      <c r="A2" s="139" t="s">
        <v>710</v>
      </c>
      <c r="G2" s="442"/>
    </row>
    <row r="3" spans="1:7" ht="24" customHeight="1">
      <c r="A3" s="109" t="s">
        <v>225</v>
      </c>
      <c r="B3" s="110" t="s">
        <v>226</v>
      </c>
      <c r="C3" s="111" t="s">
        <v>227</v>
      </c>
      <c r="D3" s="110" t="s">
        <v>228</v>
      </c>
      <c r="E3" s="569" t="s">
        <v>229</v>
      </c>
      <c r="F3" s="110" t="s">
        <v>230</v>
      </c>
      <c r="G3" s="155" t="s">
        <v>256</v>
      </c>
    </row>
    <row r="4" spans="1:7" ht="15" customHeight="1">
      <c r="A4" s="112"/>
      <c r="B4" s="113" t="s">
        <v>231</v>
      </c>
      <c r="C4" s="114" t="s">
        <v>232</v>
      </c>
      <c r="D4" s="113" t="s">
        <v>233</v>
      </c>
      <c r="E4" s="115" t="s">
        <v>234</v>
      </c>
      <c r="F4" s="113"/>
      <c r="G4" s="156" t="s">
        <v>257</v>
      </c>
    </row>
    <row r="5" spans="1:7" ht="15" customHeight="1">
      <c r="A5" s="112"/>
      <c r="B5" s="113" t="s">
        <v>235</v>
      </c>
      <c r="C5" s="114" t="s">
        <v>236</v>
      </c>
      <c r="D5" s="113"/>
      <c r="E5" s="115" t="s">
        <v>244</v>
      </c>
      <c r="F5" s="113"/>
      <c r="G5" s="156" t="s">
        <v>258</v>
      </c>
    </row>
    <row r="6" spans="1:7" ht="24" customHeight="1">
      <c r="A6" s="116"/>
      <c r="B6" s="117"/>
      <c r="C6" s="118"/>
      <c r="D6" s="117"/>
      <c r="E6" s="119" t="s">
        <v>238</v>
      </c>
      <c r="F6" s="117"/>
      <c r="G6" s="157"/>
    </row>
    <row r="7" spans="1:7" ht="1.5" customHeight="1" thickBot="1">
      <c r="A7" s="120">
        <v>1996</v>
      </c>
      <c r="B7" s="132">
        <v>4739640</v>
      </c>
      <c r="C7" s="133">
        <v>2305688</v>
      </c>
      <c r="D7" s="132">
        <v>27828</v>
      </c>
      <c r="E7" s="133">
        <v>121598</v>
      </c>
      <c r="F7" s="339">
        <v>7194754</v>
      </c>
      <c r="G7" s="158">
        <v>3.9681470970374319E-3</v>
      </c>
    </row>
    <row r="8" spans="1:7" ht="0.75" hidden="1" customHeight="1" thickBot="1">
      <c r="A8" s="123">
        <v>1997</v>
      </c>
      <c r="B8" s="134">
        <v>4083854</v>
      </c>
      <c r="C8" s="135">
        <v>2736364</v>
      </c>
      <c r="D8" s="134">
        <v>11494</v>
      </c>
      <c r="E8" s="135">
        <v>383093</v>
      </c>
      <c r="F8" s="134">
        <v>7214805</v>
      </c>
      <c r="G8" s="159">
        <v>2.7868916713483186E-3</v>
      </c>
    </row>
    <row r="9" spans="1:7" ht="19.5" hidden="1" customHeight="1" thickBot="1">
      <c r="A9" s="123">
        <v>1998</v>
      </c>
      <c r="B9" s="134">
        <v>4016267</v>
      </c>
      <c r="C9" s="135">
        <v>2726468</v>
      </c>
      <c r="D9" s="134">
        <v>11828</v>
      </c>
      <c r="E9" s="135">
        <v>494040</v>
      </c>
      <c r="F9" s="134">
        <v>7248603</v>
      </c>
      <c r="G9" s="159">
        <v>4.6845340934370365E-3</v>
      </c>
    </row>
    <row r="10" spans="1:7" ht="19.75" hidden="1" customHeight="1" thickBot="1">
      <c r="A10" s="123">
        <v>1999</v>
      </c>
      <c r="B10" s="134">
        <v>3998744</v>
      </c>
      <c r="C10" s="135">
        <v>2715642</v>
      </c>
      <c r="D10" s="134">
        <v>10258</v>
      </c>
      <c r="E10" s="135">
        <v>541890</v>
      </c>
      <c r="F10" s="134">
        <v>7266534</v>
      </c>
      <c r="G10" s="159">
        <v>2.4737180391863093E-3</v>
      </c>
    </row>
    <row r="11" spans="1:7" ht="0.5" customHeight="1" thickBot="1">
      <c r="A11" s="123">
        <v>2000</v>
      </c>
      <c r="B11" s="134">
        <v>3921920</v>
      </c>
      <c r="C11" s="135">
        <v>2758539</v>
      </c>
      <c r="D11" s="134">
        <v>9811</v>
      </c>
      <c r="E11" s="135">
        <v>577841</v>
      </c>
      <c r="F11" s="134">
        <v>7268111</v>
      </c>
      <c r="G11" s="159">
        <v>2.1702231077429761E-4</v>
      </c>
    </row>
    <row r="12" spans="1:7" ht="20" hidden="1" customHeight="1" thickBot="1">
      <c r="A12" s="123">
        <v>2001</v>
      </c>
      <c r="B12" s="134">
        <v>3882191</v>
      </c>
      <c r="C12" s="135">
        <v>2833816</v>
      </c>
      <c r="D12" s="134">
        <v>9341</v>
      </c>
      <c r="E12" s="135">
        <v>595939</v>
      </c>
      <c r="F12" s="134">
        <v>7321287</v>
      </c>
      <c r="G12" s="159">
        <v>7.3163439578729601E-3</v>
      </c>
    </row>
    <row r="13" spans="1:7" ht="20" customHeight="1" thickBot="1">
      <c r="A13" s="123">
        <v>2002</v>
      </c>
      <c r="B13" s="134">
        <v>3812675</v>
      </c>
      <c r="C13" s="135">
        <v>2980820</v>
      </c>
      <c r="D13" s="134">
        <v>8835</v>
      </c>
      <c r="E13" s="135">
        <v>557035</v>
      </c>
      <c r="F13" s="134">
        <v>7359365</v>
      </c>
      <c r="G13" s="159">
        <v>5.2009981305199482E-3</v>
      </c>
    </row>
    <row r="14" spans="1:7" ht="20" customHeight="1" thickBot="1">
      <c r="A14" s="123">
        <v>2003</v>
      </c>
      <c r="B14" s="134">
        <v>3674270</v>
      </c>
      <c r="C14" s="135">
        <v>3107097</v>
      </c>
      <c r="D14" s="134">
        <v>8317</v>
      </c>
      <c r="E14" s="135">
        <v>603504</v>
      </c>
      <c r="F14" s="134">
        <v>7393188</v>
      </c>
      <c r="G14" s="159">
        <v>4.5959128267180661E-3</v>
      </c>
    </row>
    <row r="15" spans="1:7" ht="20" customHeight="1" thickBot="1">
      <c r="A15" s="123">
        <v>2004</v>
      </c>
      <c r="B15" s="134">
        <v>3639287</v>
      </c>
      <c r="C15" s="135">
        <v>3024823</v>
      </c>
      <c r="D15" s="134">
        <v>8098</v>
      </c>
      <c r="E15" s="135">
        <v>747766</v>
      </c>
      <c r="F15" s="134">
        <v>7419974</v>
      </c>
      <c r="G15" s="159">
        <v>3.623064907858423E-3</v>
      </c>
    </row>
    <row r="16" spans="1:7" ht="20" customHeight="1" thickBot="1">
      <c r="A16" s="123">
        <v>2005</v>
      </c>
      <c r="B16" s="134">
        <v>3605578</v>
      </c>
      <c r="C16" s="135">
        <v>2939073</v>
      </c>
      <c r="D16" s="134">
        <v>7711</v>
      </c>
      <c r="E16" s="135">
        <v>906113</v>
      </c>
      <c r="F16" s="134">
        <v>7458475</v>
      </c>
      <c r="G16" s="159">
        <v>5.1888321980643063E-3</v>
      </c>
    </row>
    <row r="17" spans="1:7" ht="20" customHeight="1" thickBot="1">
      <c r="A17" s="123">
        <v>2006</v>
      </c>
      <c r="B17" s="134">
        <v>3356090</v>
      </c>
      <c r="C17" s="135">
        <v>2787429</v>
      </c>
      <c r="D17" s="134">
        <v>7220</v>
      </c>
      <c r="E17" s="135">
        <v>1356806</v>
      </c>
      <c r="F17" s="134">
        <v>7507545</v>
      </c>
      <c r="G17" s="159">
        <v>6.5790929110843702E-3</v>
      </c>
    </row>
    <row r="18" spans="1:7" ht="20" customHeight="1" thickBot="1">
      <c r="A18" s="123">
        <v>2007</v>
      </c>
      <c r="B18" s="134">
        <v>3149431</v>
      </c>
      <c r="C18" s="135">
        <v>2579751</v>
      </c>
      <c r="D18" s="134">
        <v>6903</v>
      </c>
      <c r="E18" s="135">
        <v>1841047</v>
      </c>
      <c r="F18" s="134">
        <v>7577132</v>
      </c>
      <c r="G18" s="159">
        <v>9.268942110903098E-3</v>
      </c>
    </row>
    <row r="19" spans="1:7" ht="20" customHeight="1" thickBot="1">
      <c r="A19" s="123">
        <v>2008</v>
      </c>
      <c r="B19" s="134">
        <v>2968164</v>
      </c>
      <c r="C19" s="135">
        <v>2394419</v>
      </c>
      <c r="D19" s="134">
        <v>6557</v>
      </c>
      <c r="E19" s="135">
        <v>2300471</v>
      </c>
      <c r="F19" s="134">
        <v>7669611</v>
      </c>
      <c r="G19" s="159">
        <v>1.22050137175913E-2</v>
      </c>
    </row>
    <row r="20" spans="1:7" ht="20" customHeight="1" thickBot="1">
      <c r="A20" s="123">
        <v>2009</v>
      </c>
      <c r="B20" s="134">
        <v>2724152.39</v>
      </c>
      <c r="C20" s="135">
        <v>2160200.0299999998</v>
      </c>
      <c r="D20" s="134">
        <v>6148</v>
      </c>
      <c r="E20" s="135">
        <v>2858421.51</v>
      </c>
      <c r="F20" s="134">
        <v>7748921.9299999997</v>
      </c>
      <c r="G20" s="159">
        <v>1.0340932545340267E-2</v>
      </c>
    </row>
    <row r="21" spans="1:7" ht="20" customHeight="1" thickBot="1">
      <c r="A21" s="123">
        <v>2010</v>
      </c>
      <c r="B21" s="134">
        <v>2395489</v>
      </c>
      <c r="C21" s="135">
        <v>1750104</v>
      </c>
      <c r="D21" s="134">
        <v>5668</v>
      </c>
      <c r="E21" s="135">
        <v>3671372</v>
      </c>
      <c r="F21" s="134">
        <v>7822633</v>
      </c>
      <c r="G21" s="159">
        <v>9.5124290405646534E-3</v>
      </c>
    </row>
    <row r="22" spans="1:7" ht="20" customHeight="1" thickBot="1">
      <c r="A22" s="123">
        <v>2011</v>
      </c>
      <c r="B22" s="134">
        <v>2165345</v>
      </c>
      <c r="C22" s="135">
        <v>1530081</v>
      </c>
      <c r="D22" s="134">
        <v>5251</v>
      </c>
      <c r="E22" s="135">
        <v>4206342.0999999996</v>
      </c>
      <c r="F22" s="134">
        <v>7907019.0999999996</v>
      </c>
      <c r="G22" s="159">
        <v>1.0787429245370406E-2</v>
      </c>
    </row>
    <row r="23" spans="1:7" ht="27.5" customHeight="1" thickBot="1">
      <c r="A23" s="126">
        <v>2012</v>
      </c>
      <c r="B23" s="136">
        <v>2006966</v>
      </c>
      <c r="C23" s="137">
        <v>1379117</v>
      </c>
      <c r="D23" s="136">
        <v>5002</v>
      </c>
      <c r="E23" s="137">
        <v>4608184</v>
      </c>
      <c r="F23" s="136">
        <v>7999269</v>
      </c>
      <c r="G23" s="160">
        <v>1.1666836621148466E-2</v>
      </c>
    </row>
    <row r="24" spans="1:7" ht="19.5" customHeight="1">
      <c r="A24" s="130" t="s">
        <v>396</v>
      </c>
      <c r="B24" s="130"/>
      <c r="C24" s="130"/>
      <c r="D24" s="130"/>
      <c r="E24" s="130"/>
      <c r="F24" s="130"/>
      <c r="G24" s="130"/>
    </row>
    <row r="26" spans="1:7">
      <c r="A26" s="131" t="s">
        <v>711</v>
      </c>
    </row>
    <row r="28" spans="1:7">
      <c r="A28" s="3" t="s">
        <v>712</v>
      </c>
    </row>
    <row r="31" spans="1:7">
      <c r="A31" s="3" t="s">
        <v>395</v>
      </c>
    </row>
  </sheetData>
  <pageMargins left="0.56000000000000005" right="0.54" top="0.96" bottom="0.49" header="0.57999999999999996" footer="0.4921259845"/>
  <pageSetup paperSize="9" scale="86" orientation="portrait" horizontalDpi="4294967292" verticalDpi="4294967292"/>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C8D7-5747-B642-85ED-99BA929E0E18}">
  <sheetPr>
    <pageSetUpPr fitToPage="1"/>
  </sheetPr>
  <dimension ref="A1:G22"/>
  <sheetViews>
    <sheetView zoomScaleNormal="100" workbookViewId="0">
      <selection activeCell="B14" sqref="B14"/>
    </sheetView>
  </sheetViews>
  <sheetFormatPr baseColWidth="10" defaultColWidth="11.3984375" defaultRowHeight="13"/>
  <cols>
    <col min="1" max="1" width="36.3984375" style="3" customWidth="1"/>
    <col min="2" max="6" width="14.3984375" style="3" customWidth="1"/>
    <col min="7" max="7" width="15" style="3" customWidth="1"/>
    <col min="8" max="16384" width="11.3984375" style="3"/>
  </cols>
  <sheetData>
    <row r="1" spans="1:7" ht="14" customHeight="1">
      <c r="A1" s="277"/>
      <c r="B1" s="131"/>
      <c r="C1" s="131"/>
      <c r="D1" s="131"/>
      <c r="E1" s="131"/>
      <c r="F1" s="131"/>
      <c r="G1" s="131"/>
    </row>
    <row r="2" spans="1:7" ht="30" customHeight="1">
      <c r="A2" s="2054" t="s">
        <v>703</v>
      </c>
      <c r="B2" s="2055"/>
      <c r="C2" s="2055"/>
      <c r="D2" s="2055"/>
      <c r="E2" s="2055"/>
      <c r="F2" s="2055"/>
      <c r="G2" s="222">
        <v>2012</v>
      </c>
    </row>
    <row r="3" spans="1:7" ht="24" customHeight="1">
      <c r="A3" s="109" t="s">
        <v>577</v>
      </c>
      <c r="B3" s="110" t="s">
        <v>482</v>
      </c>
      <c r="C3" s="111" t="s">
        <v>483</v>
      </c>
      <c r="D3" s="110" t="s">
        <v>427</v>
      </c>
      <c r="E3" s="111" t="s">
        <v>230</v>
      </c>
      <c r="F3" s="110" t="s">
        <v>484</v>
      </c>
      <c r="G3" s="155" t="s">
        <v>256</v>
      </c>
    </row>
    <row r="4" spans="1:7" ht="19.75" customHeight="1">
      <c r="A4" s="112"/>
      <c r="B4" s="113"/>
      <c r="C4" s="114"/>
      <c r="D4" s="113"/>
      <c r="E4" s="115"/>
      <c r="F4" s="113" t="s">
        <v>485</v>
      </c>
      <c r="G4" s="156" t="s">
        <v>257</v>
      </c>
    </row>
    <row r="5" spans="1:7" ht="18.5" customHeight="1">
      <c r="A5" s="156"/>
      <c r="B5" s="113"/>
      <c r="C5" s="114"/>
      <c r="D5" s="113"/>
      <c r="E5" s="114"/>
      <c r="F5" s="113" t="s">
        <v>486</v>
      </c>
      <c r="G5" s="156" t="s">
        <v>258</v>
      </c>
    </row>
    <row r="6" spans="1:7" ht="24" customHeight="1">
      <c r="A6" s="168"/>
      <c r="B6" s="443"/>
      <c r="C6" s="444"/>
      <c r="D6" s="443"/>
      <c r="E6" s="444"/>
      <c r="F6" s="443"/>
      <c r="G6" s="157"/>
    </row>
    <row r="7" spans="1:7" ht="37.5" customHeight="1" thickBot="1">
      <c r="A7" s="559" t="s">
        <v>580</v>
      </c>
      <c r="B7" s="339">
        <v>631654</v>
      </c>
      <c r="C7" s="340">
        <v>812773</v>
      </c>
      <c r="D7" s="339">
        <v>562539</v>
      </c>
      <c r="E7" s="340">
        <v>2006966</v>
      </c>
      <c r="F7" s="560">
        <v>0.25089367540959057</v>
      </c>
      <c r="G7" s="158">
        <v>-7.3142616996367787E-2</v>
      </c>
    </row>
    <row r="8" spans="1:7" ht="34.5" customHeight="1" thickBot="1">
      <c r="A8" s="559" t="s">
        <v>581</v>
      </c>
      <c r="B8" s="339">
        <v>697491</v>
      </c>
      <c r="C8" s="340">
        <v>625689</v>
      </c>
      <c r="D8" s="339">
        <v>55937</v>
      </c>
      <c r="E8" s="340">
        <v>1379117</v>
      </c>
      <c r="F8" s="560">
        <v>0.17240537854146423</v>
      </c>
      <c r="G8" s="158">
        <v>-9.8664057654464038E-2</v>
      </c>
    </row>
    <row r="9" spans="1:7" ht="31.5" customHeight="1" thickBot="1">
      <c r="A9" s="559" t="s">
        <v>582</v>
      </c>
      <c r="B9" s="339">
        <v>3275</v>
      </c>
      <c r="C9" s="340">
        <v>1704</v>
      </c>
      <c r="D9" s="339">
        <v>23</v>
      </c>
      <c r="E9" s="340">
        <v>5002</v>
      </c>
      <c r="F9" s="560">
        <v>6.2530713743968352E-4</v>
      </c>
      <c r="G9" s="158">
        <v>-4.7419539135402783E-2</v>
      </c>
    </row>
    <row r="10" spans="1:7" ht="33" customHeight="1" thickBot="1">
      <c r="A10" s="559" t="s">
        <v>704</v>
      </c>
      <c r="B10" s="339">
        <v>1823056</v>
      </c>
      <c r="C10" s="340">
        <v>1851338</v>
      </c>
      <c r="D10" s="339">
        <v>933790</v>
      </c>
      <c r="E10" s="340">
        <v>4608184</v>
      </c>
      <c r="F10" s="560">
        <v>0.57607563891150559</v>
      </c>
      <c r="G10" s="158">
        <v>9.5532386678677514E-2</v>
      </c>
    </row>
    <row r="11" spans="1:7" ht="39.5" customHeight="1" thickBot="1">
      <c r="A11" s="561" t="s">
        <v>705</v>
      </c>
      <c r="B11" s="562" t="s">
        <v>29</v>
      </c>
      <c r="C11" s="563" t="s">
        <v>29</v>
      </c>
      <c r="D11" s="562" t="s">
        <v>29</v>
      </c>
      <c r="E11" s="564">
        <v>2515417</v>
      </c>
      <c r="F11" s="565">
        <v>0.31445585840406165</v>
      </c>
      <c r="G11" s="566" t="s">
        <v>29</v>
      </c>
    </row>
    <row r="12" spans="1:7" ht="33" customHeight="1" thickBot="1">
      <c r="A12" s="451" t="s">
        <v>230</v>
      </c>
      <c r="B12" s="452">
        <v>3155476</v>
      </c>
      <c r="C12" s="453">
        <v>3291504</v>
      </c>
      <c r="D12" s="452">
        <v>1552289</v>
      </c>
      <c r="E12" s="453">
        <v>7999269</v>
      </c>
      <c r="F12" s="567">
        <v>1</v>
      </c>
      <c r="G12" s="568">
        <v>1.1666836621148466E-2</v>
      </c>
    </row>
    <row r="13" spans="1:7" ht="19.5" customHeight="1">
      <c r="A13" s="130" t="s">
        <v>396</v>
      </c>
      <c r="B13" s="130"/>
      <c r="C13" s="130"/>
      <c r="D13" s="130"/>
      <c r="E13" s="130"/>
      <c r="F13" s="130"/>
      <c r="G13" s="130"/>
    </row>
    <row r="15" spans="1:7">
      <c r="A15" s="3" t="s">
        <v>706</v>
      </c>
    </row>
    <row r="16" spans="1:7">
      <c r="A16" s="3" t="s">
        <v>707</v>
      </c>
    </row>
    <row r="17" spans="1:1">
      <c r="A17" s="3" t="s">
        <v>708</v>
      </c>
    </row>
    <row r="19" spans="1:1">
      <c r="A19" s="3" t="s">
        <v>709</v>
      </c>
    </row>
    <row r="22" spans="1:1">
      <c r="A22" s="3" t="s">
        <v>395</v>
      </c>
    </row>
  </sheetData>
  <mergeCells count="1">
    <mergeCell ref="A2:F2"/>
  </mergeCells>
  <pageMargins left="0.43" right="0.35" top="0.78740157480314965" bottom="0.47244094488188981" header="0.43307086614173229" footer="0.51181102362204722"/>
  <pageSetup paperSize="9" scale="78" orientation="portrait" horizontalDpi="1200" verticalDpi="12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60D3-236B-044C-96E1-D68125752068}">
  <sheetPr>
    <pageSetUpPr fitToPage="1"/>
  </sheetPr>
  <dimension ref="A1:F31"/>
  <sheetViews>
    <sheetView topLeftCell="A2" zoomScaleNormal="100" workbookViewId="0">
      <selection activeCell="H21" sqref="H21"/>
    </sheetView>
  </sheetViews>
  <sheetFormatPr baseColWidth="10" defaultColWidth="11.3984375" defaultRowHeight="13"/>
  <cols>
    <col min="1" max="1" width="18.19921875" style="3" customWidth="1"/>
    <col min="2" max="6" width="14.59765625" style="3" customWidth="1"/>
    <col min="7" max="7" width="17.59765625" style="3" customWidth="1"/>
    <col min="8" max="16384" width="11.3984375" style="3"/>
  </cols>
  <sheetData>
    <row r="1" spans="1:6" s="2" customFormat="1" ht="14" customHeight="1"/>
    <row r="2" spans="1:6" s="2" customFormat="1" ht="39.75" customHeight="1">
      <c r="A2" s="2054" t="s">
        <v>1098</v>
      </c>
      <c r="B2" s="2055"/>
      <c r="C2" s="2055"/>
      <c r="D2" s="2055"/>
      <c r="E2" s="2055"/>
      <c r="F2" s="164"/>
    </row>
    <row r="3" spans="1:6" ht="24" customHeight="1">
      <c r="A3" s="109" t="s">
        <v>225</v>
      </c>
      <c r="B3" s="110" t="s">
        <v>226</v>
      </c>
      <c r="C3" s="111" t="s">
        <v>227</v>
      </c>
      <c r="D3" s="110" t="s">
        <v>228</v>
      </c>
      <c r="E3" s="569" t="s">
        <v>229</v>
      </c>
      <c r="F3" s="110" t="s">
        <v>230</v>
      </c>
    </row>
    <row r="4" spans="1:6" ht="15" customHeight="1">
      <c r="A4" s="112"/>
      <c r="B4" s="113" t="s">
        <v>231</v>
      </c>
      <c r="C4" s="114" t="s">
        <v>232</v>
      </c>
      <c r="D4" s="113" t="s">
        <v>233</v>
      </c>
      <c r="E4" s="115" t="s">
        <v>234</v>
      </c>
      <c r="F4" s="113"/>
    </row>
    <row r="5" spans="1:6" ht="15" customHeight="1">
      <c r="A5" s="112"/>
      <c r="B5" s="113" t="s">
        <v>235</v>
      </c>
      <c r="C5" s="114" t="s">
        <v>236</v>
      </c>
      <c r="D5" s="113"/>
      <c r="E5" s="115" t="s">
        <v>244</v>
      </c>
      <c r="F5" s="113"/>
    </row>
    <row r="6" spans="1:6" ht="24" customHeight="1">
      <c r="A6" s="116"/>
      <c r="B6" s="117"/>
      <c r="C6" s="118"/>
      <c r="D6" s="117"/>
      <c r="E6" s="119" t="s">
        <v>238</v>
      </c>
      <c r="F6" s="117"/>
    </row>
    <row r="7" spans="1:6" ht="1.5" customHeight="1" thickBot="1">
      <c r="A7" s="120">
        <v>1996</v>
      </c>
      <c r="B7" s="657">
        <v>0.65876331560467527</v>
      </c>
      <c r="C7" s="146">
        <v>0.32046794094697328</v>
      </c>
      <c r="D7" s="657">
        <v>3.8678181352691143E-3</v>
      </c>
      <c r="E7" s="146">
        <v>1.6900925313082283E-2</v>
      </c>
      <c r="F7" s="560">
        <v>1</v>
      </c>
    </row>
    <row r="8" spans="1:6" ht="19.5" hidden="1" customHeight="1" thickBot="1">
      <c r="A8" s="123">
        <v>1997</v>
      </c>
      <c r="B8" s="658">
        <v>0.56603802874783171</v>
      </c>
      <c r="C8" s="659">
        <v>0.37927068021935451</v>
      </c>
      <c r="D8" s="658">
        <v>1.5931130501794573E-3</v>
      </c>
      <c r="E8" s="659">
        <v>5.3098177982634318E-2</v>
      </c>
      <c r="F8" s="658">
        <v>1</v>
      </c>
    </row>
    <row r="9" spans="1:6" ht="19.5" hidden="1" customHeight="1" thickBot="1">
      <c r="A9" s="123">
        <v>1998</v>
      </c>
      <c r="B9" s="658">
        <v>0.55407462651768902</v>
      </c>
      <c r="C9" s="659">
        <v>0.37613702943863803</v>
      </c>
      <c r="D9" s="658">
        <v>1.6317626996539885E-3</v>
      </c>
      <c r="E9" s="659">
        <v>6.8156581344018974E-2</v>
      </c>
      <c r="F9" s="658">
        <v>1</v>
      </c>
    </row>
    <row r="10" spans="1:6" ht="0.5" hidden="1" customHeight="1" thickBot="1">
      <c r="A10" s="123">
        <v>1999</v>
      </c>
      <c r="B10" s="658">
        <v>0.55029591824658086</v>
      </c>
      <c r="C10" s="659">
        <v>0.37371902477852575</v>
      </c>
      <c r="D10" s="658">
        <v>1.4116771489681326E-3</v>
      </c>
      <c r="E10" s="659">
        <v>7.4573379825925268E-2</v>
      </c>
      <c r="F10" s="658">
        <v>1</v>
      </c>
    </row>
    <row r="11" spans="1:6" ht="19.75" hidden="1" customHeight="1" thickBot="1">
      <c r="A11" s="123">
        <v>2000</v>
      </c>
      <c r="B11" s="658">
        <v>0.53960650848618019</v>
      </c>
      <c r="C11" s="659">
        <v>0.37954002078394233</v>
      </c>
      <c r="D11" s="658">
        <v>1.3498693126728527E-3</v>
      </c>
      <c r="E11" s="659">
        <v>7.9503601417204556E-2</v>
      </c>
      <c r="F11" s="658">
        <v>1</v>
      </c>
    </row>
    <row r="12" spans="1:6" ht="20" hidden="1" customHeight="1" thickBot="1">
      <c r="A12" s="123">
        <v>2001</v>
      </c>
      <c r="B12" s="658">
        <v>0.53026073148068087</v>
      </c>
      <c r="C12" s="659">
        <v>0.38706527964277321</v>
      </c>
      <c r="D12" s="658">
        <v>1.2758685733806091E-3</v>
      </c>
      <c r="E12" s="659">
        <v>8.1398120303165275E-2</v>
      </c>
      <c r="F12" s="658">
        <v>1</v>
      </c>
    </row>
    <row r="13" spans="1:6" ht="20" customHeight="1" thickBot="1">
      <c r="A13" s="123">
        <v>2002</v>
      </c>
      <c r="B13" s="658">
        <v>0.51807119228357335</v>
      </c>
      <c r="C13" s="659">
        <v>0.40503766289618737</v>
      </c>
      <c r="D13" s="658">
        <v>1.2005111854079802E-3</v>
      </c>
      <c r="E13" s="659">
        <v>7.5690633634831264E-2</v>
      </c>
      <c r="F13" s="658">
        <v>1</v>
      </c>
    </row>
    <row r="14" spans="1:6" ht="20" customHeight="1" thickBot="1">
      <c r="A14" s="123">
        <v>2003</v>
      </c>
      <c r="B14" s="658">
        <v>0.49698046363760801</v>
      </c>
      <c r="C14" s="659">
        <v>0.42026484379945434</v>
      </c>
      <c r="D14" s="658">
        <v>1.1249544851287428E-3</v>
      </c>
      <c r="E14" s="659">
        <v>8.1629738077808919E-2</v>
      </c>
      <c r="F14" s="658">
        <v>1</v>
      </c>
    </row>
    <row r="15" spans="1:6" ht="20" customHeight="1" thickBot="1">
      <c r="A15" s="123">
        <v>2004</v>
      </c>
      <c r="B15" s="658">
        <v>0.49047166472550979</v>
      </c>
      <c r="C15" s="659">
        <v>0.40765951470988981</v>
      </c>
      <c r="D15" s="658">
        <v>1.0913784873100634E-3</v>
      </c>
      <c r="E15" s="659">
        <v>0.10077744207729029</v>
      </c>
      <c r="F15" s="658">
        <v>1</v>
      </c>
    </row>
    <row r="16" spans="1:6" ht="20" customHeight="1" thickBot="1">
      <c r="A16" s="123">
        <v>2005</v>
      </c>
      <c r="B16" s="658">
        <v>0.48342027022950401</v>
      </c>
      <c r="C16" s="659">
        <v>0.39405816872752136</v>
      </c>
      <c r="D16" s="658">
        <v>1.0338574574561153E-3</v>
      </c>
      <c r="E16" s="659">
        <v>0.12148770358551848</v>
      </c>
      <c r="F16" s="658">
        <v>1</v>
      </c>
    </row>
    <row r="17" spans="1:6" ht="20" customHeight="1" thickBot="1">
      <c r="A17" s="123">
        <v>2006</v>
      </c>
      <c r="B17" s="658">
        <v>0.44702895553739602</v>
      </c>
      <c r="C17" s="659">
        <v>0.37128368860925909</v>
      </c>
      <c r="D17" s="658">
        <v>9.6169919727420879E-4</v>
      </c>
      <c r="E17" s="659">
        <v>0.18072565665607065</v>
      </c>
      <c r="F17" s="658">
        <v>1</v>
      </c>
    </row>
    <row r="18" spans="1:6" ht="20" customHeight="1" thickBot="1">
      <c r="A18" s="123">
        <v>2007</v>
      </c>
      <c r="B18" s="658">
        <v>0.41564948320815842</v>
      </c>
      <c r="C18" s="659">
        <v>0.34046536341190836</v>
      </c>
      <c r="D18" s="658">
        <v>9.1103071716316941E-4</v>
      </c>
      <c r="E18" s="659">
        <v>0.24297412266277002</v>
      </c>
      <c r="F18" s="658">
        <v>1</v>
      </c>
    </row>
    <row r="19" spans="1:6" ht="20" customHeight="1" thickBot="1">
      <c r="A19" s="123">
        <v>2008</v>
      </c>
      <c r="B19" s="658">
        <v>0.38700320003191818</v>
      </c>
      <c r="C19" s="659">
        <v>0.31219562504539017</v>
      </c>
      <c r="D19" s="658">
        <v>8.5493253829953047E-4</v>
      </c>
      <c r="E19" s="659">
        <v>0.2999462423843921</v>
      </c>
      <c r="F19" s="658">
        <v>1</v>
      </c>
    </row>
    <row r="20" spans="1:6" ht="20" customHeight="1" thickBot="1">
      <c r="A20" s="123">
        <v>2009</v>
      </c>
      <c r="B20" s="658">
        <v>0.35155243717883222</v>
      </c>
      <c r="C20" s="659">
        <v>0.27877426686114515</v>
      </c>
      <c r="D20" s="658">
        <v>7.9340068922335882E-4</v>
      </c>
      <c r="E20" s="659">
        <v>0.36887989527079929</v>
      </c>
      <c r="F20" s="658">
        <v>1</v>
      </c>
    </row>
    <row r="21" spans="1:6" ht="20" customHeight="1" thickBot="1">
      <c r="A21" s="123">
        <v>2010</v>
      </c>
      <c r="B21" s="658">
        <v>0.30622541029343958</v>
      </c>
      <c r="C21" s="659">
        <v>0.22372313772102054</v>
      </c>
      <c r="D21" s="658">
        <v>7.2456422281346963E-4</v>
      </c>
      <c r="E21" s="659">
        <v>0.46932688776272646</v>
      </c>
      <c r="F21" s="658">
        <v>1</v>
      </c>
    </row>
    <row r="22" spans="1:6" ht="20" customHeight="1" thickBot="1">
      <c r="A22" s="123">
        <v>2011</v>
      </c>
      <c r="B22" s="658">
        <v>0.27385098892704079</v>
      </c>
      <c r="C22" s="659">
        <v>0.19350920753435388</v>
      </c>
      <c r="D22" s="658">
        <v>6.6409350143089955E-4</v>
      </c>
      <c r="E22" s="659">
        <v>0.53197571003717437</v>
      </c>
      <c r="F22" s="658">
        <v>1</v>
      </c>
    </row>
    <row r="23" spans="1:6" ht="30" customHeight="1" thickBot="1">
      <c r="A23" s="126">
        <v>2012</v>
      </c>
      <c r="B23" s="454">
        <v>0.25089367540959057</v>
      </c>
      <c r="C23" s="660">
        <v>0.17240537854146423</v>
      </c>
      <c r="D23" s="454">
        <v>6.2530713743968352E-4</v>
      </c>
      <c r="E23" s="660">
        <v>0.57607563891150559</v>
      </c>
      <c r="F23" s="454">
        <v>1</v>
      </c>
    </row>
    <row r="24" spans="1:6" ht="19.5" customHeight="1">
      <c r="A24" s="130" t="s">
        <v>396</v>
      </c>
      <c r="B24" s="130"/>
      <c r="C24" s="130"/>
      <c r="D24" s="130"/>
      <c r="E24" s="130"/>
      <c r="F24" s="130"/>
    </row>
    <row r="26" spans="1:6">
      <c r="A26" s="434" t="s">
        <v>711</v>
      </c>
    </row>
    <row r="28" spans="1:6">
      <c r="A28" s="3" t="s">
        <v>842</v>
      </c>
    </row>
    <row r="31" spans="1:6">
      <c r="A31" s="3" t="s">
        <v>395</v>
      </c>
    </row>
  </sheetData>
  <mergeCells count="1">
    <mergeCell ref="A2:E2"/>
  </mergeCells>
  <pageMargins left="0.65" right="0.72" top="1.05" bottom="0.49" header="0.6" footer="0.4921259845"/>
  <pageSetup paperSize="9" scale="80" orientation="portrait" horizontalDpi="4294967292" verticalDpi="4294967292"/>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5B2B-0B1E-3E48-AAA8-A5DD7E467E80}">
  <sheetPr>
    <pageSetUpPr fitToPage="1"/>
  </sheetPr>
  <dimension ref="A1:P50"/>
  <sheetViews>
    <sheetView topLeftCell="A23" zoomScaleNormal="100" workbookViewId="0">
      <selection activeCell="A3" sqref="A3"/>
    </sheetView>
  </sheetViews>
  <sheetFormatPr baseColWidth="10" defaultColWidth="11.3984375" defaultRowHeight="13"/>
  <cols>
    <col min="1" max="1" width="14.796875" style="3" customWidth="1"/>
    <col min="2" max="2" width="14.796875" style="138" customWidth="1"/>
    <col min="3" max="4" width="12.3984375" style="3" customWidth="1"/>
    <col min="5" max="7" width="12.59765625" style="3" customWidth="1"/>
    <col min="8" max="8" width="14.59765625" style="522" customWidth="1"/>
    <col min="9" max="9" width="16.3984375" style="522" customWidth="1"/>
    <col min="10" max="10" width="16" style="138" customWidth="1"/>
    <col min="11" max="11" width="14.3984375" style="3" customWidth="1"/>
    <col min="12" max="12" width="13.59765625" style="3" customWidth="1"/>
    <col min="13" max="14" width="13.3984375" style="3" customWidth="1"/>
    <col min="15" max="15" width="15.19921875" style="3" customWidth="1"/>
    <col min="16" max="16" width="13.3984375" style="3" customWidth="1"/>
    <col min="17" max="16384" width="11.3984375" style="3"/>
  </cols>
  <sheetData>
    <row r="1" spans="1:16" s="2" customFormat="1" ht="14" customHeight="1">
      <c r="A1" s="272"/>
      <c r="B1" s="273"/>
      <c r="C1" s="272"/>
      <c r="D1" s="272"/>
      <c r="E1" s="272"/>
      <c r="F1" s="272"/>
      <c r="G1" s="272"/>
      <c r="H1" s="661"/>
      <c r="I1" s="661"/>
      <c r="J1" s="17"/>
    </row>
    <row r="2" spans="1:16" s="2" customFormat="1" ht="28" customHeight="1">
      <c r="A2" s="139" t="s">
        <v>843</v>
      </c>
      <c r="B2" s="273"/>
      <c r="C2" s="272"/>
      <c r="D2" s="272"/>
      <c r="E2" s="272"/>
      <c r="F2" s="272"/>
      <c r="G2" s="272"/>
      <c r="H2" s="661"/>
      <c r="I2" s="661"/>
      <c r="J2" s="662"/>
      <c r="K2" s="396"/>
      <c r="P2" s="396">
        <v>2012</v>
      </c>
    </row>
    <row r="3" spans="1:16" ht="57.75" customHeight="1">
      <c r="A3" s="663" t="s">
        <v>426</v>
      </c>
      <c r="B3" s="664" t="s">
        <v>844</v>
      </c>
      <c r="C3" s="665"/>
      <c r="D3" s="665"/>
      <c r="E3" s="665"/>
      <c r="F3" s="665"/>
      <c r="G3" s="665"/>
      <c r="H3" s="666"/>
      <c r="I3" s="665"/>
      <c r="J3" s="667" t="s">
        <v>845</v>
      </c>
      <c r="K3" s="668" t="s">
        <v>693</v>
      </c>
      <c r="L3" s="669"/>
      <c r="M3" s="670"/>
      <c r="N3" s="670"/>
      <c r="O3" s="670"/>
      <c r="P3" s="671"/>
    </row>
    <row r="4" spans="1:16" ht="84.75" customHeight="1">
      <c r="A4" s="300"/>
      <c r="B4" s="667" t="s">
        <v>846</v>
      </c>
      <c r="C4" s="466" t="s">
        <v>847</v>
      </c>
      <c r="D4" s="465" t="s">
        <v>848</v>
      </c>
      <c r="E4" s="466" t="s">
        <v>849</v>
      </c>
      <c r="F4" s="465" t="s">
        <v>850</v>
      </c>
      <c r="G4" s="466" t="s">
        <v>851</v>
      </c>
      <c r="H4" s="465" t="s">
        <v>852</v>
      </c>
      <c r="I4" s="672" t="s">
        <v>853</v>
      </c>
      <c r="J4" s="667"/>
      <c r="K4" s="466" t="s">
        <v>854</v>
      </c>
      <c r="L4" s="465" t="s">
        <v>855</v>
      </c>
      <c r="M4" s="673" t="s">
        <v>605</v>
      </c>
      <c r="N4" s="674" t="s">
        <v>856</v>
      </c>
      <c r="O4" s="675" t="s">
        <v>857</v>
      </c>
      <c r="P4" s="676" t="s">
        <v>230</v>
      </c>
    </row>
    <row r="5" spans="1:16" ht="24" customHeight="1">
      <c r="A5" s="169"/>
      <c r="B5" s="677"/>
      <c r="C5" s="169"/>
      <c r="D5" s="157"/>
      <c r="E5" s="117"/>
      <c r="F5" s="118"/>
      <c r="G5" s="117"/>
      <c r="H5" s="677"/>
      <c r="I5" s="678"/>
      <c r="J5" s="239"/>
      <c r="K5" s="169"/>
      <c r="L5" s="118"/>
      <c r="M5" s="237"/>
      <c r="N5" s="118"/>
      <c r="O5" s="678"/>
      <c r="P5" s="239"/>
    </row>
    <row r="6" spans="1:16" ht="30" customHeight="1" thickBot="1">
      <c r="A6" s="679" t="s">
        <v>434</v>
      </c>
      <c r="B6" s="680">
        <v>0.24994068109960563</v>
      </c>
      <c r="C6" s="369">
        <v>8.1526225351153739E-2</v>
      </c>
      <c r="D6" s="149">
        <v>1.5412720794736361E-2</v>
      </c>
      <c r="E6" s="369">
        <v>4.7010076981090915E-2</v>
      </c>
      <c r="F6" s="149">
        <v>7.785367320328934E-3</v>
      </c>
      <c r="G6" s="369">
        <v>6.6963644003504602E-2</v>
      </c>
      <c r="H6" s="681" t="s">
        <v>29</v>
      </c>
      <c r="I6" s="682">
        <v>0.21869803445081457</v>
      </c>
      <c r="J6" s="680">
        <v>1.1610177610128719E-3</v>
      </c>
      <c r="K6" s="369">
        <v>0.18671125875629307</v>
      </c>
      <c r="L6" s="149">
        <v>0.34348901671960841</v>
      </c>
      <c r="M6" s="682">
        <v>0.53020026668856701</v>
      </c>
      <c r="N6" s="683">
        <v>8.9967742925901498E-2</v>
      </c>
      <c r="O6" s="684">
        <v>0.28553931482377432</v>
      </c>
      <c r="P6" s="680">
        <v>1</v>
      </c>
    </row>
    <row r="7" spans="1:16" ht="20" customHeight="1" thickBot="1">
      <c r="A7" s="685" t="s">
        <v>435</v>
      </c>
      <c r="B7" s="680">
        <v>0.14993477830769858</v>
      </c>
      <c r="C7" s="369">
        <v>8.3512929789941098E-2</v>
      </c>
      <c r="D7" s="149">
        <v>1.1465672482444098E-2</v>
      </c>
      <c r="E7" s="369">
        <v>3.2319691446915849E-2</v>
      </c>
      <c r="F7" s="149">
        <v>4.9049889607392745E-3</v>
      </c>
      <c r="G7" s="369">
        <v>3.3298248435980705E-2</v>
      </c>
      <c r="H7" s="681" t="s">
        <v>29</v>
      </c>
      <c r="I7" s="682">
        <v>0.16550153111602101</v>
      </c>
      <c r="J7" s="680">
        <v>1.0695930149848386E-3</v>
      </c>
      <c r="K7" s="369">
        <v>0.24950542548157165</v>
      </c>
      <c r="L7" s="149">
        <v>0.43398869678420859</v>
      </c>
      <c r="M7" s="682">
        <v>0.68349410991353787</v>
      </c>
      <c r="N7" s="683">
        <v>7.8681943112958508E-2</v>
      </c>
      <c r="O7" s="684">
        <v>0.31513959621088056</v>
      </c>
      <c r="P7" s="680">
        <v>1</v>
      </c>
    </row>
    <row r="8" spans="1:16" ht="20" customHeight="1" thickBot="1">
      <c r="A8" s="685" t="s">
        <v>436</v>
      </c>
      <c r="B8" s="680">
        <v>0.20572187027341188</v>
      </c>
      <c r="C8" s="369">
        <v>4.2472950104982123E-2</v>
      </c>
      <c r="D8" s="149">
        <v>9.8435204892910293E-3</v>
      </c>
      <c r="E8" s="369">
        <v>3.3154461273008431E-2</v>
      </c>
      <c r="F8" s="149">
        <v>5.4033781813743907E-3</v>
      </c>
      <c r="G8" s="369">
        <v>3.9625849258717982E-2</v>
      </c>
      <c r="H8" s="681" t="s">
        <v>29</v>
      </c>
      <c r="I8" s="682">
        <v>0.13050015930737396</v>
      </c>
      <c r="J8" s="680">
        <v>7.9807006806658103E-4</v>
      </c>
      <c r="K8" s="369">
        <v>0.2885955964801511</v>
      </c>
      <c r="L8" s="149">
        <v>0.37438433614885569</v>
      </c>
      <c r="M8" s="682">
        <v>0.6629799003511474</v>
      </c>
      <c r="N8" s="683">
        <v>0.10139879653293185</v>
      </c>
      <c r="O8" s="684">
        <v>0.45902369353024847</v>
      </c>
      <c r="P8" s="680">
        <v>1</v>
      </c>
    </row>
    <row r="9" spans="1:16" ht="20" customHeight="1" thickBot="1">
      <c r="A9" s="685" t="s">
        <v>437</v>
      </c>
      <c r="B9" s="680">
        <v>0.19379579752514053</v>
      </c>
      <c r="C9" s="369">
        <v>7.6189090181594116E-2</v>
      </c>
      <c r="D9" s="149">
        <v>1.1373989141794712E-2</v>
      </c>
      <c r="E9" s="369">
        <v>5.3015633634386695E-2</v>
      </c>
      <c r="F9" s="149">
        <v>1.0105542922420897E-2</v>
      </c>
      <c r="G9" s="369">
        <v>4.3896852954364761E-2</v>
      </c>
      <c r="H9" s="681" t="s">
        <v>29</v>
      </c>
      <c r="I9" s="682">
        <v>0.19458110883456117</v>
      </c>
      <c r="J9" s="680">
        <v>1.0246211246310929E-3</v>
      </c>
      <c r="K9" s="369">
        <v>0.22878018334118874</v>
      </c>
      <c r="L9" s="149">
        <v>0.38182002582045232</v>
      </c>
      <c r="M9" s="682">
        <v>0.61059916717405671</v>
      </c>
      <c r="N9" s="683">
        <v>6.5762615083187079E-2</v>
      </c>
      <c r="O9" s="684">
        <v>0.34493887527165479</v>
      </c>
      <c r="P9" s="680">
        <v>1</v>
      </c>
    </row>
    <row r="10" spans="1:16" ht="20" customHeight="1" thickBot="1">
      <c r="A10" s="685" t="s">
        <v>438</v>
      </c>
      <c r="B10" s="680">
        <v>0.23670953071135856</v>
      </c>
      <c r="C10" s="369">
        <v>7.0435206862013156E-2</v>
      </c>
      <c r="D10" s="149">
        <v>1.4049492100405757E-2</v>
      </c>
      <c r="E10" s="369">
        <v>5.2527527063928547E-2</v>
      </c>
      <c r="F10" s="149">
        <v>7.9562919828067551E-3</v>
      </c>
      <c r="G10" s="369">
        <v>6.7963434651847232E-2</v>
      </c>
      <c r="H10" s="681" t="s">
        <v>29</v>
      </c>
      <c r="I10" s="682">
        <v>0.21293195266100146</v>
      </c>
      <c r="J10" s="680">
        <v>1.0502165853639087E-3</v>
      </c>
      <c r="K10" s="369">
        <v>0.20537665699662147</v>
      </c>
      <c r="L10" s="149">
        <v>0.3439314768984334</v>
      </c>
      <c r="M10" s="682">
        <v>0.54930796774783375</v>
      </c>
      <c r="N10" s="683">
        <v>2.5040380005278508E-2</v>
      </c>
      <c r="O10" s="684">
        <v>0.4150386661966915</v>
      </c>
      <c r="P10" s="680">
        <v>1</v>
      </c>
    </row>
    <row r="11" spans="1:16" ht="20" customHeight="1" thickBot="1">
      <c r="A11" s="685" t="s">
        <v>439</v>
      </c>
      <c r="B11" s="680">
        <v>0.1748111045658384</v>
      </c>
      <c r="C11" s="369">
        <v>5.8929927370173753E-2</v>
      </c>
      <c r="D11" s="149">
        <v>1.0306420912486677E-2</v>
      </c>
      <c r="E11" s="369">
        <v>3.5377841944150286E-2</v>
      </c>
      <c r="F11" s="149">
        <v>7.1884119163309838E-3</v>
      </c>
      <c r="G11" s="369">
        <v>3.822991613349179E-2</v>
      </c>
      <c r="H11" s="681" t="s">
        <v>29</v>
      </c>
      <c r="I11" s="682">
        <v>0.1500325182766335</v>
      </c>
      <c r="J11" s="680">
        <v>1.208794576428165E-3</v>
      </c>
      <c r="K11" s="369">
        <v>0.29127386518024651</v>
      </c>
      <c r="L11" s="149">
        <v>0.38267405790636772</v>
      </c>
      <c r="M11" s="682">
        <v>0.673948263592129</v>
      </c>
      <c r="N11" s="683">
        <v>3.931817175779161E-3</v>
      </c>
      <c r="O11" s="684">
        <v>0.52214647866222186</v>
      </c>
      <c r="P11" s="680">
        <v>1</v>
      </c>
    </row>
    <row r="12" spans="1:16" ht="20" customHeight="1" thickBot="1">
      <c r="A12" s="685" t="s">
        <v>440</v>
      </c>
      <c r="B12" s="680">
        <v>0.22148237150111585</v>
      </c>
      <c r="C12" s="369">
        <v>6.0207890102898454E-2</v>
      </c>
      <c r="D12" s="149">
        <v>1.4650108622253549E-2</v>
      </c>
      <c r="E12" s="369">
        <v>4.2831286047273459E-2</v>
      </c>
      <c r="F12" s="149">
        <v>8.0012086221352887E-3</v>
      </c>
      <c r="G12" s="369">
        <v>4.1107935160142439E-2</v>
      </c>
      <c r="H12" s="681" t="s">
        <v>29</v>
      </c>
      <c r="I12" s="682">
        <v>0.1667984285547032</v>
      </c>
      <c r="J12" s="680">
        <v>1.5078211570369129E-3</v>
      </c>
      <c r="K12" s="369">
        <v>0.26516395042047519</v>
      </c>
      <c r="L12" s="149">
        <v>0.3450468370642546</v>
      </c>
      <c r="M12" s="682">
        <v>0.61021137878714438</v>
      </c>
      <c r="N12" s="683">
        <v>8.3636770022386727E-3</v>
      </c>
      <c r="O12" s="684">
        <v>0.48333207188818245</v>
      </c>
      <c r="P12" s="680">
        <v>1</v>
      </c>
    </row>
    <row r="13" spans="1:16" ht="20" customHeight="1" thickBot="1">
      <c r="A13" s="685" t="s">
        <v>441</v>
      </c>
      <c r="B13" s="680">
        <v>0.30676679609006097</v>
      </c>
      <c r="C13" s="369">
        <v>7.5782014070123346E-2</v>
      </c>
      <c r="D13" s="149">
        <v>2.0667288615404383E-2</v>
      </c>
      <c r="E13" s="369">
        <v>7.3680234969392036E-2</v>
      </c>
      <c r="F13" s="149">
        <v>1.4149488189304643E-2</v>
      </c>
      <c r="G13" s="369">
        <v>7.4094970398760548E-2</v>
      </c>
      <c r="H13" s="681" t="s">
        <v>29</v>
      </c>
      <c r="I13" s="682">
        <v>0.25837399624298496</v>
      </c>
      <c r="J13" s="680">
        <v>1.4823008644593355E-3</v>
      </c>
      <c r="K13" s="369">
        <v>0.17552171586207069</v>
      </c>
      <c r="L13" s="149">
        <v>0.25785519094042414</v>
      </c>
      <c r="M13" s="682">
        <v>0.43337875967857536</v>
      </c>
      <c r="N13" s="683">
        <v>1.800377924957901E-4</v>
      </c>
      <c r="O13" s="684">
        <v>0.29965206075333611</v>
      </c>
      <c r="P13" s="680">
        <v>1</v>
      </c>
    </row>
    <row r="14" spans="1:16" ht="20" customHeight="1" thickBot="1">
      <c r="A14" s="685" t="s">
        <v>442</v>
      </c>
      <c r="B14" s="680">
        <v>0.25475598007381223</v>
      </c>
      <c r="C14" s="369">
        <v>7.388334641548229E-2</v>
      </c>
      <c r="D14" s="149">
        <v>1.6313163669705748E-2</v>
      </c>
      <c r="E14" s="369">
        <v>5.2821709990932435E-2</v>
      </c>
      <c r="F14" s="149">
        <v>8.3448258542447324E-3</v>
      </c>
      <c r="G14" s="369">
        <v>6.3274035309512602E-2</v>
      </c>
      <c r="H14" s="681" t="s">
        <v>29</v>
      </c>
      <c r="I14" s="682">
        <v>0.21463708123987779</v>
      </c>
      <c r="J14" s="680">
        <v>1.2120713414376756E-3</v>
      </c>
      <c r="K14" s="369">
        <v>0.19744622916184654</v>
      </c>
      <c r="L14" s="149">
        <v>0.33194831758577437</v>
      </c>
      <c r="M14" s="682">
        <v>0.52939486734487229</v>
      </c>
      <c r="N14" s="683">
        <v>7.4432102043967774E-2</v>
      </c>
      <c r="O14" s="684">
        <v>0.33705425627582475</v>
      </c>
      <c r="P14" s="680">
        <v>1</v>
      </c>
    </row>
    <row r="15" spans="1:16" ht="20" customHeight="1" thickBot="1">
      <c r="A15" s="685" t="s">
        <v>443</v>
      </c>
      <c r="B15" s="680">
        <v>0.22387256879446038</v>
      </c>
      <c r="C15" s="369">
        <v>0.13029451725644575</v>
      </c>
      <c r="D15" s="149">
        <v>1.775017374701069E-2</v>
      </c>
      <c r="E15" s="369">
        <v>4.9013151564592149E-2</v>
      </c>
      <c r="F15" s="149">
        <v>1.0071784097357562E-2</v>
      </c>
      <c r="G15" s="369">
        <v>3.9123295241863726E-2</v>
      </c>
      <c r="H15" s="681" t="s">
        <v>29</v>
      </c>
      <c r="I15" s="682">
        <v>0.24625292190726988</v>
      </c>
      <c r="J15" s="680">
        <v>5.0104407831079499E-4</v>
      </c>
      <c r="K15" s="369">
        <v>0.17047346359710799</v>
      </c>
      <c r="L15" s="149">
        <v>0.35889973558174715</v>
      </c>
      <c r="M15" s="682">
        <v>0.52937337653959071</v>
      </c>
      <c r="N15" s="683">
        <v>2.6645790125671602E-3</v>
      </c>
      <c r="O15" s="684">
        <v>0.3730822094500813</v>
      </c>
      <c r="P15" s="680">
        <v>1</v>
      </c>
    </row>
    <row r="16" spans="1:16" ht="20" customHeight="1" thickBot="1">
      <c r="A16" s="685" t="s">
        <v>444</v>
      </c>
      <c r="B16" s="680">
        <v>0.22871376664645121</v>
      </c>
      <c r="C16" s="369">
        <v>9.698766601073297E-2</v>
      </c>
      <c r="D16" s="149">
        <v>1.4065120028718322E-2</v>
      </c>
      <c r="E16" s="369">
        <v>4.1897088710553053E-2</v>
      </c>
      <c r="F16" s="149">
        <v>6.9888514783947942E-3</v>
      </c>
      <c r="G16" s="369">
        <v>4.030557133592802E-2</v>
      </c>
      <c r="H16" s="681" t="s">
        <v>29</v>
      </c>
      <c r="I16" s="682">
        <v>0.20024429756432716</v>
      </c>
      <c r="J16" s="680">
        <v>7.8684769477325393E-4</v>
      </c>
      <c r="K16" s="369">
        <v>0.20932749091983976</v>
      </c>
      <c r="L16" s="149">
        <v>0.3609278322931454</v>
      </c>
      <c r="M16" s="682">
        <v>0.57025532321298511</v>
      </c>
      <c r="N16" s="683">
        <v>4.3078371262420555E-2</v>
      </c>
      <c r="O16" s="684">
        <v>0.32302794680057517</v>
      </c>
      <c r="P16" s="680">
        <v>1</v>
      </c>
    </row>
    <row r="17" spans="1:16" ht="20" customHeight="1" thickBot="1">
      <c r="A17" s="685" t="s">
        <v>445</v>
      </c>
      <c r="B17" s="680">
        <v>0.29372766054816646</v>
      </c>
      <c r="C17" s="369">
        <v>7.6441626141136684E-2</v>
      </c>
      <c r="D17" s="149">
        <v>1.2682167627093233E-2</v>
      </c>
      <c r="E17" s="369">
        <v>5.2208696178194854E-2</v>
      </c>
      <c r="F17" s="149">
        <v>5.3071567779113286E-3</v>
      </c>
      <c r="G17" s="369">
        <v>5.9018694784239364E-2</v>
      </c>
      <c r="H17" s="681" t="s">
        <v>29</v>
      </c>
      <c r="I17" s="682">
        <v>0.20565834150857548</v>
      </c>
      <c r="J17" s="680">
        <v>4.9478844752809609E-4</v>
      </c>
      <c r="K17" s="369">
        <v>0.1925520037452691</v>
      </c>
      <c r="L17" s="149">
        <v>0.3075674030083137</v>
      </c>
      <c r="M17" s="682">
        <v>0.50011934100096511</v>
      </c>
      <c r="N17" s="683">
        <v>0.15513238632029944</v>
      </c>
      <c r="O17" s="684">
        <v>0.25808356105656566</v>
      </c>
      <c r="P17" s="680">
        <v>1</v>
      </c>
    </row>
    <row r="18" spans="1:16" ht="20" customHeight="1" thickBot="1">
      <c r="A18" s="685" t="s">
        <v>446</v>
      </c>
      <c r="B18" s="680">
        <v>0.22900100763780146</v>
      </c>
      <c r="C18" s="369">
        <v>9.1685692318495021E-2</v>
      </c>
      <c r="D18" s="149">
        <v>1.5267407225443064E-2</v>
      </c>
      <c r="E18" s="369">
        <v>4.9379125439498635E-2</v>
      </c>
      <c r="F18" s="149">
        <v>6.8211918036007813E-3</v>
      </c>
      <c r="G18" s="369">
        <v>5.4743506451074848E-2</v>
      </c>
      <c r="H18" s="681" t="s">
        <v>29</v>
      </c>
      <c r="I18" s="682">
        <v>0.21789692323811233</v>
      </c>
      <c r="J18" s="680">
        <v>9.0671896607368333E-4</v>
      </c>
      <c r="K18" s="369">
        <v>0.2016415480807589</v>
      </c>
      <c r="L18" s="149">
        <v>0.35055384637876141</v>
      </c>
      <c r="M18" s="682">
        <v>0.55219530585650423</v>
      </c>
      <c r="N18" s="683">
        <v>4.9798926530157467E-2</v>
      </c>
      <c r="O18" s="684">
        <v>0.3550262165249497</v>
      </c>
      <c r="P18" s="680">
        <v>1</v>
      </c>
    </row>
    <row r="19" spans="1:16" ht="20" customHeight="1" thickBot="1">
      <c r="A19" s="685" t="s">
        <v>447</v>
      </c>
      <c r="B19" s="680">
        <v>0.20250221261280243</v>
      </c>
      <c r="C19" s="369">
        <v>7.3833838580565761E-2</v>
      </c>
      <c r="D19" s="149">
        <v>1.3779826365563151E-2</v>
      </c>
      <c r="E19" s="369">
        <v>4.0155550913929826E-2</v>
      </c>
      <c r="F19" s="149">
        <v>9.2125293786682137E-3</v>
      </c>
      <c r="G19" s="369">
        <v>5.4487824827554182E-2</v>
      </c>
      <c r="H19" s="681" t="s">
        <v>29</v>
      </c>
      <c r="I19" s="682">
        <v>0.19146957006628113</v>
      </c>
      <c r="J19" s="680">
        <v>9.004126656166555E-4</v>
      </c>
      <c r="K19" s="369">
        <v>0.23506164894381057</v>
      </c>
      <c r="L19" s="149">
        <v>0.37006693976988819</v>
      </c>
      <c r="M19" s="682">
        <v>0.60512796146697945</v>
      </c>
      <c r="N19" s="683">
        <v>1.8820067378842592E-2</v>
      </c>
      <c r="O19" s="684">
        <v>0.45703422697173429</v>
      </c>
      <c r="P19" s="680">
        <v>1</v>
      </c>
    </row>
    <row r="20" spans="1:16" ht="20" customHeight="1" thickBot="1">
      <c r="A20" s="685" t="s">
        <v>448</v>
      </c>
      <c r="B20" s="680">
        <v>0.24367909031407642</v>
      </c>
      <c r="C20" s="369">
        <v>5.5279244918386067E-2</v>
      </c>
      <c r="D20" s="149">
        <v>1.4927155481251489E-2</v>
      </c>
      <c r="E20" s="369">
        <v>4.3641305239591102E-2</v>
      </c>
      <c r="F20" s="149">
        <v>7.3521368393993014E-3</v>
      </c>
      <c r="G20" s="369">
        <v>4.1949181125876714E-2</v>
      </c>
      <c r="H20" s="681" t="s">
        <v>29</v>
      </c>
      <c r="I20" s="682">
        <v>0.16314902360450467</v>
      </c>
      <c r="J20" s="680">
        <v>9.8929438082614833E-4</v>
      </c>
      <c r="K20" s="369">
        <v>0.21319031826974436</v>
      </c>
      <c r="L20" s="149">
        <v>0.37899272922185528</v>
      </c>
      <c r="M20" s="682">
        <v>0.59218464276012428</v>
      </c>
      <c r="N20" s="683">
        <v>9.0515080301259612E-2</v>
      </c>
      <c r="O20" s="684">
        <v>0.37316612488308953</v>
      </c>
      <c r="P20" s="680">
        <v>1</v>
      </c>
    </row>
    <row r="21" spans="1:16" ht="20" customHeight="1" thickBot="1">
      <c r="A21" s="685" t="s">
        <v>449</v>
      </c>
      <c r="B21" s="680">
        <v>0.2152313115193383</v>
      </c>
      <c r="C21" s="369">
        <v>4.7954371426322313E-2</v>
      </c>
      <c r="D21" s="149">
        <v>1.1423046310012537E-2</v>
      </c>
      <c r="E21" s="369">
        <v>4.0472061404241137E-2</v>
      </c>
      <c r="F21" s="149">
        <v>5.9134898654853987E-3</v>
      </c>
      <c r="G21" s="369">
        <v>3.3777739610840359E-2</v>
      </c>
      <c r="H21" s="681" t="s">
        <v>29</v>
      </c>
      <c r="I21" s="682">
        <v>0.13954070861690174</v>
      </c>
      <c r="J21" s="680">
        <v>1.0138092750428781E-3</v>
      </c>
      <c r="K21" s="369">
        <v>0.21952429683381397</v>
      </c>
      <c r="L21" s="149">
        <v>0.42468510288772632</v>
      </c>
      <c r="M21" s="682">
        <v>0.64421019486606979</v>
      </c>
      <c r="N21" s="683">
        <v>1.8281963021008509E-2</v>
      </c>
      <c r="O21" s="684">
        <v>0.5204841157953074</v>
      </c>
      <c r="P21" s="680">
        <v>1</v>
      </c>
    </row>
    <row r="22" spans="1:16" ht="20" customHeight="1" thickBot="1">
      <c r="A22" s="685" t="s">
        <v>450</v>
      </c>
      <c r="B22" s="680">
        <v>0.1964009357133949</v>
      </c>
      <c r="C22" s="369">
        <v>4.6117954073092486E-2</v>
      </c>
      <c r="D22" s="149">
        <v>1.0322326171886451E-2</v>
      </c>
      <c r="E22" s="369">
        <v>3.5779447061271445E-2</v>
      </c>
      <c r="F22" s="149">
        <v>5.246176502086957E-3</v>
      </c>
      <c r="G22" s="369">
        <v>3.7439800938801074E-2</v>
      </c>
      <c r="H22" s="681" t="s">
        <v>29</v>
      </c>
      <c r="I22" s="682">
        <v>0.13490570474713842</v>
      </c>
      <c r="J22" s="680">
        <v>7.8579484062141496E-4</v>
      </c>
      <c r="K22" s="369">
        <v>0.26050384216860534</v>
      </c>
      <c r="L22" s="149">
        <v>0.40740362011986048</v>
      </c>
      <c r="M22" s="682">
        <v>0.66790748789106091</v>
      </c>
      <c r="N22" s="683">
        <v>0.12256484439600548</v>
      </c>
      <c r="O22" s="684">
        <v>0.43020052899569394</v>
      </c>
      <c r="P22" s="680">
        <v>1</v>
      </c>
    </row>
    <row r="23" spans="1:16" ht="20" customHeight="1" thickBot="1">
      <c r="A23" s="685" t="s">
        <v>451</v>
      </c>
      <c r="B23" s="680">
        <v>0.32813929693588761</v>
      </c>
      <c r="C23" s="369">
        <v>4.5955000903161153E-2</v>
      </c>
      <c r="D23" s="149">
        <v>1.3038485043144489E-2</v>
      </c>
      <c r="E23" s="369">
        <v>4.6388542678805919E-2</v>
      </c>
      <c r="F23" s="149">
        <v>7.4550627722951551E-3</v>
      </c>
      <c r="G23" s="369">
        <v>5.4001528933724695E-2</v>
      </c>
      <c r="H23" s="681" t="s">
        <v>29</v>
      </c>
      <c r="I23" s="682">
        <v>0.16683862033113142</v>
      </c>
      <c r="J23" s="680">
        <v>5.9720349072552069E-4</v>
      </c>
      <c r="K23" s="369">
        <v>0.23624895162798235</v>
      </c>
      <c r="L23" s="149">
        <v>0.26817592761427306</v>
      </c>
      <c r="M23" s="682">
        <v>0.50442494028728169</v>
      </c>
      <c r="N23" s="683">
        <v>2.0102737558092738E-2</v>
      </c>
      <c r="O23" s="684">
        <v>0.38784731491315938</v>
      </c>
      <c r="P23" s="680">
        <v>1</v>
      </c>
    </row>
    <row r="24" spans="1:16" ht="20" customHeight="1" thickBot="1">
      <c r="A24" s="685" t="s">
        <v>452</v>
      </c>
      <c r="B24" s="680">
        <v>0.24040691656264712</v>
      </c>
      <c r="C24" s="369">
        <v>6.1962217516106061E-2</v>
      </c>
      <c r="D24" s="149">
        <v>1.3716914122461586E-2</v>
      </c>
      <c r="E24" s="369">
        <v>4.4277926786052635E-2</v>
      </c>
      <c r="F24" s="149">
        <v>7.3055971629028237E-3</v>
      </c>
      <c r="G24" s="369">
        <v>4.7193660070524279E-2</v>
      </c>
      <c r="H24" s="681" t="s">
        <v>29</v>
      </c>
      <c r="I24" s="682">
        <v>0.1744563156580474</v>
      </c>
      <c r="J24" s="680">
        <v>1.0592318498053503E-3</v>
      </c>
      <c r="K24" s="369">
        <v>0.24579979000333343</v>
      </c>
      <c r="L24" s="149">
        <v>0.33827774592616666</v>
      </c>
      <c r="M24" s="682">
        <v>0.58407755569128839</v>
      </c>
      <c r="N24" s="683">
        <v>7.0295684570873165E-2</v>
      </c>
      <c r="O24" s="684">
        <v>0.38726445232931006</v>
      </c>
      <c r="P24" s="680">
        <v>1</v>
      </c>
    </row>
    <row r="25" spans="1:16" ht="20" customHeight="1" thickBot="1">
      <c r="A25" s="685" t="s">
        <v>453</v>
      </c>
      <c r="B25" s="680">
        <v>0.18547123663228124</v>
      </c>
      <c r="C25" s="369">
        <v>4.7288804532697945E-2</v>
      </c>
      <c r="D25" s="149">
        <v>1.1861075860081059E-2</v>
      </c>
      <c r="E25" s="369">
        <v>4.365491467601619E-2</v>
      </c>
      <c r="F25" s="149">
        <v>6.9632752590887623E-3</v>
      </c>
      <c r="G25" s="369">
        <v>4.4611928675165419E-2</v>
      </c>
      <c r="H25" s="681" t="s">
        <v>29</v>
      </c>
      <c r="I25" s="682">
        <v>0.15437999900304938</v>
      </c>
      <c r="J25" s="680">
        <v>8.3324956246708451E-4</v>
      </c>
      <c r="K25" s="369">
        <v>0.22726328904161361</v>
      </c>
      <c r="L25" s="149">
        <v>0.43205222576058849</v>
      </c>
      <c r="M25" s="682">
        <v>0.65931536833541315</v>
      </c>
      <c r="N25" s="683">
        <v>0.13547977808719158</v>
      </c>
      <c r="O25" s="684">
        <v>0.43553798887135575</v>
      </c>
      <c r="P25" s="680">
        <v>1</v>
      </c>
    </row>
    <row r="26" spans="1:16" ht="20" customHeight="1" thickBot="1">
      <c r="A26" s="685" t="s">
        <v>454</v>
      </c>
      <c r="B26" s="680">
        <v>0.24669836398477535</v>
      </c>
      <c r="C26" s="369">
        <v>0.11800531618931383</v>
      </c>
      <c r="D26" s="149">
        <v>1.0885893829676078E-2</v>
      </c>
      <c r="E26" s="369">
        <v>4.9813181897949269E-2</v>
      </c>
      <c r="F26" s="149">
        <v>3.7465832672192753E-3</v>
      </c>
      <c r="G26" s="369">
        <v>6.5941844965880556E-2</v>
      </c>
      <c r="H26" s="681" t="s">
        <v>29</v>
      </c>
      <c r="I26" s="682">
        <v>0.248392820150039</v>
      </c>
      <c r="J26" s="680">
        <v>3.6652453403805094E-4</v>
      </c>
      <c r="K26" s="369">
        <v>0.17214610767788277</v>
      </c>
      <c r="L26" s="149">
        <v>0.33239614766303183</v>
      </c>
      <c r="M26" s="682">
        <v>0.50454221935068144</v>
      </c>
      <c r="N26" s="683">
        <v>2.5013212014576331E-3</v>
      </c>
      <c r="O26" s="684">
        <v>0.28792823518724786</v>
      </c>
      <c r="P26" s="680">
        <v>1</v>
      </c>
    </row>
    <row r="27" spans="1:16" ht="20" customHeight="1" thickBot="1">
      <c r="A27" s="685" t="s">
        <v>455</v>
      </c>
      <c r="B27" s="680">
        <v>0.19091845664416052</v>
      </c>
      <c r="C27" s="369">
        <v>0.13397251032566437</v>
      </c>
      <c r="D27" s="149">
        <v>1.9798038369656757E-2</v>
      </c>
      <c r="E27" s="369">
        <v>5.4908399774698025E-2</v>
      </c>
      <c r="F27" s="149">
        <v>5.6301166272942878E-3</v>
      </c>
      <c r="G27" s="369">
        <v>6.6831798093225037E-2</v>
      </c>
      <c r="H27" s="681" t="s">
        <v>29</v>
      </c>
      <c r="I27" s="682">
        <v>0.28114086319053849</v>
      </c>
      <c r="J27" s="680">
        <v>1.9169422333556265E-4</v>
      </c>
      <c r="K27" s="369">
        <v>0.1529112826442923</v>
      </c>
      <c r="L27" s="149">
        <v>0.37483768567061793</v>
      </c>
      <c r="M27" s="682">
        <v>0.52774895068785521</v>
      </c>
      <c r="N27" s="683">
        <v>2.0157454021501549E-2</v>
      </c>
      <c r="O27" s="684">
        <v>0.33909082893588255</v>
      </c>
      <c r="P27" s="680">
        <v>1</v>
      </c>
    </row>
    <row r="28" spans="1:16" ht="20" customHeight="1" thickBot="1">
      <c r="A28" s="685" t="s">
        <v>456</v>
      </c>
      <c r="B28" s="680">
        <v>0.35487711628614549</v>
      </c>
      <c r="C28" s="369">
        <v>0.13238918409041997</v>
      </c>
      <c r="D28" s="149">
        <v>2.2486140207096692E-2</v>
      </c>
      <c r="E28" s="369">
        <v>4.7409118057545323E-2</v>
      </c>
      <c r="F28" s="149">
        <v>8.3471211607358525E-3</v>
      </c>
      <c r="G28" s="369">
        <v>4.6082512688327998E-2</v>
      </c>
      <c r="H28" s="681" t="s">
        <v>29</v>
      </c>
      <c r="I28" s="682">
        <v>0.25671407620412584</v>
      </c>
      <c r="J28" s="680">
        <v>2.3162406213701506E-4</v>
      </c>
      <c r="K28" s="369">
        <v>0.16228855249068308</v>
      </c>
      <c r="L28" s="149">
        <v>0.22588859282949095</v>
      </c>
      <c r="M28" s="682">
        <v>0.38817710719275639</v>
      </c>
      <c r="N28" s="683">
        <v>6.9582537185193828E-5</v>
      </c>
      <c r="O28" s="684">
        <v>0.2505788027952735</v>
      </c>
      <c r="P28" s="680">
        <v>1</v>
      </c>
    </row>
    <row r="29" spans="1:16" ht="20" customHeight="1" thickBot="1">
      <c r="A29" s="685" t="s">
        <v>457</v>
      </c>
      <c r="B29" s="680">
        <v>0.22256803291984559</v>
      </c>
      <c r="C29" s="369">
        <v>0.10282508630898848</v>
      </c>
      <c r="D29" s="149">
        <v>1.0185755610882398E-2</v>
      </c>
      <c r="E29" s="369">
        <v>3.7123787977587107E-2</v>
      </c>
      <c r="F29" s="149">
        <v>3.5053778422096424E-3</v>
      </c>
      <c r="G29" s="369">
        <v>5.6069185798872087E-2</v>
      </c>
      <c r="H29" s="681" t="s">
        <v>29</v>
      </c>
      <c r="I29" s="682">
        <v>0.20970919353853973</v>
      </c>
      <c r="J29" s="680">
        <v>2.9895434851591441E-4</v>
      </c>
      <c r="K29" s="369">
        <v>0.18111267120911786</v>
      </c>
      <c r="L29" s="149">
        <v>0.38631107624067662</v>
      </c>
      <c r="M29" s="682">
        <v>0.56742367570649033</v>
      </c>
      <c r="N29" s="683">
        <v>1.9209771897186392E-2</v>
      </c>
      <c r="O29" s="684">
        <v>0.39420836393484182</v>
      </c>
      <c r="P29" s="680">
        <v>1</v>
      </c>
    </row>
    <row r="30" spans="1:16" ht="20" customHeight="1" thickBot="1">
      <c r="A30" s="685" t="s">
        <v>458</v>
      </c>
      <c r="B30" s="680">
        <v>0.26887002001969729</v>
      </c>
      <c r="C30" s="369">
        <v>0.15305859332453556</v>
      </c>
      <c r="D30" s="149">
        <v>1.7957540951395113E-2</v>
      </c>
      <c r="E30" s="369">
        <v>5.4923414771620875E-2</v>
      </c>
      <c r="F30" s="149">
        <v>4.0783187729779742E-3</v>
      </c>
      <c r="G30" s="369">
        <v>7.1787085047097909E-2</v>
      </c>
      <c r="H30" s="681" t="s">
        <v>29</v>
      </c>
      <c r="I30" s="682">
        <v>0.30180495286762743</v>
      </c>
      <c r="J30" s="680">
        <v>1.0011468136750645E-4</v>
      </c>
      <c r="K30" s="369">
        <v>0.14162752845148818</v>
      </c>
      <c r="L30" s="149">
        <v>0.28759747231630295</v>
      </c>
      <c r="M30" s="682">
        <v>0.4292250007677913</v>
      </c>
      <c r="N30" s="683">
        <v>0.10084342791137833</v>
      </c>
      <c r="O30" s="684">
        <v>0.196110320843114</v>
      </c>
      <c r="P30" s="680">
        <v>1</v>
      </c>
    </row>
    <row r="31" spans="1:16" ht="20" customHeight="1" thickBot="1">
      <c r="A31" s="474" t="s">
        <v>459</v>
      </c>
      <c r="B31" s="680">
        <v>0.19932879778794849</v>
      </c>
      <c r="C31" s="369">
        <v>0.10984000560514712</v>
      </c>
      <c r="D31" s="149">
        <v>1.1487720693820962E-2</v>
      </c>
      <c r="E31" s="369">
        <v>5.2390255536675145E-2</v>
      </c>
      <c r="F31" s="149">
        <v>5.9717463784167866E-3</v>
      </c>
      <c r="G31" s="369">
        <v>4.7468943451001319E-2</v>
      </c>
      <c r="H31" s="681" t="s">
        <v>29</v>
      </c>
      <c r="I31" s="682">
        <v>0.22715867166506137</v>
      </c>
      <c r="J31" s="680">
        <v>3.6270680480429045E-4</v>
      </c>
      <c r="K31" s="369">
        <v>0.16317152953282654</v>
      </c>
      <c r="L31" s="149">
        <v>0.40997935579025141</v>
      </c>
      <c r="M31" s="682">
        <v>0.57315088532307812</v>
      </c>
      <c r="N31" s="683">
        <v>2.9547334830398295E-5</v>
      </c>
      <c r="O31" s="684">
        <v>0.44101201921886052</v>
      </c>
      <c r="P31" s="680">
        <v>1</v>
      </c>
    </row>
    <row r="32" spans="1:16" ht="20" customHeight="1" thickBot="1">
      <c r="A32" s="685" t="s">
        <v>460</v>
      </c>
      <c r="B32" s="680">
        <v>0.76742047238286659</v>
      </c>
      <c r="C32" s="369">
        <v>5.7163536117904402E-2</v>
      </c>
      <c r="D32" s="149">
        <v>2.6046288634367729E-2</v>
      </c>
      <c r="E32" s="369">
        <v>6.528859518305008E-2</v>
      </c>
      <c r="F32" s="149">
        <v>9.2199251803071615E-4</v>
      </c>
      <c r="G32" s="369">
        <v>7.9173802504592675E-2</v>
      </c>
      <c r="H32" s="681" t="s">
        <v>29</v>
      </c>
      <c r="I32" s="682">
        <v>0.22859421495794557</v>
      </c>
      <c r="J32" s="680">
        <v>0</v>
      </c>
      <c r="K32" s="369">
        <v>2.0744831655691112E-3</v>
      </c>
      <c r="L32" s="149">
        <v>1.9108294936186589E-3</v>
      </c>
      <c r="M32" s="682">
        <v>3.9853126591877699E-3</v>
      </c>
      <c r="N32" s="683">
        <v>0</v>
      </c>
      <c r="O32" s="684">
        <v>3.987617640482847E-3</v>
      </c>
      <c r="P32" s="680">
        <v>1</v>
      </c>
    </row>
    <row r="33" spans="1:16" ht="3" customHeight="1" thickBot="1">
      <c r="A33" s="474"/>
      <c r="B33" s="680"/>
      <c r="C33" s="369"/>
      <c r="D33" s="149"/>
      <c r="E33" s="369"/>
      <c r="F33" s="149"/>
      <c r="G33" s="369"/>
      <c r="H33" s="681"/>
      <c r="I33" s="369"/>
      <c r="J33" s="149"/>
      <c r="K33" s="369"/>
      <c r="L33" s="149"/>
      <c r="M33" s="369"/>
      <c r="N33" s="683"/>
      <c r="O33" s="684"/>
      <c r="P33" s="680"/>
    </row>
    <row r="34" spans="1:16" ht="30" customHeight="1" thickBot="1">
      <c r="A34" s="686" t="s">
        <v>462</v>
      </c>
      <c r="B34" s="152">
        <v>0.22791540987887571</v>
      </c>
      <c r="C34" s="687">
        <v>8.8492374740292215E-2</v>
      </c>
      <c r="D34" s="688">
        <v>1.4416017686188139E-2</v>
      </c>
      <c r="E34" s="687">
        <v>4.4852837100665316E-2</v>
      </c>
      <c r="F34" s="688">
        <v>6.4545417266125881E-3</v>
      </c>
      <c r="G34" s="687">
        <v>5.2792162280408554E-2</v>
      </c>
      <c r="H34" s="689" t="s">
        <v>29</v>
      </c>
      <c r="I34" s="690">
        <v>0.2070079335341668</v>
      </c>
      <c r="J34" s="538">
        <v>7.7446264198205721E-4</v>
      </c>
      <c r="K34" s="374">
        <v>0.20681886596023449</v>
      </c>
      <c r="L34" s="418">
        <v>0.35748332488130452</v>
      </c>
      <c r="M34" s="691">
        <v>0.56430219084153899</v>
      </c>
      <c r="N34" s="692">
        <v>6.5689365777739109E-2</v>
      </c>
      <c r="O34" s="693">
        <v>0.3383853135429386</v>
      </c>
      <c r="P34" s="538">
        <v>1</v>
      </c>
    </row>
    <row r="35" spans="1:16" ht="20" customHeight="1">
      <c r="A35" s="359" t="s">
        <v>396</v>
      </c>
      <c r="B35" s="694"/>
      <c r="C35" s="695"/>
      <c r="D35" s="695"/>
      <c r="E35" s="695"/>
      <c r="F35" s="695"/>
      <c r="G35" s="695"/>
      <c r="H35" s="696"/>
      <c r="I35" s="696"/>
      <c r="M35" s="48"/>
    </row>
    <row r="36" spans="1:16" ht="13.5" customHeight="1">
      <c r="B36" s="697"/>
      <c r="C36" s="359"/>
      <c r="D36" s="359"/>
      <c r="E36" s="359"/>
      <c r="F36" s="359"/>
      <c r="G36" s="359"/>
      <c r="H36" s="698"/>
      <c r="I36" s="698"/>
      <c r="M36" s="4"/>
    </row>
    <row r="37" spans="1:16" ht="14.25" customHeight="1">
      <c r="A37" s="359" t="s">
        <v>858</v>
      </c>
      <c r="B37" s="215"/>
      <c r="C37" s="60"/>
      <c r="D37" s="60"/>
      <c r="E37" s="60"/>
      <c r="F37" s="60"/>
      <c r="G37" s="60"/>
      <c r="H37" s="699"/>
      <c r="I37" s="699"/>
      <c r="M37" s="4"/>
    </row>
    <row r="38" spans="1:16" ht="12" customHeight="1">
      <c r="M38" s="4"/>
    </row>
    <row r="39" spans="1:16" ht="12" customHeight="1">
      <c r="A39" s="336" t="s">
        <v>859</v>
      </c>
      <c r="M39" s="4"/>
    </row>
    <row r="40" spans="1:16" ht="12" customHeight="1">
      <c r="A40" s="336" t="s">
        <v>860</v>
      </c>
      <c r="M40" s="4"/>
    </row>
    <row r="41" spans="1:16" ht="12" customHeight="1">
      <c r="A41" s="359" t="s">
        <v>861</v>
      </c>
      <c r="M41" s="4"/>
    </row>
    <row r="42" spans="1:16" ht="12" customHeight="1">
      <c r="A42" s="359" t="s">
        <v>617</v>
      </c>
      <c r="M42" s="4"/>
    </row>
    <row r="43" spans="1:16" ht="12" customHeight="1">
      <c r="M43" s="4"/>
    </row>
    <row r="44" spans="1:16" ht="12" customHeight="1"/>
    <row r="45" spans="1:16" ht="12" customHeight="1">
      <c r="A45" s="3" t="s">
        <v>395</v>
      </c>
    </row>
    <row r="49" spans="1:12">
      <c r="A49" s="48"/>
      <c r="B49" s="48"/>
      <c r="C49" s="497"/>
      <c r="D49" s="498"/>
      <c r="E49" s="499"/>
      <c r="F49" s="498"/>
      <c r="G49" s="555"/>
      <c r="H49" s="700"/>
      <c r="I49" s="700"/>
      <c r="J49" s="48"/>
      <c r="K49" s="4"/>
      <c r="L49" s="4"/>
    </row>
    <row r="50" spans="1:12">
      <c r="A50" s="499"/>
      <c r="B50" s="499"/>
      <c r="C50" s="499"/>
      <c r="D50" s="500"/>
      <c r="E50" s="499"/>
      <c r="F50" s="501"/>
      <c r="G50" s="4"/>
      <c r="H50" s="700"/>
      <c r="I50" s="700"/>
      <c r="J50" s="48"/>
      <c r="K50" s="4"/>
      <c r="L50" s="4"/>
    </row>
  </sheetData>
  <pageMargins left="0.59055118110236227" right="0.51181102362204722" top="0.47244094488188981" bottom="0.43307086614173229" header="0.31496062992125984" footer="0.31496062992125984"/>
  <pageSetup paperSize="9" scale="59" orientation="landscape" horizontalDpi="4294967292" verticalDpi="4294967292"/>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D725-5385-2B42-B169-AEF6A95CDE46}">
  <sheetPr>
    <pageSetUpPr fitToPage="1"/>
  </sheetPr>
  <dimension ref="A1:P45"/>
  <sheetViews>
    <sheetView topLeftCell="A23" zoomScaleNormal="100" workbookViewId="0">
      <selection activeCell="A3" sqref="A3"/>
    </sheetView>
  </sheetViews>
  <sheetFormatPr baseColWidth="10" defaultColWidth="11.3984375" defaultRowHeight="13"/>
  <cols>
    <col min="1" max="1" width="14.796875" style="3" customWidth="1"/>
    <col min="2" max="2" width="14.796875" style="138" customWidth="1"/>
    <col min="3" max="4" width="12.3984375" style="3" customWidth="1"/>
    <col min="5" max="7" width="12.59765625" style="3" customWidth="1"/>
    <col min="8" max="8" width="14.59765625" style="522" customWidth="1"/>
    <col min="9" max="9" width="17" style="522" customWidth="1"/>
    <col min="10" max="10" width="16" style="138" customWidth="1"/>
    <col min="11" max="14" width="13.3984375" style="3" customWidth="1"/>
    <col min="15" max="15" width="15.19921875" style="3" customWidth="1"/>
    <col min="16" max="16" width="13.3984375" style="3" customWidth="1"/>
    <col min="17" max="16384" width="11.3984375" style="3"/>
  </cols>
  <sheetData>
    <row r="1" spans="1:16" s="2" customFormat="1" ht="14" customHeight="1">
      <c r="A1" s="272"/>
      <c r="B1" s="273"/>
      <c r="C1" s="272"/>
      <c r="D1" s="272"/>
      <c r="E1" s="272"/>
      <c r="F1" s="272"/>
      <c r="G1" s="272"/>
      <c r="H1" s="661"/>
      <c r="I1" s="661"/>
      <c r="J1" s="17"/>
    </row>
    <row r="2" spans="1:16" s="2" customFormat="1" ht="28" customHeight="1">
      <c r="A2" s="139" t="s">
        <v>862</v>
      </c>
      <c r="B2" s="273"/>
      <c r="C2" s="272"/>
      <c r="D2" s="272"/>
      <c r="E2" s="272"/>
      <c r="F2" s="272"/>
      <c r="G2" s="272"/>
      <c r="H2" s="661"/>
      <c r="I2" s="661"/>
      <c r="J2" s="662"/>
      <c r="K2" s="396"/>
      <c r="P2" s="396">
        <v>2012</v>
      </c>
    </row>
    <row r="3" spans="1:16" ht="57.75" customHeight="1">
      <c r="A3" s="663" t="s">
        <v>426</v>
      </c>
      <c r="B3" s="664" t="s">
        <v>844</v>
      </c>
      <c r="C3" s="665"/>
      <c r="D3" s="665"/>
      <c r="E3" s="665"/>
      <c r="F3" s="665"/>
      <c r="G3" s="665"/>
      <c r="H3" s="666"/>
      <c r="I3" s="665"/>
      <c r="J3" s="667" t="s">
        <v>845</v>
      </c>
      <c r="K3" s="668" t="s">
        <v>693</v>
      </c>
      <c r="L3" s="669"/>
      <c r="M3" s="670"/>
      <c r="N3" s="670"/>
      <c r="O3" s="670"/>
      <c r="P3" s="671"/>
    </row>
    <row r="4" spans="1:16" ht="84.75" customHeight="1">
      <c r="A4" s="300"/>
      <c r="B4" s="667" t="s">
        <v>863</v>
      </c>
      <c r="C4" s="466" t="s">
        <v>864</v>
      </c>
      <c r="D4" s="465" t="s">
        <v>865</v>
      </c>
      <c r="E4" s="466" t="s">
        <v>866</v>
      </c>
      <c r="F4" s="465" t="s">
        <v>867</v>
      </c>
      <c r="G4" s="466" t="s">
        <v>868</v>
      </c>
      <c r="H4" s="465" t="s">
        <v>869</v>
      </c>
      <c r="I4" s="672" t="s">
        <v>853</v>
      </c>
      <c r="J4" s="667"/>
      <c r="K4" s="466" t="s">
        <v>854</v>
      </c>
      <c r="L4" s="465" t="s">
        <v>855</v>
      </c>
      <c r="M4" s="673" t="s">
        <v>605</v>
      </c>
      <c r="N4" s="674" t="s">
        <v>856</v>
      </c>
      <c r="O4" s="675" t="s">
        <v>857</v>
      </c>
      <c r="P4" s="676" t="s">
        <v>230</v>
      </c>
    </row>
    <row r="5" spans="1:16" ht="24" customHeight="1">
      <c r="A5" s="169"/>
      <c r="B5" s="677"/>
      <c r="C5" s="169"/>
      <c r="D5" s="157"/>
      <c r="E5" s="117"/>
      <c r="F5" s="118"/>
      <c r="G5" s="117"/>
      <c r="H5" s="677"/>
      <c r="I5" s="678"/>
      <c r="J5" s="239"/>
      <c r="K5" s="169"/>
      <c r="L5" s="118"/>
      <c r="M5" s="237"/>
      <c r="N5" s="118"/>
      <c r="O5" s="678"/>
      <c r="P5" s="239"/>
    </row>
    <row r="6" spans="1:16" ht="30" customHeight="1" thickBot="1">
      <c r="A6" s="679" t="s">
        <v>434</v>
      </c>
      <c r="B6" s="680">
        <v>0.42045939483832545</v>
      </c>
      <c r="C6" s="369">
        <v>1.6643554858830601E-3</v>
      </c>
      <c r="D6" s="149">
        <v>7.6631828940315304E-3</v>
      </c>
      <c r="E6" s="369">
        <v>3.4754219565279847E-3</v>
      </c>
      <c r="F6" s="149">
        <v>5.3037508456040688E-3</v>
      </c>
      <c r="G6" s="369">
        <v>7.4152460270406964E-3</v>
      </c>
      <c r="H6" s="149">
        <v>6.3080634752826041E-3</v>
      </c>
      <c r="I6" s="682">
        <v>3.183002068436995E-2</v>
      </c>
      <c r="J6" s="680">
        <v>1.9571902983172935E-5</v>
      </c>
      <c r="K6" s="369">
        <v>0.51148209174791415</v>
      </c>
      <c r="L6" s="149">
        <v>3.6208842538795222E-2</v>
      </c>
      <c r="M6" s="682">
        <v>0.54769097343051532</v>
      </c>
      <c r="N6" s="683">
        <v>8.6622580824717701E-2</v>
      </c>
      <c r="O6" s="684">
        <v>0.30150038991145117</v>
      </c>
      <c r="P6" s="680">
        <v>1</v>
      </c>
    </row>
    <row r="7" spans="1:16" ht="20" customHeight="1" thickBot="1">
      <c r="A7" s="685" t="s">
        <v>435</v>
      </c>
      <c r="B7" s="680">
        <v>0.26379046432807268</v>
      </c>
      <c r="C7" s="369">
        <v>7.8904972999076922E-4</v>
      </c>
      <c r="D7" s="149">
        <v>7.0254109428926452E-3</v>
      </c>
      <c r="E7" s="369">
        <v>2.2386110823836487E-3</v>
      </c>
      <c r="F7" s="149">
        <v>4.4308307703030802E-3</v>
      </c>
      <c r="G7" s="369">
        <v>4.3951320265141532E-3</v>
      </c>
      <c r="H7" s="149">
        <v>5.1487658870724836E-3</v>
      </c>
      <c r="I7" s="682">
        <v>2.4027800439156782E-2</v>
      </c>
      <c r="J7" s="680">
        <v>3.394492277869517E-5</v>
      </c>
      <c r="K7" s="369">
        <v>0.64431525509722609</v>
      </c>
      <c r="L7" s="149">
        <v>6.7832252338409144E-2</v>
      </c>
      <c r="M7" s="682">
        <v>0.71214762058537795</v>
      </c>
      <c r="N7" s="683">
        <v>7.1758095807507846E-2</v>
      </c>
      <c r="O7" s="684">
        <v>0.3100998818037789</v>
      </c>
      <c r="P7" s="680">
        <v>1</v>
      </c>
    </row>
    <row r="8" spans="1:16" ht="20" customHeight="1" thickBot="1">
      <c r="A8" s="685" t="s">
        <v>436</v>
      </c>
      <c r="B8" s="680">
        <v>0.25305071181726363</v>
      </c>
      <c r="C8" s="369">
        <v>6.462252662126711E-4</v>
      </c>
      <c r="D8" s="149">
        <v>2.1281874005462504E-3</v>
      </c>
      <c r="E8" s="369">
        <v>1.2549997463439668E-3</v>
      </c>
      <c r="F8" s="149">
        <v>8.0140698087964746E-3</v>
      </c>
      <c r="G8" s="369">
        <v>4.4120213304803457E-3</v>
      </c>
      <c r="H8" s="149">
        <v>4.5656757967787549E-3</v>
      </c>
      <c r="I8" s="682">
        <v>2.1021179349158464E-2</v>
      </c>
      <c r="J8" s="680">
        <v>0</v>
      </c>
      <c r="K8" s="369">
        <v>0.64176331050074886</v>
      </c>
      <c r="L8" s="149">
        <v>8.4164399920211241E-2</v>
      </c>
      <c r="M8" s="682">
        <v>0.72592771042096016</v>
      </c>
      <c r="N8" s="683">
        <v>8.1954936345616042E-2</v>
      </c>
      <c r="O8" s="684">
        <v>0.53339016467987166</v>
      </c>
      <c r="P8" s="680">
        <v>1</v>
      </c>
    </row>
    <row r="9" spans="1:16" ht="20" customHeight="1" thickBot="1">
      <c r="A9" s="685" t="s">
        <v>437</v>
      </c>
      <c r="B9" s="680">
        <v>0.25480164857557791</v>
      </c>
      <c r="C9" s="369">
        <v>8.6102484917714738E-4</v>
      </c>
      <c r="D9" s="149">
        <v>2.1884381583252496E-3</v>
      </c>
      <c r="E9" s="369">
        <v>1.8942546681897245E-2</v>
      </c>
      <c r="F9" s="149">
        <v>3.1448932616195316E-2</v>
      </c>
      <c r="G9" s="369">
        <v>4.3768763166504993E-3</v>
      </c>
      <c r="H9" s="149">
        <v>7.2354788159186287E-3</v>
      </c>
      <c r="I9" s="682">
        <v>6.5053297438164084E-2</v>
      </c>
      <c r="J9" s="680">
        <v>0</v>
      </c>
      <c r="K9" s="369">
        <v>0.59807503544552298</v>
      </c>
      <c r="L9" s="149">
        <v>8.2067148457904512E-2</v>
      </c>
      <c r="M9" s="682">
        <v>0.68014218390342751</v>
      </c>
      <c r="N9" s="683">
        <v>6.1787143176952108E-2</v>
      </c>
      <c r="O9" s="684">
        <v>0.42355534380722237</v>
      </c>
      <c r="P9" s="680">
        <v>1</v>
      </c>
    </row>
    <row r="10" spans="1:16" ht="20" customHeight="1" thickBot="1">
      <c r="A10" s="685" t="s">
        <v>438</v>
      </c>
      <c r="B10" s="680">
        <v>0.33189750812274277</v>
      </c>
      <c r="C10" s="369">
        <v>6.2502669384838314E-4</v>
      </c>
      <c r="D10" s="149">
        <v>3.859887071565904E-3</v>
      </c>
      <c r="E10" s="369">
        <v>2.6508076560214206E-3</v>
      </c>
      <c r="F10" s="149">
        <v>1.6042699045827308E-2</v>
      </c>
      <c r="G10" s="369">
        <v>1.0422667356973928E-2</v>
      </c>
      <c r="H10" s="149">
        <v>6.2804765620198379E-3</v>
      </c>
      <c r="I10" s="682">
        <v>3.9881564386256785E-2</v>
      </c>
      <c r="J10" s="680">
        <v>0</v>
      </c>
      <c r="K10" s="369">
        <v>0.55895859441219198</v>
      </c>
      <c r="L10" s="149">
        <v>6.9263722027017138E-2</v>
      </c>
      <c r="M10" s="682">
        <v>0.628221969202157</v>
      </c>
      <c r="N10" s="683">
        <v>2.5182325495151359E-2</v>
      </c>
      <c r="O10" s="684">
        <v>0.49692504228479206</v>
      </c>
      <c r="P10" s="680">
        <v>1</v>
      </c>
    </row>
    <row r="11" spans="1:16" ht="20" customHeight="1" thickBot="1">
      <c r="A11" s="685" t="s">
        <v>439</v>
      </c>
      <c r="B11" s="680">
        <v>0.22563784661034067</v>
      </c>
      <c r="C11" s="369">
        <v>5.5722335601696745E-4</v>
      </c>
      <c r="D11" s="149">
        <v>1.6716700680509025E-3</v>
      </c>
      <c r="E11" s="369">
        <v>1.3930583900424187E-3</v>
      </c>
      <c r="F11" s="149">
        <v>1.3059922406647675E-2</v>
      </c>
      <c r="G11" s="369">
        <v>2.0087901984411679E-3</v>
      </c>
      <c r="H11" s="149">
        <v>4.0635513237537351E-3</v>
      </c>
      <c r="I11" s="682">
        <v>2.2754215742952864E-2</v>
      </c>
      <c r="J11" s="680">
        <v>0</v>
      </c>
      <c r="K11" s="369">
        <v>0.6791689013645007</v>
      </c>
      <c r="L11" s="149">
        <v>7.2439036282205771E-2</v>
      </c>
      <c r="M11" s="682">
        <v>0.75160933070509661</v>
      </c>
      <c r="N11" s="683">
        <v>1.0280770918513051E-3</v>
      </c>
      <c r="O11" s="684">
        <v>0.60619353760212857</v>
      </c>
      <c r="P11" s="680">
        <v>1</v>
      </c>
    </row>
    <row r="12" spans="1:16" ht="20" customHeight="1" thickBot="1">
      <c r="A12" s="685" t="s">
        <v>440</v>
      </c>
      <c r="B12" s="680">
        <v>0.2769386055597744</v>
      </c>
      <c r="C12" s="369">
        <v>5.8958659655023913E-4</v>
      </c>
      <c r="D12" s="149">
        <v>1.0867955696778602E-3</v>
      </c>
      <c r="E12" s="369">
        <v>2.8080080531551715E-3</v>
      </c>
      <c r="F12" s="149">
        <v>1.6748878223197924E-2</v>
      </c>
      <c r="G12" s="369">
        <v>4.4382014076719614E-3</v>
      </c>
      <c r="H12" s="149">
        <v>4.4490693633687404E-3</v>
      </c>
      <c r="I12" s="682">
        <v>3.0120539213621896E-2</v>
      </c>
      <c r="J12" s="680">
        <v>0</v>
      </c>
      <c r="K12" s="369">
        <v>0.62264148380199125</v>
      </c>
      <c r="L12" s="149">
        <v>7.029665443568818E-2</v>
      </c>
      <c r="M12" s="682">
        <v>0.6929394967321415</v>
      </c>
      <c r="N12" s="683">
        <v>5.0902787494786772E-3</v>
      </c>
      <c r="O12" s="684">
        <v>0.58922931250670751</v>
      </c>
      <c r="P12" s="680">
        <v>1</v>
      </c>
    </row>
    <row r="13" spans="1:16" ht="20" customHeight="1" thickBot="1">
      <c r="A13" s="685" t="s">
        <v>441</v>
      </c>
      <c r="B13" s="680">
        <v>0.44641517477735848</v>
      </c>
      <c r="C13" s="369">
        <v>9.6890909141242017E-4</v>
      </c>
      <c r="D13" s="149">
        <v>3.9683748072562985E-3</v>
      </c>
      <c r="E13" s="369">
        <v>9.6088098751214591E-3</v>
      </c>
      <c r="F13" s="149">
        <v>1.2641495331242333E-2</v>
      </c>
      <c r="G13" s="369">
        <v>1.9945685724647106E-3</v>
      </c>
      <c r="H13" s="149">
        <v>1.9105503126808053E-2</v>
      </c>
      <c r="I13" s="682">
        <v>4.8287660804305271E-2</v>
      </c>
      <c r="J13" s="680">
        <v>0</v>
      </c>
      <c r="K13" s="369">
        <v>0.46557189167042695</v>
      </c>
      <c r="L13" s="149">
        <v>3.9726656903754112E-2</v>
      </c>
      <c r="M13" s="682">
        <v>0.50529854857418099</v>
      </c>
      <c r="N13" s="683">
        <v>0</v>
      </c>
      <c r="O13" s="684">
        <v>0.36774806148973921</v>
      </c>
      <c r="P13" s="680">
        <v>1</v>
      </c>
    </row>
    <row r="14" spans="1:16" ht="20" customHeight="1" thickBot="1">
      <c r="A14" s="685" t="s">
        <v>442</v>
      </c>
      <c r="B14" s="680">
        <v>0.37353314764242113</v>
      </c>
      <c r="C14" s="369">
        <v>8.6963227755650129E-4</v>
      </c>
      <c r="D14" s="149">
        <v>5.848356453968917E-3</v>
      </c>
      <c r="E14" s="369">
        <v>2.4410491838975134E-3</v>
      </c>
      <c r="F14" s="149">
        <v>1.1045736216078898E-2</v>
      </c>
      <c r="G14" s="369">
        <v>8.7480379970785432E-3</v>
      </c>
      <c r="H14" s="149">
        <v>6.6045781580308296E-3</v>
      </c>
      <c r="I14" s="682">
        <v>3.5557390286611208E-2</v>
      </c>
      <c r="J14" s="680">
        <v>0</v>
      </c>
      <c r="K14" s="369">
        <v>0.54655866955788035</v>
      </c>
      <c r="L14" s="149">
        <v>4.4353968009145435E-2</v>
      </c>
      <c r="M14" s="682">
        <v>0.59091127664014376</v>
      </c>
      <c r="N14" s="683">
        <v>9.270951469347391E-2</v>
      </c>
      <c r="O14" s="684">
        <v>0.37794481895136051</v>
      </c>
      <c r="P14" s="680">
        <v>1</v>
      </c>
    </row>
    <row r="15" spans="1:16" ht="20" customHeight="1" thickBot="1">
      <c r="A15" s="685" t="s">
        <v>443</v>
      </c>
      <c r="B15" s="680">
        <v>0.38433446613240685</v>
      </c>
      <c r="C15" s="369">
        <v>1.1674404384041893E-3</v>
      </c>
      <c r="D15" s="149">
        <v>1.4041811122480178E-2</v>
      </c>
      <c r="E15" s="369">
        <v>5.1137000991800787E-3</v>
      </c>
      <c r="F15" s="149">
        <v>6.3082718660658005E-3</v>
      </c>
      <c r="G15" s="369">
        <v>4.2705663006370152E-3</v>
      </c>
      <c r="H15" s="149">
        <v>7.2202652936204726E-3</v>
      </c>
      <c r="I15" s="682">
        <v>3.8122055120387736E-2</v>
      </c>
      <c r="J15" s="680">
        <v>3.1732547931616997E-5</v>
      </c>
      <c r="K15" s="369">
        <v>0.53480957377317595</v>
      </c>
      <c r="L15" s="149">
        <v>4.2701696437878689E-2</v>
      </c>
      <c r="M15" s="682">
        <v>0.5775117461992737</v>
      </c>
      <c r="N15" s="683">
        <v>2.3510644762535031E-3</v>
      </c>
      <c r="O15" s="684">
        <v>0.41096172309004575</v>
      </c>
      <c r="P15" s="680">
        <v>1</v>
      </c>
    </row>
    <row r="16" spans="1:16" ht="20" customHeight="1" thickBot="1">
      <c r="A16" s="685" t="s">
        <v>444</v>
      </c>
      <c r="B16" s="680">
        <v>0.35559948802054053</v>
      </c>
      <c r="C16" s="369">
        <v>7.67884058020366E-4</v>
      </c>
      <c r="D16" s="149">
        <v>5.304103795449989E-3</v>
      </c>
      <c r="E16" s="369">
        <v>2.349197403666519E-3</v>
      </c>
      <c r="F16" s="149">
        <v>6.496367235868529E-3</v>
      </c>
      <c r="G16" s="369">
        <v>4.0743825961036271E-3</v>
      </c>
      <c r="H16" s="149">
        <v>9.8447929245698666E-3</v>
      </c>
      <c r="I16" s="682">
        <v>2.8836728013678897E-2</v>
      </c>
      <c r="J16" s="680">
        <v>4.2565635145253106E-5</v>
      </c>
      <c r="K16" s="369">
        <v>0.56819929911425182</v>
      </c>
      <c r="L16" s="149">
        <v>4.7321280731856506E-2</v>
      </c>
      <c r="M16" s="682">
        <v>0.61552036701793233</v>
      </c>
      <c r="N16" s="683">
        <v>4.8711261547524753E-2</v>
      </c>
      <c r="O16" s="684">
        <v>0.31040350945148648</v>
      </c>
      <c r="P16" s="680">
        <v>1</v>
      </c>
    </row>
    <row r="17" spans="1:16" ht="20" customHeight="1" thickBot="1">
      <c r="A17" s="685" t="s">
        <v>445</v>
      </c>
      <c r="B17" s="680">
        <v>0.4028960194819256</v>
      </c>
      <c r="C17" s="369">
        <v>1.2541844606083843E-3</v>
      </c>
      <c r="D17" s="149">
        <v>1.3712251106685551E-2</v>
      </c>
      <c r="E17" s="369">
        <v>2.9048942658246274E-3</v>
      </c>
      <c r="F17" s="149">
        <v>9.7324430150125835E-3</v>
      </c>
      <c r="G17" s="369">
        <v>4.0234720284561074E-3</v>
      </c>
      <c r="H17" s="149">
        <v>9.4690394288899082E-3</v>
      </c>
      <c r="I17" s="682">
        <v>4.1096284305477161E-2</v>
      </c>
      <c r="J17" s="680">
        <v>0</v>
      </c>
      <c r="K17" s="369">
        <v>0.50597485951217092</v>
      </c>
      <c r="L17" s="149">
        <v>5.0032481709070389E-2</v>
      </c>
      <c r="M17" s="682">
        <v>0.55600663123852945</v>
      </c>
      <c r="N17" s="683">
        <v>0.17054991710951842</v>
      </c>
      <c r="O17" s="684">
        <v>0.28325825266154769</v>
      </c>
      <c r="P17" s="680">
        <v>1</v>
      </c>
    </row>
    <row r="18" spans="1:16" ht="20" customHeight="1" thickBot="1">
      <c r="A18" s="685" t="s">
        <v>446</v>
      </c>
      <c r="B18" s="680">
        <v>0.35118556903785886</v>
      </c>
      <c r="C18" s="369">
        <v>9.6673561686775212E-4</v>
      </c>
      <c r="D18" s="149">
        <v>8.6860221951792164E-3</v>
      </c>
      <c r="E18" s="369">
        <v>3.6325577415693474E-3</v>
      </c>
      <c r="F18" s="149">
        <v>9.7423755013623086E-3</v>
      </c>
      <c r="G18" s="369">
        <v>6.5944020979460515E-3</v>
      </c>
      <c r="H18" s="149">
        <v>9.3664678181255619E-3</v>
      </c>
      <c r="I18" s="682">
        <v>3.8988560971050239E-2</v>
      </c>
      <c r="J18" s="680">
        <v>0</v>
      </c>
      <c r="K18" s="369">
        <v>0.54369490894477812</v>
      </c>
      <c r="L18" s="149">
        <v>6.6129947271546877E-2</v>
      </c>
      <c r="M18" s="682">
        <v>0.6098252617262313</v>
      </c>
      <c r="N18" s="683">
        <v>4.5376355771683329E-2</v>
      </c>
      <c r="O18" s="684">
        <v>0.3832516703966819</v>
      </c>
      <c r="P18" s="680">
        <v>1</v>
      </c>
    </row>
    <row r="19" spans="1:16" ht="20" customHeight="1" thickBot="1">
      <c r="A19" s="685" t="s">
        <v>447</v>
      </c>
      <c r="B19" s="680">
        <v>0.32576889106570683</v>
      </c>
      <c r="C19" s="369">
        <v>8.0895260493769948E-4</v>
      </c>
      <c r="D19" s="149">
        <v>4.7838515410179409E-3</v>
      </c>
      <c r="E19" s="369">
        <v>3.6277847274160651E-3</v>
      </c>
      <c r="F19" s="149">
        <v>5.914178953553618E-3</v>
      </c>
      <c r="G19" s="369">
        <v>9.7074312592523946E-3</v>
      </c>
      <c r="H19" s="149">
        <v>3.6873530555978414E-3</v>
      </c>
      <c r="I19" s="682">
        <v>2.8529552141775563E-2</v>
      </c>
      <c r="J19" s="680">
        <v>7.3541145903427231E-5</v>
      </c>
      <c r="K19" s="369">
        <v>0.59108696019879636</v>
      </c>
      <c r="L19" s="149">
        <v>5.4538849213440661E-2</v>
      </c>
      <c r="M19" s="682">
        <v>0.64562728023515514</v>
      </c>
      <c r="N19" s="683">
        <v>2.7552925724178046E-2</v>
      </c>
      <c r="O19" s="684">
        <v>0.45221406650914148</v>
      </c>
      <c r="P19" s="680">
        <v>1</v>
      </c>
    </row>
    <row r="20" spans="1:16" ht="20" customHeight="1" thickBot="1">
      <c r="A20" s="685" t="s">
        <v>448</v>
      </c>
      <c r="B20" s="680">
        <v>0.31934131243061914</v>
      </c>
      <c r="C20" s="369">
        <v>3.8780545739229918E-4</v>
      </c>
      <c r="D20" s="149">
        <v>3.6201639447571133E-3</v>
      </c>
      <c r="E20" s="369">
        <v>2.7631138839201317E-3</v>
      </c>
      <c r="F20" s="149">
        <v>6.2048873182767869E-3</v>
      </c>
      <c r="G20" s="369">
        <v>4.5334457969159782E-3</v>
      </c>
      <c r="H20" s="149">
        <v>8.3669027432388566E-3</v>
      </c>
      <c r="I20" s="682">
        <v>2.5876319144501163E-2</v>
      </c>
      <c r="J20" s="680">
        <v>0</v>
      </c>
      <c r="K20" s="369">
        <v>0.60420962823999336</v>
      </c>
      <c r="L20" s="149">
        <v>5.0574679212173214E-2</v>
      </c>
      <c r="M20" s="682">
        <v>0.65478527696581013</v>
      </c>
      <c r="N20" s="683">
        <v>9.4348220215329001E-2</v>
      </c>
      <c r="O20" s="684">
        <v>0.41060066217781854</v>
      </c>
      <c r="P20" s="680">
        <v>1</v>
      </c>
    </row>
    <row r="21" spans="1:16" ht="20" customHeight="1" thickBot="1">
      <c r="A21" s="685" t="s">
        <v>449</v>
      </c>
      <c r="B21" s="680">
        <v>0.21680274072905537</v>
      </c>
      <c r="C21" s="369">
        <v>5.9529301810583714E-4</v>
      </c>
      <c r="D21" s="149">
        <v>2.0835255633704299E-3</v>
      </c>
      <c r="E21" s="369">
        <v>8.929395271587557E-4</v>
      </c>
      <c r="F21" s="149">
        <v>2.9764650905291855E-3</v>
      </c>
      <c r="G21" s="369">
        <v>3.5479463879107892E-3</v>
      </c>
      <c r="H21" s="149">
        <v>4.7623441448466971E-3</v>
      </c>
      <c r="I21" s="682">
        <v>1.4858513731921695E-2</v>
      </c>
      <c r="J21" s="680">
        <v>0</v>
      </c>
      <c r="K21" s="369">
        <v>0.68526560486235333</v>
      </c>
      <c r="L21" s="149">
        <v>8.3070164211579034E-2</v>
      </c>
      <c r="M21" s="682">
        <v>0.76833576907393242</v>
      </c>
      <c r="N21" s="683">
        <v>1.6942039295292127E-2</v>
      </c>
      <c r="O21" s="684">
        <v>0.66006685140593324</v>
      </c>
      <c r="P21" s="680">
        <v>1</v>
      </c>
    </row>
    <row r="22" spans="1:16" ht="20" customHeight="1" thickBot="1">
      <c r="A22" s="685" t="s">
        <v>450</v>
      </c>
      <c r="B22" s="680">
        <v>0.25668944670371124</v>
      </c>
      <c r="C22" s="369">
        <v>4.4140123340655419E-4</v>
      </c>
      <c r="D22" s="149">
        <v>2.6862657623447105E-3</v>
      </c>
      <c r="E22" s="369">
        <v>1.5761033824820865E-3</v>
      </c>
      <c r="F22" s="149">
        <v>8.819425261825704E-3</v>
      </c>
      <c r="G22" s="369">
        <v>2.8303582533640986E-3</v>
      </c>
      <c r="H22" s="149">
        <v>5.7182905806507905E-3</v>
      </c>
      <c r="I22" s="682">
        <v>2.2071844474073947E-2</v>
      </c>
      <c r="J22" s="680">
        <v>0</v>
      </c>
      <c r="K22" s="369">
        <v>0.65184338761236649</v>
      </c>
      <c r="L22" s="149">
        <v>6.9395006597422565E-2</v>
      </c>
      <c r="M22" s="682">
        <v>0.72123849908059734</v>
      </c>
      <c r="N22" s="683">
        <v>0.15030094775944566</v>
      </c>
      <c r="O22" s="684">
        <v>0.45732104163559872</v>
      </c>
      <c r="P22" s="680">
        <v>1</v>
      </c>
    </row>
    <row r="23" spans="1:16" ht="20" customHeight="1" thickBot="1">
      <c r="A23" s="685" t="s">
        <v>451</v>
      </c>
      <c r="B23" s="680">
        <v>0.39436049504525772</v>
      </c>
      <c r="C23" s="369">
        <v>5.9789369825404318E-4</v>
      </c>
      <c r="D23" s="149">
        <v>3.3183547109376121E-3</v>
      </c>
      <c r="E23" s="369">
        <v>1.2663906882301634E-3</v>
      </c>
      <c r="F23" s="149">
        <v>3.0567948369629983E-3</v>
      </c>
      <c r="G23" s="369">
        <v>3.7559759579406959E-3</v>
      </c>
      <c r="H23" s="149">
        <v>7.3147393457547467E-3</v>
      </c>
      <c r="I23" s="682">
        <v>1.9310149238080259E-2</v>
      </c>
      <c r="J23" s="680">
        <v>0</v>
      </c>
      <c r="K23" s="369">
        <v>0.55552933998732124</v>
      </c>
      <c r="L23" s="149">
        <v>3.0800611537709903E-2</v>
      </c>
      <c r="M23" s="682">
        <v>0.58633024942921552</v>
      </c>
      <c r="N23" s="683">
        <v>2.8032783759693806E-2</v>
      </c>
      <c r="O23" s="684">
        <v>0.45242172269648573</v>
      </c>
      <c r="P23" s="680">
        <v>1</v>
      </c>
    </row>
    <row r="24" spans="1:16" ht="20" customHeight="1" thickBot="1">
      <c r="A24" s="685" t="s">
        <v>452</v>
      </c>
      <c r="B24" s="680">
        <v>0.38639984941444327</v>
      </c>
      <c r="C24" s="369">
        <v>1.035693253078937E-3</v>
      </c>
      <c r="D24" s="149">
        <v>5.6550588629855148E-3</v>
      </c>
      <c r="E24" s="369">
        <v>2.1532264826146837E-3</v>
      </c>
      <c r="F24" s="149">
        <v>4.5018667865650156E-3</v>
      </c>
      <c r="G24" s="369">
        <v>6.9798643594251447E-3</v>
      </c>
      <c r="H24" s="149">
        <v>4.0342097782403875E-3</v>
      </c>
      <c r="I24" s="682">
        <v>2.4359919522909682E-2</v>
      </c>
      <c r="J24" s="680">
        <v>4.1755090028984717E-5</v>
      </c>
      <c r="K24" s="369">
        <v>0.55040014737876586</v>
      </c>
      <c r="L24" s="149">
        <v>3.8798078063312078E-2</v>
      </c>
      <c r="M24" s="682">
        <v>0.58919839246243799</v>
      </c>
      <c r="N24" s="683">
        <v>7.8349417950747041E-2</v>
      </c>
      <c r="O24" s="684">
        <v>0.3682098290145765</v>
      </c>
      <c r="P24" s="680">
        <v>1</v>
      </c>
    </row>
    <row r="25" spans="1:16" ht="20" customHeight="1" thickBot="1">
      <c r="A25" s="685" t="s">
        <v>453</v>
      </c>
      <c r="B25" s="680">
        <v>0.25563109318230087</v>
      </c>
      <c r="C25" s="369">
        <v>6.3599362560934325E-4</v>
      </c>
      <c r="D25" s="149">
        <v>3.4188672487774981E-3</v>
      </c>
      <c r="E25" s="369">
        <v>1.993703502502016E-3</v>
      </c>
      <c r="F25" s="149">
        <v>6.4629238602403986E-3</v>
      </c>
      <c r="G25" s="369">
        <v>6.1463323363812033E-3</v>
      </c>
      <c r="H25" s="149">
        <v>8.6796667939456913E-3</v>
      </c>
      <c r="I25" s="682">
        <v>2.7337487367456149E-2</v>
      </c>
      <c r="J25" s="680">
        <v>0</v>
      </c>
      <c r="K25" s="369">
        <v>0.61482334915688641</v>
      </c>
      <c r="L25" s="149">
        <v>0.10220927482673789</v>
      </c>
      <c r="M25" s="682">
        <v>0.71703162020580635</v>
      </c>
      <c r="N25" s="683">
        <v>0.16741247358558667</v>
      </c>
      <c r="O25" s="684">
        <v>0.45061352907803814</v>
      </c>
      <c r="P25" s="680">
        <v>1</v>
      </c>
    </row>
    <row r="26" spans="1:16" ht="20" customHeight="1" thickBot="1">
      <c r="A26" s="685" t="s">
        <v>454</v>
      </c>
      <c r="B26" s="680">
        <v>0.41194126338340964</v>
      </c>
      <c r="C26" s="369">
        <v>1.3940919884547903E-3</v>
      </c>
      <c r="D26" s="149">
        <v>1.53806090670527E-2</v>
      </c>
      <c r="E26" s="369">
        <v>8.3905592191868932E-3</v>
      </c>
      <c r="F26" s="149">
        <v>8.038785311015928E-3</v>
      </c>
      <c r="G26" s="369">
        <v>6.0875631626686648E-3</v>
      </c>
      <c r="H26" s="149">
        <v>4.5624214609442295E-3</v>
      </c>
      <c r="I26" s="682">
        <v>4.3854030209323214E-2</v>
      </c>
      <c r="J26" s="680">
        <v>1.6887849648150094E-5</v>
      </c>
      <c r="K26" s="369">
        <v>0.50667720243313363</v>
      </c>
      <c r="L26" s="149">
        <v>3.7510447245988579E-2</v>
      </c>
      <c r="M26" s="682">
        <v>0.54418781855761877</v>
      </c>
      <c r="N26" s="683">
        <v>1.4449244158957221E-3</v>
      </c>
      <c r="O26" s="684">
        <v>0.35063313392723389</v>
      </c>
      <c r="P26" s="680">
        <v>1</v>
      </c>
    </row>
    <row r="27" spans="1:16" ht="20" customHeight="1" thickBot="1">
      <c r="A27" s="685" t="s">
        <v>455</v>
      </c>
      <c r="B27" s="680">
        <v>0.36279099201697157</v>
      </c>
      <c r="C27" s="369">
        <v>4.432461611650766E-3</v>
      </c>
      <c r="D27" s="149">
        <v>2.3792513564385703E-2</v>
      </c>
      <c r="E27" s="369">
        <v>9.8664354151604527E-3</v>
      </c>
      <c r="F27" s="149">
        <v>1.4290811154040489E-2</v>
      </c>
      <c r="G27" s="369">
        <v>6.4594763121015924E-3</v>
      </c>
      <c r="H27" s="149">
        <v>1.4124683222569129E-2</v>
      </c>
      <c r="I27" s="682">
        <v>7.2966381279908135E-2</v>
      </c>
      <c r="J27" s="680">
        <v>6.6825394799420571E-6</v>
      </c>
      <c r="K27" s="369">
        <v>0.4889773850167175</v>
      </c>
      <c r="L27" s="149">
        <v>7.5258559146923046E-2</v>
      </c>
      <c r="M27" s="682">
        <v>0.56423581051285088</v>
      </c>
      <c r="N27" s="683">
        <v>3.5362729245352179E-2</v>
      </c>
      <c r="O27" s="684">
        <v>0.33994753270952721</v>
      </c>
      <c r="P27" s="680">
        <v>1</v>
      </c>
    </row>
    <row r="28" spans="1:16" ht="20" customHeight="1" thickBot="1">
      <c r="A28" s="685" t="s">
        <v>456</v>
      </c>
      <c r="B28" s="680">
        <v>0.54514302622017952</v>
      </c>
      <c r="C28" s="369">
        <v>2.4185763666100773E-3</v>
      </c>
      <c r="D28" s="149">
        <v>2.591301462180217E-2</v>
      </c>
      <c r="E28" s="369">
        <v>4.8263635449676207E-3</v>
      </c>
      <c r="F28" s="149">
        <v>5.3190698085000812E-3</v>
      </c>
      <c r="G28" s="369">
        <v>2.9820662439811445E-3</v>
      </c>
      <c r="H28" s="149">
        <v>7.3188295038526382E-3</v>
      </c>
      <c r="I28" s="682">
        <v>4.8777920089713739E-2</v>
      </c>
      <c r="J28" s="680">
        <v>0</v>
      </c>
      <c r="K28" s="369">
        <v>0.37401636523690845</v>
      </c>
      <c r="L28" s="149">
        <v>3.2062851925747496E-2</v>
      </c>
      <c r="M28" s="682">
        <v>0.40607921716265605</v>
      </c>
      <c r="N28" s="683">
        <v>0</v>
      </c>
      <c r="O28" s="684">
        <v>0.25775812111190755</v>
      </c>
      <c r="P28" s="680">
        <v>1</v>
      </c>
    </row>
    <row r="29" spans="1:16" ht="20" customHeight="1" thickBot="1">
      <c r="A29" s="685" t="s">
        <v>457</v>
      </c>
      <c r="B29" s="680">
        <v>0.37043657575297723</v>
      </c>
      <c r="C29" s="369">
        <v>1.4088761751862499E-3</v>
      </c>
      <c r="D29" s="149">
        <v>1.1362343834429394E-2</v>
      </c>
      <c r="E29" s="369">
        <v>5.6301154019069606E-3</v>
      </c>
      <c r="F29" s="149">
        <v>1.2804123097258407E-2</v>
      </c>
      <c r="G29" s="369">
        <v>9.2071915938284014E-3</v>
      </c>
      <c r="H29" s="149">
        <v>2.6228866502813072E-3</v>
      </c>
      <c r="I29" s="682">
        <v>4.3035536752890721E-2</v>
      </c>
      <c r="J29" s="680">
        <v>0</v>
      </c>
      <c r="K29" s="369">
        <v>0.53480848842931705</v>
      </c>
      <c r="L29" s="149">
        <v>5.1718548122893025E-2</v>
      </c>
      <c r="M29" s="682">
        <v>0.58652646925759566</v>
      </c>
      <c r="N29" s="683">
        <v>2.7071866300005243E-2</v>
      </c>
      <c r="O29" s="684">
        <v>0.42256357599833211</v>
      </c>
      <c r="P29" s="680">
        <v>1</v>
      </c>
    </row>
    <row r="30" spans="1:16" ht="20" customHeight="1" thickBot="1">
      <c r="A30" s="685" t="s">
        <v>458</v>
      </c>
      <c r="B30" s="680">
        <v>0.54585716362655246</v>
      </c>
      <c r="C30" s="369">
        <v>6.7176018532824171E-3</v>
      </c>
      <c r="D30" s="149">
        <v>1.9839587888035564E-2</v>
      </c>
      <c r="E30" s="369">
        <v>8.0928427768062593E-3</v>
      </c>
      <c r="F30" s="149">
        <v>1.0386999860083191E-2</v>
      </c>
      <c r="G30" s="369">
        <v>5.6678839884584586E-3</v>
      </c>
      <c r="H30" s="149">
        <v>9.7765159439074881E-3</v>
      </c>
      <c r="I30" s="682">
        <v>6.0481432310573381E-2</v>
      </c>
      <c r="J30" s="680">
        <v>0</v>
      </c>
      <c r="K30" s="369">
        <v>0.3660538128241273</v>
      </c>
      <c r="L30" s="149">
        <v>2.7607933055049282E-2</v>
      </c>
      <c r="M30" s="682">
        <v>0.3936616319404091</v>
      </c>
      <c r="N30" s="683">
        <v>0.10211636703049592</v>
      </c>
      <c r="O30" s="684">
        <v>0.15676481807852752</v>
      </c>
      <c r="P30" s="680">
        <v>1</v>
      </c>
    </row>
    <row r="31" spans="1:16" ht="20" customHeight="1" thickBot="1">
      <c r="A31" s="474" t="s">
        <v>459</v>
      </c>
      <c r="B31" s="680">
        <v>0.30447402227679937</v>
      </c>
      <c r="C31" s="369">
        <v>1.9449615249149844E-3</v>
      </c>
      <c r="D31" s="149">
        <v>9.2463715202256314E-3</v>
      </c>
      <c r="E31" s="369">
        <v>6.2780317749436569E-3</v>
      </c>
      <c r="F31" s="149">
        <v>1.1413245961626031E-2</v>
      </c>
      <c r="G31" s="369">
        <v>5.4914963920488667E-3</v>
      </c>
      <c r="H31" s="149">
        <v>8.3302172778546516E-3</v>
      </c>
      <c r="I31" s="682">
        <v>4.2704324451613818E-2</v>
      </c>
      <c r="J31" s="680">
        <v>0</v>
      </c>
      <c r="K31" s="369">
        <v>0.57175829000828615</v>
      </c>
      <c r="L31" s="149">
        <v>8.1067435059933454E-2</v>
      </c>
      <c r="M31" s="682">
        <v>0.65282504643544748</v>
      </c>
      <c r="N31" s="683">
        <v>2.9837447092092503E-2</v>
      </c>
      <c r="O31" s="684">
        <v>0.51525057497161619</v>
      </c>
      <c r="P31" s="680">
        <v>1</v>
      </c>
    </row>
    <row r="32" spans="1:16" ht="20" customHeight="1" thickBot="1">
      <c r="A32" s="685" t="s">
        <v>460</v>
      </c>
      <c r="B32" s="680">
        <v>0.84062357699622314</v>
      </c>
      <c r="C32" s="369">
        <v>2.6785953446012913E-3</v>
      </c>
      <c r="D32" s="149">
        <v>6.5625585942731629E-2</v>
      </c>
      <c r="E32" s="369">
        <v>0</v>
      </c>
      <c r="F32" s="149">
        <v>5.6250502236627115E-2</v>
      </c>
      <c r="G32" s="369">
        <v>0</v>
      </c>
      <c r="H32" s="149">
        <v>3.4821739479816788E-2</v>
      </c>
      <c r="I32" s="682">
        <v>0.15937642300377683</v>
      </c>
      <c r="J32" s="680">
        <v>0</v>
      </c>
      <c r="K32" s="369">
        <v>0</v>
      </c>
      <c r="L32" s="149">
        <v>0</v>
      </c>
      <c r="M32" s="682">
        <v>0</v>
      </c>
      <c r="N32" s="683">
        <v>0</v>
      </c>
      <c r="O32" s="684">
        <v>0</v>
      </c>
      <c r="P32" s="680">
        <v>1</v>
      </c>
    </row>
    <row r="33" spans="1:16" ht="3" customHeight="1" thickBot="1">
      <c r="A33" s="474"/>
      <c r="B33" s="680"/>
      <c r="C33" s="369"/>
      <c r="D33" s="149"/>
      <c r="E33" s="369"/>
      <c r="F33" s="149"/>
      <c r="G33" s="369"/>
      <c r="H33" s="149"/>
      <c r="I33" s="369"/>
      <c r="J33" s="149"/>
      <c r="K33" s="369"/>
      <c r="L33" s="149"/>
      <c r="M33" s="369"/>
      <c r="N33" s="683"/>
      <c r="O33" s="684"/>
      <c r="P33" s="680"/>
    </row>
    <row r="34" spans="1:16" ht="30" customHeight="1" thickBot="1">
      <c r="A34" s="686" t="s">
        <v>462</v>
      </c>
      <c r="B34" s="152">
        <v>0.3661169636609467</v>
      </c>
      <c r="C34" s="687">
        <v>1.7649008095245789E-3</v>
      </c>
      <c r="D34" s="688">
        <v>1.0153474940405336E-2</v>
      </c>
      <c r="E34" s="687">
        <v>4.1981541482568503E-3</v>
      </c>
      <c r="F34" s="688">
        <v>7.8893857642959135E-3</v>
      </c>
      <c r="G34" s="687">
        <v>5.7186102575196816E-3</v>
      </c>
      <c r="H34" s="688">
        <v>7.2093358894651334E-3</v>
      </c>
      <c r="I34" s="690">
        <v>3.6933861809467491E-2</v>
      </c>
      <c r="J34" s="538">
        <v>1.5242999962097948E-5</v>
      </c>
      <c r="K34" s="374">
        <v>0.54268999967015474</v>
      </c>
      <c r="L34" s="418">
        <v>5.4243925232077814E-2</v>
      </c>
      <c r="M34" s="691">
        <v>0.59693389839266731</v>
      </c>
      <c r="N34" s="692">
        <v>6.8819102856271103E-2</v>
      </c>
      <c r="O34" s="693">
        <v>0.3564814392318621</v>
      </c>
      <c r="P34" s="538">
        <v>1</v>
      </c>
    </row>
    <row r="35" spans="1:16" ht="20" customHeight="1">
      <c r="A35" s="359" t="s">
        <v>396</v>
      </c>
      <c r="B35" s="694"/>
      <c r="C35" s="695"/>
      <c r="D35" s="695"/>
      <c r="E35" s="695"/>
      <c r="F35" s="695"/>
      <c r="G35" s="695"/>
      <c r="H35" s="696"/>
      <c r="I35" s="696"/>
      <c r="M35" s="48"/>
    </row>
    <row r="36" spans="1:16" ht="13.5" customHeight="1">
      <c r="B36" s="697"/>
      <c r="C36" s="359"/>
      <c r="D36" s="359"/>
      <c r="E36" s="359"/>
      <c r="F36" s="359"/>
      <c r="G36" s="359"/>
      <c r="H36" s="698"/>
      <c r="I36" s="698"/>
      <c r="M36" s="4"/>
    </row>
    <row r="37" spans="1:16" ht="14.25" customHeight="1">
      <c r="A37" s="359" t="s">
        <v>870</v>
      </c>
      <c r="B37" s="215"/>
      <c r="C37" s="60"/>
      <c r="D37" s="60"/>
      <c r="E37" s="60"/>
      <c r="F37" s="60"/>
      <c r="G37" s="60"/>
      <c r="H37" s="699"/>
      <c r="I37" s="699"/>
      <c r="M37" s="4"/>
    </row>
    <row r="38" spans="1:16" ht="12" customHeight="1">
      <c r="M38" s="4"/>
    </row>
    <row r="39" spans="1:16" ht="12" customHeight="1">
      <c r="A39" s="336" t="s">
        <v>859</v>
      </c>
      <c r="M39" s="4"/>
    </row>
    <row r="40" spans="1:16" ht="12" customHeight="1">
      <c r="A40" s="336" t="s">
        <v>860</v>
      </c>
      <c r="M40" s="4"/>
    </row>
    <row r="41" spans="1:16" ht="12" customHeight="1">
      <c r="A41" s="359" t="s">
        <v>861</v>
      </c>
      <c r="M41" s="4"/>
    </row>
    <row r="42" spans="1:16" ht="12" customHeight="1">
      <c r="A42" s="359" t="s">
        <v>617</v>
      </c>
      <c r="M42" s="4"/>
    </row>
    <row r="43" spans="1:16" ht="12" customHeight="1">
      <c r="M43" s="4"/>
    </row>
    <row r="44" spans="1:16" ht="12" customHeight="1"/>
    <row r="45" spans="1:16" ht="12" customHeight="1">
      <c r="A45" s="3" t="s">
        <v>395</v>
      </c>
    </row>
  </sheetData>
  <pageMargins left="0.59055118110236227" right="0.51181102362204722" top="0.47244094488188981" bottom="0.44" header="0.31496062992125984" footer="0.32"/>
  <pageSetup paperSize="9" scale="59" orientation="landscape" horizontalDpi="4294967292" verticalDpi="4294967292"/>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3537-B425-3649-9F31-381674F4B904}">
  <sheetPr>
    <pageSetUpPr fitToPage="1"/>
  </sheetPr>
  <dimension ref="A1:G40"/>
  <sheetViews>
    <sheetView topLeftCell="A19" zoomScaleNormal="100" workbookViewId="0">
      <selection activeCell="A17" sqref="A17"/>
    </sheetView>
  </sheetViews>
  <sheetFormatPr baseColWidth="10" defaultColWidth="11.3984375" defaultRowHeight="13"/>
  <cols>
    <col min="1" max="1" width="34.796875" style="3" customWidth="1"/>
    <col min="2" max="2" width="19.3984375" style="3" customWidth="1"/>
    <col min="3" max="4" width="19.796875" style="3" customWidth="1"/>
    <col min="5" max="5" width="20.3984375" style="424" customWidth="1"/>
    <col min="6" max="6" width="3.19921875" style="3" customWidth="1"/>
    <col min="7" max="7" width="6.19921875" style="3" customWidth="1"/>
    <col min="8" max="16384" width="11.3984375" style="3"/>
  </cols>
  <sheetData>
    <row r="1" spans="1:7" ht="19.5" customHeight="1">
      <c r="A1" s="164" t="s">
        <v>1808</v>
      </c>
      <c r="B1" s="163"/>
      <c r="C1" s="163"/>
      <c r="D1" s="163"/>
      <c r="E1" s="442">
        <v>2012</v>
      </c>
    </row>
    <row r="2" spans="1:7" ht="33" customHeight="1">
      <c r="A2" s="164"/>
      <c r="B2" s="163"/>
      <c r="C2" s="163"/>
      <c r="D2" s="163"/>
      <c r="E2" s="442"/>
    </row>
    <row r="3" spans="1:7" ht="19.5" customHeight="1">
      <c r="A3" s="164" t="s">
        <v>1809</v>
      </c>
      <c r="B3" s="163"/>
      <c r="C3" s="163"/>
      <c r="D3" s="163"/>
      <c r="E3" s="442"/>
    </row>
    <row r="4" spans="1:7" ht="10.75" customHeight="1">
      <c r="A4" s="703"/>
      <c r="B4" s="570"/>
      <c r="C4" s="570"/>
      <c r="D4" s="570"/>
      <c r="E4" s="704"/>
    </row>
    <row r="5" spans="1:7" ht="24" customHeight="1">
      <c r="A5" s="705" t="s">
        <v>873</v>
      </c>
      <c r="B5" s="397" t="s">
        <v>874</v>
      </c>
      <c r="C5" s="360" t="s">
        <v>875</v>
      </c>
      <c r="D5" s="397" t="s">
        <v>230</v>
      </c>
      <c r="E5" s="1235" t="s">
        <v>1810</v>
      </c>
    </row>
    <row r="6" spans="1:7" ht="15" customHeight="1">
      <c r="A6" s="112"/>
      <c r="B6" s="113"/>
      <c r="C6" s="114"/>
      <c r="D6" s="348"/>
      <c r="E6" s="1236" t="s">
        <v>1811</v>
      </c>
    </row>
    <row r="7" spans="1:7" ht="15" customHeight="1">
      <c r="A7" s="156"/>
      <c r="B7" s="113"/>
      <c r="C7" s="114"/>
      <c r="D7" s="113"/>
      <c r="E7" s="1236" t="s">
        <v>1812</v>
      </c>
    </row>
    <row r="8" spans="1:7" ht="24" customHeight="1">
      <c r="A8" s="168"/>
      <c r="B8" s="443"/>
      <c r="C8" s="444"/>
      <c r="D8" s="443"/>
      <c r="E8" s="1237"/>
    </row>
    <row r="9" spans="1:7" ht="45" customHeight="1" thickBot="1">
      <c r="A9" s="445" t="s">
        <v>427</v>
      </c>
      <c r="B9" s="446">
        <v>128264</v>
      </c>
      <c r="C9" s="447">
        <v>120625</v>
      </c>
      <c r="D9" s="446">
        <v>248889</v>
      </c>
      <c r="E9" s="1238">
        <v>0.16494848449052538</v>
      </c>
    </row>
    <row r="10" spans="1:7" ht="34.5" customHeight="1" thickBot="1">
      <c r="A10" s="445" t="s">
        <v>428</v>
      </c>
      <c r="B10" s="446">
        <v>67238</v>
      </c>
      <c r="C10" s="447">
        <v>63821</v>
      </c>
      <c r="D10" s="446">
        <v>131059</v>
      </c>
      <c r="E10" s="1238">
        <v>0.19597975552258598</v>
      </c>
    </row>
    <row r="11" spans="1:7" ht="32.25" customHeight="1" thickBot="1">
      <c r="A11" s="445" t="s">
        <v>429</v>
      </c>
      <c r="B11" s="446">
        <v>323589</v>
      </c>
      <c r="C11" s="447">
        <v>294312</v>
      </c>
      <c r="D11" s="446">
        <v>617901</v>
      </c>
      <c r="E11" s="1238">
        <v>0.1069823089949361</v>
      </c>
    </row>
    <row r="12" spans="1:7" s="411" customFormat="1" ht="36" customHeight="1" thickBot="1">
      <c r="A12" s="493" t="s">
        <v>605</v>
      </c>
      <c r="B12" s="452">
        <v>519091</v>
      </c>
      <c r="C12" s="453">
        <v>478758</v>
      </c>
      <c r="D12" s="452">
        <v>997849</v>
      </c>
      <c r="E12" s="1239">
        <v>0.12546261296576791</v>
      </c>
      <c r="G12" s="1222" t="s">
        <v>1813</v>
      </c>
    </row>
    <row r="13" spans="1:7" ht="16.5" customHeight="1">
      <c r="B13" s="130"/>
      <c r="C13" s="130"/>
      <c r="D13" s="130"/>
      <c r="E13" s="710"/>
      <c r="G13" s="181"/>
    </row>
    <row r="14" spans="1:7" s="43" customFormat="1" ht="24" customHeight="1" thickBot="1">
      <c r="A14" s="711" t="s">
        <v>1814</v>
      </c>
      <c r="B14" s="720">
        <v>37831</v>
      </c>
      <c r="C14" s="721">
        <v>35649</v>
      </c>
      <c r="D14" s="720">
        <v>73480</v>
      </c>
      <c r="E14" s="1240">
        <v>9.238865600631585E-3</v>
      </c>
      <c r="G14" s="1222" t="s">
        <v>1815</v>
      </c>
    </row>
    <row r="15" spans="1:7" ht="16.5" customHeight="1">
      <c r="B15" s="130"/>
      <c r="C15" s="130"/>
      <c r="D15" s="130"/>
      <c r="E15" s="710"/>
      <c r="G15" s="181"/>
    </row>
    <row r="16" spans="1:7" s="43" customFormat="1" ht="24" customHeight="1" thickBot="1">
      <c r="A16" s="1223" t="s">
        <v>1816</v>
      </c>
      <c r="B16" s="1224">
        <v>294618</v>
      </c>
      <c r="C16" s="1225">
        <v>290344</v>
      </c>
      <c r="D16" s="1224">
        <v>584962</v>
      </c>
      <c r="E16" s="1241">
        <v>7.3549065044592452E-2</v>
      </c>
      <c r="G16" s="1222" t="s">
        <v>1549</v>
      </c>
    </row>
    <row r="17" spans="1:7" ht="36.5" customHeight="1">
      <c r="A17" s="164"/>
      <c r="B17" s="163"/>
      <c r="C17" s="163"/>
      <c r="D17" s="163"/>
      <c r="E17" s="442"/>
    </row>
    <row r="18" spans="1:7" ht="22.25" customHeight="1">
      <c r="A18" s="164" t="s">
        <v>1817</v>
      </c>
      <c r="B18" s="163"/>
      <c r="C18" s="163"/>
      <c r="D18" s="163"/>
      <c r="E18" s="442"/>
    </row>
    <row r="19" spans="1:7" ht="10.25" customHeight="1">
      <c r="A19" s="703"/>
      <c r="B19" s="570"/>
      <c r="C19" s="570"/>
      <c r="D19" s="570"/>
      <c r="E19" s="704"/>
    </row>
    <row r="20" spans="1:7" ht="24" customHeight="1">
      <c r="A20" s="705" t="s">
        <v>873</v>
      </c>
      <c r="B20" s="397" t="s">
        <v>874</v>
      </c>
      <c r="C20" s="360" t="s">
        <v>875</v>
      </c>
      <c r="D20" s="397" t="s">
        <v>230</v>
      </c>
      <c r="E20" s="1235" t="s">
        <v>1810</v>
      </c>
    </row>
    <row r="21" spans="1:7" ht="15" customHeight="1">
      <c r="A21" s="112"/>
      <c r="B21" s="113"/>
      <c r="C21" s="114"/>
      <c r="D21" s="348"/>
      <c r="E21" s="1236" t="s">
        <v>1811</v>
      </c>
    </row>
    <row r="22" spans="1:7" ht="15" customHeight="1">
      <c r="A22" s="156"/>
      <c r="B22" s="113"/>
      <c r="C22" s="114"/>
      <c r="D22" s="113"/>
      <c r="E22" s="1236" t="s">
        <v>1812</v>
      </c>
    </row>
    <row r="23" spans="1:7" ht="24" customHeight="1">
      <c r="A23" s="168"/>
      <c r="B23" s="443"/>
      <c r="C23" s="444"/>
      <c r="D23" s="443"/>
      <c r="E23" s="1237"/>
    </row>
    <row r="24" spans="1:7" ht="45" customHeight="1" thickBot="1">
      <c r="A24" s="445" t="s">
        <v>427</v>
      </c>
      <c r="B24" s="446">
        <v>75945</v>
      </c>
      <c r="C24" s="447">
        <v>71611</v>
      </c>
      <c r="D24" s="446">
        <v>147556</v>
      </c>
      <c r="E24" s="1238">
        <v>9.7791138127775679E-2</v>
      </c>
    </row>
    <row r="25" spans="1:7" ht="34.5" customHeight="1" thickBot="1">
      <c r="A25" s="445" t="s">
        <v>428</v>
      </c>
      <c r="B25" s="446">
        <v>51592</v>
      </c>
      <c r="C25" s="447">
        <v>46972</v>
      </c>
      <c r="D25" s="446">
        <v>98564</v>
      </c>
      <c r="E25" s="1238">
        <v>0.1473881887037759</v>
      </c>
    </row>
    <row r="26" spans="1:7" ht="32.25" customHeight="1" thickBot="1">
      <c r="A26" s="445" t="s">
        <v>429</v>
      </c>
      <c r="B26" s="446">
        <v>276712</v>
      </c>
      <c r="C26" s="447">
        <v>260194</v>
      </c>
      <c r="D26" s="446">
        <v>536906</v>
      </c>
      <c r="E26" s="1238">
        <v>9.2958974970480973E-2</v>
      </c>
    </row>
    <row r="27" spans="1:7" s="411" customFormat="1" ht="36" customHeight="1" thickBot="1">
      <c r="A27" s="493" t="s">
        <v>605</v>
      </c>
      <c r="B27" s="452">
        <v>404249</v>
      </c>
      <c r="C27" s="453">
        <v>378777</v>
      </c>
      <c r="D27" s="452">
        <v>783026</v>
      </c>
      <c r="E27" s="1239">
        <v>9.8452258788788063E-2</v>
      </c>
      <c r="G27" s="1222" t="s">
        <v>1818</v>
      </c>
    </row>
    <row r="28" spans="1:7" ht="16.5" customHeight="1">
      <c r="B28" s="130"/>
      <c r="C28" s="130"/>
      <c r="D28" s="130"/>
      <c r="E28" s="710"/>
      <c r="G28" s="181"/>
    </row>
    <row r="29" spans="1:7" s="43" customFormat="1" ht="24" customHeight="1" thickBot="1">
      <c r="A29" s="711" t="s">
        <v>1819</v>
      </c>
      <c r="B29" s="720">
        <v>30211</v>
      </c>
      <c r="C29" s="721">
        <v>32881</v>
      </c>
      <c r="D29" s="720">
        <v>63092</v>
      </c>
      <c r="E29" s="1240">
        <v>7.9327505236125202E-3</v>
      </c>
      <c r="G29" s="1222" t="s">
        <v>1820</v>
      </c>
    </row>
    <row r="30" spans="1:7" ht="16.5" customHeight="1">
      <c r="B30" s="130"/>
      <c r="C30" s="130"/>
      <c r="D30" s="130"/>
      <c r="E30" s="710"/>
      <c r="G30" s="181"/>
    </row>
    <row r="31" spans="1:7" s="43" customFormat="1" ht="24" customHeight="1" thickBot="1">
      <c r="A31" s="1223" t="s">
        <v>1821</v>
      </c>
      <c r="B31" s="1224">
        <v>220938</v>
      </c>
      <c r="C31" s="1225">
        <v>216225</v>
      </c>
      <c r="D31" s="1224">
        <v>437163</v>
      </c>
      <c r="E31" s="1241">
        <v>5.4965843801972038E-2</v>
      </c>
      <c r="G31" s="1222" t="s">
        <v>1822</v>
      </c>
    </row>
    <row r="32" spans="1:7" ht="7.75" customHeight="1">
      <c r="D32"/>
      <c r="E32"/>
      <c r="F32"/>
      <c r="G32" s="43"/>
    </row>
    <row r="33" spans="1:7">
      <c r="A33" s="131" t="s">
        <v>396</v>
      </c>
      <c r="D33"/>
      <c r="E33"/>
      <c r="F33"/>
      <c r="G33" s="181"/>
    </row>
    <row r="34" spans="1:7">
      <c r="D34"/>
      <c r="E34" s="1231"/>
      <c r="F34" s="1231"/>
      <c r="G34" s="1232" t="s">
        <v>1823</v>
      </c>
    </row>
    <row r="35" spans="1:7">
      <c r="A35" s="3" t="s">
        <v>1824</v>
      </c>
      <c r="D35"/>
      <c r="E35"/>
      <c r="F35"/>
    </row>
    <row r="36" spans="1:7">
      <c r="D36"/>
      <c r="E36"/>
      <c r="F36"/>
    </row>
    <row r="37" spans="1:7">
      <c r="A37" s="43" t="s">
        <v>1825</v>
      </c>
      <c r="D37"/>
      <c r="E37"/>
      <c r="F37"/>
    </row>
    <row r="40" spans="1:7">
      <c r="A40" s="336" t="s">
        <v>395</v>
      </c>
    </row>
  </sheetData>
  <pageMargins left="0.51181102362204722" right="0.6692913385826772" top="0.94488188976377963" bottom="0.47244094488188981" header="0.55118110236220474" footer="0.51181102362204722"/>
  <pageSetup paperSize="9" scale="74" orientation="portrait" horizontalDpi="1200" verticalDpi="12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7557-C041-5448-B37C-9EEB13141B7F}">
  <sheetPr>
    <pageSetUpPr fitToPage="1"/>
  </sheetPr>
  <dimension ref="A1:I40"/>
  <sheetViews>
    <sheetView topLeftCell="A14" zoomScaleNormal="100" workbookViewId="0">
      <selection activeCell="G33" sqref="G33"/>
    </sheetView>
  </sheetViews>
  <sheetFormatPr baseColWidth="10" defaultColWidth="11.3984375" defaultRowHeight="13"/>
  <cols>
    <col min="1" max="1" width="25.796875" style="3" customWidth="1"/>
    <col min="2" max="5" width="22.59765625" style="3" customWidth="1"/>
    <col min="6" max="16384" width="11.3984375" style="3"/>
  </cols>
  <sheetData>
    <row r="1" spans="1:9" s="2" customFormat="1" ht="14" customHeight="1"/>
    <row r="2" spans="1:9" s="2" customFormat="1" ht="24" customHeight="1">
      <c r="A2" s="139" t="s">
        <v>1598</v>
      </c>
      <c r="C2" s="343"/>
      <c r="E2" s="343"/>
    </row>
    <row r="3" spans="1:9" ht="24" customHeight="1">
      <c r="A3" s="109" t="s">
        <v>225</v>
      </c>
      <c r="B3" s="110" t="s">
        <v>1599</v>
      </c>
      <c r="C3" s="1109" t="s">
        <v>1600</v>
      </c>
      <c r="D3" s="110" t="s">
        <v>1601</v>
      </c>
      <c r="E3" s="1109" t="s">
        <v>1600</v>
      </c>
    </row>
    <row r="4" spans="1:9" ht="20.25" customHeight="1">
      <c r="A4" s="112"/>
      <c r="B4" s="113" t="s">
        <v>1602</v>
      </c>
      <c r="C4" s="1109" t="s">
        <v>1603</v>
      </c>
      <c r="D4" s="113" t="s">
        <v>1604</v>
      </c>
      <c r="E4" s="1109" t="s">
        <v>1605</v>
      </c>
    </row>
    <row r="5" spans="1:9" ht="18.75" customHeight="1">
      <c r="A5" s="112"/>
      <c r="B5" s="113"/>
      <c r="C5" s="1109" t="s">
        <v>1606</v>
      </c>
      <c r="D5" s="113" t="s">
        <v>1607</v>
      </c>
      <c r="E5" s="1109" t="s">
        <v>1608</v>
      </c>
    </row>
    <row r="6" spans="1:9" ht="18.75" customHeight="1">
      <c r="A6" s="112"/>
      <c r="B6" s="113"/>
      <c r="C6" s="1109"/>
      <c r="D6" s="113"/>
      <c r="E6" s="1109" t="s">
        <v>1609</v>
      </c>
    </row>
    <row r="7" spans="1:9" ht="15" customHeight="1">
      <c r="A7" s="116"/>
      <c r="B7" s="117"/>
      <c r="C7" s="118"/>
      <c r="D7" s="117"/>
      <c r="E7" s="118"/>
    </row>
    <row r="8" spans="1:9" ht="1.25" customHeight="1" thickBot="1">
      <c r="A8" s="120">
        <v>1996</v>
      </c>
      <c r="B8" s="132" t="s">
        <v>29</v>
      </c>
      <c r="C8" s="133" t="s">
        <v>29</v>
      </c>
      <c r="D8" s="132" t="s">
        <v>29</v>
      </c>
      <c r="E8" s="133" t="s">
        <v>29</v>
      </c>
    </row>
    <row r="9" spans="1:9" ht="0.75" hidden="1" customHeight="1" thickBot="1">
      <c r="A9" s="123">
        <v>1997</v>
      </c>
      <c r="B9" s="134" t="s">
        <v>29</v>
      </c>
      <c r="C9" s="135" t="s">
        <v>29</v>
      </c>
      <c r="D9" s="134" t="s">
        <v>29</v>
      </c>
      <c r="E9" s="135" t="s">
        <v>29</v>
      </c>
      <c r="G9" s="9"/>
      <c r="H9" s="9"/>
      <c r="I9" s="9"/>
    </row>
    <row r="10" spans="1:9" ht="19.5" hidden="1" customHeight="1" thickBot="1">
      <c r="A10" s="123">
        <v>1998</v>
      </c>
      <c r="B10" s="134" t="s">
        <v>29</v>
      </c>
      <c r="C10" s="135" t="s">
        <v>29</v>
      </c>
      <c r="D10" s="134" t="s">
        <v>29</v>
      </c>
      <c r="E10" s="135" t="s">
        <v>29</v>
      </c>
    </row>
    <row r="11" spans="1:9" ht="0.5" customHeight="1" thickBot="1">
      <c r="A11" s="123">
        <v>1999</v>
      </c>
      <c r="B11" s="134" t="s">
        <v>29</v>
      </c>
      <c r="C11" s="135" t="s">
        <v>29</v>
      </c>
      <c r="D11" s="134" t="s">
        <v>29</v>
      </c>
      <c r="E11" s="135" t="s">
        <v>29</v>
      </c>
    </row>
    <row r="12" spans="1:9" ht="19.75" hidden="1" customHeight="1" thickBot="1">
      <c r="A12" s="123">
        <v>2000</v>
      </c>
      <c r="B12" s="134" t="s">
        <v>29</v>
      </c>
      <c r="C12" s="135" t="s">
        <v>29</v>
      </c>
      <c r="D12" s="134" t="s">
        <v>29</v>
      </c>
      <c r="E12" s="135" t="s">
        <v>29</v>
      </c>
    </row>
    <row r="13" spans="1:9" ht="20" hidden="1" customHeight="1" thickBot="1">
      <c r="A13" s="123">
        <v>2001</v>
      </c>
      <c r="B13" s="134" t="s">
        <v>29</v>
      </c>
      <c r="C13" s="135" t="s">
        <v>29</v>
      </c>
      <c r="D13" s="134" t="s">
        <v>29</v>
      </c>
      <c r="E13" s="135" t="s">
        <v>29</v>
      </c>
    </row>
    <row r="14" spans="1:9" ht="20" customHeight="1" thickBot="1">
      <c r="A14" s="123">
        <v>2002</v>
      </c>
      <c r="B14" s="134" t="s">
        <v>29</v>
      </c>
      <c r="C14" s="135" t="s">
        <v>29</v>
      </c>
      <c r="D14" s="134" t="s">
        <v>29</v>
      </c>
      <c r="E14" s="135" t="s">
        <v>29</v>
      </c>
    </row>
    <row r="15" spans="1:9" ht="20" customHeight="1" thickBot="1">
      <c r="A15" s="123">
        <v>2003</v>
      </c>
      <c r="B15" s="134" t="s">
        <v>29</v>
      </c>
      <c r="C15" s="135" t="s">
        <v>29</v>
      </c>
      <c r="D15" s="134" t="s">
        <v>29</v>
      </c>
      <c r="E15" s="135" t="s">
        <v>29</v>
      </c>
    </row>
    <row r="16" spans="1:9" ht="20" customHeight="1" thickBot="1">
      <c r="A16" s="123">
        <v>2004</v>
      </c>
      <c r="B16" s="134" t="s">
        <v>29</v>
      </c>
      <c r="C16" s="135" t="s">
        <v>29</v>
      </c>
      <c r="D16" s="134" t="s">
        <v>29</v>
      </c>
      <c r="E16" s="135" t="s">
        <v>29</v>
      </c>
    </row>
    <row r="17" spans="1:5" ht="20" customHeight="1" thickBot="1">
      <c r="A17" s="123">
        <v>2005</v>
      </c>
      <c r="B17" s="134">
        <v>333989</v>
      </c>
      <c r="C17" s="1089">
        <v>1660.1051811123543</v>
      </c>
      <c r="D17" s="134">
        <v>22830</v>
      </c>
      <c r="E17" s="1089">
        <v>2667.0642261250127</v>
      </c>
    </row>
    <row r="18" spans="1:5" ht="20" customHeight="1" thickBot="1">
      <c r="A18" s="123">
        <v>2006</v>
      </c>
      <c r="B18" s="134">
        <v>421280</v>
      </c>
      <c r="C18" s="1089">
        <v>1557.9783633108323</v>
      </c>
      <c r="D18" s="134">
        <v>89081</v>
      </c>
      <c r="E18" s="1089">
        <v>1978.6264621248356</v>
      </c>
    </row>
    <row r="19" spans="1:5" ht="20" customHeight="1" thickBot="1">
      <c r="A19" s="123">
        <v>2007</v>
      </c>
      <c r="B19" s="134">
        <v>379340</v>
      </c>
      <c r="C19" s="1089">
        <v>1590.2978354727945</v>
      </c>
      <c r="D19" s="134">
        <v>89884</v>
      </c>
      <c r="E19" s="1089">
        <v>1754.1422340537217</v>
      </c>
    </row>
    <row r="20" spans="1:5" ht="20" customHeight="1" thickBot="1">
      <c r="A20" s="123">
        <v>2008</v>
      </c>
      <c r="B20" s="134">
        <v>366771.18</v>
      </c>
      <c r="C20" s="1089">
        <v>1578.120089644023</v>
      </c>
      <c r="D20" s="134">
        <v>93001</v>
      </c>
      <c r="E20" s="1089">
        <v>1868.7691993608462</v>
      </c>
    </row>
    <row r="21" spans="1:5" ht="20" customHeight="1" thickBot="1">
      <c r="A21" s="123">
        <v>2009</v>
      </c>
      <c r="B21" s="134">
        <v>362663</v>
      </c>
      <c r="C21" s="1089">
        <v>1612.3001722893655</v>
      </c>
      <c r="D21" s="134">
        <v>134413</v>
      </c>
      <c r="E21" s="1089">
        <v>2044.9746449067488</v>
      </c>
    </row>
    <row r="22" spans="1:5" ht="20" customHeight="1" thickBot="1">
      <c r="A22" s="123">
        <v>2010</v>
      </c>
      <c r="B22" s="134">
        <v>395046</v>
      </c>
      <c r="C22" s="1089">
        <v>1691.2252211550283</v>
      </c>
      <c r="D22" s="134">
        <v>146763</v>
      </c>
      <c r="E22" s="1089">
        <v>2257.3946408066636</v>
      </c>
    </row>
    <row r="23" spans="1:5" ht="20" customHeight="1" thickBot="1">
      <c r="A23" s="123">
        <v>2011</v>
      </c>
      <c r="B23" s="134">
        <v>405039.2</v>
      </c>
      <c r="C23" s="1089">
        <v>1854.5427442725877</v>
      </c>
      <c r="D23" s="134">
        <v>139702</v>
      </c>
      <c r="E23" s="1089">
        <v>2879.8345178576574</v>
      </c>
    </row>
    <row r="24" spans="1:5" ht="26.25" customHeight="1" thickBot="1">
      <c r="A24" s="126">
        <v>2012</v>
      </c>
      <c r="B24" s="136">
        <v>449053</v>
      </c>
      <c r="C24" s="1110">
        <v>2048.5047188331882</v>
      </c>
      <c r="D24" s="136">
        <v>54476</v>
      </c>
      <c r="E24" s="1110">
        <v>2108.8560063694704</v>
      </c>
    </row>
    <row r="25" spans="1:5" ht="18.5" customHeight="1">
      <c r="A25" s="130" t="s">
        <v>396</v>
      </c>
      <c r="B25" s="354"/>
      <c r="C25" s="354"/>
      <c r="D25" s="354"/>
      <c r="E25" s="354"/>
    </row>
    <row r="26" spans="1:5" ht="12.75" customHeight="1">
      <c r="A26" s="131"/>
      <c r="B26" s="357"/>
      <c r="C26" s="357"/>
      <c r="D26" s="357"/>
      <c r="E26" s="357"/>
    </row>
    <row r="27" spans="1:5" ht="12.75" customHeight="1">
      <c r="A27" s="3" t="s">
        <v>1610</v>
      </c>
      <c r="B27" s="357"/>
      <c r="C27" s="357"/>
      <c r="D27" s="357"/>
      <c r="E27" s="357"/>
    </row>
    <row r="28" spans="1:5" ht="12" customHeight="1"/>
    <row r="29" spans="1:5" ht="12" customHeight="1">
      <c r="A29" s="205" t="s">
        <v>1611</v>
      </c>
    </row>
    <row r="30" spans="1:5" ht="12" customHeight="1">
      <c r="A30" s="205" t="s">
        <v>1612</v>
      </c>
    </row>
    <row r="31" spans="1:5" ht="12" customHeight="1">
      <c r="A31" s="205" t="s">
        <v>1613</v>
      </c>
    </row>
    <row r="32" spans="1:5" ht="12" customHeight="1">
      <c r="A32" s="4" t="s">
        <v>1614</v>
      </c>
    </row>
    <row r="33" spans="1:1" ht="12" customHeight="1">
      <c r="A33" s="205" t="s">
        <v>1615</v>
      </c>
    </row>
    <row r="34" spans="1:1" ht="12" customHeight="1">
      <c r="A34" s="205" t="s">
        <v>1616</v>
      </c>
    </row>
    <row r="35" spans="1:1" ht="12" customHeight="1">
      <c r="A35" s="205" t="s">
        <v>1617</v>
      </c>
    </row>
    <row r="36" spans="1:1" ht="12" customHeight="1">
      <c r="A36" s="205" t="s">
        <v>1618</v>
      </c>
    </row>
    <row r="37" spans="1:1" ht="12" customHeight="1">
      <c r="A37" s="4" t="s">
        <v>1619</v>
      </c>
    </row>
    <row r="40" spans="1:1">
      <c r="A40" s="3" t="s">
        <v>395</v>
      </c>
    </row>
  </sheetData>
  <pageMargins left="0.51181102362204722" right="0.47244094488188981" top="0.70866141732283472" bottom="0.47244094488188981" header="0.55118110236220474" footer="0.51181102362204722"/>
  <pageSetup paperSize="9" scale="73" orientation="portrait" horizontalDpi="1200" verticalDpi="1200"/>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1012-7050-8142-A089-0CFDBDEAA131}">
  <sheetPr>
    <pageSetUpPr fitToPage="1"/>
  </sheetPr>
  <dimension ref="A1:G52"/>
  <sheetViews>
    <sheetView topLeftCell="A28" zoomScaleNormal="100" workbookViewId="0">
      <selection activeCell="A46" sqref="A46"/>
    </sheetView>
  </sheetViews>
  <sheetFormatPr baseColWidth="10" defaultColWidth="11.3984375" defaultRowHeight="13"/>
  <cols>
    <col min="1" max="1" width="33" style="3" customWidth="1"/>
    <col min="2" max="4" width="18.796875" style="3" customWidth="1"/>
    <col min="5" max="5" width="2.3984375" style="424" customWidth="1"/>
    <col min="6" max="6" width="6" style="3" customWidth="1"/>
    <col min="7" max="16384" width="11.3984375" style="3"/>
  </cols>
  <sheetData>
    <row r="1" spans="1:7" ht="19.25" customHeight="1">
      <c r="A1" s="164" t="s">
        <v>1792</v>
      </c>
      <c r="B1" s="163"/>
      <c r="C1" s="163"/>
      <c r="D1" s="163"/>
      <c r="E1" s="163"/>
    </row>
    <row r="2" spans="1:7" ht="28.75" customHeight="1">
      <c r="A2" s="164"/>
      <c r="B2" s="163"/>
      <c r="C2" s="163"/>
      <c r="D2" s="163"/>
      <c r="E2" s="163"/>
    </row>
    <row r="3" spans="1:7" ht="19.25" customHeight="1">
      <c r="A3" s="164" t="s">
        <v>1793</v>
      </c>
      <c r="B3" s="163"/>
      <c r="C3" s="163"/>
      <c r="D3" s="163"/>
      <c r="E3" s="163"/>
    </row>
    <row r="4" spans="1:7" ht="11.5" customHeight="1">
      <c r="A4" s="703"/>
      <c r="B4" s="570"/>
      <c r="C4" s="570"/>
      <c r="D4" s="570"/>
      <c r="E4" s="704"/>
    </row>
    <row r="5" spans="1:7" ht="24" customHeight="1">
      <c r="A5" s="705" t="s">
        <v>873</v>
      </c>
      <c r="B5" s="397" t="s">
        <v>874</v>
      </c>
      <c r="C5" s="360" t="s">
        <v>875</v>
      </c>
      <c r="D5" s="397" t="s">
        <v>1794</v>
      </c>
      <c r="E5" s="332"/>
    </row>
    <row r="6" spans="1:7" ht="15" customHeight="1">
      <c r="A6" s="112"/>
      <c r="B6" s="113"/>
      <c r="C6" s="114"/>
      <c r="D6" s="348"/>
      <c r="E6" s="332"/>
    </row>
    <row r="7" spans="1:7" ht="15" customHeight="1">
      <c r="A7" s="156"/>
      <c r="B7" s="113"/>
      <c r="C7" s="114"/>
      <c r="D7" s="113"/>
      <c r="E7" s="332"/>
    </row>
    <row r="8" spans="1:7" ht="20.5" customHeight="1">
      <c r="A8" s="168"/>
      <c r="B8" s="443"/>
      <c r="C8" s="444"/>
      <c r="D8" s="443"/>
      <c r="E8" s="332"/>
    </row>
    <row r="9" spans="1:7" ht="42" customHeight="1" thickBot="1">
      <c r="A9" s="445" t="s">
        <v>427</v>
      </c>
      <c r="B9" s="446">
        <v>756974</v>
      </c>
      <c r="C9" s="447">
        <v>717928</v>
      </c>
      <c r="D9" s="446">
        <v>1474902</v>
      </c>
      <c r="E9" s="332"/>
    </row>
    <row r="10" spans="1:7" ht="34.5" customHeight="1" thickBot="1">
      <c r="A10" s="445" t="s">
        <v>428</v>
      </c>
      <c r="B10" s="446">
        <v>342724</v>
      </c>
      <c r="C10" s="447">
        <v>327844</v>
      </c>
      <c r="D10" s="446">
        <v>670568</v>
      </c>
      <c r="E10" s="332"/>
    </row>
    <row r="11" spans="1:7" ht="32.25" customHeight="1" thickBot="1">
      <c r="A11" s="445" t="s">
        <v>429</v>
      </c>
      <c r="B11" s="446">
        <v>2861396</v>
      </c>
      <c r="C11" s="447">
        <v>3010856</v>
      </c>
      <c r="D11" s="446">
        <v>5872252</v>
      </c>
      <c r="E11" s="332"/>
    </row>
    <row r="12" spans="1:7" s="411" customFormat="1" ht="36" customHeight="1" thickBot="1">
      <c r="A12" s="493" t="s">
        <v>605</v>
      </c>
      <c r="B12" s="496">
        <v>3961094</v>
      </c>
      <c r="C12" s="495">
        <v>4056628</v>
      </c>
      <c r="D12" s="496">
        <v>8017722</v>
      </c>
      <c r="E12" s="332"/>
      <c r="F12" s="1222" t="s">
        <v>1795</v>
      </c>
    </row>
    <row r="13" spans="1:7" ht="16.5" customHeight="1">
      <c r="B13" s="130"/>
      <c r="C13" s="130"/>
      <c r="D13" s="130"/>
      <c r="E13" s="710"/>
      <c r="G13" s="181"/>
    </row>
    <row r="14" spans="1:7" s="43" customFormat="1" ht="24" customHeight="1" thickBot="1">
      <c r="A14" s="1223" t="s">
        <v>1796</v>
      </c>
      <c r="B14" s="1224">
        <v>229709</v>
      </c>
      <c r="C14" s="1225">
        <v>225907</v>
      </c>
      <c r="D14" s="1224">
        <v>455616</v>
      </c>
      <c r="E14" s="1226"/>
      <c r="F14" s="1222" t="s">
        <v>1797</v>
      </c>
      <c r="G14" s="1227"/>
    </row>
    <row r="15" spans="1:7" ht="28.25" customHeight="1">
      <c r="A15" s="164"/>
      <c r="B15" s="163"/>
      <c r="C15" s="163"/>
      <c r="D15" s="163"/>
      <c r="E15" s="163"/>
    </row>
    <row r="16" spans="1:7" ht="19.25" customHeight="1">
      <c r="A16" s="164" t="s">
        <v>1798</v>
      </c>
      <c r="B16" s="163"/>
      <c r="C16" s="163"/>
      <c r="D16" s="163"/>
      <c r="E16" s="163"/>
    </row>
    <row r="17" spans="1:7" ht="11.5" customHeight="1">
      <c r="A17" s="703"/>
      <c r="B17" s="570"/>
      <c r="C17" s="570"/>
      <c r="D17" s="570"/>
      <c r="E17" s="704"/>
    </row>
    <row r="18" spans="1:7" ht="24" customHeight="1">
      <c r="A18" s="705"/>
      <c r="B18" s="397" t="s">
        <v>874</v>
      </c>
      <c r="C18" s="360" t="s">
        <v>875</v>
      </c>
      <c r="D18" s="397" t="s">
        <v>1794</v>
      </c>
      <c r="E18" s="332"/>
    </row>
    <row r="19" spans="1:7" ht="15" customHeight="1">
      <c r="A19" s="112"/>
      <c r="B19" s="113"/>
      <c r="C19" s="114"/>
      <c r="D19" s="348"/>
      <c r="E19" s="332"/>
    </row>
    <row r="20" spans="1:7" ht="15" customHeight="1">
      <c r="A20" s="156"/>
      <c r="B20" s="113"/>
      <c r="C20" s="114"/>
      <c r="D20" s="113"/>
      <c r="E20" s="332"/>
    </row>
    <row r="21" spans="1:7" ht="15.5" customHeight="1">
      <c r="A21" s="168"/>
      <c r="B21" s="443"/>
      <c r="C21" s="444"/>
      <c r="D21" s="443"/>
      <c r="E21" s="332"/>
    </row>
    <row r="22" spans="1:7" s="411" customFormat="1" ht="36" customHeight="1" thickBot="1">
      <c r="A22" s="1228" t="s">
        <v>605</v>
      </c>
      <c r="B22" s="1229">
        <v>3900895</v>
      </c>
      <c r="C22" s="1230">
        <v>4006124</v>
      </c>
      <c r="D22" s="1229">
        <v>7907019</v>
      </c>
      <c r="E22" s="332"/>
      <c r="F22" s="1222" t="s">
        <v>1547</v>
      </c>
    </row>
    <row r="23" spans="1:7" ht="16.5" customHeight="1">
      <c r="B23" s="130"/>
      <c r="C23" s="130"/>
      <c r="D23" s="130"/>
      <c r="E23" s="710"/>
      <c r="G23" s="181"/>
    </row>
    <row r="24" spans="1:7" s="43" customFormat="1" ht="24" customHeight="1" thickBot="1">
      <c r="A24" s="711" t="s">
        <v>1799</v>
      </c>
      <c r="B24" s="720">
        <v>284352</v>
      </c>
      <c r="C24" s="721">
        <v>275384</v>
      </c>
      <c r="D24" s="720">
        <v>559736</v>
      </c>
      <c r="E24" s="1226"/>
      <c r="F24" s="1222" t="s">
        <v>1548</v>
      </c>
      <c r="G24" s="1227"/>
    </row>
    <row r="25" spans="1:7" ht="31.75" customHeight="1">
      <c r="A25" s="164"/>
      <c r="B25" s="163"/>
      <c r="C25" s="163"/>
      <c r="D25" s="163"/>
      <c r="E25" s="163"/>
    </row>
    <row r="26" spans="1:7" ht="19.25" customHeight="1">
      <c r="A26" s="164" t="s">
        <v>1800</v>
      </c>
      <c r="B26" s="163"/>
      <c r="C26" s="163"/>
      <c r="D26" s="163"/>
      <c r="E26" s="163"/>
    </row>
    <row r="27" spans="1:7" ht="11.5" customHeight="1">
      <c r="A27" s="703"/>
      <c r="B27" s="570"/>
      <c r="C27" s="570"/>
      <c r="D27" s="570"/>
      <c r="E27" s="704"/>
    </row>
    <row r="28" spans="1:7" ht="24" customHeight="1">
      <c r="A28" s="705"/>
      <c r="B28" s="397" t="s">
        <v>874</v>
      </c>
      <c r="C28" s="360" t="s">
        <v>875</v>
      </c>
      <c r="D28" s="397" t="s">
        <v>1794</v>
      </c>
      <c r="E28" s="332"/>
    </row>
    <row r="29" spans="1:7" ht="15" customHeight="1">
      <c r="A29" s="112"/>
      <c r="B29" s="113"/>
      <c r="C29" s="114"/>
      <c r="D29" s="348"/>
      <c r="E29" s="332"/>
    </row>
    <row r="30" spans="1:7" ht="15" customHeight="1">
      <c r="A30" s="156"/>
      <c r="B30" s="113"/>
      <c r="C30" s="114"/>
      <c r="D30" s="113"/>
      <c r="E30" s="332"/>
    </row>
    <row r="31" spans="1:7" ht="15.5" customHeight="1">
      <c r="A31" s="168"/>
      <c r="B31" s="443"/>
      <c r="C31" s="444"/>
      <c r="D31" s="443"/>
      <c r="E31" s="332"/>
    </row>
    <row r="32" spans="1:7" s="411" customFormat="1" ht="36" customHeight="1" thickBot="1">
      <c r="A32" s="1228" t="s">
        <v>230</v>
      </c>
      <c r="B32" s="1229">
        <v>3952323</v>
      </c>
      <c r="C32" s="1230">
        <v>4046946</v>
      </c>
      <c r="D32" s="1229">
        <v>7999269</v>
      </c>
      <c r="E32" s="332"/>
      <c r="F32" s="1222" t="s">
        <v>1801</v>
      </c>
    </row>
    <row r="33" spans="1:6" ht="31.75" customHeight="1">
      <c r="A33" s="164"/>
      <c r="B33" s="163"/>
      <c r="C33" s="163"/>
      <c r="D33" s="163"/>
      <c r="E33" s="163"/>
    </row>
    <row r="34" spans="1:6" ht="19.25" customHeight="1">
      <c r="A34" s="164" t="s">
        <v>1802</v>
      </c>
      <c r="B34" s="163"/>
      <c r="C34" s="163"/>
      <c r="D34" s="163"/>
      <c r="E34" s="163"/>
    </row>
    <row r="35" spans="1:6" ht="11.5" customHeight="1">
      <c r="A35" s="703"/>
      <c r="B35" s="570"/>
      <c r="C35" s="570"/>
      <c r="D35" s="570"/>
      <c r="E35" s="704"/>
    </row>
    <row r="36" spans="1:6" ht="24" customHeight="1">
      <c r="A36" s="705"/>
      <c r="B36" s="397" t="s">
        <v>874</v>
      </c>
      <c r="C36" s="360" t="s">
        <v>875</v>
      </c>
      <c r="D36" s="397" t="s">
        <v>1794</v>
      </c>
      <c r="E36" s="332"/>
    </row>
    <row r="37" spans="1:6" ht="15" customHeight="1">
      <c r="A37" s="112"/>
      <c r="B37" s="113"/>
      <c r="C37" s="114"/>
      <c r="D37" s="348"/>
      <c r="E37" s="332"/>
    </row>
    <row r="38" spans="1:6" ht="15" customHeight="1">
      <c r="A38" s="156"/>
      <c r="B38" s="113"/>
      <c r="C38" s="114"/>
      <c r="D38" s="113"/>
      <c r="E38" s="332"/>
    </row>
    <row r="39" spans="1:6" ht="15.5" customHeight="1">
      <c r="A39" s="168"/>
      <c r="B39" s="443"/>
      <c r="C39" s="444"/>
      <c r="D39" s="443"/>
      <c r="E39" s="332"/>
    </row>
    <row r="40" spans="1:6" s="411" customFormat="1" ht="36" customHeight="1" thickBot="1">
      <c r="A40" s="1228" t="s">
        <v>230</v>
      </c>
      <c r="B40" s="1229">
        <v>3911161</v>
      </c>
      <c r="C40" s="1230">
        <v>4021084</v>
      </c>
      <c r="D40" s="1229">
        <v>7932245</v>
      </c>
      <c r="E40" s="332"/>
      <c r="F40" s="1222" t="s">
        <v>1550</v>
      </c>
    </row>
    <row r="41" spans="1:6" ht="7.25" customHeight="1">
      <c r="D41"/>
      <c r="E41"/>
      <c r="F41"/>
    </row>
    <row r="42" spans="1:6" ht="15.5" customHeight="1">
      <c r="A42" s="131" t="s">
        <v>396</v>
      </c>
      <c r="D42"/>
      <c r="E42"/>
      <c r="F42"/>
    </row>
    <row r="43" spans="1:6" ht="15" customHeight="1">
      <c r="D43" s="1231"/>
      <c r="E43" s="1231"/>
      <c r="F43" s="1232" t="s">
        <v>1803</v>
      </c>
    </row>
    <row r="44" spans="1:6">
      <c r="D44" s="23"/>
      <c r="E44" s="23"/>
      <c r="F44" s="1233"/>
    </row>
    <row r="45" spans="1:6">
      <c r="A45" s="3" t="s">
        <v>1804</v>
      </c>
      <c r="D45"/>
      <c r="E45"/>
      <c r="F45"/>
    </row>
    <row r="46" spans="1:6">
      <c r="D46"/>
      <c r="E46"/>
      <c r="F46"/>
    </row>
    <row r="47" spans="1:6" ht="15" customHeight="1">
      <c r="A47" s="2064" t="s">
        <v>1805</v>
      </c>
      <c r="B47" s="2079"/>
      <c r="C47" s="2079"/>
      <c r="D47" s="2079"/>
      <c r="E47" s="1234"/>
    </row>
    <row r="48" spans="1:6" ht="14.5" customHeight="1">
      <c r="A48" s="3" t="s">
        <v>1806</v>
      </c>
      <c r="D48"/>
      <c r="E48"/>
      <c r="F48"/>
    </row>
    <row r="49" spans="1:6" ht="15.5" customHeight="1">
      <c r="A49" s="3" t="s">
        <v>1807</v>
      </c>
      <c r="D49"/>
      <c r="E49"/>
      <c r="F49"/>
    </row>
    <row r="52" spans="1:6">
      <c r="A52" s="336" t="s">
        <v>395</v>
      </c>
    </row>
  </sheetData>
  <mergeCells count="1">
    <mergeCell ref="A47:D47"/>
  </mergeCells>
  <pageMargins left="0.67" right="0.67" top="0.72" bottom="0.49" header="0.56000000000000005" footer="0.4921259845"/>
  <pageSetup paperSize="9" scale="77" orientation="portrait" horizontalDpi="1200" verticalDpi="1200"/>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05DE-378F-2B49-A161-DF11A97CBDB8}">
  <sheetPr>
    <pageSetUpPr fitToPage="1"/>
  </sheetPr>
  <dimension ref="A1:G36"/>
  <sheetViews>
    <sheetView zoomScaleNormal="100" workbookViewId="0">
      <selection activeCell="I11" sqref="I11"/>
    </sheetView>
  </sheetViews>
  <sheetFormatPr baseColWidth="10" defaultColWidth="11.3984375" defaultRowHeight="13"/>
  <cols>
    <col min="1" max="1" width="19.3984375" style="3" customWidth="1"/>
    <col min="2" max="2" width="17.3984375" style="3" customWidth="1"/>
    <col min="3" max="3" width="16.3984375" style="3" customWidth="1"/>
    <col min="4" max="4" width="17.796875" style="3" customWidth="1"/>
    <col min="5" max="5" width="18.796875" style="424" customWidth="1"/>
    <col min="6" max="6" width="19.59765625" style="424" customWidth="1"/>
    <col min="7" max="7" width="18.19921875" style="3" customWidth="1"/>
    <col min="8" max="16384" width="11.3984375" style="3"/>
  </cols>
  <sheetData>
    <row r="1" spans="1:6" ht="54.75" customHeight="1">
      <c r="A1" s="2080" t="s">
        <v>871</v>
      </c>
      <c r="B1" s="2070"/>
      <c r="C1" s="2070"/>
      <c r="D1" s="2070"/>
      <c r="E1" s="442">
        <v>2012</v>
      </c>
      <c r="F1" s="163"/>
    </row>
    <row r="2" spans="1:6" ht="28.25" customHeight="1">
      <c r="A2" s="701"/>
      <c r="B2" s="163"/>
      <c r="C2" s="163"/>
      <c r="D2" s="163"/>
      <c r="E2" s="163"/>
      <c r="F2" s="163"/>
    </row>
    <row r="3" spans="1:6" ht="39.75" customHeight="1">
      <c r="A3" s="2081" t="s">
        <v>872</v>
      </c>
      <c r="B3" s="2062"/>
      <c r="C3" s="2062"/>
      <c r="D3" s="2062"/>
      <c r="E3" s="2062"/>
      <c r="F3" s="702"/>
    </row>
    <row r="4" spans="1:6" ht="12.75" customHeight="1">
      <c r="A4" s="703"/>
      <c r="B4" s="570"/>
      <c r="C4" s="570"/>
      <c r="D4" s="570"/>
      <c r="E4" s="570"/>
      <c r="F4" s="704"/>
    </row>
    <row r="5" spans="1:6" ht="24" customHeight="1">
      <c r="A5" s="705" t="s">
        <v>873</v>
      </c>
      <c r="B5" s="397" t="s">
        <v>874</v>
      </c>
      <c r="C5" s="360" t="s">
        <v>875</v>
      </c>
      <c r="D5" s="397" t="s">
        <v>230</v>
      </c>
      <c r="E5" s="398" t="s">
        <v>579</v>
      </c>
      <c r="F5" s="332"/>
    </row>
    <row r="6" spans="1:6" ht="15" customHeight="1">
      <c r="A6" s="112"/>
      <c r="B6" s="113"/>
      <c r="C6" s="114"/>
      <c r="D6" s="348"/>
      <c r="E6" s="706" t="s">
        <v>876</v>
      </c>
      <c r="F6" s="332"/>
    </row>
    <row r="7" spans="1:6" ht="15" customHeight="1">
      <c r="A7" s="156"/>
      <c r="B7" s="113"/>
      <c r="C7" s="114"/>
      <c r="D7" s="113"/>
      <c r="E7" s="706"/>
      <c r="F7" s="332"/>
    </row>
    <row r="8" spans="1:6" ht="8.5" customHeight="1">
      <c r="A8" s="168"/>
      <c r="B8" s="443"/>
      <c r="C8" s="444"/>
      <c r="D8" s="443"/>
      <c r="E8" s="405"/>
      <c r="F8" s="332"/>
    </row>
    <row r="9" spans="1:6" ht="45" customHeight="1" thickBot="1">
      <c r="A9" s="445" t="s">
        <v>427</v>
      </c>
      <c r="B9" s="446">
        <v>774293.58</v>
      </c>
      <c r="C9" s="447">
        <v>734595.65</v>
      </c>
      <c r="D9" s="446">
        <v>1508889.28</v>
      </c>
      <c r="E9" s="707">
        <v>0.18971727360035057</v>
      </c>
      <c r="F9" s="332"/>
    </row>
    <row r="10" spans="1:6" ht="34.5" customHeight="1" thickBot="1">
      <c r="A10" s="445" t="s">
        <v>428</v>
      </c>
      <c r="B10" s="446">
        <v>339777.5</v>
      </c>
      <c r="C10" s="447">
        <v>328959.96999999997</v>
      </c>
      <c r="D10" s="446">
        <v>668737.43999999994</v>
      </c>
      <c r="E10" s="707">
        <v>8.4082407869766299E-2</v>
      </c>
      <c r="F10" s="332"/>
    </row>
    <row r="11" spans="1:6" ht="32.25" customHeight="1" thickBot="1">
      <c r="A11" s="445" t="s">
        <v>429</v>
      </c>
      <c r="B11" s="446">
        <v>2811774.65</v>
      </c>
      <c r="C11" s="447">
        <v>2963955.97</v>
      </c>
      <c r="D11" s="446">
        <v>5775730.6399999997</v>
      </c>
      <c r="E11" s="707">
        <v>0.72620031475789115</v>
      </c>
      <c r="F11" s="332"/>
    </row>
    <row r="12" spans="1:6" s="411" customFormat="1" ht="36" customHeight="1" thickBot="1">
      <c r="A12" s="493" t="s">
        <v>230</v>
      </c>
      <c r="B12" s="452">
        <v>3925845.74</v>
      </c>
      <c r="C12" s="453">
        <v>4027511.64</v>
      </c>
      <c r="D12" s="452">
        <v>7953357.3899999997</v>
      </c>
      <c r="E12" s="708">
        <v>1</v>
      </c>
      <c r="F12" s="332"/>
    </row>
    <row r="13" spans="1:6" ht="17.25" customHeight="1">
      <c r="B13" s="130"/>
      <c r="C13" s="130"/>
      <c r="D13" s="130"/>
      <c r="E13" s="709"/>
      <c r="F13" s="710"/>
    </row>
    <row r="14" spans="1:6" ht="19.5" customHeight="1" thickBot="1">
      <c r="A14" s="711" t="s">
        <v>877</v>
      </c>
      <c r="B14" s="712">
        <v>40.069529799999998</v>
      </c>
      <c r="C14" s="713">
        <v>42.32972341</v>
      </c>
      <c r="D14" s="712">
        <v>41.21</v>
      </c>
      <c r="E14" s="714" t="s">
        <v>29</v>
      </c>
      <c r="F14" s="710"/>
    </row>
    <row r="15" spans="1:6" ht="46.5" customHeight="1">
      <c r="A15" s="4"/>
      <c r="B15" s="131"/>
      <c r="C15" s="131"/>
      <c r="D15" s="131"/>
      <c r="E15" s="710"/>
      <c r="F15" s="710"/>
    </row>
    <row r="16" spans="1:6" ht="38.25" customHeight="1">
      <c r="A16" s="2082" t="s">
        <v>878</v>
      </c>
      <c r="B16" s="2062"/>
      <c r="C16" s="2062"/>
      <c r="D16" s="2062"/>
      <c r="E16" s="2062"/>
      <c r="F16" s="702"/>
    </row>
    <row r="17" spans="1:7" ht="15" customHeight="1">
      <c r="A17" s="715"/>
      <c r="B17" s="163"/>
      <c r="C17" s="163"/>
      <c r="D17" s="163"/>
      <c r="E17" s="163"/>
      <c r="F17" s="163"/>
    </row>
    <row r="18" spans="1:7" ht="38.25" customHeight="1">
      <c r="A18" s="716"/>
      <c r="B18" s="717" t="s">
        <v>482</v>
      </c>
      <c r="C18" s="718" t="s">
        <v>483</v>
      </c>
      <c r="D18" s="717" t="s">
        <v>427</v>
      </c>
      <c r="E18" s="718" t="s">
        <v>230</v>
      </c>
    </row>
    <row r="19" spans="1:7" ht="39" customHeight="1" thickBot="1">
      <c r="A19" s="719" t="s">
        <v>230</v>
      </c>
      <c r="B19" s="720">
        <v>18833.490000000002</v>
      </c>
      <c r="C19" s="721">
        <v>11087.47</v>
      </c>
      <c r="D19" s="720">
        <v>3587.32</v>
      </c>
      <c r="E19" s="722">
        <v>33508.33</v>
      </c>
      <c r="F19" s="422"/>
      <c r="G19" s="422"/>
    </row>
    <row r="20" spans="1:7" ht="39.75" customHeight="1">
      <c r="D20"/>
      <c r="E20"/>
      <c r="F20"/>
      <c r="G20"/>
    </row>
    <row r="21" spans="1:7" ht="42" customHeight="1">
      <c r="A21" s="2082" t="s">
        <v>879</v>
      </c>
      <c r="B21" s="2062"/>
      <c r="C21" s="2062"/>
      <c r="D21" s="2062"/>
      <c r="E21" s="2062"/>
      <c r="F21" s="702"/>
    </row>
    <row r="22" spans="1:7" ht="15" customHeight="1">
      <c r="A22" s="715"/>
      <c r="B22" s="163"/>
      <c r="C22" s="163"/>
      <c r="D22" s="163"/>
      <c r="E22" s="163"/>
      <c r="F22" s="163"/>
    </row>
    <row r="23" spans="1:7" ht="38.25" customHeight="1">
      <c r="A23" s="716"/>
      <c r="B23" s="717" t="s">
        <v>482</v>
      </c>
      <c r="C23" s="718" t="s">
        <v>483</v>
      </c>
      <c r="D23" s="717" t="s">
        <v>427</v>
      </c>
      <c r="E23" s="718" t="s">
        <v>230</v>
      </c>
    </row>
    <row r="24" spans="1:7" ht="39" customHeight="1" thickBot="1">
      <c r="A24" s="719" t="s">
        <v>230</v>
      </c>
      <c r="B24" s="720">
        <v>15006.49</v>
      </c>
      <c r="C24" s="721">
        <v>7649.79</v>
      </c>
      <c r="D24" s="720">
        <v>3125.32</v>
      </c>
      <c r="E24" s="722">
        <v>25781.58</v>
      </c>
      <c r="F24" s="422"/>
      <c r="G24" s="422"/>
    </row>
    <row r="25" spans="1:7">
      <c r="D25"/>
      <c r="E25"/>
      <c r="F25"/>
      <c r="G25"/>
    </row>
    <row r="26" spans="1:7">
      <c r="A26" s="131" t="s">
        <v>396</v>
      </c>
      <c r="D26"/>
      <c r="E26"/>
      <c r="F26"/>
      <c r="G26"/>
    </row>
    <row r="27" spans="1:7">
      <c r="D27"/>
      <c r="E27"/>
      <c r="F27"/>
      <c r="G27"/>
    </row>
    <row r="28" spans="1:7">
      <c r="A28" s="3" t="s">
        <v>880</v>
      </c>
      <c r="D28"/>
      <c r="E28"/>
      <c r="F28"/>
      <c r="G28"/>
    </row>
    <row r="29" spans="1:7">
      <c r="A29" s="3" t="s">
        <v>881</v>
      </c>
      <c r="D29"/>
      <c r="E29"/>
      <c r="F29"/>
      <c r="G29"/>
    </row>
    <row r="30" spans="1:7">
      <c r="A30" s="3" t="s">
        <v>882</v>
      </c>
      <c r="D30"/>
      <c r="E30"/>
      <c r="F30"/>
      <c r="G30"/>
    </row>
    <row r="31" spans="1:7">
      <c r="A31" s="3" t="s">
        <v>883</v>
      </c>
      <c r="D31"/>
      <c r="E31"/>
      <c r="F31"/>
      <c r="G31"/>
    </row>
    <row r="32" spans="1:7">
      <c r="D32"/>
      <c r="E32"/>
      <c r="F32"/>
      <c r="G32"/>
    </row>
    <row r="33" spans="1:7">
      <c r="A33" s="3" t="s">
        <v>884</v>
      </c>
      <c r="D33"/>
      <c r="E33"/>
      <c r="F33"/>
      <c r="G33"/>
    </row>
    <row r="36" spans="1:7">
      <c r="A36" s="336" t="s">
        <v>395</v>
      </c>
    </row>
  </sheetData>
  <mergeCells count="4">
    <mergeCell ref="A1:D1"/>
    <mergeCell ref="A3:E3"/>
    <mergeCell ref="A16:E16"/>
    <mergeCell ref="A21:E21"/>
  </mergeCells>
  <pageMargins left="0.5" right="0.45" top="0.71" bottom="0.47244094488188981" header="0.47244094488188981" footer="0.51181102362204722"/>
  <pageSetup paperSize="9" scale="85" orientation="portrait" horizontalDpi="1200" verticalDpi="12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8334-8621-AE47-BA97-161190864099}">
  <sheetPr>
    <pageSetUpPr fitToPage="1"/>
  </sheetPr>
  <dimension ref="A1:H43"/>
  <sheetViews>
    <sheetView zoomScaleNormal="100" workbookViewId="0">
      <selection activeCell="G9" sqref="G9"/>
    </sheetView>
  </sheetViews>
  <sheetFormatPr baseColWidth="10" defaultColWidth="11.3984375" defaultRowHeight="13"/>
  <cols>
    <col min="1" max="1" width="14.796875" style="3" customWidth="1"/>
    <col min="2" max="6" width="21" style="3" customWidth="1"/>
    <col min="7" max="7" width="20.19921875" style="3" customWidth="1"/>
    <col min="8" max="8" width="12.19921875" style="3" customWidth="1"/>
    <col min="9" max="16384" width="11.3984375" style="3"/>
  </cols>
  <sheetData>
    <row r="1" spans="1:8" s="2" customFormat="1" ht="14" customHeight="1"/>
    <row r="2" spans="1:8" s="2" customFormat="1" ht="27.75" customHeight="1">
      <c r="A2" s="2054" t="s">
        <v>699</v>
      </c>
      <c r="B2" s="2055"/>
      <c r="C2" s="2055"/>
      <c r="D2" s="2055"/>
      <c r="E2" s="2055"/>
      <c r="F2" s="139">
        <v>2012</v>
      </c>
    </row>
    <row r="3" spans="1:8" ht="27" customHeight="1">
      <c r="A3" s="109" t="s">
        <v>426</v>
      </c>
      <c r="B3" s="110" t="s">
        <v>427</v>
      </c>
      <c r="C3" s="111" t="s">
        <v>428</v>
      </c>
      <c r="D3" s="110" t="s">
        <v>429</v>
      </c>
      <c r="E3" s="111" t="s">
        <v>230</v>
      </c>
      <c r="F3" s="165" t="s">
        <v>256</v>
      </c>
    </row>
    <row r="4" spans="1:8" ht="15" customHeight="1">
      <c r="A4" s="156"/>
      <c r="B4" s="113"/>
      <c r="C4" s="114"/>
      <c r="D4" s="300"/>
      <c r="E4" s="114"/>
      <c r="F4" s="300" t="s">
        <v>257</v>
      </c>
    </row>
    <row r="5" spans="1:8" ht="15" customHeight="1">
      <c r="A5" s="156"/>
      <c r="B5" s="113" t="s">
        <v>431</v>
      </c>
      <c r="C5" s="114" t="s">
        <v>432</v>
      </c>
      <c r="D5" s="113" t="s">
        <v>433</v>
      </c>
      <c r="E5" s="114"/>
      <c r="F5" s="300" t="s">
        <v>258</v>
      </c>
    </row>
    <row r="6" spans="1:8" ht="24" customHeight="1">
      <c r="A6" s="157"/>
      <c r="B6" s="169"/>
      <c r="C6" s="157"/>
      <c r="D6" s="169"/>
      <c r="E6" s="118"/>
      <c r="F6" s="117"/>
      <c r="H6" s="301"/>
    </row>
    <row r="7" spans="1:8" ht="30" customHeight="1" thickBot="1">
      <c r="A7" s="302" t="s">
        <v>434</v>
      </c>
      <c r="B7" s="303">
        <v>255468.29999999996</v>
      </c>
      <c r="C7" s="304">
        <v>105160.6</v>
      </c>
      <c r="D7" s="303">
        <v>1032841.0400000003</v>
      </c>
      <c r="E7" s="304">
        <v>1393469.92</v>
      </c>
      <c r="F7" s="305">
        <v>1.4129505131962655E-2</v>
      </c>
      <c r="H7" s="306"/>
    </row>
    <row r="8" spans="1:8" ht="20" customHeight="1" thickBot="1">
      <c r="A8" s="307" t="s">
        <v>435</v>
      </c>
      <c r="B8" s="303">
        <v>176756.95</v>
      </c>
      <c r="C8" s="304">
        <v>81587.44</v>
      </c>
      <c r="D8" s="303">
        <v>727982.2</v>
      </c>
      <c r="E8" s="304">
        <v>986326.61000000022</v>
      </c>
      <c r="F8" s="305">
        <v>5.001415655527185E-3</v>
      </c>
      <c r="H8" s="306"/>
    </row>
    <row r="9" spans="1:8" ht="20" customHeight="1" thickBot="1">
      <c r="A9" s="307" t="s">
        <v>436</v>
      </c>
      <c r="B9" s="303">
        <v>75298.809999999983</v>
      </c>
      <c r="C9" s="304">
        <v>35728.959999999999</v>
      </c>
      <c r="D9" s="303">
        <v>274080.97000000003</v>
      </c>
      <c r="E9" s="304">
        <v>385108.71000000008</v>
      </c>
      <c r="F9" s="305">
        <v>1.2018838103563434E-2</v>
      </c>
      <c r="H9" s="306"/>
    </row>
    <row r="10" spans="1:8" ht="20" customHeight="1" thickBot="1">
      <c r="A10" s="307" t="s">
        <v>437</v>
      </c>
      <c r="B10" s="303">
        <v>6968.4399999999987</v>
      </c>
      <c r="C10" s="304">
        <v>3215.01</v>
      </c>
      <c r="D10" s="303">
        <v>25576.100000000009</v>
      </c>
      <c r="E10" s="304">
        <v>35759.55000000001</v>
      </c>
      <c r="F10" s="305">
        <v>5.5251151053934203E-3</v>
      </c>
      <c r="H10" s="306"/>
    </row>
    <row r="11" spans="1:8" ht="20" customHeight="1" thickBot="1">
      <c r="A11" s="307" t="s">
        <v>438</v>
      </c>
      <c r="B11" s="303">
        <v>28798.779999999995</v>
      </c>
      <c r="C11" s="304">
        <v>12705.480000000001</v>
      </c>
      <c r="D11" s="303">
        <v>107669.76999999999</v>
      </c>
      <c r="E11" s="304">
        <v>149174.07000000004</v>
      </c>
      <c r="F11" s="305">
        <v>1.212769599626486E-2</v>
      </c>
      <c r="H11" s="306"/>
    </row>
    <row r="12" spans="1:8" ht="20" customHeight="1" thickBot="1">
      <c r="A12" s="307" t="s">
        <v>439</v>
      </c>
      <c r="B12" s="303">
        <v>7178.45</v>
      </c>
      <c r="C12" s="304">
        <v>3426.8699999999994</v>
      </c>
      <c r="D12" s="303">
        <v>25941.239999999994</v>
      </c>
      <c r="E12" s="304">
        <v>36546.560000000005</v>
      </c>
      <c r="F12" s="305">
        <v>1.18719954194295E-2</v>
      </c>
      <c r="H12" s="306"/>
    </row>
    <row r="13" spans="1:8" ht="20" customHeight="1" thickBot="1">
      <c r="A13" s="307" t="s">
        <v>440</v>
      </c>
      <c r="B13" s="303">
        <v>7361.08</v>
      </c>
      <c r="C13" s="304">
        <v>3617.06</v>
      </c>
      <c r="D13" s="303">
        <v>30206.560000000009</v>
      </c>
      <c r="E13" s="304">
        <v>41184.69999999999</v>
      </c>
      <c r="F13" s="305">
        <v>7.0170170855487456E-3</v>
      </c>
      <c r="H13" s="306"/>
    </row>
    <row r="14" spans="1:8" ht="20" customHeight="1" thickBot="1">
      <c r="A14" s="307" t="s">
        <v>441</v>
      </c>
      <c r="B14" s="303">
        <v>7224.6</v>
      </c>
      <c r="C14" s="304">
        <v>3721.84</v>
      </c>
      <c r="D14" s="303">
        <v>28660.260000000017</v>
      </c>
      <c r="E14" s="304">
        <v>39606.700000000019</v>
      </c>
      <c r="F14" s="305">
        <v>1.0468313655496287E-2</v>
      </c>
      <c r="H14" s="306"/>
    </row>
    <row r="15" spans="1:8" ht="20" customHeight="1" thickBot="1">
      <c r="A15" s="307" t="s">
        <v>442</v>
      </c>
      <c r="B15" s="303">
        <v>22043.77</v>
      </c>
      <c r="C15" s="304">
        <v>8872.32</v>
      </c>
      <c r="D15" s="303">
        <v>84703.000000000015</v>
      </c>
      <c r="E15" s="304">
        <v>115619.13</v>
      </c>
      <c r="F15" s="305">
        <v>1.5079424724297078E-2</v>
      </c>
      <c r="H15" s="306"/>
    </row>
    <row r="16" spans="1:8" ht="20" customHeight="1" thickBot="1">
      <c r="A16" s="307" t="s">
        <v>443</v>
      </c>
      <c r="B16" s="303">
        <v>63026.76</v>
      </c>
      <c r="C16" s="304">
        <v>26101.19</v>
      </c>
      <c r="D16" s="303">
        <v>199427.84000000003</v>
      </c>
      <c r="E16" s="304">
        <v>288555.84999999992</v>
      </c>
      <c r="F16" s="305">
        <v>2.4338761112323484E-2</v>
      </c>
      <c r="H16" s="306"/>
    </row>
    <row r="17" spans="1:8" ht="20" customHeight="1" thickBot="1">
      <c r="A17" s="307" t="s">
        <v>444</v>
      </c>
      <c r="B17" s="303">
        <v>46986.279999999992</v>
      </c>
      <c r="C17" s="304">
        <v>22829.470000000005</v>
      </c>
      <c r="D17" s="303">
        <v>189829.22000000003</v>
      </c>
      <c r="E17" s="304">
        <v>259644.93999999997</v>
      </c>
      <c r="F17" s="305">
        <v>6.7627547675108831E-3</v>
      </c>
      <c r="H17" s="306"/>
    </row>
    <row r="18" spans="1:8" ht="20" customHeight="1" thickBot="1">
      <c r="A18" s="307" t="s">
        <v>445</v>
      </c>
      <c r="B18" s="303">
        <v>28169.69</v>
      </c>
      <c r="C18" s="304">
        <v>13041.239999999998</v>
      </c>
      <c r="D18" s="303">
        <v>139044.02000000002</v>
      </c>
      <c r="E18" s="304">
        <v>180254.9</v>
      </c>
      <c r="F18" s="305">
        <v>1.6118149307284486E-3</v>
      </c>
      <c r="H18" s="306"/>
    </row>
    <row r="19" spans="1:8" ht="20" customHeight="1" thickBot="1">
      <c r="A19" s="307" t="s">
        <v>446</v>
      </c>
      <c r="B19" s="303">
        <v>49320.63</v>
      </c>
      <c r="C19" s="304">
        <v>21594.31</v>
      </c>
      <c r="D19" s="303">
        <v>204131.59999999998</v>
      </c>
      <c r="E19" s="304">
        <v>275046.52000000008</v>
      </c>
      <c r="F19" s="305">
        <v>7.9982678555567312E-3</v>
      </c>
      <c r="H19" s="306"/>
    </row>
    <row r="20" spans="1:8" ht="20" customHeight="1" thickBot="1">
      <c r="A20" s="307" t="s">
        <v>447</v>
      </c>
      <c r="B20" s="303">
        <v>13597.82</v>
      </c>
      <c r="C20" s="304">
        <v>6865.84</v>
      </c>
      <c r="D20" s="303">
        <v>56904.95</v>
      </c>
      <c r="E20" s="304">
        <v>77368.599999999991</v>
      </c>
      <c r="F20" s="305">
        <v>9.8829874646674115E-3</v>
      </c>
      <c r="H20" s="306"/>
    </row>
    <row r="21" spans="1:8" ht="20" customHeight="1" thickBot="1">
      <c r="A21" s="307" t="s">
        <v>448</v>
      </c>
      <c r="B21" s="303">
        <v>10314.489999999998</v>
      </c>
      <c r="C21" s="304">
        <v>5030.66</v>
      </c>
      <c r="D21" s="303">
        <v>38849.119999999995</v>
      </c>
      <c r="E21" s="304">
        <v>54194.28</v>
      </c>
      <c r="F21" s="305">
        <v>5.925377331436275E-3</v>
      </c>
      <c r="H21" s="306"/>
    </row>
    <row r="22" spans="1:8" ht="20" customHeight="1" thickBot="1">
      <c r="A22" s="307" t="s">
        <v>449</v>
      </c>
      <c r="B22" s="303">
        <v>3359.69</v>
      </c>
      <c r="C22" s="304">
        <v>1654.7599999999998</v>
      </c>
      <c r="D22" s="303">
        <v>10921.55</v>
      </c>
      <c r="E22" s="304">
        <v>15936.000000000002</v>
      </c>
      <c r="F22" s="305">
        <v>1.0776926936228429E-2</v>
      </c>
      <c r="H22" s="306"/>
    </row>
    <row r="23" spans="1:8" ht="20" customHeight="1" thickBot="1">
      <c r="A23" s="307" t="s">
        <v>450</v>
      </c>
      <c r="B23" s="303">
        <v>95355.420000000013</v>
      </c>
      <c r="C23" s="304">
        <v>46636.43</v>
      </c>
      <c r="D23" s="303">
        <v>343948.85000000009</v>
      </c>
      <c r="E23" s="304">
        <v>485940.71</v>
      </c>
      <c r="F23" s="305">
        <v>8.8208061669308724E-3</v>
      </c>
      <c r="H23" s="306"/>
    </row>
    <row r="24" spans="1:8" ht="20" customHeight="1" thickBot="1">
      <c r="A24" s="307" t="s">
        <v>451</v>
      </c>
      <c r="B24" s="303">
        <v>33567.820000000007</v>
      </c>
      <c r="C24" s="304">
        <v>17985.629999999994</v>
      </c>
      <c r="D24" s="303">
        <v>145827.82</v>
      </c>
      <c r="E24" s="304">
        <v>197381.24999999997</v>
      </c>
      <c r="F24" s="305">
        <v>3.1056157164411556E-4</v>
      </c>
      <c r="H24" s="306"/>
    </row>
    <row r="25" spans="1:8" ht="20" customHeight="1" thickBot="1">
      <c r="A25" s="307" t="s">
        <v>452</v>
      </c>
      <c r="B25" s="303">
        <v>119745.87</v>
      </c>
      <c r="C25" s="304">
        <v>53953.29</v>
      </c>
      <c r="D25" s="303">
        <v>452073.73000000004</v>
      </c>
      <c r="E25" s="304">
        <v>625772.84000000008</v>
      </c>
      <c r="F25" s="305">
        <v>1.3855311642401108E-2</v>
      </c>
      <c r="H25" s="306"/>
    </row>
    <row r="26" spans="1:8" ht="20" customHeight="1" thickBot="1">
      <c r="A26" s="307" t="s">
        <v>453</v>
      </c>
      <c r="B26" s="303">
        <v>49811.790000000023</v>
      </c>
      <c r="C26" s="304">
        <v>24216.330000000005</v>
      </c>
      <c r="D26" s="303">
        <v>180608.21000000002</v>
      </c>
      <c r="E26" s="304">
        <v>254636.35000000003</v>
      </c>
      <c r="F26" s="305">
        <v>1.660352461142834E-2</v>
      </c>
      <c r="H26" s="306"/>
    </row>
    <row r="27" spans="1:8" ht="20" customHeight="1" thickBot="1">
      <c r="A27" s="307" t="s">
        <v>454</v>
      </c>
      <c r="B27" s="303">
        <v>59214.19000000001</v>
      </c>
      <c r="C27" s="304">
        <v>24142.519999999997</v>
      </c>
      <c r="D27" s="303">
        <v>253710.71000000002</v>
      </c>
      <c r="E27" s="304">
        <v>337067.45</v>
      </c>
      <c r="F27" s="305">
        <v>9.842254058543741E-3</v>
      </c>
      <c r="H27" s="306"/>
    </row>
    <row r="28" spans="1:8" ht="20" customHeight="1" thickBot="1">
      <c r="A28" s="307" t="s">
        <v>455</v>
      </c>
      <c r="B28" s="303">
        <v>149643.69999999998</v>
      </c>
      <c r="C28" s="304">
        <v>60667.799999999988</v>
      </c>
      <c r="D28" s="303">
        <v>506641.88999999996</v>
      </c>
      <c r="E28" s="304">
        <v>716953.39999999991</v>
      </c>
      <c r="F28" s="305">
        <v>1.696445259777328E-2</v>
      </c>
      <c r="H28" s="306"/>
    </row>
    <row r="29" spans="1:8" ht="20" customHeight="1" thickBot="1">
      <c r="A29" s="307" t="s">
        <v>456</v>
      </c>
      <c r="B29" s="303">
        <v>61172.35</v>
      </c>
      <c r="C29" s="304">
        <v>29060.560000000001</v>
      </c>
      <c r="D29" s="303">
        <v>233217.91</v>
      </c>
      <c r="E29" s="304">
        <v>323450.81</v>
      </c>
      <c r="F29" s="305">
        <v>1.4808702842103536E-2</v>
      </c>
      <c r="H29" s="306"/>
    </row>
    <row r="30" spans="1:8" ht="20" customHeight="1" thickBot="1">
      <c r="A30" s="307" t="s">
        <v>457</v>
      </c>
      <c r="B30" s="303">
        <v>35255.030000000006</v>
      </c>
      <c r="C30" s="304">
        <v>15414.96</v>
      </c>
      <c r="D30" s="303">
        <v>123970.87</v>
      </c>
      <c r="E30" s="304">
        <v>174640.82000000007</v>
      </c>
      <c r="F30" s="305">
        <v>8.2005390591592155E-3</v>
      </c>
      <c r="H30" s="306"/>
    </row>
    <row r="31" spans="1:8" ht="20" customHeight="1" thickBot="1">
      <c r="A31" s="307" t="s">
        <v>458</v>
      </c>
      <c r="B31" s="303">
        <v>87766.410000000018</v>
      </c>
      <c r="C31" s="304">
        <v>34624.550000000003</v>
      </c>
      <c r="D31" s="303">
        <v>304986.06</v>
      </c>
      <c r="E31" s="304">
        <v>427377.02999999991</v>
      </c>
      <c r="F31" s="305">
        <v>1.1107138071379391E-2</v>
      </c>
      <c r="H31" s="306"/>
    </row>
    <row r="32" spans="1:8" ht="20" customHeight="1" thickBot="1">
      <c r="A32" s="174" t="s">
        <v>459</v>
      </c>
      <c r="B32" s="303">
        <v>14735.52</v>
      </c>
      <c r="C32" s="304">
        <v>6434.91</v>
      </c>
      <c r="D32" s="303">
        <v>50084.53</v>
      </c>
      <c r="E32" s="304">
        <v>71255</v>
      </c>
      <c r="F32" s="305">
        <v>5.4696533158132181E-3</v>
      </c>
      <c r="H32" s="306"/>
    </row>
    <row r="33" spans="1:8" ht="20" customHeight="1" thickBot="1">
      <c r="A33" s="187" t="s">
        <v>700</v>
      </c>
      <c r="B33" s="303">
        <v>746.66</v>
      </c>
      <c r="C33" s="304">
        <v>447.83000000000004</v>
      </c>
      <c r="D33" s="303">
        <v>3890.6</v>
      </c>
      <c r="E33" s="304">
        <v>5085.09</v>
      </c>
      <c r="F33" s="305">
        <v>0.26179640896864553</v>
      </c>
      <c r="H33" s="306"/>
    </row>
    <row r="34" spans="1:8" ht="19.75" hidden="1" customHeight="1" thickBot="1">
      <c r="A34" s="174" t="s">
        <v>461</v>
      </c>
      <c r="B34" s="303">
        <v>0</v>
      </c>
      <c r="C34" s="304">
        <v>0</v>
      </c>
      <c r="D34" s="303">
        <v>0</v>
      </c>
      <c r="E34" s="304">
        <v>0</v>
      </c>
      <c r="F34" s="305" t="s">
        <v>29</v>
      </c>
      <c r="H34" s="306"/>
    </row>
    <row r="35" spans="1:8" ht="30" customHeight="1" thickBot="1">
      <c r="A35" s="322" t="s">
        <v>462</v>
      </c>
      <c r="B35" s="323">
        <v>1508889.3000000003</v>
      </c>
      <c r="C35" s="324">
        <v>668737.79</v>
      </c>
      <c r="D35" s="323">
        <v>5775730.5999999987</v>
      </c>
      <c r="E35" s="324">
        <v>7953357.7199999988</v>
      </c>
      <c r="F35" s="325">
        <v>1.1521038378426624E-2</v>
      </c>
      <c r="H35" s="306"/>
    </row>
    <row r="36" spans="1:8" ht="20" customHeight="1">
      <c r="A36" s="130" t="s">
        <v>396</v>
      </c>
      <c r="B36" s="130"/>
      <c r="C36" s="130"/>
      <c r="D36" s="130"/>
      <c r="E36" s="130"/>
      <c r="F36" s="130"/>
      <c r="H36" s="301"/>
    </row>
    <row r="37" spans="1:8">
      <c r="F37" s="424"/>
    </row>
    <row r="38" spans="1:8">
      <c r="A38" s="131" t="s">
        <v>701</v>
      </c>
      <c r="F38" s="424"/>
    </row>
    <row r="39" spans="1:8" ht="11.25" customHeight="1">
      <c r="A39" s="131"/>
      <c r="B39" s="131"/>
      <c r="C39" s="131"/>
      <c r="D39" s="131"/>
      <c r="E39" s="131"/>
      <c r="F39" s="131"/>
      <c r="H39" s="301"/>
    </row>
    <row r="40" spans="1:8" ht="14.25" customHeight="1">
      <c r="A40" s="131" t="s">
        <v>702</v>
      </c>
      <c r="B40" s="131"/>
      <c r="C40" s="131"/>
      <c r="D40" s="131"/>
      <c r="E40" s="131"/>
      <c r="F40" s="131"/>
      <c r="H40" s="301"/>
    </row>
    <row r="41" spans="1:8" ht="12" customHeight="1">
      <c r="A41" s="558"/>
    </row>
    <row r="42" spans="1:8" ht="12" customHeight="1"/>
    <row r="43" spans="1:8" ht="12" customHeight="1">
      <c r="A43" s="131" t="s">
        <v>395</v>
      </c>
    </row>
  </sheetData>
  <mergeCells count="1">
    <mergeCell ref="A2:E2"/>
  </mergeCells>
  <pageMargins left="0.5" right="0.36" top="0.87" bottom="0.49" header="0.51" footer="0.4921259845"/>
  <pageSetup paperSize="9" scale="67" orientation="portrait"/>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9A38-5DE2-C642-9785-86F1EABA4226}">
  <dimension ref="A1:K48"/>
  <sheetViews>
    <sheetView zoomScaleNormal="100" workbookViewId="0">
      <selection activeCell="A37" sqref="A37"/>
    </sheetView>
  </sheetViews>
  <sheetFormatPr baseColWidth="10" defaultColWidth="11.3984375" defaultRowHeight="13"/>
  <cols>
    <col min="1" max="1" width="18.59765625" style="3" customWidth="1"/>
    <col min="2" max="2" width="14.796875" style="338" customWidth="1"/>
    <col min="3" max="3" width="14.796875" style="181" customWidth="1"/>
    <col min="4" max="4" width="16" style="338" customWidth="1"/>
    <col min="5" max="5" width="15.796875" style="181" customWidth="1"/>
    <col min="6" max="6" width="16" style="338" customWidth="1"/>
    <col min="7" max="7" width="14.796875" style="181" customWidth="1"/>
    <col min="8" max="8" width="7.3984375" style="3" customWidth="1"/>
    <col min="9" max="9" width="8" style="3" customWidth="1"/>
    <col min="10" max="10" width="7.796875" style="3" customWidth="1"/>
    <col min="11" max="11" width="9" style="3" customWidth="1"/>
    <col min="12" max="16384" width="11.3984375" style="3"/>
  </cols>
  <sheetData>
    <row r="1" spans="1:11" s="2" customFormat="1" ht="18.75" customHeight="1">
      <c r="A1" s="523"/>
      <c r="B1" s="524"/>
      <c r="C1" s="161"/>
      <c r="D1" s="326"/>
      <c r="E1" s="161"/>
      <c r="F1" s="326"/>
      <c r="G1" s="161"/>
    </row>
    <row r="2" spans="1:11" s="2" customFormat="1" ht="27" customHeight="1">
      <c r="A2" s="2083" t="s">
        <v>697</v>
      </c>
      <c r="B2" s="2055"/>
      <c r="C2" s="2055"/>
      <c r="D2" s="2055"/>
      <c r="E2" s="2055"/>
      <c r="F2" s="2055"/>
      <c r="G2" s="460">
        <v>2012</v>
      </c>
    </row>
    <row r="3" spans="1:11" ht="27" customHeight="1">
      <c r="A3" s="109" t="s">
        <v>637</v>
      </c>
      <c r="B3" s="556" t="s">
        <v>638</v>
      </c>
      <c r="C3" s="155"/>
      <c r="D3" s="556" t="s">
        <v>639</v>
      </c>
      <c r="E3" s="155"/>
      <c r="F3" s="556" t="s">
        <v>230</v>
      </c>
      <c r="G3" s="155" t="s">
        <v>256</v>
      </c>
    </row>
    <row r="4" spans="1:11" ht="15" customHeight="1">
      <c r="A4" s="156"/>
      <c r="B4" s="348" t="s">
        <v>578</v>
      </c>
      <c r="C4" s="156" t="s">
        <v>579</v>
      </c>
      <c r="D4" s="348" t="s">
        <v>578</v>
      </c>
      <c r="E4" s="156" t="s">
        <v>579</v>
      </c>
      <c r="F4" s="348"/>
      <c r="G4" s="156" t="s">
        <v>257</v>
      </c>
    </row>
    <row r="5" spans="1:11" ht="15" customHeight="1">
      <c r="A5" s="156"/>
      <c r="B5" s="348"/>
      <c r="C5" s="156"/>
      <c r="D5" s="348"/>
      <c r="E5" s="156"/>
      <c r="F5" s="348"/>
      <c r="G5" s="156" t="s">
        <v>258</v>
      </c>
    </row>
    <row r="6" spans="1:11" ht="19.5" customHeight="1">
      <c r="A6" s="157"/>
      <c r="B6" s="330"/>
      <c r="C6" s="157"/>
      <c r="D6" s="330"/>
      <c r="E6" s="157"/>
      <c r="F6" s="330"/>
      <c r="G6" s="157"/>
    </row>
    <row r="7" spans="1:11" ht="30" customHeight="1" thickBot="1">
      <c r="A7" s="302" t="s">
        <v>643</v>
      </c>
      <c r="B7" s="132">
        <v>229687.03</v>
      </c>
      <c r="C7" s="158">
        <v>5.8506381863083594E-2</v>
      </c>
      <c r="D7" s="132">
        <v>217987.44</v>
      </c>
      <c r="E7" s="158">
        <v>5.4124595900609238E-2</v>
      </c>
      <c r="F7" s="132">
        <v>447674.46</v>
      </c>
      <c r="G7" s="158">
        <v>1.8620869298822146E-2</v>
      </c>
      <c r="I7" s="531"/>
      <c r="J7" s="531"/>
      <c r="K7" s="531"/>
    </row>
    <row r="8" spans="1:11" ht="20" customHeight="1" thickBot="1">
      <c r="A8" s="307" t="s">
        <v>644</v>
      </c>
      <c r="B8" s="132">
        <v>198779.06</v>
      </c>
      <c r="C8" s="158">
        <v>5.0633436249076867E-2</v>
      </c>
      <c r="D8" s="132">
        <v>188792.38</v>
      </c>
      <c r="E8" s="158">
        <v>4.6875688235130712E-2</v>
      </c>
      <c r="F8" s="132">
        <v>387571.44</v>
      </c>
      <c r="G8" s="158">
        <v>8.57056699270492E-3</v>
      </c>
      <c r="I8" s="531"/>
      <c r="J8" s="531"/>
      <c r="K8" s="531"/>
    </row>
    <row r="9" spans="1:11" ht="20" customHeight="1" thickBot="1">
      <c r="A9" s="307" t="s">
        <v>645</v>
      </c>
      <c r="B9" s="132">
        <v>211308.55</v>
      </c>
      <c r="C9" s="158">
        <v>5.3824975303283305E-2</v>
      </c>
      <c r="D9" s="132">
        <v>200248.13</v>
      </c>
      <c r="E9" s="158">
        <v>4.9720062385716655E-2</v>
      </c>
      <c r="F9" s="132">
        <v>411556.71</v>
      </c>
      <c r="G9" s="158">
        <v>-1.4274476407569287E-2</v>
      </c>
      <c r="I9" s="531"/>
      <c r="J9" s="531"/>
      <c r="K9" s="531"/>
    </row>
    <row r="10" spans="1:11" ht="20" customHeight="1" thickBot="1">
      <c r="A10" s="307" t="s">
        <v>646</v>
      </c>
      <c r="B10" s="132">
        <v>134518.91</v>
      </c>
      <c r="C10" s="158">
        <v>3.4264950512293946E-2</v>
      </c>
      <c r="D10" s="132">
        <v>127567.71</v>
      </c>
      <c r="E10" s="158">
        <v>3.1674076055556728E-2</v>
      </c>
      <c r="F10" s="132">
        <v>262086.6</v>
      </c>
      <c r="G10" s="158">
        <v>-2.1878749006277658E-3</v>
      </c>
      <c r="I10" s="531"/>
      <c r="J10" s="531"/>
      <c r="K10" s="531"/>
    </row>
    <row r="11" spans="1:11" ht="20" customHeight="1" thickBot="1">
      <c r="A11" s="532" t="s">
        <v>647</v>
      </c>
      <c r="B11" s="536">
        <v>774293.58</v>
      </c>
      <c r="C11" s="557">
        <v>0.1972297515694032</v>
      </c>
      <c r="D11" s="536">
        <v>734595.65</v>
      </c>
      <c r="E11" s="557">
        <v>0.18239442009409065</v>
      </c>
      <c r="F11" s="536">
        <v>1508889.28</v>
      </c>
      <c r="G11" s="557">
        <v>3.2865331094787532E-3</v>
      </c>
      <c r="I11" s="531"/>
      <c r="J11" s="531"/>
      <c r="K11" s="531"/>
    </row>
    <row r="12" spans="1:11" ht="20" customHeight="1" thickBot="1">
      <c r="A12" s="307" t="s">
        <v>648</v>
      </c>
      <c r="B12" s="132">
        <v>92549.92</v>
      </c>
      <c r="C12" s="158">
        <v>2.3574517729267681E-2</v>
      </c>
      <c r="D12" s="132">
        <v>89360.63</v>
      </c>
      <c r="E12" s="158">
        <v>2.2187553503880127E-2</v>
      </c>
      <c r="F12" s="132">
        <v>181910.52</v>
      </c>
      <c r="G12" s="158">
        <v>-1.7264991082425227E-2</v>
      </c>
      <c r="I12" s="531"/>
      <c r="J12" s="531"/>
      <c r="K12" s="531"/>
    </row>
    <row r="13" spans="1:11" ht="20" customHeight="1" thickBot="1">
      <c r="A13" s="307" t="s">
        <v>649</v>
      </c>
      <c r="B13" s="132">
        <v>247227.6</v>
      </c>
      <c r="C13" s="158">
        <v>6.2974354157889045E-2</v>
      </c>
      <c r="D13" s="132">
        <v>239599.38</v>
      </c>
      <c r="E13" s="158">
        <v>5.9490673501815132E-2</v>
      </c>
      <c r="F13" s="132">
        <v>486826.95</v>
      </c>
      <c r="G13" s="158">
        <v>1.4443538506586754E-2</v>
      </c>
      <c r="I13" s="531"/>
      <c r="J13" s="531"/>
      <c r="K13" s="531"/>
    </row>
    <row r="14" spans="1:11" ht="20" customHeight="1" thickBot="1">
      <c r="A14" s="532" t="s">
        <v>650</v>
      </c>
      <c r="B14" s="536">
        <v>339777.5</v>
      </c>
      <c r="C14" s="557">
        <v>8.654886679271305E-2</v>
      </c>
      <c r="D14" s="536">
        <v>328959.96999999997</v>
      </c>
      <c r="E14" s="557">
        <v>8.1678217074004522E-2</v>
      </c>
      <c r="F14" s="536">
        <v>668737.43999999994</v>
      </c>
      <c r="G14" s="557">
        <v>5.6173373339232875E-3</v>
      </c>
      <c r="I14" s="531"/>
      <c r="J14" s="531"/>
      <c r="K14" s="531"/>
    </row>
    <row r="15" spans="1:11" ht="20" customHeight="1" thickBot="1">
      <c r="A15" s="307" t="s">
        <v>651</v>
      </c>
      <c r="B15" s="132">
        <v>269479.58</v>
      </c>
      <c r="C15" s="158">
        <v>6.8642427096485964E-2</v>
      </c>
      <c r="D15" s="132">
        <v>262563.95</v>
      </c>
      <c r="E15" s="158">
        <v>6.5192598673656468E-2</v>
      </c>
      <c r="F15" s="132">
        <v>532043.5</v>
      </c>
      <c r="G15" s="158">
        <v>1.4095441260798825E-2</v>
      </c>
      <c r="I15" s="531"/>
      <c r="J15" s="531"/>
      <c r="K15" s="531"/>
    </row>
    <row r="16" spans="1:11" ht="20" customHeight="1" thickBot="1">
      <c r="A16" s="307" t="s">
        <v>652</v>
      </c>
      <c r="B16" s="132">
        <v>278388.67</v>
      </c>
      <c r="C16" s="158">
        <v>7.0911769956605572E-2</v>
      </c>
      <c r="D16" s="132">
        <v>272592.90000000002</v>
      </c>
      <c r="E16" s="158">
        <v>6.7682709416080053E-2</v>
      </c>
      <c r="F16" s="132">
        <v>550981.63</v>
      </c>
      <c r="G16" s="158">
        <v>2.5172889729397397E-2</v>
      </c>
      <c r="I16" s="531"/>
      <c r="J16" s="531"/>
      <c r="K16" s="531"/>
    </row>
    <row r="17" spans="1:11" ht="20" customHeight="1" thickBot="1">
      <c r="A17" s="307" t="s">
        <v>653</v>
      </c>
      <c r="B17" s="132">
        <v>279592.7</v>
      </c>
      <c r="C17" s="158">
        <v>7.1218463107518837E-2</v>
      </c>
      <c r="D17" s="132">
        <v>276307.28999999998</v>
      </c>
      <c r="E17" s="158">
        <v>6.8604963733885069E-2</v>
      </c>
      <c r="F17" s="132">
        <v>555899.97</v>
      </c>
      <c r="G17" s="158">
        <v>-6.4967502576648451E-3</v>
      </c>
      <c r="I17" s="531"/>
      <c r="J17" s="531"/>
      <c r="K17" s="531"/>
    </row>
    <row r="18" spans="1:11" ht="20" customHeight="1" thickBot="1">
      <c r="A18" s="307" t="s">
        <v>654</v>
      </c>
      <c r="B18" s="132">
        <v>313946.65000000002</v>
      </c>
      <c r="C18" s="158">
        <v>7.9969176272320877E-2</v>
      </c>
      <c r="D18" s="132">
        <v>310935.18</v>
      </c>
      <c r="E18" s="158">
        <v>7.7202801082407291E-2</v>
      </c>
      <c r="F18" s="132">
        <v>624881.86</v>
      </c>
      <c r="G18" s="158">
        <v>-1.2303305691880841E-2</v>
      </c>
      <c r="I18" s="531"/>
      <c r="J18" s="531"/>
      <c r="K18" s="531"/>
    </row>
    <row r="19" spans="1:11" ht="20" customHeight="1" thickBot="1">
      <c r="A19" s="307" t="s">
        <v>655</v>
      </c>
      <c r="B19" s="132">
        <v>334990.06</v>
      </c>
      <c r="C19" s="158">
        <v>8.5329399621290256E-2</v>
      </c>
      <c r="D19" s="132">
        <v>325102.23</v>
      </c>
      <c r="E19" s="158">
        <v>8.0720370059563618E-2</v>
      </c>
      <c r="F19" s="132">
        <v>660092.34</v>
      </c>
      <c r="G19" s="158">
        <v>1.8674648008021974E-2</v>
      </c>
      <c r="I19" s="531"/>
      <c r="J19" s="531"/>
      <c r="K19" s="531"/>
    </row>
    <row r="20" spans="1:11" ht="20" customHeight="1" thickBot="1">
      <c r="A20" s="307" t="s">
        <v>656</v>
      </c>
      <c r="B20" s="132">
        <v>292447.73</v>
      </c>
      <c r="C20" s="158">
        <v>7.4492924421426701E-2</v>
      </c>
      <c r="D20" s="132">
        <v>286187.57</v>
      </c>
      <c r="E20" s="158">
        <v>7.1058160864806333E-2</v>
      </c>
      <c r="F20" s="132">
        <v>578635.30000000005</v>
      </c>
      <c r="G20" s="158">
        <v>2.9218195140316233E-2</v>
      </c>
      <c r="I20" s="531"/>
      <c r="J20" s="531"/>
      <c r="K20" s="531"/>
    </row>
    <row r="21" spans="1:11" ht="20" customHeight="1" thickBot="1">
      <c r="A21" s="307" t="s">
        <v>657</v>
      </c>
      <c r="B21" s="132">
        <v>248208.39</v>
      </c>
      <c r="C21" s="158">
        <v>6.3224183128499589E-2</v>
      </c>
      <c r="D21" s="132">
        <v>246582.7</v>
      </c>
      <c r="E21" s="158">
        <v>6.1224577863665718E-2</v>
      </c>
      <c r="F21" s="132">
        <v>494791.13</v>
      </c>
      <c r="G21" s="158">
        <v>2.6840105864381077E-2</v>
      </c>
      <c r="I21" s="531"/>
      <c r="J21" s="531"/>
      <c r="K21" s="531"/>
    </row>
    <row r="22" spans="1:11" ht="20" customHeight="1" thickBot="1">
      <c r="A22" s="307" t="s">
        <v>658</v>
      </c>
      <c r="B22" s="132">
        <v>222239.02</v>
      </c>
      <c r="C22" s="158">
        <v>5.6609208491212898E-2</v>
      </c>
      <c r="D22" s="132">
        <v>228913.32</v>
      </c>
      <c r="E22" s="158">
        <v>5.6837407427083188E-2</v>
      </c>
      <c r="F22" s="132">
        <v>451152.29</v>
      </c>
      <c r="G22" s="158">
        <v>-5.5693783490089266E-3</v>
      </c>
      <c r="I22" s="531"/>
      <c r="J22" s="531"/>
      <c r="K22" s="531"/>
    </row>
    <row r="23" spans="1:11" ht="20" customHeight="1" thickBot="1">
      <c r="A23" s="307" t="s">
        <v>659</v>
      </c>
      <c r="B23" s="132">
        <v>195617.63</v>
      </c>
      <c r="C23" s="158">
        <v>4.982814989567063E-2</v>
      </c>
      <c r="D23" s="132">
        <v>209401.5</v>
      </c>
      <c r="E23" s="158">
        <v>5.1992773384014354E-2</v>
      </c>
      <c r="F23" s="132">
        <v>405019.14</v>
      </c>
      <c r="G23" s="158">
        <v>3.4642828668715486E-2</v>
      </c>
      <c r="I23" s="531"/>
      <c r="J23" s="531"/>
      <c r="K23" s="531"/>
    </row>
    <row r="24" spans="1:11" ht="20" customHeight="1" thickBot="1">
      <c r="A24" s="307" t="s">
        <v>660</v>
      </c>
      <c r="B24" s="132">
        <v>140863.94</v>
      </c>
      <c r="C24" s="158">
        <v>3.5881170409920386E-2</v>
      </c>
      <c r="D24" s="132">
        <v>165950.39000000001</v>
      </c>
      <c r="E24" s="158">
        <v>4.1204198729516278E-2</v>
      </c>
      <c r="F24" s="132">
        <v>306814.34000000003</v>
      </c>
      <c r="G24" s="158">
        <v>2.9171246929947641E-2</v>
      </c>
      <c r="I24" s="531"/>
      <c r="J24" s="531"/>
      <c r="K24" s="531"/>
    </row>
    <row r="25" spans="1:11" ht="20" customHeight="1" thickBot="1">
      <c r="A25" s="307" t="s">
        <v>661</v>
      </c>
      <c r="B25" s="132">
        <v>109523.89</v>
      </c>
      <c r="C25" s="158">
        <v>2.7898164434754381E-2</v>
      </c>
      <c r="D25" s="132">
        <v>144324.51</v>
      </c>
      <c r="E25" s="158">
        <v>3.5834659934092704E-2</v>
      </c>
      <c r="F25" s="132">
        <v>253848.38</v>
      </c>
      <c r="G25" s="158">
        <v>1.2824268421809075E-2</v>
      </c>
      <c r="I25" s="531"/>
      <c r="J25" s="531"/>
      <c r="K25" s="531"/>
    </row>
    <row r="26" spans="1:11" ht="20" customHeight="1" thickBot="1">
      <c r="A26" s="307" t="s">
        <v>662</v>
      </c>
      <c r="B26" s="132">
        <v>73635.13</v>
      </c>
      <c r="C26" s="158">
        <v>1.8756501115094758E-2</v>
      </c>
      <c r="D26" s="132">
        <v>117303.6</v>
      </c>
      <c r="E26" s="158">
        <v>2.9125576903360609E-2</v>
      </c>
      <c r="F26" s="132">
        <v>190938.77</v>
      </c>
      <c r="G26" s="158">
        <v>1.5791850598581011E-2</v>
      </c>
      <c r="I26" s="531"/>
      <c r="J26" s="531"/>
      <c r="K26" s="531"/>
    </row>
    <row r="27" spans="1:11" ht="20" customHeight="1" thickBot="1">
      <c r="A27" s="307" t="s">
        <v>663</v>
      </c>
      <c r="B27" s="132">
        <v>38249.21</v>
      </c>
      <c r="C27" s="158">
        <v>9.7429222983173042E-3</v>
      </c>
      <c r="D27" s="132">
        <v>77606.59</v>
      </c>
      <c r="E27" s="158">
        <v>1.9269116252634839E-2</v>
      </c>
      <c r="F27" s="132">
        <v>115855.8</v>
      </c>
      <c r="G27" s="158">
        <v>1.6761284651525959E-2</v>
      </c>
      <c r="I27" s="531"/>
      <c r="J27" s="531"/>
      <c r="K27" s="531"/>
    </row>
    <row r="28" spans="1:11" ht="20" customHeight="1" thickBot="1">
      <c r="A28" s="307" t="s">
        <v>664</v>
      </c>
      <c r="B28" s="132">
        <v>12308.42</v>
      </c>
      <c r="C28" s="158">
        <v>3.1352276210424913E-3</v>
      </c>
      <c r="D28" s="132">
        <v>31910.06</v>
      </c>
      <c r="E28" s="158">
        <v>7.9230211734409792E-3</v>
      </c>
      <c r="F28" s="132">
        <v>44218.52</v>
      </c>
      <c r="G28" s="158">
        <v>7.8229878403688335E-2</v>
      </c>
      <c r="I28" s="531"/>
      <c r="J28" s="531"/>
      <c r="K28" s="531"/>
    </row>
    <row r="29" spans="1:11" ht="20" customHeight="1" thickBot="1">
      <c r="A29" s="307" t="s">
        <v>665</v>
      </c>
      <c r="B29" s="132">
        <v>2114.5</v>
      </c>
      <c r="C29" s="158">
        <v>5.3861005756176245E-4</v>
      </c>
      <c r="D29" s="132">
        <v>7346.82</v>
      </c>
      <c r="E29" s="158">
        <v>1.8241586013144333E-3</v>
      </c>
      <c r="F29" s="132">
        <v>9461.31</v>
      </c>
      <c r="G29" s="158">
        <v>-1.1032878081209622E-2</v>
      </c>
      <c r="I29" s="531"/>
      <c r="J29" s="531"/>
      <c r="K29" s="531"/>
    </row>
    <row r="30" spans="1:11" ht="20" customHeight="1" thickBot="1">
      <c r="A30" s="307" t="s">
        <v>666</v>
      </c>
      <c r="B30" s="132">
        <v>169.07</v>
      </c>
      <c r="C30" s="158">
        <v>4.3065879608402542E-5</v>
      </c>
      <c r="D30" s="132">
        <v>927.36</v>
      </c>
      <c r="E30" s="158">
        <v>2.3025631776945032E-4</v>
      </c>
      <c r="F30" s="132">
        <v>1096.44</v>
      </c>
      <c r="G30" s="158">
        <v>1.5137627419937355E-2</v>
      </c>
      <c r="I30" s="531"/>
      <c r="J30" s="531"/>
      <c r="K30" s="531"/>
    </row>
    <row r="31" spans="1:11" ht="20" customHeight="1" thickBot="1">
      <c r="A31" s="532" t="s">
        <v>667</v>
      </c>
      <c r="B31" s="536">
        <v>2811774.65</v>
      </c>
      <c r="C31" s="557">
        <v>0.71622137909066186</v>
      </c>
      <c r="D31" s="536">
        <v>2963955.97</v>
      </c>
      <c r="E31" s="557">
        <v>0.7359273504172914</v>
      </c>
      <c r="F31" s="536">
        <v>5775730.6399999997</v>
      </c>
      <c r="G31" s="557">
        <v>1.4385514483796373E-2</v>
      </c>
      <c r="I31" s="531"/>
      <c r="J31" s="531"/>
      <c r="K31" s="531"/>
    </row>
    <row r="32" spans="1:11" ht="0.5" customHeight="1" thickBot="1">
      <c r="A32" s="307" t="s">
        <v>461</v>
      </c>
      <c r="B32" s="132">
        <v>0</v>
      </c>
      <c r="C32" s="158">
        <v>0</v>
      </c>
      <c r="D32" s="132">
        <v>0</v>
      </c>
      <c r="E32" s="158">
        <v>0</v>
      </c>
      <c r="F32" s="132" t="s">
        <v>626</v>
      </c>
      <c r="G32" s="158" t="s">
        <v>29</v>
      </c>
      <c r="I32" s="531"/>
      <c r="J32" s="531"/>
      <c r="K32" s="531"/>
    </row>
    <row r="33" spans="1:11" s="138" customFormat="1" ht="21" customHeight="1" thickBot="1">
      <c r="A33" s="322" t="s">
        <v>230</v>
      </c>
      <c r="B33" s="331">
        <v>3925845.74</v>
      </c>
      <c r="C33" s="160">
        <v>1</v>
      </c>
      <c r="D33" s="331">
        <v>4027511.64</v>
      </c>
      <c r="E33" s="160">
        <v>1</v>
      </c>
      <c r="F33" s="331">
        <v>7953357.3899999997</v>
      </c>
      <c r="G33" s="160">
        <v>1.1520993835549373E-2</v>
      </c>
      <c r="I33" s="539"/>
      <c r="J33" s="539"/>
      <c r="K33" s="539"/>
    </row>
    <row r="34" spans="1:11" ht="20" customHeight="1">
      <c r="A34" s="130" t="s">
        <v>396</v>
      </c>
      <c r="B34" s="333"/>
      <c r="C34" s="194"/>
      <c r="D34" s="333"/>
      <c r="E34" s="194"/>
      <c r="F34" s="333"/>
      <c r="G34" s="194"/>
    </row>
    <row r="35" spans="1:11" ht="12.75" customHeight="1">
      <c r="A35" s="131"/>
      <c r="B35" s="335"/>
      <c r="C35" s="540"/>
      <c r="D35" s="335"/>
      <c r="E35" s="540"/>
      <c r="F35" s="335"/>
      <c r="G35" s="540"/>
    </row>
    <row r="36" spans="1:11" ht="16.5" customHeight="1">
      <c r="A36" s="131" t="s">
        <v>698</v>
      </c>
      <c r="B36" s="335"/>
      <c r="C36" s="540"/>
      <c r="D36" s="335"/>
      <c r="E36" s="540"/>
      <c r="F36" s="335"/>
      <c r="G36" s="540"/>
    </row>
    <row r="37" spans="1:11" ht="12" customHeight="1">
      <c r="A37" s="131"/>
      <c r="B37" s="335"/>
      <c r="C37" s="540"/>
      <c r="D37" s="335"/>
      <c r="E37" s="540"/>
      <c r="F37" s="335"/>
      <c r="G37" s="540"/>
    </row>
    <row r="38" spans="1:11" ht="14.25" customHeight="1">
      <c r="A38" s="131"/>
      <c r="B38" s="335"/>
      <c r="C38" s="540"/>
      <c r="D38" s="335"/>
      <c r="E38" s="540"/>
      <c r="F38" s="335"/>
      <c r="G38" s="540"/>
    </row>
    <row r="39" spans="1:11" ht="15.75" customHeight="1">
      <c r="A39" s="131" t="s">
        <v>395</v>
      </c>
      <c r="B39" s="335"/>
      <c r="C39" s="540"/>
      <c r="D39" s="335"/>
      <c r="E39" s="540"/>
      <c r="F39" s="335"/>
      <c r="G39" s="540"/>
    </row>
    <row r="40" spans="1:11" ht="18" customHeight="1">
      <c r="A40"/>
    </row>
    <row r="41" spans="1:11" ht="30" customHeight="1"/>
    <row r="42" spans="1:11" ht="30" customHeight="1">
      <c r="I42" s="541"/>
    </row>
    <row r="43" spans="1:11" ht="30" customHeight="1"/>
    <row r="44" spans="1:11" ht="30" customHeight="1"/>
    <row r="45" spans="1:11" ht="30" customHeight="1"/>
    <row r="46" spans="1:11" ht="30" customHeight="1"/>
    <row r="47" spans="1:11" ht="30" customHeight="1"/>
    <row r="48" spans="1:11" ht="30" customHeight="1"/>
  </sheetData>
  <mergeCells count="1">
    <mergeCell ref="A2:F2"/>
  </mergeCells>
  <pageMargins left="0.65" right="0.54" top="0.85" bottom="0.49" header="0.44" footer="0.4921259845"/>
  <pageSetup paperSize="9" scale="80" orientation="portrait"/>
  <headerFooter alignWithMargins="0"/>
  <rowBreaks count="1" manualBreakCount="1">
    <brk id="39" max="16383"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989C-C5F0-7944-B409-B754A340102E}">
  <sheetPr>
    <pageSetUpPr fitToPage="1"/>
  </sheetPr>
  <dimension ref="A1:I51"/>
  <sheetViews>
    <sheetView zoomScaleNormal="100" workbookViewId="0">
      <selection activeCell="I6" sqref="I6"/>
    </sheetView>
  </sheetViews>
  <sheetFormatPr baseColWidth="10" defaultColWidth="11.3984375" defaultRowHeight="13"/>
  <cols>
    <col min="1" max="1" width="26.796875" style="3" customWidth="1"/>
    <col min="2" max="2" width="20.19921875" style="3" customWidth="1"/>
    <col min="3" max="5" width="15.59765625" style="3" customWidth="1"/>
    <col min="6" max="6" width="14.796875" style="3" customWidth="1"/>
    <col min="7" max="7" width="16.3984375" style="3" customWidth="1"/>
    <col min="8" max="8" width="15.796875" style="3" customWidth="1"/>
    <col min="9" max="9" width="14.59765625" style="3" customWidth="1"/>
    <col min="10" max="16384" width="11.3984375" style="3"/>
  </cols>
  <sheetData>
    <row r="1" spans="1:9" s="2" customFormat="1" ht="14" customHeight="1">
      <c r="A1" s="272"/>
      <c r="B1" s="272"/>
      <c r="C1" s="272"/>
      <c r="D1" s="272"/>
      <c r="E1" s="272"/>
      <c r="F1" s="272"/>
      <c r="G1" s="272"/>
    </row>
    <row r="2" spans="1:9" s="2" customFormat="1" ht="22.5" customHeight="1">
      <c r="A2" s="396" t="s">
        <v>688</v>
      </c>
      <c r="B2" s="396"/>
      <c r="C2" s="272"/>
      <c r="D2" s="272"/>
      <c r="E2" s="272"/>
      <c r="F2" s="272"/>
      <c r="G2" s="460"/>
      <c r="H2" s="460">
        <v>2012</v>
      </c>
      <c r="I2" s="460"/>
    </row>
    <row r="3" spans="1:9" s="2" customFormat="1" ht="10.5" customHeight="1">
      <c r="A3" s="461"/>
      <c r="B3" s="461"/>
      <c r="C3" s="462"/>
      <c r="D3" s="462"/>
      <c r="E3" s="462"/>
      <c r="F3" s="462"/>
      <c r="G3" s="545"/>
      <c r="H3" s="545"/>
      <c r="I3" s="277"/>
    </row>
    <row r="4" spans="1:9" s="2" customFormat="1" ht="81.75" customHeight="1">
      <c r="A4" s="463" t="s">
        <v>589</v>
      </c>
      <c r="B4" s="464"/>
      <c r="C4" s="465" t="s">
        <v>689</v>
      </c>
      <c r="D4" s="466" t="s">
        <v>591</v>
      </c>
      <c r="E4" s="465" t="s">
        <v>690</v>
      </c>
      <c r="F4" s="467" t="s">
        <v>605</v>
      </c>
      <c r="G4" s="546" t="s">
        <v>691</v>
      </c>
      <c r="H4" s="547" t="s">
        <v>692</v>
      </c>
    </row>
    <row r="5" spans="1:9" ht="8.25" customHeight="1">
      <c r="A5" s="468"/>
      <c r="B5" s="443"/>
      <c r="C5" s="444"/>
      <c r="D5" s="443"/>
      <c r="E5" s="444"/>
      <c r="F5" s="443"/>
      <c r="G5" s="548"/>
      <c r="H5" s="549"/>
    </row>
    <row r="6" spans="1:9" ht="48.75" customHeight="1" thickBot="1">
      <c r="A6" s="470" t="s">
        <v>593</v>
      </c>
      <c r="B6" s="471" t="s">
        <v>594</v>
      </c>
      <c r="C6" s="472">
        <v>552429.87</v>
      </c>
      <c r="D6" s="473">
        <v>137364.5</v>
      </c>
      <c r="E6" s="472">
        <v>1331428.68</v>
      </c>
      <c r="F6" s="473">
        <v>2021223.08</v>
      </c>
      <c r="G6" s="550">
        <v>1275190.3999999999</v>
      </c>
      <c r="H6" s="551">
        <v>1468793.18</v>
      </c>
    </row>
    <row r="7" spans="1:9" ht="19.5" customHeight="1" thickBot="1">
      <c r="A7" s="174"/>
      <c r="B7" s="474"/>
      <c r="C7" s="475"/>
      <c r="D7" s="476"/>
      <c r="E7" s="475"/>
      <c r="F7" s="476"/>
      <c r="G7" s="487"/>
      <c r="H7" s="488"/>
    </row>
    <row r="8" spans="1:9" ht="21" customHeight="1" thickBot="1">
      <c r="A8" s="477" t="s">
        <v>595</v>
      </c>
      <c r="B8" s="478" t="s">
        <v>596</v>
      </c>
      <c r="C8" s="475">
        <v>2663.04</v>
      </c>
      <c r="D8" s="476">
        <v>11947.23</v>
      </c>
      <c r="E8" s="475">
        <v>558341.30000000005</v>
      </c>
      <c r="F8" s="476">
        <v>572951.53</v>
      </c>
      <c r="G8" s="487">
        <v>286354.55</v>
      </c>
      <c r="H8" s="488">
        <v>570288.53</v>
      </c>
    </row>
    <row r="9" spans="1:9" ht="20" customHeight="1" thickBot="1">
      <c r="A9" s="479" t="s">
        <v>597</v>
      </c>
      <c r="B9" s="478" t="s">
        <v>598</v>
      </c>
      <c r="C9" s="475">
        <v>15320.47</v>
      </c>
      <c r="D9" s="476">
        <v>7740.93</v>
      </c>
      <c r="E9" s="475">
        <v>85172.95</v>
      </c>
      <c r="F9" s="476">
        <v>108234.35</v>
      </c>
      <c r="G9" s="487">
        <v>57365.61</v>
      </c>
      <c r="H9" s="488">
        <v>92913.88</v>
      </c>
    </row>
    <row r="10" spans="1:9" ht="20" customHeight="1" thickBot="1">
      <c r="A10" s="479" t="s">
        <v>599</v>
      </c>
      <c r="B10" s="478" t="s">
        <v>600</v>
      </c>
      <c r="C10" s="475">
        <v>6334.56</v>
      </c>
      <c r="D10" s="476">
        <v>21122.69</v>
      </c>
      <c r="E10" s="475">
        <v>267912.02</v>
      </c>
      <c r="F10" s="476">
        <v>295369.27</v>
      </c>
      <c r="G10" s="487">
        <v>128359.53</v>
      </c>
      <c r="H10" s="488">
        <v>289034.71000000002</v>
      </c>
    </row>
    <row r="11" spans="1:9" ht="20" customHeight="1" thickBot="1">
      <c r="A11" s="479"/>
      <c r="B11" s="478" t="s">
        <v>601</v>
      </c>
      <c r="C11" s="475">
        <v>11902.73</v>
      </c>
      <c r="D11" s="476">
        <v>3817.18</v>
      </c>
      <c r="E11" s="475">
        <v>37779.43</v>
      </c>
      <c r="F11" s="476">
        <v>53499.35</v>
      </c>
      <c r="G11" s="487">
        <v>28335.71</v>
      </c>
      <c r="H11" s="488">
        <v>41596.61</v>
      </c>
    </row>
    <row r="12" spans="1:9" ht="20" customHeight="1" thickBot="1">
      <c r="A12" s="479"/>
      <c r="B12" s="478" t="s">
        <v>602</v>
      </c>
      <c r="C12" s="475">
        <v>8913.58</v>
      </c>
      <c r="D12" s="476">
        <v>31360.49</v>
      </c>
      <c r="E12" s="475">
        <v>308862.14</v>
      </c>
      <c r="F12" s="476">
        <v>349136.23</v>
      </c>
      <c r="G12" s="487">
        <v>142766.03</v>
      </c>
      <c r="H12" s="488">
        <v>340222.63</v>
      </c>
    </row>
    <row r="13" spans="1:9" ht="20" customHeight="1" thickBot="1">
      <c r="A13" s="479"/>
      <c r="B13" s="478" t="s">
        <v>603</v>
      </c>
      <c r="C13" s="475">
        <v>10594.78</v>
      </c>
      <c r="D13" s="480" t="s">
        <v>29</v>
      </c>
      <c r="E13" s="481" t="s">
        <v>29</v>
      </c>
      <c r="F13" s="476">
        <v>10594.78</v>
      </c>
      <c r="G13" s="487">
        <v>10037.67</v>
      </c>
      <c r="H13" s="552" t="s">
        <v>29</v>
      </c>
    </row>
    <row r="14" spans="1:9" ht="20" customHeight="1" thickBot="1">
      <c r="A14" s="482"/>
      <c r="B14" s="478" t="s">
        <v>230</v>
      </c>
      <c r="C14" s="475">
        <v>55729.15</v>
      </c>
      <c r="D14" s="476">
        <v>75988.52</v>
      </c>
      <c r="E14" s="475">
        <v>1258067.8600000001</v>
      </c>
      <c r="F14" s="476">
        <v>1389785.55</v>
      </c>
      <c r="G14" s="487">
        <v>653219.05000000005</v>
      </c>
      <c r="H14" s="488">
        <v>1334056.3800000001</v>
      </c>
    </row>
    <row r="15" spans="1:9" ht="18.75" customHeight="1" thickBot="1">
      <c r="A15" s="483"/>
      <c r="B15" s="484"/>
      <c r="C15" s="475"/>
      <c r="D15" s="476"/>
      <c r="E15" s="475"/>
      <c r="F15" s="476"/>
      <c r="G15" s="487"/>
      <c r="H15" s="488"/>
    </row>
    <row r="16" spans="1:9" ht="20" customHeight="1" thickBot="1">
      <c r="A16" s="483" t="s">
        <v>582</v>
      </c>
      <c r="B16" s="484"/>
      <c r="C16" s="475">
        <v>23</v>
      </c>
      <c r="D16" s="476">
        <v>126.67</v>
      </c>
      <c r="E16" s="475">
        <v>4864.33</v>
      </c>
      <c r="F16" s="476">
        <v>5014</v>
      </c>
      <c r="G16" s="487">
        <v>2850.46</v>
      </c>
      <c r="H16" s="488">
        <v>4991</v>
      </c>
    </row>
    <row r="17" spans="1:8" ht="20.25" customHeight="1" thickBot="1">
      <c r="A17" s="483"/>
      <c r="B17" s="484"/>
      <c r="C17" s="475"/>
      <c r="D17" s="476"/>
      <c r="E17" s="475"/>
      <c r="F17" s="476"/>
      <c r="G17" s="487"/>
      <c r="H17" s="488"/>
    </row>
    <row r="18" spans="1:8" ht="58.5" customHeight="1" thickBot="1">
      <c r="A18" s="477" t="s">
        <v>693</v>
      </c>
      <c r="B18" s="478" t="s">
        <v>594</v>
      </c>
      <c r="C18" s="475">
        <v>822643.23</v>
      </c>
      <c r="D18" s="476">
        <v>178355.6</v>
      </c>
      <c r="E18" s="475">
        <v>1164129.6100000001</v>
      </c>
      <c r="F18" s="476">
        <v>2165128.4300000002</v>
      </c>
      <c r="G18" s="487">
        <v>1255576.01</v>
      </c>
      <c r="H18" s="488">
        <v>1342485.2100000002</v>
      </c>
    </row>
    <row r="19" spans="1:8" ht="20" customHeight="1" thickBot="1">
      <c r="A19" s="322"/>
      <c r="B19" s="478" t="s">
        <v>596</v>
      </c>
      <c r="C19" s="475">
        <v>2908.95</v>
      </c>
      <c r="D19" s="476">
        <v>38605.93</v>
      </c>
      <c r="E19" s="475">
        <v>470380.34</v>
      </c>
      <c r="F19" s="476">
        <v>511895.2</v>
      </c>
      <c r="G19" s="487">
        <v>224329.71</v>
      </c>
      <c r="H19" s="488">
        <v>508986.27</v>
      </c>
    </row>
    <row r="20" spans="1:8" ht="20" customHeight="1" thickBot="1">
      <c r="A20" s="322"/>
      <c r="B20" s="478" t="s">
        <v>598</v>
      </c>
      <c r="C20" s="475">
        <v>13329.23</v>
      </c>
      <c r="D20" s="476">
        <v>39271.57</v>
      </c>
      <c r="E20" s="475">
        <v>195433.99</v>
      </c>
      <c r="F20" s="476">
        <v>248034.83</v>
      </c>
      <c r="G20" s="487">
        <v>97952.21</v>
      </c>
      <c r="H20" s="488">
        <v>234705.56</v>
      </c>
    </row>
    <row r="21" spans="1:8" ht="20" customHeight="1" thickBot="1">
      <c r="A21" s="322"/>
      <c r="B21" s="478" t="s">
        <v>600</v>
      </c>
      <c r="C21" s="475">
        <v>11314.3</v>
      </c>
      <c r="D21" s="476">
        <v>91846.43</v>
      </c>
      <c r="E21" s="475">
        <v>546373.6</v>
      </c>
      <c r="F21" s="476">
        <v>649534.32999999996</v>
      </c>
      <c r="G21" s="487">
        <v>209054.85</v>
      </c>
      <c r="H21" s="488">
        <v>638220.03</v>
      </c>
    </row>
    <row r="22" spans="1:8" ht="20" customHeight="1" thickBot="1">
      <c r="A22" s="322"/>
      <c r="B22" s="478" t="s">
        <v>601</v>
      </c>
      <c r="C22" s="475">
        <v>23087.66</v>
      </c>
      <c r="D22" s="476">
        <v>28208.55</v>
      </c>
      <c r="E22" s="475">
        <v>180960.8</v>
      </c>
      <c r="F22" s="476">
        <v>232257.01</v>
      </c>
      <c r="G22" s="487">
        <v>82360.429999999993</v>
      </c>
      <c r="H22" s="488">
        <v>209169.34999999998</v>
      </c>
    </row>
    <row r="23" spans="1:8" ht="20" customHeight="1" thickBot="1">
      <c r="A23" s="322"/>
      <c r="B23" s="478" t="s">
        <v>602</v>
      </c>
      <c r="C23" s="475">
        <v>13221.66</v>
      </c>
      <c r="D23" s="476">
        <v>78970.06</v>
      </c>
      <c r="E23" s="475">
        <v>624091.43000000005</v>
      </c>
      <c r="F23" s="476">
        <v>716283.19</v>
      </c>
      <c r="G23" s="487">
        <v>238937.13</v>
      </c>
      <c r="H23" s="488">
        <v>703061.49</v>
      </c>
    </row>
    <row r="24" spans="1:8" ht="20" customHeight="1" thickBot="1">
      <c r="A24" s="322"/>
      <c r="B24" s="478" t="s">
        <v>603</v>
      </c>
      <c r="C24" s="475">
        <v>14202.15</v>
      </c>
      <c r="D24" s="480" t="s">
        <v>29</v>
      </c>
      <c r="E24" s="481" t="s">
        <v>29</v>
      </c>
      <c r="F24" s="476">
        <v>14202.15</v>
      </c>
      <c r="G24" s="487">
        <v>12850.15</v>
      </c>
      <c r="H24" s="552" t="s">
        <v>29</v>
      </c>
    </row>
    <row r="25" spans="1:8" ht="20" customHeight="1" thickBot="1">
      <c r="A25" s="322"/>
      <c r="B25" s="478" t="s">
        <v>605</v>
      </c>
      <c r="C25" s="475">
        <v>900707.19</v>
      </c>
      <c r="D25" s="476">
        <v>455258.12</v>
      </c>
      <c r="E25" s="475">
        <v>3181369.79</v>
      </c>
      <c r="F25" s="476">
        <v>4537335.12</v>
      </c>
      <c r="G25" s="487">
        <v>2121060.4700000002</v>
      </c>
      <c r="H25" s="488">
        <v>3636627.91</v>
      </c>
    </row>
    <row r="26" spans="1:8" ht="39.75" customHeight="1" thickBot="1">
      <c r="A26" s="485"/>
      <c r="B26" s="486" t="s">
        <v>606</v>
      </c>
      <c r="C26" s="487">
        <v>103840.38</v>
      </c>
      <c r="D26" s="488">
        <v>56536.91</v>
      </c>
      <c r="E26" s="487">
        <v>366796.02</v>
      </c>
      <c r="F26" s="488">
        <v>527173.35</v>
      </c>
      <c r="G26" s="487">
        <v>247468.39</v>
      </c>
      <c r="H26" s="488">
        <v>423332.93000000005</v>
      </c>
    </row>
    <row r="27" spans="1:8" ht="45" customHeight="1" thickBot="1">
      <c r="A27" s="485"/>
      <c r="B27" s="489" t="s">
        <v>607</v>
      </c>
      <c r="C27" s="487">
        <v>537891.01</v>
      </c>
      <c r="D27" s="488">
        <v>257798.35</v>
      </c>
      <c r="E27" s="487">
        <v>1922915.92</v>
      </c>
      <c r="F27" s="488">
        <v>2718605.24</v>
      </c>
      <c r="G27" s="487">
        <v>1402489.96</v>
      </c>
      <c r="H27" s="488">
        <v>2180714.27</v>
      </c>
    </row>
    <row r="28" spans="1:8" ht="45" customHeight="1" thickBot="1">
      <c r="A28" s="490"/>
      <c r="B28" s="489" t="s">
        <v>608</v>
      </c>
      <c r="C28" s="487">
        <v>78063.95</v>
      </c>
      <c r="D28" s="488">
        <v>276902.53999999998</v>
      </c>
      <c r="E28" s="487">
        <v>2017240.1600000001</v>
      </c>
      <c r="F28" s="488">
        <v>2372206.7099999995</v>
      </c>
      <c r="G28" s="487">
        <v>865484.48</v>
      </c>
      <c r="H28" s="488">
        <v>2294142.7000000002</v>
      </c>
    </row>
    <row r="29" spans="1:8" ht="15.75" customHeight="1" thickBot="1">
      <c r="A29" s="491"/>
      <c r="B29" s="492"/>
      <c r="C29" s="475"/>
      <c r="D29" s="476"/>
      <c r="E29" s="475"/>
      <c r="F29" s="476"/>
      <c r="G29" s="487"/>
      <c r="H29" s="488"/>
    </row>
    <row r="30" spans="1:8" ht="27.75" customHeight="1" thickBot="1">
      <c r="A30" s="493" t="s">
        <v>609</v>
      </c>
      <c r="B30" s="494"/>
      <c r="C30" s="495">
        <v>1508889.26</v>
      </c>
      <c r="D30" s="496">
        <v>668737.76</v>
      </c>
      <c r="E30" s="495">
        <v>5775730.6900000004</v>
      </c>
      <c r="F30" s="496">
        <v>7953357.7300000004</v>
      </c>
      <c r="G30" s="553">
        <v>4052320.38</v>
      </c>
      <c r="H30" s="554">
        <v>6444468.4500000002</v>
      </c>
    </row>
    <row r="31" spans="1:8" ht="15.75" customHeight="1">
      <c r="A31" s="359" t="s">
        <v>396</v>
      </c>
      <c r="B31" s="359"/>
      <c r="C31" s="359"/>
      <c r="D31" s="359"/>
      <c r="E31" s="359"/>
      <c r="F31" s="359"/>
      <c r="G31" s="359"/>
    </row>
    <row r="32" spans="1:8" ht="13.5" customHeight="1">
      <c r="A32" s="336"/>
      <c r="B32" s="336"/>
      <c r="C32" s="359"/>
      <c r="D32" s="359"/>
      <c r="E32" s="359"/>
      <c r="F32" s="359"/>
      <c r="G32" s="359"/>
    </row>
    <row r="33" spans="1:7" ht="13.5" customHeight="1">
      <c r="A33" s="359" t="s">
        <v>694</v>
      </c>
      <c r="B33" s="359"/>
      <c r="C33" s="359"/>
      <c r="D33" s="359"/>
      <c r="E33" s="359"/>
      <c r="F33" s="359"/>
      <c r="G33" s="359"/>
    </row>
    <row r="34" spans="1:7" ht="16.5" customHeight="1">
      <c r="A34" s="359"/>
      <c r="B34" s="359"/>
      <c r="C34" s="359"/>
      <c r="D34" s="359"/>
      <c r="E34" s="359"/>
      <c r="F34" s="359"/>
      <c r="G34" s="359"/>
    </row>
    <row r="35" spans="1:7" ht="12" customHeight="1">
      <c r="A35" s="359" t="s">
        <v>695</v>
      </c>
      <c r="B35" s="359"/>
      <c r="C35" s="60"/>
      <c r="D35" s="60"/>
      <c r="E35" s="60"/>
      <c r="F35" s="60"/>
      <c r="G35" s="60"/>
    </row>
    <row r="36" spans="1:7" ht="12" customHeight="1">
      <c r="A36" s="131" t="s">
        <v>696</v>
      </c>
      <c r="B36" s="131"/>
    </row>
    <row r="37" spans="1:7" ht="12" customHeight="1">
      <c r="A37" s="131" t="s">
        <v>613</v>
      </c>
      <c r="B37" s="131"/>
    </row>
    <row r="38" spans="1:7" ht="12" customHeight="1">
      <c r="A38" s="131" t="s">
        <v>614</v>
      </c>
      <c r="B38" s="131"/>
    </row>
    <row r="39" spans="1:7" ht="12" customHeight="1">
      <c r="A39" s="131" t="s">
        <v>615</v>
      </c>
      <c r="B39" s="131"/>
    </row>
    <row r="40" spans="1:7" ht="12" customHeight="1">
      <c r="A40" s="131" t="s">
        <v>616</v>
      </c>
      <c r="B40" s="131"/>
    </row>
    <row r="41" spans="1:7" ht="12" customHeight="1">
      <c r="A41" s="3" t="s">
        <v>617</v>
      </c>
    </row>
    <row r="42" spans="1:7" ht="12" customHeight="1"/>
    <row r="43" spans="1:7" ht="12" customHeight="1"/>
    <row r="44" spans="1:7" ht="12" customHeight="1">
      <c r="A44" s="359" t="s">
        <v>395</v>
      </c>
      <c r="B44" s="359"/>
      <c r="C44" s="131"/>
      <c r="D44" s="131"/>
      <c r="E44" s="131"/>
      <c r="F44" s="131"/>
    </row>
    <row r="49" spans="1:9">
      <c r="A49" s="48"/>
      <c r="B49" s="48"/>
      <c r="C49" s="497"/>
      <c r="D49" s="498"/>
      <c r="E49" s="497"/>
      <c r="F49" s="498"/>
      <c r="G49" s="555"/>
      <c r="H49" s="498"/>
      <c r="I49" s="498"/>
    </row>
    <row r="50" spans="1:9">
      <c r="A50" s="499"/>
      <c r="B50" s="499"/>
      <c r="C50" s="499"/>
      <c r="D50" s="500"/>
      <c r="E50" s="499"/>
      <c r="F50" s="501"/>
      <c r="G50" s="4"/>
      <c r="H50" s="501"/>
      <c r="I50" s="4"/>
    </row>
    <row r="51" spans="1:9">
      <c r="A51" s="4"/>
      <c r="B51" s="4"/>
      <c r="C51" s="4"/>
      <c r="D51" s="4"/>
      <c r="E51" s="4"/>
      <c r="F51" s="4"/>
      <c r="G51" s="4"/>
      <c r="H51" s="4"/>
      <c r="I51" s="4"/>
    </row>
  </sheetData>
  <pageMargins left="0.55118110236220474" right="0.45" top="0.59055118110236227" bottom="0.47244094488188981" header="0.43307086614173229" footer="0.31496062992125984"/>
  <pageSetup paperSize="9" scale="65" orientation="portrait"/>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2814-3ED3-CB41-BAF3-EF060B703F2F}">
  <sheetPr>
    <pageSetUpPr fitToPage="1"/>
  </sheetPr>
  <dimension ref="A1:M30"/>
  <sheetViews>
    <sheetView zoomScaleNormal="100" workbookViewId="0">
      <selection activeCell="K21" sqref="K21"/>
    </sheetView>
  </sheetViews>
  <sheetFormatPr baseColWidth="10" defaultColWidth="11.3984375" defaultRowHeight="13"/>
  <cols>
    <col min="1" max="1" width="12.796875" style="3" customWidth="1"/>
    <col min="2" max="8" width="11.796875" style="3" customWidth="1"/>
    <col min="9" max="9" width="18.3984375" style="3" customWidth="1"/>
    <col min="10" max="16384" width="11.3984375" style="3"/>
  </cols>
  <sheetData>
    <row r="1" spans="1:13" s="2" customFormat="1" ht="14" customHeight="1"/>
    <row r="2" spans="1:13" s="2" customFormat="1" ht="24" customHeight="1">
      <c r="A2" s="139" t="s">
        <v>1593</v>
      </c>
      <c r="I2" s="442"/>
      <c r="K2" s="277"/>
    </row>
    <row r="3" spans="1:13" ht="24" customHeight="1">
      <c r="A3" s="1045"/>
      <c r="B3" s="2084" t="s">
        <v>1594</v>
      </c>
      <c r="C3" s="2085"/>
      <c r="D3" s="2085"/>
      <c r="E3" s="2085"/>
      <c r="F3" s="2085"/>
      <c r="G3" s="2085"/>
      <c r="H3" s="1095"/>
      <c r="I3" s="1047"/>
      <c r="K3" s="1096"/>
    </row>
    <row r="4" spans="1:13" ht="24" customHeight="1">
      <c r="A4" s="1049" t="s">
        <v>241</v>
      </c>
      <c r="B4" s="1050" t="s">
        <v>1565</v>
      </c>
      <c r="C4" s="1053" t="s">
        <v>1566</v>
      </c>
      <c r="D4" s="113" t="s">
        <v>1567</v>
      </c>
      <c r="E4" s="1053" t="s">
        <v>1568</v>
      </c>
      <c r="F4" s="113" t="s">
        <v>1569</v>
      </c>
      <c r="G4" s="1053" t="s">
        <v>1570</v>
      </c>
      <c r="H4" s="113" t="s">
        <v>230</v>
      </c>
      <c r="I4" s="1053" t="s">
        <v>230</v>
      </c>
      <c r="K4" s="1096"/>
    </row>
    <row r="5" spans="1:13" ht="15" customHeight="1">
      <c r="A5" s="1049"/>
      <c r="B5" s="1050"/>
      <c r="C5" s="1051">
        <v>10000</v>
      </c>
      <c r="D5" s="348">
        <v>50000</v>
      </c>
      <c r="E5" s="1051">
        <v>100000</v>
      </c>
      <c r="F5" s="348">
        <v>500000</v>
      </c>
      <c r="G5" s="1051">
        <v>500000</v>
      </c>
      <c r="H5" s="1097" t="s">
        <v>1595</v>
      </c>
      <c r="I5" s="1098" t="s">
        <v>1596</v>
      </c>
      <c r="K5" s="1096"/>
    </row>
    <row r="6" spans="1:13" ht="15" customHeight="1">
      <c r="A6" s="1049"/>
      <c r="B6" s="1050"/>
      <c r="C6" s="1053"/>
      <c r="D6" s="113"/>
      <c r="E6" s="1053"/>
      <c r="F6" s="113"/>
      <c r="G6" s="1053"/>
      <c r="H6" s="113"/>
      <c r="I6" s="1098" t="s">
        <v>1597</v>
      </c>
      <c r="K6" s="4"/>
    </row>
    <row r="7" spans="1:13" ht="18" customHeight="1">
      <c r="A7" s="1054"/>
      <c r="B7" s="1055"/>
      <c r="C7" s="1056"/>
      <c r="D7" s="117"/>
      <c r="E7" s="1056"/>
      <c r="F7" s="117"/>
      <c r="G7" s="1056"/>
      <c r="H7" s="117"/>
      <c r="I7" s="1056"/>
      <c r="K7" s="1099"/>
    </row>
    <row r="8" spans="1:13" ht="2.25" customHeight="1" thickBot="1">
      <c r="A8" s="1058">
        <v>1996</v>
      </c>
      <c r="B8" s="1100">
        <v>2.0177619127218216E-2</v>
      </c>
      <c r="C8" s="1101">
        <v>1.2597566015413125E-2</v>
      </c>
      <c r="D8" s="657">
        <v>7.1120514742348845E-2</v>
      </c>
      <c r="E8" s="1101">
        <v>5.3778502452829641E-2</v>
      </c>
      <c r="F8" s="657">
        <v>0.36511082288179453</v>
      </c>
      <c r="G8" s="1101">
        <v>0.47721497478039565</v>
      </c>
      <c r="H8" s="657">
        <v>1</v>
      </c>
      <c r="I8" s="1102">
        <v>7232667</v>
      </c>
    </row>
    <row r="9" spans="1:13" ht="19.5" hidden="1" customHeight="1" thickBot="1">
      <c r="A9" s="1062">
        <v>1997</v>
      </c>
      <c r="B9" s="1103">
        <v>1.7402128744798396E-2</v>
      </c>
      <c r="C9" s="1104">
        <v>1.4513151507136559E-2</v>
      </c>
      <c r="D9" s="658">
        <v>8.0494622309686584E-2</v>
      </c>
      <c r="E9" s="1104">
        <v>3.5460102030395756E-2</v>
      </c>
      <c r="F9" s="658">
        <v>0.34210501223593653</v>
      </c>
      <c r="G9" s="1104">
        <v>0.51002498317204614</v>
      </c>
      <c r="H9" s="658">
        <v>1</v>
      </c>
      <c r="I9" s="1105">
        <v>7236471</v>
      </c>
      <c r="K9" s="9"/>
      <c r="L9" s="9"/>
      <c r="M9" s="9"/>
    </row>
    <row r="10" spans="1:13" ht="0.75" hidden="1" customHeight="1" thickBot="1">
      <c r="A10" s="1062">
        <v>1998</v>
      </c>
      <c r="B10" s="1103">
        <v>1.490840183853178E-2</v>
      </c>
      <c r="C10" s="1104">
        <v>1.032214600618327E-2</v>
      </c>
      <c r="D10" s="658">
        <v>7.6140816476353498E-2</v>
      </c>
      <c r="E10" s="1104">
        <v>5.6174768706983583E-2</v>
      </c>
      <c r="F10" s="658">
        <v>0.34220161255156173</v>
      </c>
      <c r="G10" s="1104">
        <v>0.50025225442038612</v>
      </c>
      <c r="H10" s="658">
        <v>1</v>
      </c>
      <c r="I10" s="1105">
        <v>7246652</v>
      </c>
    </row>
    <row r="11" spans="1:13" ht="19.75" hidden="1" customHeight="1" thickBot="1">
      <c r="A11" s="1062">
        <v>1999</v>
      </c>
      <c r="B11" s="1103">
        <v>1.1856091803011722E-2</v>
      </c>
      <c r="C11" s="1104">
        <v>1.2297050391416079E-2</v>
      </c>
      <c r="D11" s="658">
        <v>6.9524424924530884E-2</v>
      </c>
      <c r="E11" s="1104">
        <v>7.5584785910891711E-2</v>
      </c>
      <c r="F11" s="658">
        <v>0.360776059607258</v>
      </c>
      <c r="G11" s="1104">
        <v>0.46996158736289156</v>
      </c>
      <c r="H11" s="658">
        <v>1</v>
      </c>
      <c r="I11" s="1105">
        <v>7270524</v>
      </c>
    </row>
    <row r="12" spans="1:13" ht="19.75" hidden="1" customHeight="1" thickBot="1">
      <c r="A12" s="1062">
        <v>2000</v>
      </c>
      <c r="B12" s="1103">
        <v>1.0957985099474708E-2</v>
      </c>
      <c r="C12" s="1104">
        <v>1.2166775657859692E-2</v>
      </c>
      <c r="D12" s="658">
        <v>6.756095879031751E-2</v>
      </c>
      <c r="E12" s="1104">
        <v>8.7049575140813365E-2</v>
      </c>
      <c r="F12" s="658">
        <v>0.3644487016237738</v>
      </c>
      <c r="G12" s="1104">
        <v>0.45781600368776093</v>
      </c>
      <c r="H12" s="658">
        <v>1</v>
      </c>
      <c r="I12" s="1105">
        <v>7265113</v>
      </c>
    </row>
    <row r="13" spans="1:13" ht="20" hidden="1" customHeight="1" thickBot="1">
      <c r="A13" s="1062">
        <v>2001</v>
      </c>
      <c r="B13" s="1103">
        <v>9.7170954862656738E-3</v>
      </c>
      <c r="C13" s="1104">
        <v>8.4238568425089536E-3</v>
      </c>
      <c r="D13" s="658">
        <v>7.0587792166880103E-2</v>
      </c>
      <c r="E13" s="1104">
        <v>8.5394018668547678E-2</v>
      </c>
      <c r="F13" s="658">
        <v>0.38803350203052983</v>
      </c>
      <c r="G13" s="1104">
        <v>0.43784373480526773</v>
      </c>
      <c r="H13" s="658">
        <v>1</v>
      </c>
      <c r="I13" s="1105">
        <v>7301050</v>
      </c>
    </row>
    <row r="14" spans="1:13" ht="20" customHeight="1" thickBot="1">
      <c r="A14" s="1062">
        <v>2002</v>
      </c>
      <c r="B14" s="1103">
        <v>7.1399045507496896E-3</v>
      </c>
      <c r="C14" s="1104">
        <v>8.4501124357966827E-3</v>
      </c>
      <c r="D14" s="658">
        <v>8.2630643642516793E-2</v>
      </c>
      <c r="E14" s="1104">
        <v>8.6587817285975782E-2</v>
      </c>
      <c r="F14" s="658">
        <v>0.46525750220977596</v>
      </c>
      <c r="G14" s="1104">
        <v>0.34993401987518508</v>
      </c>
      <c r="H14" s="658">
        <v>1</v>
      </c>
      <c r="I14" s="1105">
        <v>7344636</v>
      </c>
    </row>
    <row r="15" spans="1:13" ht="20" customHeight="1" thickBot="1">
      <c r="A15" s="1062">
        <v>2003</v>
      </c>
      <c r="B15" s="1103">
        <v>7.150880180844566E-3</v>
      </c>
      <c r="C15" s="1104">
        <v>8.7914320736236836E-3</v>
      </c>
      <c r="D15" s="658">
        <v>9.1365786917605774E-2</v>
      </c>
      <c r="E15" s="1104">
        <v>9.1794541322986076E-2</v>
      </c>
      <c r="F15" s="658">
        <v>0.39422862118090168</v>
      </c>
      <c r="G15" s="1104">
        <v>0.40666873832403821</v>
      </c>
      <c r="H15" s="658">
        <v>1</v>
      </c>
      <c r="I15" s="1105">
        <v>7372519</v>
      </c>
    </row>
    <row r="16" spans="1:13" ht="20" customHeight="1" thickBot="1">
      <c r="A16" s="1062">
        <v>2004</v>
      </c>
      <c r="B16" s="1103">
        <v>7.7472964436898599E-3</v>
      </c>
      <c r="C16" s="1104">
        <v>9.9496072922614521E-3</v>
      </c>
      <c r="D16" s="658">
        <v>8.4360383162269723E-2</v>
      </c>
      <c r="E16" s="1104">
        <v>8.7130573562410135E-2</v>
      </c>
      <c r="F16" s="658">
        <v>0.4055192258310571</v>
      </c>
      <c r="G16" s="1104">
        <v>0.40529291370831172</v>
      </c>
      <c r="H16" s="658">
        <v>1</v>
      </c>
      <c r="I16" s="1105">
        <v>7383608</v>
      </c>
    </row>
    <row r="17" spans="1:9" ht="20" customHeight="1" thickBot="1">
      <c r="A17" s="1062">
        <v>2005</v>
      </c>
      <c r="B17" s="1103">
        <v>6.7133654607136909E-3</v>
      </c>
      <c r="C17" s="1104">
        <v>1.2687692501726945E-2</v>
      </c>
      <c r="D17" s="658">
        <v>6.1558517163579914E-2</v>
      </c>
      <c r="E17" s="1104">
        <v>7.6843120678933355E-2</v>
      </c>
      <c r="F17" s="658">
        <v>0.44768226437071562</v>
      </c>
      <c r="G17" s="1104">
        <v>0.39451503982433056</v>
      </c>
      <c r="H17" s="658">
        <v>1</v>
      </c>
      <c r="I17" s="1105">
        <v>7435865.1099999994</v>
      </c>
    </row>
    <row r="18" spans="1:9" ht="20" customHeight="1" thickBot="1">
      <c r="A18" s="1062">
        <v>2006</v>
      </c>
      <c r="B18" s="1103">
        <v>7.1853695026195359E-3</v>
      </c>
      <c r="C18" s="1104">
        <v>1.372064238505178E-2</v>
      </c>
      <c r="D18" s="658">
        <v>6.1945155197761226E-2</v>
      </c>
      <c r="E18" s="1104">
        <v>6.457386448023035E-2</v>
      </c>
      <c r="F18" s="658">
        <v>0.46584421080154392</v>
      </c>
      <c r="G18" s="1104">
        <v>0.38673075763279313</v>
      </c>
      <c r="H18" s="658">
        <v>1</v>
      </c>
      <c r="I18" s="1105">
        <v>7478426.8200000003</v>
      </c>
    </row>
    <row r="19" spans="1:9" ht="20" customHeight="1" thickBot="1">
      <c r="A19" s="1062">
        <v>2007</v>
      </c>
      <c r="B19" s="1103">
        <v>7.1980711154289783E-3</v>
      </c>
      <c r="C19" s="1104">
        <v>1.2343838327748843E-2</v>
      </c>
      <c r="D19" s="658">
        <v>6.7439082875348361E-2</v>
      </c>
      <c r="E19" s="1104">
        <v>7.4639267399113043E-2</v>
      </c>
      <c r="F19" s="658">
        <v>0.46148331085748551</v>
      </c>
      <c r="G19" s="1104">
        <v>0.37689642942487517</v>
      </c>
      <c r="H19" s="658">
        <v>1</v>
      </c>
      <c r="I19" s="1105">
        <v>7537587.3800000008</v>
      </c>
    </row>
    <row r="20" spans="1:9" ht="20" customHeight="1" thickBot="1">
      <c r="A20" s="1062">
        <v>2008</v>
      </c>
      <c r="B20" s="1103">
        <v>6.9627679229906266E-3</v>
      </c>
      <c r="C20" s="1104">
        <v>1.2572266289028763E-2</v>
      </c>
      <c r="D20" s="658">
        <v>5.983244585510189E-2</v>
      </c>
      <c r="E20" s="1104">
        <v>8.6450164267034141E-2</v>
      </c>
      <c r="F20" s="658">
        <v>0.47186244785894577</v>
      </c>
      <c r="G20" s="1104">
        <v>0.36231990780689871</v>
      </c>
      <c r="H20" s="658">
        <v>1</v>
      </c>
      <c r="I20" s="1105">
        <v>7615563.3200000012</v>
      </c>
    </row>
    <row r="21" spans="1:9" ht="20" customHeight="1" thickBot="1">
      <c r="A21" s="1062">
        <v>2009</v>
      </c>
      <c r="B21" s="1103">
        <v>6.3913502466724755E-3</v>
      </c>
      <c r="C21" s="1104">
        <v>9.8410456994261122E-3</v>
      </c>
      <c r="D21" s="658">
        <v>6.2372686693507221E-2</v>
      </c>
      <c r="E21" s="1104">
        <v>7.9508990308726282E-2</v>
      </c>
      <c r="F21" s="658">
        <v>0.49598894141884953</v>
      </c>
      <c r="G21" s="1104">
        <v>0.34589698563281829</v>
      </c>
      <c r="H21" s="658">
        <v>1</v>
      </c>
      <c r="I21" s="1105">
        <v>7708851.5100000007</v>
      </c>
    </row>
    <row r="22" spans="1:9" ht="20" customHeight="1" thickBot="1">
      <c r="A22" s="1062">
        <v>2010</v>
      </c>
      <c r="B22" s="1103">
        <v>5.7207975361098567E-3</v>
      </c>
      <c r="C22" s="1104">
        <v>9.3032219077996709E-3</v>
      </c>
      <c r="D22" s="658">
        <v>6.5866593411382734E-2</v>
      </c>
      <c r="E22" s="1104">
        <v>8.3353119647634463E-2</v>
      </c>
      <c r="F22" s="658">
        <v>0.42223916523240013</v>
      </c>
      <c r="G22" s="1104">
        <v>0.41351710226467314</v>
      </c>
      <c r="H22" s="658">
        <v>1</v>
      </c>
      <c r="I22" s="1105">
        <v>7779661.79</v>
      </c>
    </row>
    <row r="23" spans="1:9" ht="20" customHeight="1" thickBot="1">
      <c r="A23" s="1062">
        <v>2011</v>
      </c>
      <c r="B23" s="1103">
        <v>3.7567063861609906E-3</v>
      </c>
      <c r="C23" s="1104">
        <v>9.5105052831467238E-3</v>
      </c>
      <c r="D23" s="658">
        <v>4.0288220495756394E-2</v>
      </c>
      <c r="E23" s="1104">
        <v>2.1479441738656572E-2</v>
      </c>
      <c r="F23" s="658">
        <v>0.51493663214479735</v>
      </c>
      <c r="G23" s="1104">
        <v>0.41002849395148178</v>
      </c>
      <c r="H23" s="658">
        <v>1</v>
      </c>
      <c r="I23" s="1105">
        <v>7862770.4600000018</v>
      </c>
    </row>
    <row r="24" spans="1:9" ht="26.25" customHeight="1" thickBot="1">
      <c r="A24" s="1066">
        <v>2012</v>
      </c>
      <c r="B24" s="1106">
        <v>4.2861697681109753E-3</v>
      </c>
      <c r="C24" s="1107">
        <v>7.8754263047143194E-3</v>
      </c>
      <c r="D24" s="454">
        <v>4.0068195652905293E-2</v>
      </c>
      <c r="E24" s="1107">
        <v>2.1194152574099283E-2</v>
      </c>
      <c r="F24" s="454">
        <v>0.51816637024027934</v>
      </c>
      <c r="G24" s="1107">
        <v>0.4084096854598912</v>
      </c>
      <c r="H24" s="454">
        <v>1</v>
      </c>
      <c r="I24" s="1108">
        <v>7953357.3899999969</v>
      </c>
    </row>
    <row r="25" spans="1:9" ht="20" customHeight="1">
      <c r="A25" s="130" t="s">
        <v>396</v>
      </c>
      <c r="B25" s="354"/>
      <c r="C25" s="354"/>
      <c r="D25" s="354"/>
      <c r="E25" s="354"/>
      <c r="F25" s="354"/>
      <c r="G25" s="354"/>
      <c r="H25" s="354"/>
      <c r="I25" s="356"/>
    </row>
    <row r="26" spans="1:9" ht="13.5" customHeight="1">
      <c r="A26" s="131"/>
      <c r="B26" s="357"/>
      <c r="C26" s="357"/>
      <c r="D26" s="357"/>
      <c r="E26" s="357"/>
      <c r="F26" s="357"/>
      <c r="G26" s="357"/>
      <c r="H26" s="357"/>
      <c r="I26" s="358"/>
    </row>
    <row r="27" spans="1:9">
      <c r="A27" s="3" t="s">
        <v>1571</v>
      </c>
    </row>
    <row r="30" spans="1:9">
      <c r="A30" s="3" t="s">
        <v>395</v>
      </c>
    </row>
  </sheetData>
  <mergeCells count="1">
    <mergeCell ref="B3:G3"/>
  </mergeCells>
  <pageMargins left="0.53" right="0.61" top="1.03" bottom="0.49" header="0.56000000000000005" footer="0.4921259845"/>
  <pageSetup paperSize="9" scale="79" orientation="portrait" horizontalDpi="4294967292" verticalDpi="4294967292"/>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5AE3-33CD-5A42-B957-41F545976901}">
  <sheetPr>
    <pageSetUpPr fitToPage="1"/>
  </sheetPr>
  <dimension ref="A1:R42"/>
  <sheetViews>
    <sheetView topLeftCell="C1" zoomScaleNormal="100" workbookViewId="0">
      <selection activeCell="A3" sqref="A3"/>
    </sheetView>
  </sheetViews>
  <sheetFormatPr baseColWidth="10" defaultColWidth="11.3984375" defaultRowHeight="13"/>
  <cols>
    <col min="1" max="1" width="13.3984375" style="3" customWidth="1"/>
    <col min="2" max="2" width="11.3984375" style="3" customWidth="1"/>
    <col min="3" max="7" width="10.796875" style="3" customWidth="1"/>
    <col min="8" max="11" width="10.3984375" style="3" customWidth="1"/>
    <col min="12" max="13" width="11.3984375" style="3"/>
    <col min="14" max="14" width="11.59765625" style="3" customWidth="1"/>
    <col min="15" max="16384" width="11.3984375" style="3"/>
  </cols>
  <sheetData>
    <row r="1" spans="1:18" s="2" customFormat="1" ht="14" customHeight="1"/>
    <row r="2" spans="1:18" s="2" customFormat="1" ht="27.5" customHeight="1">
      <c r="A2" s="222" t="s">
        <v>885</v>
      </c>
      <c r="B2" s="328"/>
      <c r="C2" s="328"/>
      <c r="D2" s="328"/>
      <c r="E2" s="328"/>
      <c r="F2" s="328"/>
      <c r="G2" s="328"/>
      <c r="H2" s="328"/>
      <c r="I2" s="222"/>
      <c r="J2" s="222"/>
      <c r="K2" s="222"/>
      <c r="L2" s="222"/>
      <c r="M2" s="222"/>
      <c r="N2" s="222"/>
      <c r="O2" s="222"/>
      <c r="P2" s="222"/>
      <c r="Q2" s="222"/>
      <c r="R2" s="222"/>
    </row>
    <row r="3" spans="1:18" ht="24" customHeight="1">
      <c r="A3" s="344" t="s">
        <v>426</v>
      </c>
      <c r="B3" s="114">
        <v>1996</v>
      </c>
      <c r="C3" s="113">
        <v>1997</v>
      </c>
      <c r="D3" s="114">
        <v>1998</v>
      </c>
      <c r="E3" s="345">
        <v>1999</v>
      </c>
      <c r="F3" s="346">
        <v>2000</v>
      </c>
      <c r="G3" s="113">
        <v>2001</v>
      </c>
      <c r="H3" s="114">
        <v>2002</v>
      </c>
      <c r="I3" s="113">
        <v>2003</v>
      </c>
      <c r="J3" s="114">
        <v>2004</v>
      </c>
      <c r="K3" s="113">
        <v>2005</v>
      </c>
      <c r="L3" s="114">
        <v>2006</v>
      </c>
      <c r="M3" s="113">
        <v>2007</v>
      </c>
      <c r="N3" s="114">
        <v>2008</v>
      </c>
      <c r="O3" s="113">
        <v>2009</v>
      </c>
      <c r="P3" s="114">
        <v>2010</v>
      </c>
      <c r="Q3" s="113">
        <v>2011</v>
      </c>
      <c r="R3" s="114">
        <v>2012</v>
      </c>
    </row>
    <row r="4" spans="1:18" ht="15" customHeight="1">
      <c r="A4" s="347"/>
      <c r="B4" s="114"/>
      <c r="C4" s="113"/>
      <c r="D4" s="114"/>
      <c r="E4" s="348"/>
      <c r="F4" s="115"/>
      <c r="G4" s="113"/>
      <c r="H4" s="114"/>
      <c r="I4" s="113"/>
      <c r="J4" s="114"/>
      <c r="K4" s="113"/>
      <c r="L4" s="114"/>
      <c r="M4" s="113"/>
      <c r="N4" s="114"/>
      <c r="O4" s="113"/>
      <c r="P4" s="114"/>
      <c r="Q4" s="113"/>
      <c r="R4" s="114"/>
    </row>
    <row r="5" spans="1:18" ht="16" customHeight="1">
      <c r="A5" s="349"/>
      <c r="B5" s="118"/>
      <c r="C5" s="117"/>
      <c r="D5" s="118"/>
      <c r="E5" s="330"/>
      <c r="F5" s="119"/>
      <c r="G5" s="117"/>
      <c r="H5" s="118"/>
      <c r="I5" s="117"/>
      <c r="J5" s="118"/>
      <c r="K5" s="117"/>
      <c r="L5" s="118"/>
      <c r="M5" s="117"/>
      <c r="N5" s="118"/>
      <c r="O5" s="117"/>
      <c r="P5" s="118"/>
      <c r="Q5" s="117"/>
      <c r="R5" s="118"/>
    </row>
    <row r="6" spans="1:18" ht="30" customHeight="1" thickBot="1">
      <c r="A6" s="350" t="s">
        <v>434</v>
      </c>
      <c r="B6" s="321">
        <v>1199.2165</v>
      </c>
      <c r="C6" s="320">
        <v>1199.4290000000001</v>
      </c>
      <c r="D6" s="321">
        <v>1207.0740000000001</v>
      </c>
      <c r="E6" s="320">
        <v>1216.8320000000001</v>
      </c>
      <c r="F6" s="321">
        <v>1223.231</v>
      </c>
      <c r="G6" s="320">
        <v>1239.626</v>
      </c>
      <c r="H6" s="133">
        <v>1250.672</v>
      </c>
      <c r="I6" s="132">
        <v>1258.383</v>
      </c>
      <c r="J6" s="133">
        <v>1266.164</v>
      </c>
      <c r="K6" s="132">
        <v>1274.5540000000001</v>
      </c>
      <c r="L6" s="133">
        <v>1284.816</v>
      </c>
      <c r="M6" s="132">
        <v>1294.1980000000001</v>
      </c>
      <c r="N6" s="133">
        <v>1316.357</v>
      </c>
      <c r="O6" s="132">
        <v>1340.59105</v>
      </c>
      <c r="P6" s="133">
        <v>1355.9901</v>
      </c>
      <c r="Q6" s="132">
        <v>1374.0552</v>
      </c>
      <c r="R6" s="133">
        <v>1393.46992</v>
      </c>
    </row>
    <row r="7" spans="1:18" ht="20" customHeight="1" thickBot="1">
      <c r="A7" s="351" t="s">
        <v>435</v>
      </c>
      <c r="B7" s="135">
        <v>954.42533333333336</v>
      </c>
      <c r="C7" s="134">
        <v>955.745</v>
      </c>
      <c r="D7" s="135">
        <v>956.16700000000003</v>
      </c>
      <c r="E7" s="134">
        <v>958.23900000000003</v>
      </c>
      <c r="F7" s="135">
        <v>954.48099999999999</v>
      </c>
      <c r="G7" s="134">
        <v>952.85</v>
      </c>
      <c r="H7" s="133">
        <v>954.625</v>
      </c>
      <c r="I7" s="132">
        <v>957.29200000000003</v>
      </c>
      <c r="J7" s="133">
        <v>958.36199999999997</v>
      </c>
      <c r="K7" s="132">
        <v>958.48299999999995</v>
      </c>
      <c r="L7" s="133">
        <v>959.95899999999995</v>
      </c>
      <c r="M7" s="132">
        <v>957.92399999999998</v>
      </c>
      <c r="N7" s="133">
        <v>962.11</v>
      </c>
      <c r="O7" s="132">
        <v>971.65823</v>
      </c>
      <c r="P7" s="133">
        <v>976.29255000000001</v>
      </c>
      <c r="Q7" s="132">
        <v>981.41813000000002</v>
      </c>
      <c r="R7" s="133">
        <v>986.32661000000019</v>
      </c>
    </row>
    <row r="8" spans="1:18" ht="20" customHeight="1" thickBot="1">
      <c r="A8" s="351" t="s">
        <v>436</v>
      </c>
      <c r="B8" s="135">
        <v>355.20933333333329</v>
      </c>
      <c r="C8" s="134">
        <v>348.89299999999997</v>
      </c>
      <c r="D8" s="135">
        <v>350.06599999999997</v>
      </c>
      <c r="E8" s="134">
        <v>352.411</v>
      </c>
      <c r="F8" s="135">
        <v>353.15</v>
      </c>
      <c r="G8" s="134">
        <v>354.15800000000002</v>
      </c>
      <c r="H8" s="133">
        <v>355.97699999999998</v>
      </c>
      <c r="I8" s="132">
        <v>357.26400000000001</v>
      </c>
      <c r="J8" s="133">
        <v>357.85</v>
      </c>
      <c r="K8" s="132">
        <v>359.13200000000001</v>
      </c>
      <c r="L8" s="133">
        <v>360.56599999999997</v>
      </c>
      <c r="M8" s="132">
        <v>362.70699999999999</v>
      </c>
      <c r="N8" s="133">
        <v>367.20100000000002</v>
      </c>
      <c r="O8" s="132">
        <v>373.03219000000001</v>
      </c>
      <c r="P8" s="133">
        <v>376.34426000000002</v>
      </c>
      <c r="Q8" s="132">
        <v>380.53512000000001</v>
      </c>
      <c r="R8" s="133">
        <v>385.10871000000009</v>
      </c>
    </row>
    <row r="9" spans="1:18" ht="20" customHeight="1" thickBot="1">
      <c r="A9" s="351" t="s">
        <v>437</v>
      </c>
      <c r="B9" s="135">
        <v>36.368000000000002</v>
      </c>
      <c r="C9" s="134">
        <v>36.186</v>
      </c>
      <c r="D9" s="135">
        <v>36.098999999999997</v>
      </c>
      <c r="E9" s="134">
        <v>35.978999999999999</v>
      </c>
      <c r="F9" s="135">
        <v>35.866999999999997</v>
      </c>
      <c r="G9" s="134">
        <v>35.615000000000002</v>
      </c>
      <c r="H9" s="133">
        <v>35.512999999999998</v>
      </c>
      <c r="I9" s="132">
        <v>35.411000000000001</v>
      </c>
      <c r="J9" s="133">
        <v>35.371000000000002</v>
      </c>
      <c r="K9" s="132">
        <v>35.234999999999999</v>
      </c>
      <c r="L9" s="133">
        <v>35.198</v>
      </c>
      <c r="M9" s="132">
        <v>34.997</v>
      </c>
      <c r="N9" s="133">
        <v>35.139000000000003</v>
      </c>
      <c r="O9" s="132">
        <v>35.467970000000001</v>
      </c>
      <c r="P9" s="133">
        <v>35.459830000000004</v>
      </c>
      <c r="Q9" s="132">
        <v>35.56306</v>
      </c>
      <c r="R9" s="133">
        <v>35.759550000000011</v>
      </c>
    </row>
    <row r="10" spans="1:18" ht="20" customHeight="1" thickBot="1">
      <c r="A10" s="351" t="s">
        <v>438</v>
      </c>
      <c r="B10" s="135">
        <v>123.14033333333333</v>
      </c>
      <c r="C10" s="134">
        <v>125.687</v>
      </c>
      <c r="D10" s="135">
        <v>126.86</v>
      </c>
      <c r="E10" s="134">
        <v>128.81</v>
      </c>
      <c r="F10" s="135">
        <v>129.66300000000001</v>
      </c>
      <c r="G10" s="134">
        <v>131.005</v>
      </c>
      <c r="H10" s="133">
        <v>132.84700000000001</v>
      </c>
      <c r="I10" s="132">
        <v>134.74299999999999</v>
      </c>
      <c r="J10" s="133">
        <v>136.28</v>
      </c>
      <c r="K10" s="132">
        <v>137.24100000000001</v>
      </c>
      <c r="L10" s="133">
        <v>138.61500000000001</v>
      </c>
      <c r="M10" s="132">
        <v>139.95599999999999</v>
      </c>
      <c r="N10" s="133">
        <v>142.45699999999999</v>
      </c>
      <c r="O10" s="132">
        <v>144.71596</v>
      </c>
      <c r="P10" s="133">
        <v>146.07723999999999</v>
      </c>
      <c r="Q10" s="132">
        <v>147.38660999999999</v>
      </c>
      <c r="R10" s="133">
        <v>149.17407000000003</v>
      </c>
    </row>
    <row r="11" spans="1:18" ht="20" customHeight="1" thickBot="1">
      <c r="A11" s="351" t="s">
        <v>439</v>
      </c>
      <c r="B11" s="135">
        <v>31.320666666666668</v>
      </c>
      <c r="C11" s="134">
        <v>32.598999999999997</v>
      </c>
      <c r="D11" s="135">
        <v>32.813000000000002</v>
      </c>
      <c r="E11" s="134">
        <v>33.084000000000003</v>
      </c>
      <c r="F11" s="135">
        <v>33.305</v>
      </c>
      <c r="G11" s="134">
        <v>33.408000000000001</v>
      </c>
      <c r="H11" s="133">
        <v>33.604999999999997</v>
      </c>
      <c r="I11" s="132">
        <v>33.81</v>
      </c>
      <c r="J11" s="133">
        <v>33.92</v>
      </c>
      <c r="K11" s="132">
        <v>33.914000000000001</v>
      </c>
      <c r="L11" s="133">
        <v>34.131999999999998</v>
      </c>
      <c r="M11" s="132">
        <v>34.375</v>
      </c>
      <c r="N11" s="133">
        <v>34.761000000000003</v>
      </c>
      <c r="O11" s="132">
        <v>35.340879999999999</v>
      </c>
      <c r="P11" s="133">
        <v>35.846150000000002</v>
      </c>
      <c r="Q11" s="132">
        <v>36.11777</v>
      </c>
      <c r="R11" s="133">
        <v>36.546560000000007</v>
      </c>
    </row>
    <row r="12" spans="1:18" ht="20" customHeight="1" thickBot="1">
      <c r="A12" s="351" t="s">
        <v>440</v>
      </c>
      <c r="B12" s="135">
        <v>35.374666666666663</v>
      </c>
      <c r="C12" s="134">
        <v>36.639000000000003</v>
      </c>
      <c r="D12" s="135">
        <v>37.06</v>
      </c>
      <c r="E12" s="134">
        <v>37.383000000000003</v>
      </c>
      <c r="F12" s="135">
        <v>37.726999999999997</v>
      </c>
      <c r="G12" s="134">
        <v>38.101999999999997</v>
      </c>
      <c r="H12" s="133">
        <v>38.57</v>
      </c>
      <c r="I12" s="132">
        <v>38.756999999999998</v>
      </c>
      <c r="J12" s="133">
        <v>39.061</v>
      </c>
      <c r="K12" s="132">
        <v>39.344000000000001</v>
      </c>
      <c r="L12" s="133">
        <v>39.613</v>
      </c>
      <c r="M12" s="132">
        <v>39.749000000000002</v>
      </c>
      <c r="N12" s="133">
        <v>40.006999999999998</v>
      </c>
      <c r="O12" s="132">
        <v>40.48612</v>
      </c>
      <c r="P12" s="133">
        <v>40.618650000000002</v>
      </c>
      <c r="Q12" s="132">
        <v>40.89772</v>
      </c>
      <c r="R12" s="133">
        <v>41.184699999999992</v>
      </c>
    </row>
    <row r="13" spans="1:18" ht="20" customHeight="1" thickBot="1">
      <c r="A13" s="351" t="s">
        <v>441</v>
      </c>
      <c r="B13" s="135">
        <v>40.003999999999998</v>
      </c>
      <c r="C13" s="134">
        <v>39.656999999999996</v>
      </c>
      <c r="D13" s="135">
        <v>39.433999999999997</v>
      </c>
      <c r="E13" s="134">
        <v>39.328000000000003</v>
      </c>
      <c r="F13" s="135">
        <v>38.896000000000001</v>
      </c>
      <c r="G13" s="134">
        <v>38.71</v>
      </c>
      <c r="H13" s="133">
        <v>38.902000000000001</v>
      </c>
      <c r="I13" s="132">
        <v>38.851999999999997</v>
      </c>
      <c r="J13" s="133">
        <v>38.762</v>
      </c>
      <c r="K13" s="132">
        <v>38.53</v>
      </c>
      <c r="L13" s="133">
        <v>38.357999999999997</v>
      </c>
      <c r="M13" s="132">
        <v>38.159999999999997</v>
      </c>
      <c r="N13" s="133">
        <v>38.316000000000003</v>
      </c>
      <c r="O13" s="132">
        <v>38.635449999999999</v>
      </c>
      <c r="P13" s="133">
        <v>38.770910000000001</v>
      </c>
      <c r="Q13" s="132">
        <v>39.196379999999998</v>
      </c>
      <c r="R13" s="133">
        <v>39.606700000000018</v>
      </c>
    </row>
    <row r="14" spans="1:18" ht="20" customHeight="1" thickBot="1">
      <c r="A14" s="351" t="s">
        <v>442</v>
      </c>
      <c r="B14" s="135">
        <v>93.447500000000005</v>
      </c>
      <c r="C14" s="134">
        <v>94.822999999999993</v>
      </c>
      <c r="D14" s="135">
        <v>96.433999999999997</v>
      </c>
      <c r="E14" s="134">
        <v>97.8</v>
      </c>
      <c r="F14" s="135">
        <v>98.813000000000002</v>
      </c>
      <c r="G14" s="134">
        <v>99.87</v>
      </c>
      <c r="H14" s="133">
        <v>101.169</v>
      </c>
      <c r="I14" s="132">
        <v>102.21</v>
      </c>
      <c r="J14" s="133">
        <v>103.786</v>
      </c>
      <c r="K14" s="132">
        <v>105.4</v>
      </c>
      <c r="L14" s="133">
        <v>106.727</v>
      </c>
      <c r="M14" s="132">
        <v>107.822</v>
      </c>
      <c r="N14" s="133">
        <v>109.42</v>
      </c>
      <c r="O14" s="132">
        <v>110.83247</v>
      </c>
      <c r="P14" s="133">
        <v>111.85171000000001</v>
      </c>
      <c r="Q14" s="132">
        <v>113.90156</v>
      </c>
      <c r="R14" s="133">
        <v>115.61913</v>
      </c>
    </row>
    <row r="15" spans="1:18" ht="20" customHeight="1" thickBot="1">
      <c r="A15" s="351" t="s">
        <v>443</v>
      </c>
      <c r="B15" s="135">
        <v>230.77500000000001</v>
      </c>
      <c r="C15" s="134">
        <v>232.33199999999999</v>
      </c>
      <c r="D15" s="135">
        <v>234.69200000000001</v>
      </c>
      <c r="E15" s="134">
        <v>237.166</v>
      </c>
      <c r="F15" s="135">
        <v>238.928</v>
      </c>
      <c r="G15" s="134">
        <v>240.34899999999999</v>
      </c>
      <c r="H15" s="133">
        <v>243.904</v>
      </c>
      <c r="I15" s="132">
        <v>247.29599999999999</v>
      </c>
      <c r="J15" s="133">
        <v>250.41499999999999</v>
      </c>
      <c r="K15" s="132">
        <v>253.935</v>
      </c>
      <c r="L15" s="133">
        <v>259.53100000000001</v>
      </c>
      <c r="M15" s="132">
        <v>262.267</v>
      </c>
      <c r="N15" s="133">
        <v>267.50599999999997</v>
      </c>
      <c r="O15" s="132">
        <v>271.45028000000002</v>
      </c>
      <c r="P15" s="133">
        <v>275.94372999999996</v>
      </c>
      <c r="Q15" s="132">
        <v>281.69963000000001</v>
      </c>
      <c r="R15" s="133">
        <v>288.55584999999991</v>
      </c>
    </row>
    <row r="16" spans="1:18" ht="20" customHeight="1" thickBot="1">
      <c r="A16" s="351" t="s">
        <v>444</v>
      </c>
      <c r="B16" s="135">
        <v>243.12833333333333</v>
      </c>
      <c r="C16" s="134">
        <v>246.23500000000001</v>
      </c>
      <c r="D16" s="135">
        <v>247.476</v>
      </c>
      <c r="E16" s="134">
        <v>247.21600000000001</v>
      </c>
      <c r="F16" s="135">
        <v>247.09200000000001</v>
      </c>
      <c r="G16" s="134">
        <v>246.81299999999999</v>
      </c>
      <c r="H16" s="133">
        <v>247.749</v>
      </c>
      <c r="I16" s="132">
        <v>248.85599999999999</v>
      </c>
      <c r="J16" s="133">
        <v>249.40299999999999</v>
      </c>
      <c r="K16" s="132">
        <v>249.66800000000001</v>
      </c>
      <c r="L16" s="133">
        <v>250.441</v>
      </c>
      <c r="M16" s="132">
        <v>250.59800000000001</v>
      </c>
      <c r="N16" s="133">
        <v>252.36</v>
      </c>
      <c r="O16" s="132">
        <v>254.99254000000002</v>
      </c>
      <c r="P16" s="133">
        <v>256.14870000000002</v>
      </c>
      <c r="Q16" s="132">
        <v>257.90082000000001</v>
      </c>
      <c r="R16" s="133">
        <v>259.64493999999996</v>
      </c>
    </row>
    <row r="17" spans="1:18" ht="20" customHeight="1" thickBot="1">
      <c r="A17" s="351" t="s">
        <v>445</v>
      </c>
      <c r="B17" s="135">
        <v>202.74700000000001</v>
      </c>
      <c r="C17" s="134">
        <v>197.077</v>
      </c>
      <c r="D17" s="135">
        <v>191.46899999999999</v>
      </c>
      <c r="E17" s="134">
        <v>189.38900000000001</v>
      </c>
      <c r="F17" s="135">
        <v>186.785</v>
      </c>
      <c r="G17" s="134">
        <v>185.79499999999999</v>
      </c>
      <c r="H17" s="133">
        <v>185.3</v>
      </c>
      <c r="I17" s="132">
        <v>183.86500000000001</v>
      </c>
      <c r="J17" s="133">
        <v>183.321</v>
      </c>
      <c r="K17" s="132">
        <v>182.30600000000001</v>
      </c>
      <c r="L17" s="133">
        <v>179.208</v>
      </c>
      <c r="M17" s="132">
        <v>178.434</v>
      </c>
      <c r="N17" s="133">
        <v>179.02199999999999</v>
      </c>
      <c r="O17" s="132">
        <v>176.78048999999999</v>
      </c>
      <c r="P17" s="133">
        <v>177.93715</v>
      </c>
      <c r="Q17" s="132">
        <v>179.96482999999998</v>
      </c>
      <c r="R17" s="133">
        <v>180.25489999999999</v>
      </c>
    </row>
    <row r="18" spans="1:18" ht="20" customHeight="1" thickBot="1">
      <c r="A18" s="351" t="s">
        <v>446</v>
      </c>
      <c r="B18" s="135">
        <v>253.10658333333333</v>
      </c>
      <c r="C18" s="134">
        <v>257.21300000000002</v>
      </c>
      <c r="D18" s="135">
        <v>259.18</v>
      </c>
      <c r="E18" s="134">
        <v>260.99099999999999</v>
      </c>
      <c r="F18" s="135">
        <v>261.58999999999997</v>
      </c>
      <c r="G18" s="134">
        <v>262.416</v>
      </c>
      <c r="H18" s="133">
        <v>263.71300000000002</v>
      </c>
      <c r="I18" s="132">
        <v>265.19299999999998</v>
      </c>
      <c r="J18" s="133">
        <v>265.84899999999999</v>
      </c>
      <c r="K18" s="132">
        <v>266.108</v>
      </c>
      <c r="L18" s="133">
        <v>267.05399999999997</v>
      </c>
      <c r="M18" s="132">
        <v>267.55099999999999</v>
      </c>
      <c r="N18" s="133">
        <v>269.89800000000002</v>
      </c>
      <c r="O18" s="132">
        <v>271.36428000000001</v>
      </c>
      <c r="P18" s="133">
        <v>272.59865000000002</v>
      </c>
      <c r="Q18" s="132">
        <v>272.86408</v>
      </c>
      <c r="R18" s="133">
        <v>275.0465200000001</v>
      </c>
    </row>
    <row r="19" spans="1:18" ht="20" customHeight="1" thickBot="1">
      <c r="A19" s="351" t="s">
        <v>447</v>
      </c>
      <c r="B19" s="135">
        <v>75.640500000000003</v>
      </c>
      <c r="C19" s="134">
        <v>75.384</v>
      </c>
      <c r="D19" s="135">
        <v>75.146000000000001</v>
      </c>
      <c r="E19" s="134">
        <v>75.436999999999998</v>
      </c>
      <c r="F19" s="135">
        <v>75.233999999999995</v>
      </c>
      <c r="G19" s="134">
        <v>74.863</v>
      </c>
      <c r="H19" s="133">
        <v>75.316999999999993</v>
      </c>
      <c r="I19" s="132">
        <v>75.382999999999996</v>
      </c>
      <c r="J19" s="133">
        <v>75.372</v>
      </c>
      <c r="K19" s="132">
        <v>75.081000000000003</v>
      </c>
      <c r="L19" s="133">
        <v>75.346000000000004</v>
      </c>
      <c r="M19" s="132">
        <v>75.5</v>
      </c>
      <c r="N19" s="133">
        <v>76.042000000000002</v>
      </c>
      <c r="O19" s="132">
        <v>75.37675999999999</v>
      </c>
      <c r="P19" s="133">
        <v>75.719740000000002</v>
      </c>
      <c r="Q19" s="132">
        <v>76.611449999999991</v>
      </c>
      <c r="R19" s="133">
        <v>77.368599999999986</v>
      </c>
    </row>
    <row r="20" spans="1:18" ht="20" customHeight="1" thickBot="1">
      <c r="A20" s="351" t="s">
        <v>448</v>
      </c>
      <c r="B20" s="135">
        <v>54.664083333333338</v>
      </c>
      <c r="C20" s="134">
        <v>55.189</v>
      </c>
      <c r="D20" s="135">
        <v>55.002000000000002</v>
      </c>
      <c r="E20" s="134">
        <v>54.866999999999997</v>
      </c>
      <c r="F20" s="135">
        <v>54.45</v>
      </c>
      <c r="G20" s="134">
        <v>54.061999999999998</v>
      </c>
      <c r="H20" s="133">
        <v>53.828000000000003</v>
      </c>
      <c r="I20" s="132">
        <v>53.734000000000002</v>
      </c>
      <c r="J20" s="133">
        <v>53.587000000000003</v>
      </c>
      <c r="K20" s="132">
        <v>53.420999999999999</v>
      </c>
      <c r="L20" s="133">
        <v>53.225000000000001</v>
      </c>
      <c r="M20" s="132">
        <v>53.216999999999999</v>
      </c>
      <c r="N20" s="133">
        <v>53.39</v>
      </c>
      <c r="O20" s="132">
        <v>53.744680000000002</v>
      </c>
      <c r="P20" s="133">
        <v>53.657710000000002</v>
      </c>
      <c r="Q20" s="132">
        <v>53.875050000000002</v>
      </c>
      <c r="R20" s="133">
        <v>54.194279999999999</v>
      </c>
    </row>
    <row r="21" spans="1:18" ht="20" customHeight="1" thickBot="1">
      <c r="A21" s="351" t="s">
        <v>449</v>
      </c>
      <c r="B21" s="135">
        <v>14.972666666666665</v>
      </c>
      <c r="C21" s="134">
        <v>14.904999999999999</v>
      </c>
      <c r="D21" s="135">
        <v>14.901999999999999</v>
      </c>
      <c r="E21" s="134">
        <v>14.929</v>
      </c>
      <c r="F21" s="135">
        <v>14.948</v>
      </c>
      <c r="G21" s="134">
        <v>14.946999999999999</v>
      </c>
      <c r="H21" s="133">
        <v>14.945</v>
      </c>
      <c r="I21" s="132">
        <v>15.003</v>
      </c>
      <c r="J21" s="133">
        <v>14.996</v>
      </c>
      <c r="K21" s="132">
        <v>15.144</v>
      </c>
      <c r="L21" s="133">
        <v>15.295</v>
      </c>
      <c r="M21" s="132">
        <v>15.346</v>
      </c>
      <c r="N21" s="133">
        <v>15.446999999999999</v>
      </c>
      <c r="O21" s="132">
        <v>15.66264</v>
      </c>
      <c r="P21" s="133">
        <v>15.74004</v>
      </c>
      <c r="Q21" s="132">
        <v>15.76609</v>
      </c>
      <c r="R21" s="133">
        <v>15.936000000000002</v>
      </c>
    </row>
    <row r="22" spans="1:18" ht="20" customHeight="1" thickBot="1">
      <c r="A22" s="351" t="s">
        <v>450</v>
      </c>
      <c r="B22" s="135">
        <v>449.49908333333332</v>
      </c>
      <c r="C22" s="134">
        <v>450.69400000000002</v>
      </c>
      <c r="D22" s="135">
        <v>451.858</v>
      </c>
      <c r="E22" s="134">
        <v>453.88799999999998</v>
      </c>
      <c r="F22" s="135">
        <v>454.75400000000002</v>
      </c>
      <c r="G22" s="134">
        <v>456.13200000000001</v>
      </c>
      <c r="H22" s="133">
        <v>459.04899999999998</v>
      </c>
      <c r="I22" s="132">
        <v>460.67099999999999</v>
      </c>
      <c r="J22" s="133">
        <v>461.89299999999997</v>
      </c>
      <c r="K22" s="132">
        <v>463.16300000000001</v>
      </c>
      <c r="L22" s="133">
        <v>464.71800000000002</v>
      </c>
      <c r="M22" s="132">
        <v>465.78500000000003</v>
      </c>
      <c r="N22" s="133">
        <v>469.53399999999999</v>
      </c>
      <c r="O22" s="132">
        <v>475.36358000000001</v>
      </c>
      <c r="P22" s="133">
        <v>477.90467999999998</v>
      </c>
      <c r="Q22" s="132">
        <v>481.6918</v>
      </c>
      <c r="R22" s="133">
        <v>485.94071000000002</v>
      </c>
    </row>
    <row r="23" spans="1:18" ht="20" customHeight="1" thickBot="1">
      <c r="A23" s="351" t="s">
        <v>451</v>
      </c>
      <c r="B23" s="135">
        <v>195.83291666666665</v>
      </c>
      <c r="C23" s="134">
        <v>196.34399999999999</v>
      </c>
      <c r="D23" s="135">
        <v>196.63800000000001</v>
      </c>
      <c r="E23" s="134">
        <v>195.31700000000001</v>
      </c>
      <c r="F23" s="135">
        <v>194.374</v>
      </c>
      <c r="G23" s="134">
        <v>193.68600000000001</v>
      </c>
      <c r="H23" s="133">
        <v>193.352</v>
      </c>
      <c r="I23" s="132">
        <v>193.339</v>
      </c>
      <c r="J23" s="133">
        <v>194.1</v>
      </c>
      <c r="K23" s="132">
        <v>193.43600000000001</v>
      </c>
      <c r="L23" s="133">
        <v>193.59899999999999</v>
      </c>
      <c r="M23" s="132">
        <v>193.40799999999999</v>
      </c>
      <c r="N23" s="133">
        <v>194.27500000000001</v>
      </c>
      <c r="O23" s="132">
        <v>196.24875</v>
      </c>
      <c r="P23" s="133">
        <v>196.63335999999998</v>
      </c>
      <c r="Q23" s="132">
        <v>197.31997000000001</v>
      </c>
      <c r="R23" s="133">
        <v>197.38124999999997</v>
      </c>
    </row>
    <row r="24" spans="1:18" ht="20" customHeight="1" thickBot="1">
      <c r="A24" s="351" t="s">
        <v>452</v>
      </c>
      <c r="B24" s="135">
        <v>540.04</v>
      </c>
      <c r="C24" s="134">
        <v>542.14499999999998</v>
      </c>
      <c r="D24" s="135">
        <v>550.46100000000001</v>
      </c>
      <c r="E24" s="134">
        <v>554.57299999999998</v>
      </c>
      <c r="F24" s="135">
        <v>557.72799999999995</v>
      </c>
      <c r="G24" s="134">
        <v>562.72799999999995</v>
      </c>
      <c r="H24" s="133">
        <v>562.63</v>
      </c>
      <c r="I24" s="132">
        <v>566.22799999999995</v>
      </c>
      <c r="J24" s="133">
        <v>569.89400000000001</v>
      </c>
      <c r="K24" s="132">
        <v>574.06299999999999</v>
      </c>
      <c r="L24" s="133">
        <v>579.03599999999994</v>
      </c>
      <c r="M24" s="132">
        <v>583.12900000000002</v>
      </c>
      <c r="N24" s="133">
        <v>591.77800000000002</v>
      </c>
      <c r="O24" s="132">
        <v>600.57432999999992</v>
      </c>
      <c r="P24" s="133">
        <v>608.50121999999999</v>
      </c>
      <c r="Q24" s="132">
        <v>617.22104999999999</v>
      </c>
      <c r="R24" s="133">
        <v>625.77284000000009</v>
      </c>
    </row>
    <row r="25" spans="1:18" ht="20" customHeight="1" thickBot="1">
      <c r="A25" s="351" t="s">
        <v>453</v>
      </c>
      <c r="B25" s="135">
        <v>225.32208333333335</v>
      </c>
      <c r="C25" s="134">
        <v>228.715</v>
      </c>
      <c r="D25" s="135">
        <v>228.94</v>
      </c>
      <c r="E25" s="134">
        <v>229.971</v>
      </c>
      <c r="F25" s="135">
        <v>230.22399999999999</v>
      </c>
      <c r="G25" s="134">
        <v>230.393</v>
      </c>
      <c r="H25" s="133">
        <v>231.392</v>
      </c>
      <c r="I25" s="132">
        <v>232.79499999999999</v>
      </c>
      <c r="J25" s="133">
        <v>234.13800000000001</v>
      </c>
      <c r="K25" s="132">
        <v>235.44399999999999</v>
      </c>
      <c r="L25" s="133">
        <v>237.23400000000001</v>
      </c>
      <c r="M25" s="132">
        <v>239.08799999999999</v>
      </c>
      <c r="N25" s="133">
        <v>241.78299999999999</v>
      </c>
      <c r="O25" s="132">
        <v>243.99333999999999</v>
      </c>
      <c r="P25" s="133">
        <v>246.87051</v>
      </c>
      <c r="Q25" s="132">
        <v>250.47754</v>
      </c>
      <c r="R25" s="133">
        <v>254.63635000000002</v>
      </c>
    </row>
    <row r="26" spans="1:18" ht="20" customHeight="1" thickBot="1">
      <c r="A26" s="351" t="s">
        <v>454</v>
      </c>
      <c r="B26" s="135">
        <v>306.31099999999998</v>
      </c>
      <c r="C26" s="134">
        <v>306.72800000000001</v>
      </c>
      <c r="D26" s="135">
        <v>307.84800000000001</v>
      </c>
      <c r="E26" s="134">
        <v>309.99</v>
      </c>
      <c r="F26" s="135">
        <v>311.14800000000002</v>
      </c>
      <c r="G26" s="134">
        <v>312.57</v>
      </c>
      <c r="H26" s="133">
        <v>314.11399999999998</v>
      </c>
      <c r="I26" s="132">
        <v>315.38600000000002</v>
      </c>
      <c r="J26" s="133">
        <v>316.26600000000002</v>
      </c>
      <c r="K26" s="132">
        <v>317.71800000000002</v>
      </c>
      <c r="L26" s="133">
        <v>319.35199999999998</v>
      </c>
      <c r="M26" s="132">
        <v>320.51299999999998</v>
      </c>
      <c r="N26" s="133">
        <v>323.81</v>
      </c>
      <c r="O26" s="132">
        <v>328.07989000000003</v>
      </c>
      <c r="P26" s="133">
        <v>330.74293999999998</v>
      </c>
      <c r="Q26" s="132">
        <v>333.78228000000001</v>
      </c>
      <c r="R26" s="133">
        <v>337.06745000000001</v>
      </c>
    </row>
    <row r="27" spans="1:18" ht="20" customHeight="1" thickBot="1">
      <c r="A27" s="351" t="s">
        <v>455</v>
      </c>
      <c r="B27" s="135">
        <v>609.37608333333333</v>
      </c>
      <c r="C27" s="134">
        <v>611.92499999999995</v>
      </c>
      <c r="D27" s="135">
        <v>614.37</v>
      </c>
      <c r="E27" s="134">
        <v>619.57500000000005</v>
      </c>
      <c r="F27" s="135">
        <v>622.42100000000005</v>
      </c>
      <c r="G27" s="134">
        <v>627.44399999999996</v>
      </c>
      <c r="H27" s="133">
        <v>632.399</v>
      </c>
      <c r="I27" s="132">
        <v>637.65099999999995</v>
      </c>
      <c r="J27" s="133">
        <v>641.82600000000002</v>
      </c>
      <c r="K27" s="132">
        <v>647.24900000000002</v>
      </c>
      <c r="L27" s="133">
        <v>652.99199999999996</v>
      </c>
      <c r="M27" s="132">
        <v>655.92200000000003</v>
      </c>
      <c r="N27" s="133">
        <v>667.79399999999998</v>
      </c>
      <c r="O27" s="132">
        <v>683.74242000000004</v>
      </c>
      <c r="P27" s="133">
        <v>694.01818000000003</v>
      </c>
      <c r="Q27" s="132">
        <v>704.99356999999998</v>
      </c>
      <c r="R27" s="133">
        <v>716.95339999999987</v>
      </c>
    </row>
    <row r="28" spans="1:18" ht="20" customHeight="1" thickBot="1">
      <c r="A28" s="351" t="s">
        <v>456</v>
      </c>
      <c r="B28" s="135">
        <v>280.20841666666666</v>
      </c>
      <c r="C28" s="134">
        <v>279.97500000000002</v>
      </c>
      <c r="D28" s="135">
        <v>281.10700000000003</v>
      </c>
      <c r="E28" s="134">
        <v>282.572</v>
      </c>
      <c r="F28" s="135">
        <v>283.197</v>
      </c>
      <c r="G28" s="134">
        <v>283.83499999999998</v>
      </c>
      <c r="H28" s="133">
        <v>286.911</v>
      </c>
      <c r="I28" s="132">
        <v>290.52699999999999</v>
      </c>
      <c r="J28" s="133">
        <v>293.16300000000001</v>
      </c>
      <c r="K28" s="132">
        <v>296.26100000000002</v>
      </c>
      <c r="L28" s="133">
        <v>298.85199999999998</v>
      </c>
      <c r="M28" s="132">
        <v>301.2</v>
      </c>
      <c r="N28" s="133">
        <v>304.78500000000003</v>
      </c>
      <c r="O28" s="132">
        <v>310.75857999999999</v>
      </c>
      <c r="P28" s="133">
        <v>314.26170999999999</v>
      </c>
      <c r="Q28" s="132">
        <v>318.73081999999999</v>
      </c>
      <c r="R28" s="133">
        <v>323.45080999999999</v>
      </c>
    </row>
    <row r="29" spans="1:18" ht="20" customHeight="1" thickBot="1">
      <c r="A29" s="351" t="s">
        <v>457</v>
      </c>
      <c r="B29" s="135">
        <v>169.14208333333335</v>
      </c>
      <c r="C29" s="134">
        <v>168.61799999999999</v>
      </c>
      <c r="D29" s="135">
        <v>168.59</v>
      </c>
      <c r="E29" s="134">
        <v>168.81800000000001</v>
      </c>
      <c r="F29" s="135">
        <v>168.33</v>
      </c>
      <c r="G29" s="134">
        <v>167.99</v>
      </c>
      <c r="H29" s="133">
        <v>168.66800000000001</v>
      </c>
      <c r="I29" s="132">
        <v>168.94800000000001</v>
      </c>
      <c r="J29" s="133">
        <v>168.94300000000001</v>
      </c>
      <c r="K29" s="132">
        <v>168.89500000000001</v>
      </c>
      <c r="L29" s="133">
        <v>169.613</v>
      </c>
      <c r="M29" s="132">
        <v>168.74100000000001</v>
      </c>
      <c r="N29" s="133">
        <v>169.809</v>
      </c>
      <c r="O29" s="132">
        <v>172.10722000000001</v>
      </c>
      <c r="P29" s="133">
        <v>172.70822000000001</v>
      </c>
      <c r="Q29" s="132">
        <v>173.22032000000002</v>
      </c>
      <c r="R29" s="133">
        <v>174.64082000000008</v>
      </c>
    </row>
    <row r="30" spans="1:18" ht="20" customHeight="1" thickBot="1">
      <c r="A30" s="351" t="s">
        <v>458</v>
      </c>
      <c r="B30" s="135">
        <v>380.8580833333333</v>
      </c>
      <c r="C30" s="134">
        <v>379.05900000000003</v>
      </c>
      <c r="D30" s="135">
        <v>381.58300000000003</v>
      </c>
      <c r="E30" s="134">
        <v>383.69299999999998</v>
      </c>
      <c r="F30" s="135">
        <v>385.67200000000003</v>
      </c>
      <c r="G30" s="134">
        <v>388.76</v>
      </c>
      <c r="H30" s="133">
        <v>395.952</v>
      </c>
      <c r="I30" s="132">
        <v>396.32100000000003</v>
      </c>
      <c r="J30" s="133">
        <v>399.34300000000002</v>
      </c>
      <c r="K30" s="132">
        <v>401.46300000000002</v>
      </c>
      <c r="L30" s="133">
        <v>405.673</v>
      </c>
      <c r="M30" s="132">
        <v>406.99299999999999</v>
      </c>
      <c r="N30" s="133">
        <v>410.08800000000002</v>
      </c>
      <c r="O30" s="132">
        <v>413.96478999999999</v>
      </c>
      <c r="P30" s="133">
        <v>418.44731999999999</v>
      </c>
      <c r="Q30" s="132">
        <v>422.68223999999998</v>
      </c>
      <c r="R30" s="133">
        <v>427.37702999999993</v>
      </c>
    </row>
    <row r="31" spans="1:18" ht="20" customHeight="1" thickBot="1">
      <c r="A31" s="351" t="s">
        <v>459</v>
      </c>
      <c r="B31" s="135">
        <v>70.374083333333331</v>
      </c>
      <c r="C31" s="134">
        <v>70.296000000000006</v>
      </c>
      <c r="D31" s="135">
        <v>70.322999999999993</v>
      </c>
      <c r="E31" s="134">
        <v>70.447000000000003</v>
      </c>
      <c r="F31" s="135">
        <v>70.241</v>
      </c>
      <c r="G31" s="134">
        <v>69.930999999999997</v>
      </c>
      <c r="H31" s="133">
        <v>70.010999999999996</v>
      </c>
      <c r="I31" s="132">
        <v>69.853999999999999</v>
      </c>
      <c r="J31" s="133">
        <v>69.667000000000002</v>
      </c>
      <c r="K31" s="132">
        <v>69.551000000000002</v>
      </c>
      <c r="L31" s="133">
        <v>69.576999999999998</v>
      </c>
      <c r="M31" s="132">
        <v>69.486999999999995</v>
      </c>
      <c r="N31" s="133">
        <v>69.778999999999996</v>
      </c>
      <c r="O31" s="132">
        <v>70.290589999999995</v>
      </c>
      <c r="P31" s="133">
        <v>70.550809999999998</v>
      </c>
      <c r="Q31" s="132">
        <v>70.867380000000011</v>
      </c>
      <c r="R31" s="133">
        <v>71.254999999999995</v>
      </c>
    </row>
    <row r="32" spans="1:18" ht="30" customHeight="1" thickBot="1">
      <c r="A32" s="352" t="s">
        <v>462</v>
      </c>
      <c r="B32" s="137">
        <v>7232.6670000000004</v>
      </c>
      <c r="C32" s="136">
        <v>7236.4709999999995</v>
      </c>
      <c r="D32" s="137">
        <v>7246.616</v>
      </c>
      <c r="E32" s="136">
        <v>7270.5219999999999</v>
      </c>
      <c r="F32" s="137">
        <v>7265.1130000000003</v>
      </c>
      <c r="G32" s="136">
        <v>7301.05</v>
      </c>
      <c r="H32" s="189">
        <v>7344.6319999999996</v>
      </c>
      <c r="I32" s="353">
        <v>7372.5050000000001</v>
      </c>
      <c r="J32" s="206">
        <v>7383.5739999999996</v>
      </c>
      <c r="K32" s="353">
        <v>7435.8649999999998</v>
      </c>
      <c r="L32" s="206">
        <v>7478.4268200000015</v>
      </c>
      <c r="M32" s="353">
        <v>7537.5873800000008</v>
      </c>
      <c r="N32" s="206">
        <v>7615.5633200000002</v>
      </c>
      <c r="O32" s="353">
        <v>7708.8515100000004</v>
      </c>
      <c r="P32" s="206">
        <v>7779.661790000001</v>
      </c>
      <c r="Q32" s="353">
        <v>7862.7704599999997</v>
      </c>
      <c r="R32" s="206">
        <v>7953.3577199999991</v>
      </c>
    </row>
    <row r="33" spans="1:8" ht="20" customHeight="1">
      <c r="A33" s="130" t="s">
        <v>396</v>
      </c>
      <c r="B33" s="354"/>
      <c r="C33" s="354"/>
      <c r="D33" s="354"/>
      <c r="E33" s="354"/>
      <c r="F33" s="355"/>
      <c r="G33" s="354"/>
      <c r="H33" s="356"/>
    </row>
    <row r="34" spans="1:8" ht="15.75" customHeight="1">
      <c r="A34" s="131"/>
      <c r="B34" s="357"/>
      <c r="C34" s="357"/>
      <c r="D34" s="357"/>
      <c r="E34" s="357"/>
      <c r="F34" s="357"/>
      <c r="G34" s="357"/>
      <c r="H34" s="358"/>
    </row>
    <row r="35" spans="1:8" ht="14.25" customHeight="1">
      <c r="A35" s="359" t="s">
        <v>886</v>
      </c>
      <c r="B35" s="357"/>
      <c r="C35" s="357"/>
      <c r="D35" s="357"/>
      <c r="E35" s="357"/>
      <c r="F35" s="357"/>
      <c r="G35" s="357"/>
      <c r="H35" s="358"/>
    </row>
    <row r="36" spans="1:8" ht="14.25" customHeight="1">
      <c r="A36" s="359" t="s">
        <v>887</v>
      </c>
      <c r="B36" s="357"/>
      <c r="C36" s="357"/>
      <c r="D36" s="357"/>
      <c r="E36" s="357"/>
      <c r="F36" s="357"/>
      <c r="G36" s="357"/>
      <c r="H36" s="358"/>
    </row>
    <row r="37" spans="1:8" ht="13.5" customHeight="1">
      <c r="A37" s="131"/>
      <c r="B37" s="357"/>
      <c r="C37" s="357"/>
      <c r="D37" s="357"/>
      <c r="E37" s="357"/>
      <c r="F37" s="357"/>
      <c r="G37" s="357"/>
      <c r="H37" s="358"/>
    </row>
    <row r="38" spans="1:8" ht="12.75" customHeight="1">
      <c r="A38" s="131" t="s">
        <v>477</v>
      </c>
      <c r="B38" s="357"/>
      <c r="C38" s="357"/>
      <c r="D38" s="357"/>
      <c r="E38" s="357"/>
      <c r="F38" s="357"/>
      <c r="G38" s="357"/>
      <c r="H38" s="358"/>
    </row>
    <row r="39" spans="1:8" ht="12.75" customHeight="1">
      <c r="A39" s="3" t="s">
        <v>479</v>
      </c>
      <c r="B39" s="357"/>
      <c r="C39" s="357"/>
      <c r="D39" s="357"/>
      <c r="E39" s="357"/>
      <c r="F39" s="357"/>
      <c r="G39" s="357"/>
      <c r="H39" s="358"/>
    </row>
    <row r="41" spans="1:8">
      <c r="A41" s="131"/>
    </row>
    <row r="42" spans="1:8">
      <c r="A42" s="131" t="s">
        <v>395</v>
      </c>
    </row>
  </sheetData>
  <pageMargins left="0.43307086614173229" right="0.47244094488188981" top="0.56000000000000005" bottom="0.47244094488188981" header="0.42" footer="0.51181102362204722"/>
  <pageSetup paperSize="9" scale="66" orientation="landscape"/>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4681-DD63-644E-B268-AABB3A2DC9D8}">
  <sheetPr>
    <pageSetUpPr fitToPage="1"/>
  </sheetPr>
  <dimension ref="A1:H12"/>
  <sheetViews>
    <sheetView workbookViewId="0">
      <selection activeCell="H3" sqref="H3:H9"/>
    </sheetView>
  </sheetViews>
  <sheetFormatPr baseColWidth="10" defaultColWidth="11.59765625" defaultRowHeight="13"/>
  <cols>
    <col min="1" max="1" width="5.59765625" style="758" customWidth="1"/>
    <col min="2" max="16384" width="11.59765625" style="758"/>
  </cols>
  <sheetData>
    <row r="1" spans="1:8" ht="16">
      <c r="A1" s="757" t="s">
        <v>1106</v>
      </c>
    </row>
    <row r="2" spans="1:8" ht="16">
      <c r="A2" s="757"/>
    </row>
    <row r="3" spans="1:8">
      <c r="A3" s="759">
        <v>12.01</v>
      </c>
      <c r="B3" s="64" t="s">
        <v>1107</v>
      </c>
      <c r="H3" s="760"/>
    </row>
    <row r="4" spans="1:8">
      <c r="A4" s="759">
        <v>12.02</v>
      </c>
      <c r="B4" s="64" t="s">
        <v>1108</v>
      </c>
      <c r="H4" s="760"/>
    </row>
    <row r="5" spans="1:8">
      <c r="A5" s="759">
        <v>12.03</v>
      </c>
      <c r="B5" s="64" t="s">
        <v>1109</v>
      </c>
      <c r="H5" s="760"/>
    </row>
    <row r="6" spans="1:8">
      <c r="A6" s="759">
        <v>12.04</v>
      </c>
      <c r="B6" s="64" t="s">
        <v>1110</v>
      </c>
      <c r="H6" s="760"/>
    </row>
    <row r="7" spans="1:8">
      <c r="A7" s="759">
        <v>12.05</v>
      </c>
      <c r="B7" s="63" t="s">
        <v>1111</v>
      </c>
      <c r="H7" s="760"/>
    </row>
    <row r="8" spans="1:8">
      <c r="A8" s="759">
        <v>12.06</v>
      </c>
      <c r="B8" s="63" t="s">
        <v>1112</v>
      </c>
      <c r="H8" s="760"/>
    </row>
    <row r="9" spans="1:8">
      <c r="A9" s="759">
        <v>12.07</v>
      </c>
      <c r="B9" s="63" t="s">
        <v>1113</v>
      </c>
      <c r="H9" s="760"/>
    </row>
    <row r="10" spans="1:8">
      <c r="A10" s="759"/>
      <c r="B10" s="759"/>
    </row>
    <row r="11" spans="1:8">
      <c r="A11" s="759"/>
      <c r="B11" s="759"/>
    </row>
    <row r="12" spans="1:8">
      <c r="A12" s="761" t="s">
        <v>395</v>
      </c>
    </row>
  </sheetData>
  <pageMargins left="0.57999999999999996" right="0.6" top="0.65" bottom="0.984251969" header="0.34" footer="0.4921259845"/>
  <pageSetup paperSize="9" orientation="portrait"/>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6F8E-953C-8A41-848F-5C262E6F2933}">
  <sheetPr>
    <pageSetUpPr fitToPage="1"/>
  </sheetPr>
  <dimension ref="A1:L45"/>
  <sheetViews>
    <sheetView topLeftCell="A19" zoomScaleNormal="100" workbookViewId="0">
      <selection activeCell="J34" sqref="J34"/>
    </sheetView>
  </sheetViews>
  <sheetFormatPr baseColWidth="10" defaultColWidth="11.3984375" defaultRowHeight="13"/>
  <cols>
    <col min="1" max="1" width="14.3984375" style="3" customWidth="1"/>
    <col min="2" max="2" width="16.796875" style="3" customWidth="1"/>
    <col min="3" max="5" width="15.3984375" style="3" customWidth="1"/>
    <col min="6" max="6" width="15.3984375" style="424" customWidth="1"/>
    <col min="7" max="7" width="15.3984375" style="3" customWidth="1"/>
    <col min="8" max="16384" width="11.3984375" style="3"/>
  </cols>
  <sheetData>
    <row r="1" spans="1:11" s="2" customFormat="1" ht="14" customHeight="1">
      <c r="F1" s="649"/>
    </row>
    <row r="2" spans="1:11" s="2" customFormat="1" ht="27.5" customHeight="1">
      <c r="A2" s="139" t="s">
        <v>1132</v>
      </c>
      <c r="F2" s="649"/>
      <c r="G2" s="442"/>
    </row>
    <row r="3" spans="1:11" ht="24" customHeight="1">
      <c r="A3" s="109" t="s">
        <v>241</v>
      </c>
      <c r="B3" s="110" t="s">
        <v>429</v>
      </c>
      <c r="C3" s="155" t="s">
        <v>256</v>
      </c>
      <c r="D3" s="110" t="s">
        <v>619</v>
      </c>
      <c r="E3" s="155" t="s">
        <v>256</v>
      </c>
      <c r="F3" s="110" t="s">
        <v>427</v>
      </c>
      <c r="G3" s="155" t="s">
        <v>256</v>
      </c>
    </row>
    <row r="4" spans="1:11" ht="15" customHeight="1">
      <c r="A4" s="112"/>
      <c r="B4" s="348" t="s">
        <v>1133</v>
      </c>
      <c r="C4" s="156" t="s">
        <v>257</v>
      </c>
      <c r="D4" s="348" t="s">
        <v>429</v>
      </c>
      <c r="E4" s="156" t="s">
        <v>257</v>
      </c>
      <c r="F4" s="348" t="s">
        <v>1134</v>
      </c>
      <c r="G4" s="156" t="s">
        <v>257</v>
      </c>
    </row>
    <row r="5" spans="1:11" ht="15" customHeight="1">
      <c r="A5" s="112"/>
      <c r="B5" s="113"/>
      <c r="C5" s="156" t="s">
        <v>258</v>
      </c>
      <c r="D5" s="348" t="s">
        <v>1135</v>
      </c>
      <c r="E5" s="156" t="s">
        <v>258</v>
      </c>
      <c r="F5" s="782"/>
      <c r="G5" s="156" t="s">
        <v>258</v>
      </c>
    </row>
    <row r="6" spans="1:11" ht="24" customHeight="1">
      <c r="A6" s="116"/>
      <c r="B6" s="117"/>
      <c r="C6" s="157"/>
      <c r="D6" s="117"/>
      <c r="E6" s="157"/>
      <c r="F6" s="783"/>
      <c r="G6" s="157"/>
    </row>
    <row r="7" spans="1:11" ht="23.25" customHeight="1" thickBot="1">
      <c r="A7" s="120">
        <v>1996</v>
      </c>
      <c r="B7" s="784">
        <v>173.08</v>
      </c>
      <c r="C7" s="158" t="s">
        <v>1153</v>
      </c>
      <c r="D7" s="784">
        <v>114.73041951160255</v>
      </c>
      <c r="E7" s="158" t="s">
        <v>1153</v>
      </c>
      <c r="F7" s="784">
        <v>47.723529089864961</v>
      </c>
      <c r="G7" s="158" t="s">
        <v>1153</v>
      </c>
    </row>
    <row r="8" spans="1:11" ht="20" customHeight="1" thickBot="1">
      <c r="A8" s="123">
        <v>1997</v>
      </c>
      <c r="B8" s="785">
        <v>188.06152293360134</v>
      </c>
      <c r="C8" s="159">
        <v>8.6558371467537087E-2</v>
      </c>
      <c r="D8" s="785">
        <v>124.66129778231421</v>
      </c>
      <c r="E8" s="159">
        <v>8.6558371467537087E-2</v>
      </c>
      <c r="F8" s="785">
        <v>51.854400048567307</v>
      </c>
      <c r="G8" s="159">
        <v>8.6558371467537087E-2</v>
      </c>
      <c r="I8" s="9"/>
      <c r="J8" s="9"/>
      <c r="K8" s="9"/>
    </row>
    <row r="9" spans="1:11" ht="20" customHeight="1" thickBot="1">
      <c r="A9" s="123">
        <v>1998</v>
      </c>
      <c r="B9" s="785">
        <v>197.28646689698576</v>
      </c>
      <c r="C9" s="159">
        <v>4.9052798358128147E-2</v>
      </c>
      <c r="D9" s="785">
        <v>125.29607374124997</v>
      </c>
      <c r="E9" s="159">
        <v>5.0920050587330845E-3</v>
      </c>
      <c r="F9" s="785">
        <v>51.799576777497641</v>
      </c>
      <c r="G9" s="159">
        <v>-1.0572539845860041E-3</v>
      </c>
    </row>
    <row r="10" spans="1:11" ht="20" customHeight="1" thickBot="1">
      <c r="A10" s="123">
        <v>1999</v>
      </c>
      <c r="B10" s="785">
        <v>203.88952141156713</v>
      </c>
      <c r="C10" s="159">
        <v>3.3469373842196726E-2</v>
      </c>
      <c r="D10" s="785">
        <v>130.21886901362492</v>
      </c>
      <c r="E10" s="159">
        <v>3.9289301934081866E-2</v>
      </c>
      <c r="F10" s="785">
        <v>53.348085764350309</v>
      </c>
      <c r="G10" s="159">
        <v>2.9894240130652117E-2</v>
      </c>
    </row>
    <row r="11" spans="1:11" ht="20" customHeight="1" thickBot="1">
      <c r="A11" s="123">
        <v>2000</v>
      </c>
      <c r="B11" s="785">
        <v>211.67614847185897</v>
      </c>
      <c r="C11" s="159">
        <v>3.8190422962315562E-2</v>
      </c>
      <c r="D11" s="785">
        <v>134.7191420153035</v>
      </c>
      <c r="E11" s="159">
        <v>3.4559300320813779E-2</v>
      </c>
      <c r="F11" s="785">
        <v>55.173206027906794</v>
      </c>
      <c r="G11" s="159">
        <v>3.4211541752752428E-2</v>
      </c>
    </row>
    <row r="12" spans="1:11" ht="20" customHeight="1" thickBot="1">
      <c r="A12" s="123">
        <v>2001</v>
      </c>
      <c r="B12" s="785">
        <v>223.27</v>
      </c>
      <c r="C12" s="159">
        <v>5.4771648160833575E-2</v>
      </c>
      <c r="D12" s="785">
        <v>149.77000000000001</v>
      </c>
      <c r="E12" s="159">
        <v>0.11172026305650617</v>
      </c>
      <c r="F12" s="785">
        <v>57.65</v>
      </c>
      <c r="G12" s="159">
        <v>4.4891246139302288E-2</v>
      </c>
    </row>
    <row r="13" spans="1:11" ht="20" customHeight="1" thickBot="1">
      <c r="A13" s="123">
        <v>2002</v>
      </c>
      <c r="B13" s="785">
        <v>245.01247000000001</v>
      </c>
      <c r="C13" s="159">
        <v>9.7381959063017831E-2</v>
      </c>
      <c r="D13" s="785">
        <v>172.20867000000001</v>
      </c>
      <c r="E13" s="159">
        <v>0.14982085864992989</v>
      </c>
      <c r="F13" s="785">
        <v>63.127989999999997</v>
      </c>
      <c r="G13" s="159">
        <v>9.502150910667817E-2</v>
      </c>
    </row>
    <row r="14" spans="1:11" ht="20" customHeight="1" thickBot="1">
      <c r="A14" s="123">
        <v>2003</v>
      </c>
      <c r="B14" s="785">
        <v>268.54743999999999</v>
      </c>
      <c r="C14" s="159">
        <v>9.6056212975608846E-2</v>
      </c>
      <c r="D14" s="785">
        <v>198.72591</v>
      </c>
      <c r="E14" s="159">
        <v>0.15398318795447397</v>
      </c>
      <c r="F14" s="785">
        <v>68.990499999999997</v>
      </c>
      <c r="G14" s="159">
        <v>9.2867046772754813E-2</v>
      </c>
    </row>
    <row r="15" spans="1:11" ht="20" customHeight="1" thickBot="1">
      <c r="A15" s="123">
        <v>2004</v>
      </c>
      <c r="B15" s="785">
        <v>279.98</v>
      </c>
      <c r="C15" s="159">
        <v>4.2571845034158562E-2</v>
      </c>
      <c r="D15" s="785">
        <v>213.29</v>
      </c>
      <c r="E15" s="159">
        <v>7.3287323228259371E-2</v>
      </c>
      <c r="F15" s="785">
        <v>71.84</v>
      </c>
      <c r="G15" s="159">
        <v>4.1302788065023632E-2</v>
      </c>
    </row>
    <row r="16" spans="1:11" ht="20" customHeight="1" thickBot="1">
      <c r="A16" s="123">
        <v>2005</v>
      </c>
      <c r="B16" s="785">
        <v>290.21806622890591</v>
      </c>
      <c r="C16" s="159">
        <v>3.6567134184248395E-2</v>
      </c>
      <c r="D16" s="785">
        <v>225.09346768269774</v>
      </c>
      <c r="E16" s="159">
        <v>5.5339995699272171E-2</v>
      </c>
      <c r="F16" s="785">
        <v>71.95510451056029</v>
      </c>
      <c r="G16" s="159">
        <v>1.6022342784003385E-3</v>
      </c>
    </row>
    <row r="17" spans="1:12" ht="20" customHeight="1" thickBot="1">
      <c r="A17" s="123">
        <v>2006</v>
      </c>
      <c r="B17" s="785">
        <v>306.40836181971781</v>
      </c>
      <c r="C17" s="159">
        <v>5.5786656568933335E-2</v>
      </c>
      <c r="D17" s="785">
        <v>241.17388660184943</v>
      </c>
      <c r="E17" s="159">
        <v>7.1438851978678608E-2</v>
      </c>
      <c r="F17" s="785">
        <v>74.466353915536445</v>
      </c>
      <c r="G17" s="159">
        <v>3.4900225940295959E-2</v>
      </c>
    </row>
    <row r="18" spans="1:12" ht="20" customHeight="1" thickBot="1">
      <c r="A18" s="123">
        <v>2007</v>
      </c>
      <c r="B18" s="785">
        <v>313.01044236889447</v>
      </c>
      <c r="C18" s="159">
        <v>2.1546672257792832E-2</v>
      </c>
      <c r="D18" s="785">
        <v>246.30400307180668</v>
      </c>
      <c r="E18" s="159">
        <v>2.1271442535677476E-2</v>
      </c>
      <c r="F18" s="785">
        <v>75.718485025980357</v>
      </c>
      <c r="G18" s="159">
        <v>1.6814722953458094E-2</v>
      </c>
    </row>
    <row r="19" spans="1:12" ht="20" customHeight="1" thickBot="1">
      <c r="A19" s="123">
        <v>2008</v>
      </c>
      <c r="B19" s="785">
        <v>314.60604194243149</v>
      </c>
      <c r="C19" s="159">
        <v>5.097592148879615E-3</v>
      </c>
      <c r="D19" s="785">
        <v>248.01478980217522</v>
      </c>
      <c r="E19" s="159">
        <v>6.9458340466752588E-3</v>
      </c>
      <c r="F19" s="785">
        <v>75.260357578802569</v>
      </c>
      <c r="G19" s="159">
        <v>-6.0504042971883942E-3</v>
      </c>
    </row>
    <row r="20" spans="1:12" ht="20" customHeight="1" thickBot="1">
      <c r="A20" s="123">
        <v>2009</v>
      </c>
      <c r="B20" s="785">
        <v>322.86486279268746</v>
      </c>
      <c r="C20" s="159">
        <v>2.6251310366655956E-2</v>
      </c>
      <c r="D20" s="785">
        <v>258.51834876494348</v>
      </c>
      <c r="E20" s="159">
        <v>4.2350534704588494E-2</v>
      </c>
      <c r="F20" s="785">
        <v>76.359591370012836</v>
      </c>
      <c r="G20" s="159">
        <v>1.4605747654856671E-2</v>
      </c>
    </row>
    <row r="21" spans="1:12" ht="20" customHeight="1" thickBot="1">
      <c r="A21" s="123">
        <v>2010</v>
      </c>
      <c r="B21" s="785">
        <v>351.05082991253505</v>
      </c>
      <c r="C21" s="159">
        <v>8.7299580623444673E-2</v>
      </c>
      <c r="D21" s="785">
        <v>293.85185032818998</v>
      </c>
      <c r="E21" s="159">
        <v>0.13667695825867021</v>
      </c>
      <c r="F21" s="785">
        <v>84.027090196386368</v>
      </c>
      <c r="G21" s="159">
        <v>0.10041304162065789</v>
      </c>
    </row>
    <row r="22" spans="1:12" ht="20" customHeight="1" thickBot="1">
      <c r="A22" s="123">
        <v>2011</v>
      </c>
      <c r="B22" s="785">
        <v>373.81789265832555</v>
      </c>
      <c r="C22" s="159">
        <v>6.4854034817302564E-2</v>
      </c>
      <c r="D22" s="785">
        <v>328.49835406580917</v>
      </c>
      <c r="E22" s="159">
        <v>0.11790466420042645</v>
      </c>
      <c r="F22" s="785">
        <v>89.330984822405611</v>
      </c>
      <c r="G22" s="159">
        <v>6.3121245941315962E-2</v>
      </c>
    </row>
    <row r="23" spans="1:12" ht="20" customHeight="1" thickBot="1">
      <c r="A23" s="123">
        <v>2012</v>
      </c>
      <c r="B23" s="785">
        <v>382.00328757086839</v>
      </c>
      <c r="C23" s="159">
        <v>2.189674457349855E-2</v>
      </c>
      <c r="D23" s="785">
        <v>343.05838678587634</v>
      </c>
      <c r="E23" s="159">
        <v>4.4323000526055312E-2</v>
      </c>
      <c r="F23" s="785">
        <v>90.589348150346225</v>
      </c>
      <c r="G23" s="159">
        <v>1.4086526981005543E-2</v>
      </c>
    </row>
    <row r="24" spans="1:12" ht="20" customHeight="1" thickBot="1">
      <c r="A24" s="123">
        <v>2013</v>
      </c>
      <c r="B24" s="785">
        <v>387.70013650893986</v>
      </c>
      <c r="C24" s="159">
        <v>1.4913088770249328E-2</v>
      </c>
      <c r="D24" s="785">
        <v>353.07516647457373</v>
      </c>
      <c r="E24" s="159">
        <v>2.9198469049379394E-2</v>
      </c>
      <c r="F24" s="785">
        <v>89.345468695083099</v>
      </c>
      <c r="G24" s="159">
        <v>-1.3730968161938084E-2</v>
      </c>
    </row>
    <row r="25" spans="1:12" ht="30" customHeight="1" thickBot="1">
      <c r="A25" s="126">
        <v>2014</v>
      </c>
      <c r="B25" s="786">
        <v>396.12442841263254</v>
      </c>
      <c r="C25" s="160">
        <v>2.1728885575201362E-2</v>
      </c>
      <c r="D25" s="786">
        <v>363.55335610153696</v>
      </c>
      <c r="E25" s="160">
        <v>2.9676937439659268E-2</v>
      </c>
      <c r="F25" s="786">
        <v>91.524974705275866</v>
      </c>
      <c r="G25" s="160">
        <v>2.4394141549930692E-2</v>
      </c>
    </row>
    <row r="26" spans="1:12" ht="20" customHeight="1">
      <c r="A26" s="130" t="s">
        <v>1104</v>
      </c>
      <c r="B26" s="130"/>
      <c r="C26" s="130"/>
      <c r="D26" s="130"/>
      <c r="E26" s="130"/>
      <c r="F26" s="709"/>
      <c r="G26" s="130"/>
    </row>
    <row r="27" spans="1:12" ht="14.25" customHeight="1">
      <c r="A27" s="131"/>
      <c r="B27" s="131"/>
      <c r="C27" s="131"/>
      <c r="D27" s="131"/>
      <c r="E27" s="131"/>
      <c r="F27" s="710"/>
      <c r="G27" s="131"/>
    </row>
    <row r="28" spans="1:12" ht="14.25" customHeight="1">
      <c r="A28" s="131" t="s">
        <v>1136</v>
      </c>
      <c r="B28" s="357"/>
      <c r="C28" s="357"/>
      <c r="D28" s="357"/>
      <c r="E28" s="357"/>
      <c r="F28" s="357"/>
      <c r="G28" s="357"/>
      <c r="H28" s="357"/>
      <c r="I28" s="358"/>
    </row>
    <row r="29" spans="1:12" ht="20" customHeight="1">
      <c r="A29" s="131"/>
      <c r="B29" s="357"/>
      <c r="C29" s="357"/>
      <c r="D29" s="357"/>
      <c r="E29" s="357"/>
      <c r="F29" s="357"/>
      <c r="G29" s="357"/>
      <c r="H29" s="357"/>
      <c r="I29" s="358"/>
    </row>
    <row r="30" spans="1:12" ht="17.5" customHeight="1">
      <c r="A30" s="3" t="s">
        <v>1137</v>
      </c>
      <c r="B30" s="357"/>
      <c r="C30" s="357"/>
      <c r="D30" s="357"/>
      <c r="E30" s="357"/>
      <c r="F30" s="357"/>
      <c r="G30" s="357"/>
      <c r="H30" s="357"/>
      <c r="I30" s="358"/>
      <c r="J30" s="4"/>
      <c r="K30" s="4"/>
      <c r="L30" s="4"/>
    </row>
    <row r="31" spans="1:12" ht="12.75" customHeight="1">
      <c r="A31" s="131" t="s">
        <v>1138</v>
      </c>
      <c r="B31" s="357"/>
      <c r="C31" s="357"/>
      <c r="D31" s="357"/>
      <c r="E31" s="357"/>
      <c r="F31" s="357"/>
      <c r="G31" s="357"/>
      <c r="H31" s="357"/>
      <c r="I31" s="358"/>
    </row>
    <row r="32" spans="1:12">
      <c r="A32" s="3" t="s">
        <v>1139</v>
      </c>
      <c r="F32" s="3"/>
    </row>
    <row r="33" spans="1:6">
      <c r="A33" s="3" t="s">
        <v>1140</v>
      </c>
      <c r="F33" s="3"/>
    </row>
    <row r="34" spans="1:6">
      <c r="A34" s="3" t="s">
        <v>1141</v>
      </c>
      <c r="F34" s="3"/>
    </row>
    <row r="35" spans="1:6">
      <c r="A35" s="3" t="s">
        <v>1142</v>
      </c>
      <c r="F35" s="3"/>
    </row>
    <row r="36" spans="1:6">
      <c r="A36" s="131" t="s">
        <v>1143</v>
      </c>
      <c r="F36" s="3"/>
    </row>
    <row r="37" spans="1:6">
      <c r="A37" s="131" t="s">
        <v>1144</v>
      </c>
      <c r="F37" s="3"/>
    </row>
    <row r="38" spans="1:6">
      <c r="A38" s="787" t="s">
        <v>1145</v>
      </c>
      <c r="F38" s="3"/>
    </row>
    <row r="39" spans="1:6">
      <c r="A39" s="3" t="s">
        <v>1146</v>
      </c>
      <c r="F39" s="3"/>
    </row>
    <row r="40" spans="1:6">
      <c r="A40" s="3" t="s">
        <v>1147</v>
      </c>
      <c r="F40" s="3"/>
    </row>
    <row r="41" spans="1:6">
      <c r="A41" s="3" t="s">
        <v>1148</v>
      </c>
      <c r="F41" s="3"/>
    </row>
    <row r="42" spans="1:6">
      <c r="A42" s="788" t="s">
        <v>1149</v>
      </c>
      <c r="F42" s="3"/>
    </row>
    <row r="45" spans="1:6">
      <c r="A45" s="3" t="s">
        <v>395</v>
      </c>
    </row>
  </sheetData>
  <pageMargins left="0.43307086614173229" right="0.27559055118110237" top="0.87" bottom="0.47244094488188981" header="0.51181102362204722" footer="0.51181102362204722"/>
  <pageSetup paperSize="9" scale="80" orientation="portrait" horizontalDpi="4294967292" verticalDpi="4294967292"/>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AE09D-B144-544E-9C46-DEF6D5D07DF6}">
  <sheetPr>
    <pageSetUpPr fitToPage="1"/>
  </sheetPr>
  <dimension ref="A1:L45"/>
  <sheetViews>
    <sheetView topLeftCell="A21" zoomScaleNormal="100" workbookViewId="0">
      <selection activeCell="A43" sqref="A43"/>
    </sheetView>
  </sheetViews>
  <sheetFormatPr baseColWidth="10" defaultColWidth="11.3984375" defaultRowHeight="13"/>
  <cols>
    <col min="1" max="1" width="15.19921875" style="3" customWidth="1"/>
    <col min="2" max="6" width="15.796875" style="3" customWidth="1"/>
    <col min="7" max="8" width="14.3984375" style="3" customWidth="1"/>
    <col min="9" max="16384" width="11.3984375" style="3"/>
  </cols>
  <sheetData>
    <row r="1" spans="1:8" s="2" customFormat="1" ht="14" customHeight="1">
      <c r="A1" s="272"/>
      <c r="B1" s="272"/>
      <c r="C1" s="272"/>
      <c r="D1" s="272"/>
      <c r="E1" s="272"/>
      <c r="F1" s="272"/>
    </row>
    <row r="2" spans="1:8" s="2" customFormat="1" ht="23.25" customHeight="1">
      <c r="A2" s="396" t="s">
        <v>1131</v>
      </c>
      <c r="B2" s="272"/>
      <c r="C2" s="272"/>
      <c r="D2" s="272"/>
      <c r="E2" s="272"/>
      <c r="F2" s="272"/>
    </row>
    <row r="3" spans="1:8" s="2" customFormat="1" ht="27.75" customHeight="1">
      <c r="A3" s="396" t="s">
        <v>1152</v>
      </c>
      <c r="B3" s="272"/>
      <c r="C3" s="272"/>
      <c r="D3" s="272"/>
      <c r="E3" s="272"/>
      <c r="F3" s="272"/>
    </row>
    <row r="4" spans="1:8" ht="20.5" customHeight="1">
      <c r="A4" s="109" t="s">
        <v>426</v>
      </c>
      <c r="B4" s="762" t="s">
        <v>1115</v>
      </c>
      <c r="C4" s="763" t="s">
        <v>1116</v>
      </c>
      <c r="D4" s="762" t="s">
        <v>1117</v>
      </c>
      <c r="E4" s="763" t="s">
        <v>1118</v>
      </c>
      <c r="F4" s="762" t="s">
        <v>1128</v>
      </c>
      <c r="G4" s="764" t="s">
        <v>256</v>
      </c>
      <c r="H4" s="765" t="s">
        <v>1119</v>
      </c>
    </row>
    <row r="5" spans="1:8" ht="16.75" customHeight="1">
      <c r="A5" s="112"/>
      <c r="B5" s="766"/>
      <c r="C5" s="767"/>
      <c r="D5" s="766"/>
      <c r="E5" s="767"/>
      <c r="F5" s="768" t="s">
        <v>1130</v>
      </c>
      <c r="G5" s="769" t="s">
        <v>257</v>
      </c>
      <c r="H5" s="770" t="s">
        <v>1121</v>
      </c>
    </row>
    <row r="6" spans="1:8" ht="19.75" customHeight="1">
      <c r="A6" s="401"/>
      <c r="B6" s="143"/>
      <c r="C6" s="780"/>
      <c r="D6" s="143"/>
      <c r="E6" s="780"/>
      <c r="F6" s="781"/>
      <c r="G6" s="771" t="s">
        <v>258</v>
      </c>
      <c r="H6" s="772" t="s">
        <v>256</v>
      </c>
    </row>
    <row r="7" spans="1:8" ht="18.5" customHeight="1">
      <c r="A7" s="116"/>
      <c r="B7" s="117"/>
      <c r="C7" s="118"/>
      <c r="D7" s="117"/>
      <c r="E7" s="118"/>
      <c r="F7" s="330"/>
      <c r="G7" s="773"/>
      <c r="H7" s="774" t="s">
        <v>1154</v>
      </c>
    </row>
    <row r="8" spans="1:8" ht="30" customHeight="1" thickBot="1">
      <c r="A8" s="775" t="s">
        <v>434</v>
      </c>
      <c r="B8" s="121">
        <v>435.33340399999997</v>
      </c>
      <c r="C8" s="122">
        <v>391.11765000000003</v>
      </c>
      <c r="D8" s="121">
        <v>362.67658999999998</v>
      </c>
      <c r="E8" s="122" t="s">
        <v>397</v>
      </c>
      <c r="F8" s="776">
        <v>394.09118303403199</v>
      </c>
      <c r="G8" s="158">
        <v>2.2319567612559377E-2</v>
      </c>
      <c r="H8" s="505">
        <v>5.0848250140743456E-2</v>
      </c>
    </row>
    <row r="9" spans="1:8" ht="20" customHeight="1" thickBot="1">
      <c r="A9" s="777" t="s">
        <v>435</v>
      </c>
      <c r="B9" s="124">
        <v>468.546853</v>
      </c>
      <c r="C9" s="125">
        <v>415.77412299999997</v>
      </c>
      <c r="D9" s="124">
        <v>391.566847</v>
      </c>
      <c r="E9" s="125" t="s">
        <v>397</v>
      </c>
      <c r="F9" s="778">
        <v>426.59092100208528</v>
      </c>
      <c r="G9" s="159">
        <v>1.8623620660880524E-2</v>
      </c>
      <c r="H9" s="319">
        <v>5.4209629240157708E-2</v>
      </c>
    </row>
    <row r="10" spans="1:8" ht="20" customHeight="1" thickBot="1">
      <c r="A10" s="777" t="s">
        <v>436</v>
      </c>
      <c r="B10" s="124">
        <v>375.289828</v>
      </c>
      <c r="C10" s="125">
        <v>348.91047300000002</v>
      </c>
      <c r="D10" s="124">
        <v>333.56892800000003</v>
      </c>
      <c r="E10" s="125" t="s">
        <v>397</v>
      </c>
      <c r="F10" s="778">
        <v>355.0731870419263</v>
      </c>
      <c r="G10" s="159">
        <v>3.1753534260938077E-2</v>
      </c>
      <c r="H10" s="319">
        <v>5.3441921751556487E-2</v>
      </c>
    </row>
    <row r="11" spans="1:8" ht="20" customHeight="1" thickBot="1">
      <c r="A11" s="777" t="s">
        <v>437</v>
      </c>
      <c r="B11" s="124" t="s">
        <v>397</v>
      </c>
      <c r="C11" s="125" t="s">
        <v>397</v>
      </c>
      <c r="D11" s="124" t="s">
        <v>397</v>
      </c>
      <c r="E11" s="125">
        <v>332.201572</v>
      </c>
      <c r="F11" s="778">
        <v>332.20157192145717</v>
      </c>
      <c r="G11" s="159">
        <v>2.964130630504358E-2</v>
      </c>
      <c r="H11" s="319">
        <v>4.869560110689708E-2</v>
      </c>
    </row>
    <row r="12" spans="1:8" ht="20" customHeight="1" thickBot="1">
      <c r="A12" s="777" t="s">
        <v>438</v>
      </c>
      <c r="B12" s="124" t="s">
        <v>397</v>
      </c>
      <c r="C12" s="125" t="s">
        <v>397</v>
      </c>
      <c r="D12" s="124" t="s">
        <v>397</v>
      </c>
      <c r="E12" s="125">
        <v>343.82065999999998</v>
      </c>
      <c r="F12" s="778">
        <v>343.82065993726854</v>
      </c>
      <c r="G12" s="159">
        <v>2.7893411177779548E-2</v>
      </c>
      <c r="H12" s="319">
        <v>5.1078009605547869E-2</v>
      </c>
    </row>
    <row r="13" spans="1:8" ht="20" customHeight="1" thickBot="1">
      <c r="A13" s="777" t="s">
        <v>439</v>
      </c>
      <c r="B13" s="124" t="s">
        <v>397</v>
      </c>
      <c r="C13" s="125" t="s">
        <v>397</v>
      </c>
      <c r="D13" s="124" t="s">
        <v>397</v>
      </c>
      <c r="E13" s="125">
        <v>325.38296100000002</v>
      </c>
      <c r="F13" s="778">
        <v>325.38296061208212</v>
      </c>
      <c r="G13" s="159">
        <v>3.2600356520602558E-2</v>
      </c>
      <c r="H13" s="319">
        <v>4.7183792015671466E-2</v>
      </c>
    </row>
    <row r="14" spans="1:8" ht="20" customHeight="1" thickBot="1">
      <c r="A14" s="777" t="s">
        <v>440</v>
      </c>
      <c r="B14" s="124" t="s">
        <v>397</v>
      </c>
      <c r="C14" s="125" t="s">
        <v>397</v>
      </c>
      <c r="D14" s="124" t="s">
        <v>397</v>
      </c>
      <c r="E14" s="125">
        <v>308.430814</v>
      </c>
      <c r="F14" s="778">
        <v>308.43081372356295</v>
      </c>
      <c r="G14" s="159">
        <v>2.7255507067791562E-2</v>
      </c>
      <c r="H14" s="319">
        <v>4.6756027242683018E-2</v>
      </c>
    </row>
    <row r="15" spans="1:8" ht="20" customHeight="1" thickBot="1">
      <c r="A15" s="777" t="s">
        <v>441</v>
      </c>
      <c r="B15" s="124" t="s">
        <v>397</v>
      </c>
      <c r="C15" s="125" t="s">
        <v>397</v>
      </c>
      <c r="D15" s="124" t="s">
        <v>397</v>
      </c>
      <c r="E15" s="125">
        <v>344.50674700000002</v>
      </c>
      <c r="F15" s="778">
        <v>344.50674675115863</v>
      </c>
      <c r="G15" s="159">
        <v>2.3933682690927771E-2</v>
      </c>
      <c r="H15" s="319">
        <v>5.5676469834984976E-2</v>
      </c>
    </row>
    <row r="16" spans="1:8" ht="20" customHeight="1" thickBot="1">
      <c r="A16" s="777" t="s">
        <v>442</v>
      </c>
      <c r="B16" s="124" t="s">
        <v>397</v>
      </c>
      <c r="C16" s="125" t="s">
        <v>397</v>
      </c>
      <c r="D16" s="124" t="s">
        <v>397</v>
      </c>
      <c r="E16" s="125">
        <v>337.35832199999999</v>
      </c>
      <c r="F16" s="778">
        <v>337.35832114905861</v>
      </c>
      <c r="G16" s="159">
        <v>2.2127286227327847E-2</v>
      </c>
      <c r="H16" s="319">
        <v>4.9120404534676476E-2</v>
      </c>
    </row>
    <row r="17" spans="1:8" ht="20" customHeight="1" thickBot="1">
      <c r="A17" s="777" t="s">
        <v>443</v>
      </c>
      <c r="B17" s="124">
        <v>395.670005</v>
      </c>
      <c r="C17" s="125">
        <v>359.69274200000001</v>
      </c>
      <c r="D17" s="124" t="s">
        <v>397</v>
      </c>
      <c r="E17" s="125" t="s">
        <v>397</v>
      </c>
      <c r="F17" s="778">
        <v>372.02594273013386</v>
      </c>
      <c r="G17" s="159">
        <v>1.9941323093272789E-2</v>
      </c>
      <c r="H17" s="319">
        <v>4.1635825065252208E-2</v>
      </c>
    </row>
    <row r="18" spans="1:8" ht="20" customHeight="1" thickBot="1">
      <c r="A18" s="777" t="s">
        <v>444</v>
      </c>
      <c r="B18" s="124" t="s">
        <v>397</v>
      </c>
      <c r="C18" s="125" t="s">
        <v>397</v>
      </c>
      <c r="D18" s="124" t="s">
        <v>397</v>
      </c>
      <c r="E18" s="125">
        <v>376.84436599999998</v>
      </c>
      <c r="F18" s="778">
        <v>376.84436610179262</v>
      </c>
      <c r="G18" s="159">
        <v>2.4494492616763397E-2</v>
      </c>
      <c r="H18" s="319">
        <v>5.1165791262135496E-2</v>
      </c>
    </row>
    <row r="19" spans="1:8" ht="20" customHeight="1" thickBot="1">
      <c r="A19" s="777" t="s">
        <v>445</v>
      </c>
      <c r="B19" s="124" t="s">
        <v>397</v>
      </c>
      <c r="C19" s="125" t="s">
        <v>397</v>
      </c>
      <c r="D19" s="124" t="s">
        <v>397</v>
      </c>
      <c r="E19" s="125">
        <v>512.07804099999998</v>
      </c>
      <c r="F19" s="778">
        <v>512.07804062920627</v>
      </c>
      <c r="G19" s="159">
        <v>1.2294844941008076E-2</v>
      </c>
      <c r="H19" s="319">
        <v>5.4364645194076244E-2</v>
      </c>
    </row>
    <row r="20" spans="1:8" ht="20" customHeight="1" thickBot="1">
      <c r="A20" s="777" t="s">
        <v>446</v>
      </c>
      <c r="B20" s="124">
        <v>429.18751400000002</v>
      </c>
      <c r="C20" s="125">
        <v>398.42429099999998</v>
      </c>
      <c r="D20" s="124" t="s">
        <v>397</v>
      </c>
      <c r="E20" s="125" t="s">
        <v>397</v>
      </c>
      <c r="F20" s="778">
        <v>420.76196045960694</v>
      </c>
      <c r="G20" s="159">
        <v>1.6671473058782471E-2</v>
      </c>
      <c r="H20" s="319">
        <v>5.1688858979892061E-2</v>
      </c>
    </row>
    <row r="21" spans="1:8" ht="20" customHeight="1" thickBot="1">
      <c r="A21" s="777" t="s">
        <v>447</v>
      </c>
      <c r="B21" s="124">
        <v>391.87049200000001</v>
      </c>
      <c r="C21" s="125">
        <v>363.31708300000003</v>
      </c>
      <c r="D21" s="124" t="s">
        <v>397</v>
      </c>
      <c r="E21" s="125" t="s">
        <v>397</v>
      </c>
      <c r="F21" s="778">
        <v>380.10360895108187</v>
      </c>
      <c r="G21" s="159">
        <v>2.1931760184589866E-2</v>
      </c>
      <c r="H21" s="319">
        <v>5.550211327165222E-2</v>
      </c>
    </row>
    <row r="22" spans="1:8" ht="20" customHeight="1" thickBot="1">
      <c r="A22" s="777" t="s">
        <v>448</v>
      </c>
      <c r="B22" s="124" t="s">
        <v>397</v>
      </c>
      <c r="C22" s="125" t="s">
        <v>397</v>
      </c>
      <c r="D22" s="124" t="s">
        <v>397</v>
      </c>
      <c r="E22" s="125">
        <v>332.82342399999999</v>
      </c>
      <c r="F22" s="778">
        <v>332.82342326994609</v>
      </c>
      <c r="G22" s="159">
        <v>3.7535303136066567E-2</v>
      </c>
      <c r="H22" s="319">
        <v>5.7987622297027031E-2</v>
      </c>
    </row>
    <row r="23" spans="1:8" ht="20" customHeight="1" thickBot="1">
      <c r="A23" s="777" t="s">
        <v>449</v>
      </c>
      <c r="B23" s="124" t="s">
        <v>397</v>
      </c>
      <c r="C23" s="125" t="s">
        <v>397</v>
      </c>
      <c r="D23" s="124" t="s">
        <v>397</v>
      </c>
      <c r="E23" s="125">
        <v>308.40087</v>
      </c>
      <c r="F23" s="778">
        <v>308.40087047632363</v>
      </c>
      <c r="G23" s="159">
        <v>3.0587998438628139E-2</v>
      </c>
      <c r="H23" s="319">
        <v>5.5076984749536262E-2</v>
      </c>
    </row>
    <row r="24" spans="1:8" ht="20" customHeight="1" thickBot="1">
      <c r="A24" s="777" t="s">
        <v>450</v>
      </c>
      <c r="B24" s="124">
        <v>388.95653900000002</v>
      </c>
      <c r="C24" s="125">
        <v>355.258602</v>
      </c>
      <c r="D24" s="124">
        <v>343.66107399999999</v>
      </c>
      <c r="E24" s="125" t="s">
        <v>397</v>
      </c>
      <c r="F24" s="778">
        <v>362.19149355181429</v>
      </c>
      <c r="G24" s="159">
        <v>3.4258580272315875E-2</v>
      </c>
      <c r="H24" s="319">
        <v>5.8616473632888466E-2</v>
      </c>
    </row>
    <row r="25" spans="1:8" ht="20" customHeight="1" thickBot="1">
      <c r="A25" s="777" t="s">
        <v>451</v>
      </c>
      <c r="B25" s="124">
        <v>355.77874100000002</v>
      </c>
      <c r="C25" s="125">
        <v>326.65061500000002</v>
      </c>
      <c r="D25" s="124">
        <v>312.035393</v>
      </c>
      <c r="E25" s="125" t="s">
        <v>397</v>
      </c>
      <c r="F25" s="778">
        <v>330.77112011896168</v>
      </c>
      <c r="G25" s="159">
        <v>1.9984488011036472E-2</v>
      </c>
      <c r="H25" s="319">
        <v>5.6672981938287403E-2</v>
      </c>
    </row>
    <row r="26" spans="1:8" ht="20" customHeight="1" thickBot="1">
      <c r="A26" s="777" t="s">
        <v>452</v>
      </c>
      <c r="B26" s="124" t="s">
        <v>397</v>
      </c>
      <c r="C26" s="125" t="s">
        <v>397</v>
      </c>
      <c r="D26" s="124" t="s">
        <v>397</v>
      </c>
      <c r="E26" s="125">
        <v>373.237618</v>
      </c>
      <c r="F26" s="778">
        <v>373.23761725554408</v>
      </c>
      <c r="G26" s="159">
        <v>2.4820991570013051E-2</v>
      </c>
      <c r="H26" s="319">
        <v>5.9258037470019786E-2</v>
      </c>
    </row>
    <row r="27" spans="1:8" ht="20" customHeight="1" thickBot="1">
      <c r="A27" s="777" t="s">
        <v>453</v>
      </c>
      <c r="B27" s="124" t="s">
        <v>397</v>
      </c>
      <c r="C27" s="125" t="s">
        <v>397</v>
      </c>
      <c r="D27" s="124" t="s">
        <v>397</v>
      </c>
      <c r="E27" s="125">
        <v>359.33838700000001</v>
      </c>
      <c r="F27" s="778">
        <v>359.33838667055812</v>
      </c>
      <c r="G27" s="159">
        <v>2.6376516565952191E-2</v>
      </c>
      <c r="H27" s="319">
        <v>5.7772637956400752E-2</v>
      </c>
    </row>
    <row r="28" spans="1:8" ht="20" customHeight="1" thickBot="1">
      <c r="A28" s="777" t="s">
        <v>454</v>
      </c>
      <c r="B28" s="124">
        <v>420.05155999999999</v>
      </c>
      <c r="C28" s="125">
        <v>391.56654800000001</v>
      </c>
      <c r="D28" s="124" t="s">
        <v>397</v>
      </c>
      <c r="E28" s="125" t="s">
        <v>397</v>
      </c>
      <c r="F28" s="778">
        <v>415.81983340875627</v>
      </c>
      <c r="G28" s="159">
        <v>1.0743315785471053E-2</v>
      </c>
      <c r="H28" s="319">
        <v>4.0911210463761671E-2</v>
      </c>
    </row>
    <row r="29" spans="1:8" ht="20" customHeight="1" thickBot="1">
      <c r="A29" s="777" t="s">
        <v>455</v>
      </c>
      <c r="B29" s="124">
        <v>443.58354700000001</v>
      </c>
      <c r="C29" s="125">
        <v>416.83272799999997</v>
      </c>
      <c r="D29" s="124" t="s">
        <v>397</v>
      </c>
      <c r="E29" s="125" t="s">
        <v>397</v>
      </c>
      <c r="F29" s="778">
        <v>435.11139029702207</v>
      </c>
      <c r="G29" s="159">
        <v>1.6860954809429174E-2</v>
      </c>
      <c r="H29" s="319">
        <v>3.0305817699837423E-2</v>
      </c>
    </row>
    <row r="30" spans="1:8" ht="20" customHeight="1" thickBot="1">
      <c r="A30" s="777" t="s">
        <v>456</v>
      </c>
      <c r="B30" s="124">
        <v>349.68080500000002</v>
      </c>
      <c r="C30" s="125">
        <v>325.30261999999999</v>
      </c>
      <c r="D30" s="124" t="s">
        <v>397</v>
      </c>
      <c r="E30" s="125" t="s">
        <v>397</v>
      </c>
      <c r="F30" s="778">
        <v>342.38115170657841</v>
      </c>
      <c r="G30" s="159">
        <v>2.3500153145265879E-2</v>
      </c>
      <c r="H30" s="319">
        <v>3.9134773817509183E-2</v>
      </c>
    </row>
    <row r="31" spans="1:8" ht="20" customHeight="1" thickBot="1">
      <c r="A31" s="777" t="s">
        <v>457</v>
      </c>
      <c r="B31" s="124" t="s">
        <v>397</v>
      </c>
      <c r="C31" s="125" t="s">
        <v>397</v>
      </c>
      <c r="D31" s="124" t="s">
        <v>397</v>
      </c>
      <c r="E31" s="125">
        <v>403.41126500000001</v>
      </c>
      <c r="F31" s="778">
        <v>403.411264736747</v>
      </c>
      <c r="G31" s="159">
        <v>1.5282082939223729E-2</v>
      </c>
      <c r="H31" s="319">
        <v>4.3704285281724875E-2</v>
      </c>
    </row>
    <row r="32" spans="1:8" ht="20" customHeight="1" thickBot="1">
      <c r="A32" s="777" t="s">
        <v>458</v>
      </c>
      <c r="B32" s="124" t="s">
        <v>397</v>
      </c>
      <c r="C32" s="125" t="s">
        <v>397</v>
      </c>
      <c r="D32" s="124" t="s">
        <v>397</v>
      </c>
      <c r="E32" s="125">
        <v>483.002095</v>
      </c>
      <c r="F32" s="778">
        <v>483.00209410211636</v>
      </c>
      <c r="G32" s="159">
        <v>2.8430174809173092E-2</v>
      </c>
      <c r="H32" s="319">
        <v>3.4502431062633176E-2</v>
      </c>
    </row>
    <row r="33" spans="1:12" ht="20" customHeight="1" thickBot="1">
      <c r="A33" s="777" t="s">
        <v>459</v>
      </c>
      <c r="B33" s="124" t="s">
        <v>397</v>
      </c>
      <c r="C33" s="125" t="s">
        <v>397</v>
      </c>
      <c r="D33" s="124" t="s">
        <v>397</v>
      </c>
      <c r="E33" s="125">
        <v>407.82613500000002</v>
      </c>
      <c r="F33" s="778">
        <v>407.82613423209312</v>
      </c>
      <c r="G33" s="159">
        <v>9.5593277124919052E-3</v>
      </c>
      <c r="H33" s="319">
        <v>4.4035124240195289E-2</v>
      </c>
    </row>
    <row r="34" spans="1:12" s="411" customFormat="1" ht="30" customHeight="1" thickBot="1">
      <c r="A34" s="322" t="s">
        <v>462</v>
      </c>
      <c r="B34" s="537" t="s">
        <v>397</v>
      </c>
      <c r="C34" s="731" t="s">
        <v>397</v>
      </c>
      <c r="D34" s="537" t="s">
        <v>397</v>
      </c>
      <c r="E34" s="731" t="s">
        <v>397</v>
      </c>
      <c r="F34" s="537">
        <v>396.12442841263254</v>
      </c>
      <c r="G34" s="512">
        <v>2.1728885575201362E-2</v>
      </c>
      <c r="H34" s="655">
        <v>4.7072925258664355E-2</v>
      </c>
    </row>
    <row r="35" spans="1:12" ht="20" customHeight="1">
      <c r="A35" s="130" t="s">
        <v>1104</v>
      </c>
      <c r="B35" s="779"/>
      <c r="C35" s="779"/>
      <c r="D35" s="779"/>
      <c r="E35" s="779"/>
      <c r="F35" s="779"/>
    </row>
    <row r="36" spans="1:12" ht="12.75" customHeight="1">
      <c r="A36" s="131"/>
      <c r="B36" s="623"/>
      <c r="C36" s="623"/>
      <c r="D36" s="623"/>
      <c r="E36" s="623"/>
      <c r="F36" s="623"/>
    </row>
    <row r="37" spans="1:12" ht="15.75" customHeight="1">
      <c r="A37" s="131" t="s">
        <v>1122</v>
      </c>
      <c r="B37" s="623"/>
      <c r="C37" s="623"/>
      <c r="D37" s="623"/>
      <c r="E37" s="623"/>
      <c r="F37" s="623"/>
    </row>
    <row r="38" spans="1:12" ht="13.5" customHeight="1">
      <c r="A38" s="131"/>
      <c r="B38" s="623"/>
      <c r="C38" s="623"/>
      <c r="D38" s="623"/>
      <c r="E38" s="623"/>
      <c r="F38" s="623"/>
    </row>
    <row r="39" spans="1:12" ht="12.75" customHeight="1">
      <c r="A39" s="131" t="s">
        <v>1123</v>
      </c>
      <c r="B39" s="623"/>
      <c r="C39" s="623"/>
      <c r="D39" s="623"/>
      <c r="E39" s="623"/>
      <c r="F39" s="623"/>
    </row>
    <row r="40" spans="1:12">
      <c r="A40" s="3" t="s">
        <v>1124</v>
      </c>
      <c r="B40" s="60"/>
      <c r="C40" s="60"/>
      <c r="D40" s="60"/>
      <c r="E40" s="60"/>
      <c r="F40" s="60"/>
    </row>
    <row r="41" spans="1:12">
      <c r="A41" s="3" t="s">
        <v>1125</v>
      </c>
      <c r="B41" s="60"/>
      <c r="C41" s="60"/>
      <c r="D41" s="60"/>
      <c r="E41" s="60"/>
      <c r="F41" s="60"/>
    </row>
    <row r="42" spans="1:12">
      <c r="A42" s="3" t="s">
        <v>1126</v>
      </c>
      <c r="B42" s="60"/>
      <c r="C42" s="60"/>
      <c r="D42" s="60"/>
      <c r="E42" s="60"/>
      <c r="F42" s="60"/>
      <c r="J42" s="4"/>
      <c r="K42" s="4"/>
      <c r="L42" s="4"/>
    </row>
    <row r="43" spans="1:12">
      <c r="B43" s="60"/>
      <c r="C43" s="60"/>
      <c r="D43" s="60"/>
      <c r="E43" s="60"/>
      <c r="F43" s="60"/>
    </row>
    <row r="44" spans="1:12">
      <c r="B44" s="60"/>
      <c r="C44" s="60"/>
      <c r="D44" s="60"/>
      <c r="E44" s="60"/>
      <c r="F44" s="60"/>
    </row>
    <row r="45" spans="1:12">
      <c r="A45" s="3" t="s">
        <v>395</v>
      </c>
    </row>
  </sheetData>
  <pageMargins left="0.57999999999999996" right="0.62" top="0.78" bottom="0.47244094488188981" header="0.44" footer="0.51181102362204722"/>
  <pageSetup paperSize="9" scale="74" orientation="portrait"/>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18097-C461-DC48-88FC-754E321F3BDA}">
  <sheetPr>
    <pageSetUpPr fitToPage="1"/>
  </sheetPr>
  <dimension ref="A1:L45"/>
  <sheetViews>
    <sheetView topLeftCell="A21" zoomScaleNormal="100" workbookViewId="0">
      <selection activeCell="I37" sqref="I37"/>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272"/>
      <c r="B1" s="272"/>
      <c r="C1" s="272"/>
      <c r="D1" s="272"/>
      <c r="E1" s="272"/>
      <c r="F1" s="272"/>
    </row>
    <row r="2" spans="1:8" s="2" customFormat="1" ht="21" customHeight="1">
      <c r="A2" s="396" t="s">
        <v>1127</v>
      </c>
      <c r="B2" s="272"/>
      <c r="C2" s="272"/>
      <c r="D2" s="272"/>
      <c r="E2" s="272"/>
      <c r="F2" s="272"/>
    </row>
    <row r="3" spans="1:8" s="2" customFormat="1" ht="27" customHeight="1">
      <c r="A3" s="396" t="s">
        <v>1151</v>
      </c>
      <c r="B3" s="272"/>
      <c r="C3" s="272"/>
      <c r="D3" s="272"/>
      <c r="E3" s="272"/>
      <c r="F3" s="272"/>
    </row>
    <row r="4" spans="1:8" ht="24" customHeight="1">
      <c r="A4" s="109" t="s">
        <v>426</v>
      </c>
      <c r="B4" s="762" t="s">
        <v>1115</v>
      </c>
      <c r="C4" s="763" t="s">
        <v>1116</v>
      </c>
      <c r="D4" s="762" t="s">
        <v>1117</v>
      </c>
      <c r="E4" s="763" t="s">
        <v>1118</v>
      </c>
      <c r="F4" s="762" t="s">
        <v>1128</v>
      </c>
      <c r="G4" s="764" t="s">
        <v>256</v>
      </c>
      <c r="H4" s="765" t="s">
        <v>1119</v>
      </c>
    </row>
    <row r="5" spans="1:8" ht="22.25" customHeight="1">
      <c r="A5" s="112"/>
      <c r="B5" s="766"/>
      <c r="C5" s="767"/>
      <c r="D5" s="766"/>
      <c r="E5" s="767"/>
      <c r="F5" s="768" t="s">
        <v>1129</v>
      </c>
      <c r="G5" s="769" t="s">
        <v>257</v>
      </c>
      <c r="H5" s="770" t="s">
        <v>1121</v>
      </c>
    </row>
    <row r="6" spans="1:8" ht="21" customHeight="1">
      <c r="A6" s="112"/>
      <c r="B6" s="766"/>
      <c r="C6" s="767"/>
      <c r="D6" s="766"/>
      <c r="E6" s="767"/>
      <c r="F6" s="768" t="s">
        <v>1130</v>
      </c>
      <c r="G6" s="771" t="s">
        <v>258</v>
      </c>
      <c r="H6" s="772" t="s">
        <v>256</v>
      </c>
    </row>
    <row r="7" spans="1:8" ht="20.5" customHeight="1">
      <c r="A7" s="116"/>
      <c r="B7" s="117"/>
      <c r="C7" s="118"/>
      <c r="D7" s="117"/>
      <c r="E7" s="118"/>
      <c r="F7" s="330"/>
      <c r="G7" s="773"/>
      <c r="H7" s="774" t="s">
        <v>1154</v>
      </c>
    </row>
    <row r="8" spans="1:8" ht="30" customHeight="1" thickBot="1">
      <c r="A8" s="775" t="s">
        <v>434</v>
      </c>
      <c r="B8" s="121">
        <v>405.64135599999997</v>
      </c>
      <c r="C8" s="122">
        <v>362.47810500000003</v>
      </c>
      <c r="D8" s="121">
        <v>334.44203800000003</v>
      </c>
      <c r="E8" s="122" t="s">
        <v>397</v>
      </c>
      <c r="F8" s="776">
        <v>362.08946617432343</v>
      </c>
      <c r="G8" s="158">
        <v>2.7649933732291299E-2</v>
      </c>
      <c r="H8" s="505">
        <v>6.8992659778930765E-2</v>
      </c>
    </row>
    <row r="9" spans="1:8" ht="20" customHeight="1" thickBot="1">
      <c r="A9" s="777" t="s">
        <v>435</v>
      </c>
      <c r="B9" s="124">
        <v>437.73907200000002</v>
      </c>
      <c r="C9" s="125">
        <v>383.28050500000001</v>
      </c>
      <c r="D9" s="124">
        <v>355.94453600000003</v>
      </c>
      <c r="E9" s="125" t="s">
        <v>397</v>
      </c>
      <c r="F9" s="778">
        <v>391.56937625286048</v>
      </c>
      <c r="G9" s="159">
        <v>5.4029414918162599E-2</v>
      </c>
      <c r="H9" s="319">
        <v>7.4294553196955881E-2</v>
      </c>
    </row>
    <row r="10" spans="1:8" ht="20" customHeight="1" thickBot="1">
      <c r="A10" s="777" t="s">
        <v>436</v>
      </c>
      <c r="B10" s="124">
        <v>345.87895700000001</v>
      </c>
      <c r="C10" s="125">
        <v>320.90078599999998</v>
      </c>
      <c r="D10" s="124">
        <v>304.31154199999997</v>
      </c>
      <c r="E10" s="125" t="s">
        <v>397</v>
      </c>
      <c r="F10" s="778">
        <v>324.07291125760702</v>
      </c>
      <c r="G10" s="159">
        <v>3.5884584885486737E-2</v>
      </c>
      <c r="H10" s="319">
        <v>6.878762057747001E-2</v>
      </c>
    </row>
    <row r="11" spans="1:8" ht="20" customHeight="1" thickBot="1">
      <c r="A11" s="777" t="s">
        <v>437</v>
      </c>
      <c r="B11" s="124" t="s">
        <v>397</v>
      </c>
      <c r="C11" s="125" t="s">
        <v>397</v>
      </c>
      <c r="D11" s="124" t="s">
        <v>397</v>
      </c>
      <c r="E11" s="125">
        <v>299.34507100000002</v>
      </c>
      <c r="F11" s="778">
        <v>299.34507110834681</v>
      </c>
      <c r="G11" s="159">
        <v>2.9896885612799018E-2</v>
      </c>
      <c r="H11" s="319">
        <v>6.2527198786412441E-2</v>
      </c>
    </row>
    <row r="12" spans="1:8" ht="20" customHeight="1" thickBot="1">
      <c r="A12" s="777" t="s">
        <v>438</v>
      </c>
      <c r="B12" s="124" t="s">
        <v>397</v>
      </c>
      <c r="C12" s="125" t="s">
        <v>397</v>
      </c>
      <c r="D12" s="124" t="s">
        <v>397</v>
      </c>
      <c r="E12" s="125">
        <v>313.96804400000002</v>
      </c>
      <c r="F12" s="778">
        <v>313.96804373316712</v>
      </c>
      <c r="G12" s="159">
        <v>2.963946387617189E-2</v>
      </c>
      <c r="H12" s="319">
        <v>6.5986896514795834E-2</v>
      </c>
    </row>
    <row r="13" spans="1:8" ht="20" customHeight="1" thickBot="1">
      <c r="A13" s="777" t="s">
        <v>439</v>
      </c>
      <c r="B13" s="124" t="s">
        <v>397</v>
      </c>
      <c r="C13" s="125" t="s">
        <v>397</v>
      </c>
      <c r="D13" s="124" t="s">
        <v>397</v>
      </c>
      <c r="E13" s="125">
        <v>296.73997700000001</v>
      </c>
      <c r="F13" s="778">
        <v>296.739975823056</v>
      </c>
      <c r="G13" s="159">
        <v>3.9837503731927848E-2</v>
      </c>
      <c r="H13" s="319">
        <v>6.1806461759976727E-2</v>
      </c>
    </row>
    <row r="14" spans="1:8" ht="20" customHeight="1" thickBot="1">
      <c r="A14" s="777" t="s">
        <v>440</v>
      </c>
      <c r="B14" s="124" t="s">
        <v>397</v>
      </c>
      <c r="C14" s="125" t="s">
        <v>397</v>
      </c>
      <c r="D14" s="124" t="s">
        <v>397</v>
      </c>
      <c r="E14" s="125">
        <v>279.61330099999998</v>
      </c>
      <c r="F14" s="778">
        <v>279.61330071652299</v>
      </c>
      <c r="G14" s="159">
        <v>3.1581532438958115E-2</v>
      </c>
      <c r="H14" s="319">
        <v>6.1680734005758797E-2</v>
      </c>
    </row>
    <row r="15" spans="1:8" ht="20" customHeight="1" thickBot="1">
      <c r="A15" s="777" t="s">
        <v>441</v>
      </c>
      <c r="B15" s="124" t="s">
        <v>397</v>
      </c>
      <c r="C15" s="125" t="s">
        <v>397</v>
      </c>
      <c r="D15" s="124" t="s">
        <v>397</v>
      </c>
      <c r="E15" s="125">
        <v>308.18870299999998</v>
      </c>
      <c r="F15" s="778">
        <v>308.18870245393771</v>
      </c>
      <c r="G15" s="159">
        <v>2.6856629396708076E-2</v>
      </c>
      <c r="H15" s="319">
        <v>7.0590880087649799E-2</v>
      </c>
    </row>
    <row r="16" spans="1:8" ht="20" customHeight="1" thickBot="1">
      <c r="A16" s="777" t="s">
        <v>442</v>
      </c>
      <c r="B16" s="124" t="s">
        <v>397</v>
      </c>
      <c r="C16" s="125" t="s">
        <v>397</v>
      </c>
      <c r="D16" s="124" t="s">
        <v>397</v>
      </c>
      <c r="E16" s="125">
        <v>308.697993</v>
      </c>
      <c r="F16" s="778">
        <v>308.697992450215</v>
      </c>
      <c r="G16" s="159">
        <v>2.6872648934361587E-2</v>
      </c>
      <c r="H16" s="319">
        <v>6.4354960521539217E-2</v>
      </c>
    </row>
    <row r="17" spans="1:8" ht="20" customHeight="1" thickBot="1">
      <c r="A17" s="777" t="s">
        <v>443</v>
      </c>
      <c r="B17" s="124">
        <v>370.46715899999998</v>
      </c>
      <c r="C17" s="125">
        <v>331.74869699999999</v>
      </c>
      <c r="D17" s="124" t="s">
        <v>397</v>
      </c>
      <c r="E17" s="125" t="s">
        <v>397</v>
      </c>
      <c r="F17" s="778">
        <v>345.64254043811667</v>
      </c>
      <c r="G17" s="159">
        <v>2.8489432354058764E-2</v>
      </c>
      <c r="H17" s="319">
        <v>5.8432450276895809E-2</v>
      </c>
    </row>
    <row r="18" spans="1:8" ht="20" customHeight="1" thickBot="1">
      <c r="A18" s="777" t="s">
        <v>444</v>
      </c>
      <c r="B18" s="124" t="s">
        <v>397</v>
      </c>
      <c r="C18" s="125" t="s">
        <v>397</v>
      </c>
      <c r="D18" s="124" t="s">
        <v>397</v>
      </c>
      <c r="E18" s="125">
        <v>343.439684</v>
      </c>
      <c r="F18" s="778">
        <v>343.43968390474413</v>
      </c>
      <c r="G18" s="159">
        <v>2.8001859830850906E-2</v>
      </c>
      <c r="H18" s="319">
        <v>6.7393690025648656E-2</v>
      </c>
    </row>
    <row r="19" spans="1:8" ht="20" customHeight="1" thickBot="1">
      <c r="A19" s="777" t="s">
        <v>445</v>
      </c>
      <c r="B19" s="124" t="s">
        <v>397</v>
      </c>
      <c r="C19" s="125" t="s">
        <v>397</v>
      </c>
      <c r="D19" s="124" t="s">
        <v>397</v>
      </c>
      <c r="E19" s="125">
        <v>473.36456399999997</v>
      </c>
      <c r="F19" s="778">
        <v>473.36456427215637</v>
      </c>
      <c r="G19" s="159">
        <v>2.5970802186359832E-2</v>
      </c>
      <c r="H19" s="319">
        <v>7.4064950082725067E-2</v>
      </c>
    </row>
    <row r="20" spans="1:8" ht="20" customHeight="1" thickBot="1">
      <c r="A20" s="777" t="s">
        <v>446</v>
      </c>
      <c r="B20" s="124">
        <v>393.09312399999999</v>
      </c>
      <c r="C20" s="125">
        <v>362.20747599999999</v>
      </c>
      <c r="D20" s="124" t="s">
        <v>397</v>
      </c>
      <c r="E20" s="125" t="s">
        <v>397</v>
      </c>
      <c r="F20" s="778">
        <v>383.82268071688117</v>
      </c>
      <c r="G20" s="159">
        <v>2.5571700104010109E-2</v>
      </c>
      <c r="H20" s="319">
        <v>6.9395426311057218E-2</v>
      </c>
    </row>
    <row r="21" spans="1:8" ht="20" customHeight="1" thickBot="1">
      <c r="A21" s="777" t="s">
        <v>447</v>
      </c>
      <c r="B21" s="124">
        <v>360.97778099999999</v>
      </c>
      <c r="C21" s="125">
        <v>330.002768</v>
      </c>
      <c r="D21" s="124" t="s">
        <v>397</v>
      </c>
      <c r="E21" s="125" t="s">
        <v>397</v>
      </c>
      <c r="F21" s="778">
        <v>348.47563985659542</v>
      </c>
      <c r="G21" s="159">
        <v>1.4782087835769175E-2</v>
      </c>
      <c r="H21" s="319">
        <v>7.3228681958341424E-2</v>
      </c>
    </row>
    <row r="22" spans="1:8" ht="20" customHeight="1" thickBot="1">
      <c r="A22" s="777" t="s">
        <v>448</v>
      </c>
      <c r="B22" s="124" t="s">
        <v>397</v>
      </c>
      <c r="C22" s="125" t="s">
        <v>397</v>
      </c>
      <c r="D22" s="124" t="s">
        <v>397</v>
      </c>
      <c r="E22" s="125">
        <v>307.58657099999999</v>
      </c>
      <c r="F22" s="778">
        <v>307.58657139351499</v>
      </c>
      <c r="G22" s="159">
        <v>3.7113841436801298E-2</v>
      </c>
      <c r="H22" s="319">
        <v>7.2816762479207986E-2</v>
      </c>
    </row>
    <row r="23" spans="1:8" ht="20" customHeight="1" thickBot="1">
      <c r="A23" s="777" t="s">
        <v>449</v>
      </c>
      <c r="B23" s="124" t="s">
        <v>397</v>
      </c>
      <c r="C23" s="125" t="s">
        <v>397</v>
      </c>
      <c r="D23" s="124" t="s">
        <v>397</v>
      </c>
      <c r="E23" s="125">
        <v>283.47105099999999</v>
      </c>
      <c r="F23" s="778">
        <v>283.47105088571772</v>
      </c>
      <c r="G23" s="159">
        <v>3.41709194983979E-2</v>
      </c>
      <c r="H23" s="319">
        <v>6.7742382773774645E-2</v>
      </c>
    </row>
    <row r="24" spans="1:8" ht="20" customHeight="1" thickBot="1">
      <c r="A24" s="777" t="s">
        <v>450</v>
      </c>
      <c r="B24" s="124">
        <v>360.67801200000002</v>
      </c>
      <c r="C24" s="125">
        <v>328.66970199999997</v>
      </c>
      <c r="D24" s="124">
        <v>316.84773999999999</v>
      </c>
      <c r="E24" s="125" t="s">
        <v>397</v>
      </c>
      <c r="F24" s="778">
        <v>334.73303667627982</v>
      </c>
      <c r="G24" s="159">
        <v>4.0208660262672336E-2</v>
      </c>
      <c r="H24" s="319">
        <v>7.4862973498871055E-2</v>
      </c>
    </row>
    <row r="25" spans="1:8" ht="20" customHeight="1" thickBot="1">
      <c r="A25" s="777" t="s">
        <v>451</v>
      </c>
      <c r="B25" s="124">
        <v>330.95478200000002</v>
      </c>
      <c r="C25" s="125">
        <v>303.486287</v>
      </c>
      <c r="D25" s="124">
        <v>289.31552399999998</v>
      </c>
      <c r="E25" s="125" t="s">
        <v>397</v>
      </c>
      <c r="F25" s="778">
        <v>306.6767412237553</v>
      </c>
      <c r="G25" s="159">
        <v>2.2080095168447222E-2</v>
      </c>
      <c r="H25" s="319">
        <v>7.3512567092351322E-2</v>
      </c>
    </row>
    <row r="26" spans="1:8" ht="20" customHeight="1" thickBot="1">
      <c r="A26" s="777" t="s">
        <v>452</v>
      </c>
      <c r="B26" s="124" t="s">
        <v>397</v>
      </c>
      <c r="C26" s="125" t="s">
        <v>397</v>
      </c>
      <c r="D26" s="124" t="s">
        <v>397</v>
      </c>
      <c r="E26" s="125">
        <v>339.68100600000002</v>
      </c>
      <c r="F26" s="778">
        <v>339.6810057376909</v>
      </c>
      <c r="G26" s="159">
        <v>3.0669298277019807E-2</v>
      </c>
      <c r="H26" s="319">
        <v>7.490717876849029E-2</v>
      </c>
    </row>
    <row r="27" spans="1:8" ht="20" customHeight="1" thickBot="1">
      <c r="A27" s="777" t="s">
        <v>453</v>
      </c>
      <c r="B27" s="124" t="s">
        <v>397</v>
      </c>
      <c r="C27" s="125" t="s">
        <v>397</v>
      </c>
      <c r="D27" s="124" t="s">
        <v>397</v>
      </c>
      <c r="E27" s="125">
        <v>328.84047099999998</v>
      </c>
      <c r="F27" s="778">
        <v>328.84047097997876</v>
      </c>
      <c r="G27" s="159">
        <v>2.6859514792411554E-2</v>
      </c>
      <c r="H27" s="319">
        <v>7.3624140845500508E-2</v>
      </c>
    </row>
    <row r="28" spans="1:8" ht="20" customHeight="1" thickBot="1">
      <c r="A28" s="777" t="s">
        <v>454</v>
      </c>
      <c r="B28" s="124">
        <v>388.97429899999997</v>
      </c>
      <c r="C28" s="125">
        <v>360.96885300000002</v>
      </c>
      <c r="D28" s="124" t="s">
        <v>397</v>
      </c>
      <c r="E28" s="125" t="s">
        <v>397</v>
      </c>
      <c r="F28" s="778">
        <v>384.75069532120148</v>
      </c>
      <c r="G28" s="159">
        <v>1.362884957423427E-2</v>
      </c>
      <c r="H28" s="319">
        <v>6.4295665117618084E-2</v>
      </c>
    </row>
    <row r="29" spans="1:8" ht="20" customHeight="1" thickBot="1">
      <c r="A29" s="777" t="s">
        <v>455</v>
      </c>
      <c r="B29" s="124">
        <v>422.68095299999999</v>
      </c>
      <c r="C29" s="125">
        <v>395.51887599999998</v>
      </c>
      <c r="D29" s="124" t="s">
        <v>397</v>
      </c>
      <c r="E29" s="125" t="s">
        <v>397</v>
      </c>
      <c r="F29" s="778">
        <v>413.30394869953022</v>
      </c>
      <c r="G29" s="159">
        <v>1.2167124736666812E-2</v>
      </c>
      <c r="H29" s="319">
        <v>5.3040684661721516E-2</v>
      </c>
    </row>
    <row r="30" spans="1:8" ht="20" customHeight="1" thickBot="1">
      <c r="A30" s="777" t="s">
        <v>456</v>
      </c>
      <c r="B30" s="124">
        <v>325.93513899999999</v>
      </c>
      <c r="C30" s="125">
        <v>289.55631599999998</v>
      </c>
      <c r="D30" s="124" t="s">
        <v>397</v>
      </c>
      <c r="E30" s="125" t="s">
        <v>397</v>
      </c>
      <c r="F30" s="778">
        <v>314.98218685065456</v>
      </c>
      <c r="G30" s="159">
        <v>2.4554131569666238E-2</v>
      </c>
      <c r="H30" s="319">
        <v>5.3893092770735951E-2</v>
      </c>
    </row>
    <row r="31" spans="1:8" ht="20" customHeight="1" thickBot="1">
      <c r="A31" s="777" t="s">
        <v>457</v>
      </c>
      <c r="B31" s="124" t="s">
        <v>397</v>
      </c>
      <c r="C31" s="125" t="s">
        <v>397</v>
      </c>
      <c r="D31" s="124" t="s">
        <v>397</v>
      </c>
      <c r="E31" s="125">
        <v>386.78091499999999</v>
      </c>
      <c r="F31" s="778">
        <v>386.78091543594661</v>
      </c>
      <c r="G31" s="159">
        <v>1.553931887836435E-2</v>
      </c>
      <c r="H31" s="319">
        <v>6.0832999068757942E-2</v>
      </c>
    </row>
    <row r="32" spans="1:8" ht="20" customHeight="1" thickBot="1">
      <c r="A32" s="777" t="s">
        <v>458</v>
      </c>
      <c r="B32" s="124" t="s">
        <v>397</v>
      </c>
      <c r="C32" s="125" t="s">
        <v>397</v>
      </c>
      <c r="D32" s="124" t="s">
        <v>397</v>
      </c>
      <c r="E32" s="125">
        <v>447.28398700000002</v>
      </c>
      <c r="F32" s="778">
        <v>447.28398568668899</v>
      </c>
      <c r="G32" s="159">
        <v>2.5907067165225506E-2</v>
      </c>
      <c r="H32" s="319">
        <v>5.0722406814449172E-2</v>
      </c>
    </row>
    <row r="33" spans="1:12" ht="20" customHeight="1" thickBot="1">
      <c r="A33" s="777" t="s">
        <v>459</v>
      </c>
      <c r="B33" s="124" t="s">
        <v>397</v>
      </c>
      <c r="C33" s="125" t="s">
        <v>397</v>
      </c>
      <c r="D33" s="124" t="s">
        <v>397</v>
      </c>
      <c r="E33" s="125">
        <v>385.05186200000003</v>
      </c>
      <c r="F33" s="778">
        <v>385.05186167465195</v>
      </c>
      <c r="G33" s="159">
        <v>-1.3851514508544938E-4</v>
      </c>
      <c r="H33" s="319">
        <v>6.0570700078436346E-2</v>
      </c>
    </row>
    <row r="34" spans="1:12" s="411" customFormat="1" ht="30" customHeight="1" thickBot="1">
      <c r="A34" s="322" t="s">
        <v>462</v>
      </c>
      <c r="B34" s="537" t="s">
        <v>397</v>
      </c>
      <c r="C34" s="731" t="s">
        <v>397</v>
      </c>
      <c r="D34" s="537" t="s">
        <v>397</v>
      </c>
      <c r="E34" s="731" t="s">
        <v>397</v>
      </c>
      <c r="F34" s="537">
        <v>363.55335610153696</v>
      </c>
      <c r="G34" s="512">
        <v>2.9676937439659268E-2</v>
      </c>
      <c r="H34" s="655">
        <v>6.6171818034536756E-2</v>
      </c>
    </row>
    <row r="35" spans="1:12" ht="20" customHeight="1">
      <c r="A35" s="130" t="s">
        <v>1104</v>
      </c>
      <c r="B35" s="779"/>
      <c r="C35" s="779"/>
      <c r="D35" s="779"/>
      <c r="E35" s="779"/>
      <c r="F35" s="779"/>
    </row>
    <row r="36" spans="1:12" ht="12.75" customHeight="1">
      <c r="A36" s="131"/>
      <c r="B36" s="623"/>
      <c r="C36" s="623"/>
      <c r="D36" s="623"/>
      <c r="E36" s="623"/>
      <c r="F36" s="623"/>
    </row>
    <row r="37" spans="1:12" ht="15.75" customHeight="1">
      <c r="A37" s="131" t="s">
        <v>1122</v>
      </c>
      <c r="B37" s="623"/>
      <c r="C37" s="623"/>
      <c r="D37" s="623"/>
      <c r="E37" s="623"/>
      <c r="F37" s="623"/>
    </row>
    <row r="38" spans="1:12" ht="13.5" customHeight="1">
      <c r="A38" s="131"/>
      <c r="B38" s="623"/>
      <c r="C38" s="623"/>
      <c r="D38" s="623"/>
      <c r="E38" s="623"/>
      <c r="F38" s="623"/>
    </row>
    <row r="39" spans="1:12" ht="12.75" customHeight="1">
      <c r="A39" s="131" t="s">
        <v>1123</v>
      </c>
      <c r="B39" s="623"/>
      <c r="C39" s="623"/>
      <c r="D39" s="623"/>
      <c r="E39" s="623"/>
      <c r="F39" s="623"/>
    </row>
    <row r="40" spans="1:12">
      <c r="A40" s="3" t="s">
        <v>1124</v>
      </c>
      <c r="B40" s="60"/>
      <c r="C40" s="60"/>
      <c r="D40" s="60"/>
      <c r="E40" s="60"/>
      <c r="F40" s="60"/>
    </row>
    <row r="41" spans="1:12">
      <c r="A41" s="3" t="s">
        <v>1125</v>
      </c>
      <c r="B41" s="60"/>
      <c r="C41" s="60"/>
      <c r="D41" s="60"/>
      <c r="E41" s="60"/>
      <c r="F41" s="60"/>
    </row>
    <row r="42" spans="1:12">
      <c r="A42" s="3" t="s">
        <v>1126</v>
      </c>
      <c r="B42" s="60"/>
      <c r="C42" s="60"/>
      <c r="D42" s="60"/>
      <c r="E42" s="60"/>
      <c r="F42" s="60"/>
      <c r="J42" s="4"/>
      <c r="K42" s="4"/>
      <c r="L42" s="4"/>
    </row>
    <row r="43" spans="1:12">
      <c r="B43" s="60"/>
      <c r="C43" s="60"/>
      <c r="D43" s="60"/>
      <c r="E43" s="60"/>
      <c r="F43" s="60"/>
    </row>
    <row r="44" spans="1:12">
      <c r="B44" s="60"/>
      <c r="C44" s="60"/>
      <c r="D44" s="60"/>
      <c r="E44" s="60"/>
      <c r="F44" s="60"/>
    </row>
    <row r="45" spans="1:12">
      <c r="A45" s="3" t="s">
        <v>395</v>
      </c>
    </row>
  </sheetData>
  <pageMargins left="0.56000000000000005" right="0.54" top="0.9" bottom="0.47244094488188981" header="0.63" footer="0.51181102362204722"/>
  <pageSetup paperSize="9" scale="74" orientation="portrait"/>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66BF-5F70-C64C-9B09-D869845C8F5C}">
  <sheetPr>
    <pageSetUpPr fitToPage="1"/>
  </sheetPr>
  <dimension ref="A1:L45"/>
  <sheetViews>
    <sheetView topLeftCell="A21" zoomScaleNormal="100" workbookViewId="0">
      <selection activeCell="A43" sqref="A43"/>
    </sheetView>
  </sheetViews>
  <sheetFormatPr baseColWidth="10" defaultColWidth="11.3984375" defaultRowHeight="13"/>
  <cols>
    <col min="1" max="6" width="16" style="3" customWidth="1"/>
    <col min="7" max="8" width="14.3984375" style="3" customWidth="1"/>
    <col min="9" max="16384" width="11.3984375" style="3"/>
  </cols>
  <sheetData>
    <row r="1" spans="1:8" s="2" customFormat="1" ht="14" customHeight="1">
      <c r="A1" s="272"/>
      <c r="B1" s="272"/>
      <c r="C1" s="272"/>
      <c r="D1" s="272"/>
      <c r="E1" s="272"/>
      <c r="F1" s="272"/>
    </row>
    <row r="2" spans="1:8" s="2" customFormat="1" ht="20.5" customHeight="1">
      <c r="A2" s="396" t="s">
        <v>1114</v>
      </c>
      <c r="B2" s="272"/>
      <c r="C2" s="272"/>
      <c r="D2" s="272"/>
      <c r="E2" s="272"/>
      <c r="F2" s="272"/>
    </row>
    <row r="3" spans="1:8" s="2" customFormat="1" ht="24" customHeight="1">
      <c r="A3" s="396" t="s">
        <v>1150</v>
      </c>
      <c r="B3" s="272"/>
      <c r="C3" s="272"/>
      <c r="D3" s="272"/>
      <c r="E3" s="272"/>
      <c r="F3" s="272"/>
    </row>
    <row r="4" spans="1:8" ht="24" customHeight="1">
      <c r="A4" s="109" t="s">
        <v>426</v>
      </c>
      <c r="B4" s="762" t="s">
        <v>1115</v>
      </c>
      <c r="C4" s="763" t="s">
        <v>1116</v>
      </c>
      <c r="D4" s="762" t="s">
        <v>1117</v>
      </c>
      <c r="E4" s="763" t="s">
        <v>1118</v>
      </c>
      <c r="F4" s="762" t="s">
        <v>242</v>
      </c>
      <c r="G4" s="764" t="s">
        <v>256</v>
      </c>
      <c r="H4" s="765" t="s">
        <v>1119</v>
      </c>
    </row>
    <row r="5" spans="1:8" ht="24.75" customHeight="1">
      <c r="A5" s="112"/>
      <c r="B5" s="766"/>
      <c r="C5" s="767"/>
      <c r="D5" s="766"/>
      <c r="E5" s="767"/>
      <c r="F5" s="768" t="s">
        <v>1120</v>
      </c>
      <c r="G5" s="769" t="s">
        <v>257</v>
      </c>
      <c r="H5" s="770" t="s">
        <v>1121</v>
      </c>
    </row>
    <row r="6" spans="1:8" ht="24.75" customHeight="1">
      <c r="A6" s="112"/>
      <c r="B6" s="766"/>
      <c r="C6" s="767"/>
      <c r="D6" s="766"/>
      <c r="E6" s="767"/>
      <c r="F6" s="766"/>
      <c r="G6" s="771" t="s">
        <v>258</v>
      </c>
      <c r="H6" s="772" t="s">
        <v>256</v>
      </c>
    </row>
    <row r="7" spans="1:8" ht="21.5" customHeight="1">
      <c r="A7" s="116"/>
      <c r="B7" s="117"/>
      <c r="C7" s="118"/>
      <c r="D7" s="117"/>
      <c r="E7" s="118"/>
      <c r="F7" s="330"/>
      <c r="G7" s="773"/>
      <c r="H7" s="774" t="s">
        <v>1154</v>
      </c>
    </row>
    <row r="8" spans="1:8" ht="30" customHeight="1" thickBot="1">
      <c r="A8" s="775" t="s">
        <v>434</v>
      </c>
      <c r="B8" s="121">
        <v>104.58276499999999</v>
      </c>
      <c r="C8" s="122">
        <v>94.171008599999993</v>
      </c>
      <c r="D8" s="121">
        <v>87.2550119</v>
      </c>
      <c r="E8" s="122" t="s">
        <v>397</v>
      </c>
      <c r="F8" s="776">
        <v>94.038811979005217</v>
      </c>
      <c r="G8" s="158">
        <v>2.5614780534567005E-2</v>
      </c>
      <c r="H8" s="505">
        <v>4.3199752356489762E-2</v>
      </c>
    </row>
    <row r="9" spans="1:8" ht="20" customHeight="1" thickBot="1">
      <c r="A9" s="777" t="s">
        <v>435</v>
      </c>
      <c r="B9" s="124">
        <v>106.043205</v>
      </c>
      <c r="C9" s="125">
        <v>94.284173999999993</v>
      </c>
      <c r="D9" s="124">
        <v>88.935601599999998</v>
      </c>
      <c r="E9" s="125" t="s">
        <v>397</v>
      </c>
      <c r="F9" s="778">
        <v>96.243783249730399</v>
      </c>
      <c r="G9" s="159">
        <v>1.9259911602242497E-2</v>
      </c>
      <c r="H9" s="319">
        <v>4.3131831711423985E-2</v>
      </c>
    </row>
    <row r="10" spans="1:8" ht="20" customHeight="1" thickBot="1">
      <c r="A10" s="777" t="s">
        <v>436</v>
      </c>
      <c r="B10" s="124">
        <v>85.318298999999996</v>
      </c>
      <c r="C10" s="125">
        <v>78.562165899999997</v>
      </c>
      <c r="D10" s="124">
        <v>74.969139600000005</v>
      </c>
      <c r="E10" s="125" t="s">
        <v>397</v>
      </c>
      <c r="F10" s="778">
        <v>79.458014235955034</v>
      </c>
      <c r="G10" s="159">
        <v>3.7895028925797991E-2</v>
      </c>
      <c r="H10" s="319">
        <v>4.4015656618506149E-2</v>
      </c>
    </row>
    <row r="11" spans="1:8" ht="20" customHeight="1" thickBot="1">
      <c r="A11" s="777" t="s">
        <v>437</v>
      </c>
      <c r="B11" s="124" t="s">
        <v>397</v>
      </c>
      <c r="C11" s="125" t="s">
        <v>397</v>
      </c>
      <c r="D11" s="124" t="s">
        <v>397</v>
      </c>
      <c r="E11" s="125">
        <v>77.317946000000006</v>
      </c>
      <c r="F11" s="778">
        <v>77.317945970654051</v>
      </c>
      <c r="G11" s="159">
        <v>3.278186297764174E-2</v>
      </c>
      <c r="H11" s="319">
        <v>4.0417902968423514E-2</v>
      </c>
    </row>
    <row r="12" spans="1:8" ht="20" customHeight="1" thickBot="1">
      <c r="A12" s="777" t="s">
        <v>438</v>
      </c>
      <c r="B12" s="124" t="s">
        <v>397</v>
      </c>
      <c r="C12" s="125" t="s">
        <v>397</v>
      </c>
      <c r="D12" s="124" t="s">
        <v>397</v>
      </c>
      <c r="E12" s="125">
        <v>79.103019700000004</v>
      </c>
      <c r="F12" s="778">
        <v>79.103019811908993</v>
      </c>
      <c r="G12" s="159">
        <v>3.1980724213237499E-2</v>
      </c>
      <c r="H12" s="319">
        <v>4.3217347804316297E-2</v>
      </c>
    </row>
    <row r="13" spans="1:8" ht="20" customHeight="1" thickBot="1">
      <c r="A13" s="777" t="s">
        <v>439</v>
      </c>
      <c r="B13" s="124" t="s">
        <v>397</v>
      </c>
      <c r="C13" s="125" t="s">
        <v>397</v>
      </c>
      <c r="D13" s="124" t="s">
        <v>397</v>
      </c>
      <c r="E13" s="125">
        <v>75.035854299999997</v>
      </c>
      <c r="F13" s="778">
        <v>75.035854285244355</v>
      </c>
      <c r="G13" s="159">
        <v>3.6646368948368035E-2</v>
      </c>
      <c r="H13" s="319">
        <v>3.8822091386733204E-2</v>
      </c>
    </row>
    <row r="14" spans="1:8" ht="20" customHeight="1" thickBot="1">
      <c r="A14" s="777" t="s">
        <v>440</v>
      </c>
      <c r="B14" s="124" t="s">
        <v>397</v>
      </c>
      <c r="C14" s="125" t="s">
        <v>397</v>
      </c>
      <c r="D14" s="124" t="s">
        <v>397</v>
      </c>
      <c r="E14" s="125">
        <v>71.160173900000004</v>
      </c>
      <c r="F14" s="778">
        <v>71.160173946094844</v>
      </c>
      <c r="G14" s="159">
        <v>4.3313207854369207E-2</v>
      </c>
      <c r="H14" s="319">
        <v>3.6983415385769325E-2</v>
      </c>
    </row>
    <row r="15" spans="1:8" ht="20" customHeight="1" thickBot="1">
      <c r="A15" s="777" t="s">
        <v>441</v>
      </c>
      <c r="B15" s="124" t="s">
        <v>397</v>
      </c>
      <c r="C15" s="125" t="s">
        <v>397</v>
      </c>
      <c r="D15" s="124" t="s">
        <v>397</v>
      </c>
      <c r="E15" s="125">
        <v>77.988867099999993</v>
      </c>
      <c r="F15" s="778">
        <v>77.988867090154258</v>
      </c>
      <c r="G15" s="159">
        <v>2.8341539536736349E-2</v>
      </c>
      <c r="H15" s="319">
        <v>4.5363353189441513E-2</v>
      </c>
    </row>
    <row r="16" spans="1:8" ht="20" customHeight="1" thickBot="1">
      <c r="A16" s="777" t="s">
        <v>442</v>
      </c>
      <c r="B16" s="124" t="s">
        <v>397</v>
      </c>
      <c r="C16" s="125" t="s">
        <v>397</v>
      </c>
      <c r="D16" s="124" t="s">
        <v>397</v>
      </c>
      <c r="E16" s="125">
        <v>77.832884899999996</v>
      </c>
      <c r="F16" s="778">
        <v>77.832885065980747</v>
      </c>
      <c r="G16" s="159">
        <v>2.9210092394767351E-2</v>
      </c>
      <c r="H16" s="319">
        <v>4.0375371413409855E-2</v>
      </c>
    </row>
    <row r="17" spans="1:8" ht="20" customHeight="1" thickBot="1">
      <c r="A17" s="777" t="s">
        <v>443</v>
      </c>
      <c r="B17" s="124">
        <v>91.683348600000002</v>
      </c>
      <c r="C17" s="125">
        <v>82.131690800000001</v>
      </c>
      <c r="D17" s="124" t="s">
        <v>397</v>
      </c>
      <c r="E17" s="125" t="s">
        <v>397</v>
      </c>
      <c r="F17" s="778">
        <v>85.366493764552388</v>
      </c>
      <c r="G17" s="159">
        <v>1.946880735134271E-2</v>
      </c>
      <c r="H17" s="319">
        <v>3.0769314297382167E-2</v>
      </c>
    </row>
    <row r="18" spans="1:8" ht="20" customHeight="1" thickBot="1">
      <c r="A18" s="777" t="s">
        <v>444</v>
      </c>
      <c r="B18" s="124" t="s">
        <v>397</v>
      </c>
      <c r="C18" s="125" t="s">
        <v>397</v>
      </c>
      <c r="D18" s="124" t="s">
        <v>397</v>
      </c>
      <c r="E18" s="125">
        <v>86.587870100000004</v>
      </c>
      <c r="F18" s="778">
        <v>86.587870025147865</v>
      </c>
      <c r="G18" s="159">
        <v>1.900510358998142E-2</v>
      </c>
      <c r="H18" s="319">
        <v>4.4234388828158444E-2</v>
      </c>
    </row>
    <row r="19" spans="1:8" ht="20" customHeight="1" thickBot="1">
      <c r="A19" s="777" t="s">
        <v>445</v>
      </c>
      <c r="B19" s="124" t="s">
        <v>397</v>
      </c>
      <c r="C19" s="125" t="s">
        <v>397</v>
      </c>
      <c r="D19" s="124" t="s">
        <v>397</v>
      </c>
      <c r="E19" s="125">
        <v>123.04776</v>
      </c>
      <c r="F19" s="778">
        <v>123.04776016783136</v>
      </c>
      <c r="G19" s="159">
        <v>1.1164029679429976E-2</v>
      </c>
      <c r="H19" s="319">
        <v>4.9724210313746298E-2</v>
      </c>
    </row>
    <row r="20" spans="1:8" ht="20" customHeight="1" thickBot="1">
      <c r="A20" s="777" t="s">
        <v>446</v>
      </c>
      <c r="B20" s="124">
        <v>103.238589</v>
      </c>
      <c r="C20" s="125">
        <v>94.191551500000003</v>
      </c>
      <c r="D20" s="124" t="s">
        <v>397</v>
      </c>
      <c r="E20" s="125" t="s">
        <v>397</v>
      </c>
      <c r="F20" s="778">
        <v>100.50514093522092</v>
      </c>
      <c r="G20" s="159">
        <v>1.8354771643598777E-2</v>
      </c>
      <c r="H20" s="319">
        <v>4.6586640019816494E-2</v>
      </c>
    </row>
    <row r="21" spans="1:8" ht="20" customHeight="1" thickBot="1">
      <c r="A21" s="777" t="s">
        <v>447</v>
      </c>
      <c r="B21" s="124">
        <v>91.073648700000007</v>
      </c>
      <c r="C21" s="125">
        <v>84.490818200000007</v>
      </c>
      <c r="D21" s="124" t="s">
        <v>397</v>
      </c>
      <c r="E21" s="125" t="s">
        <v>397</v>
      </c>
      <c r="F21" s="778">
        <v>88.081407703811351</v>
      </c>
      <c r="G21" s="159">
        <v>2.8229427126939433E-2</v>
      </c>
      <c r="H21" s="319">
        <v>4.8364677697501079E-2</v>
      </c>
    </row>
    <row r="22" spans="1:8" ht="20" customHeight="1" thickBot="1">
      <c r="A22" s="777" t="s">
        <v>448</v>
      </c>
      <c r="B22" s="124" t="s">
        <v>397</v>
      </c>
      <c r="C22" s="125" t="s">
        <v>397</v>
      </c>
      <c r="D22" s="124" t="s">
        <v>397</v>
      </c>
      <c r="E22" s="125">
        <v>78.044186699999997</v>
      </c>
      <c r="F22" s="778">
        <v>78.044186742287664</v>
      </c>
      <c r="G22" s="159">
        <v>4.3477450413801355E-2</v>
      </c>
      <c r="H22" s="319">
        <v>4.6803579455158895E-2</v>
      </c>
    </row>
    <row r="23" spans="1:8" ht="20" customHeight="1" thickBot="1">
      <c r="A23" s="777" t="s">
        <v>449</v>
      </c>
      <c r="B23" s="124" t="s">
        <v>397</v>
      </c>
      <c r="C23" s="125" t="s">
        <v>397</v>
      </c>
      <c r="D23" s="124" t="s">
        <v>397</v>
      </c>
      <c r="E23" s="125">
        <v>72.945905100000004</v>
      </c>
      <c r="F23" s="778">
        <v>72.945905038957605</v>
      </c>
      <c r="G23" s="159">
        <v>3.3948783501312141E-2</v>
      </c>
      <c r="H23" s="319">
        <v>4.3677042150875423E-2</v>
      </c>
    </row>
    <row r="24" spans="1:8" ht="20" customHeight="1" thickBot="1">
      <c r="A24" s="777" t="s">
        <v>450</v>
      </c>
      <c r="B24" s="124">
        <v>93.153336499999995</v>
      </c>
      <c r="C24" s="125">
        <v>83.7598287</v>
      </c>
      <c r="D24" s="124">
        <v>81.1340675</v>
      </c>
      <c r="E24" s="125" t="s">
        <v>397</v>
      </c>
      <c r="F24" s="778">
        <v>85.516958065804587</v>
      </c>
      <c r="G24" s="159">
        <v>3.9236542850867417E-2</v>
      </c>
      <c r="H24" s="319">
        <v>4.8904378011790595E-2</v>
      </c>
    </row>
    <row r="25" spans="1:8" ht="20" customHeight="1" thickBot="1">
      <c r="A25" s="777" t="s">
        <v>451</v>
      </c>
      <c r="B25" s="124">
        <v>85.854134999999999</v>
      </c>
      <c r="C25" s="125">
        <v>80.014445300000006</v>
      </c>
      <c r="D25" s="124">
        <v>75.142893700000002</v>
      </c>
      <c r="E25" s="125" t="s">
        <v>397</v>
      </c>
      <c r="F25" s="778">
        <v>80.237686007807184</v>
      </c>
      <c r="G25" s="159">
        <v>2.5986134192274024E-2</v>
      </c>
      <c r="H25" s="319">
        <v>4.9349669747307034E-2</v>
      </c>
    </row>
    <row r="26" spans="1:8" ht="20" customHeight="1" thickBot="1">
      <c r="A26" s="777" t="s">
        <v>452</v>
      </c>
      <c r="B26" s="124" t="s">
        <v>397</v>
      </c>
      <c r="C26" s="125" t="s">
        <v>397</v>
      </c>
      <c r="D26" s="124" t="s">
        <v>397</v>
      </c>
      <c r="E26" s="125">
        <v>85.453865699999994</v>
      </c>
      <c r="F26" s="778">
        <v>85.453865311623389</v>
      </c>
      <c r="G26" s="159">
        <v>3.0522878622208482E-2</v>
      </c>
      <c r="H26" s="319">
        <v>5.0045405908078378E-2</v>
      </c>
    </row>
    <row r="27" spans="1:8" ht="20" customHeight="1" thickBot="1">
      <c r="A27" s="777" t="s">
        <v>453</v>
      </c>
      <c r="B27" s="124" t="s">
        <v>397</v>
      </c>
      <c r="C27" s="125" t="s">
        <v>397</v>
      </c>
      <c r="D27" s="124" t="s">
        <v>397</v>
      </c>
      <c r="E27" s="125">
        <v>85.789702500000004</v>
      </c>
      <c r="F27" s="778">
        <v>85.789702451915488</v>
      </c>
      <c r="G27" s="159">
        <v>3.1966570094586588E-2</v>
      </c>
      <c r="H27" s="319">
        <v>4.9050398946671736E-2</v>
      </c>
    </row>
    <row r="28" spans="1:8" ht="20" customHeight="1" thickBot="1">
      <c r="A28" s="777" t="s">
        <v>454</v>
      </c>
      <c r="B28" s="124">
        <v>97.477941900000005</v>
      </c>
      <c r="C28" s="125">
        <v>91.098102999999995</v>
      </c>
      <c r="D28" s="124" t="s">
        <v>397</v>
      </c>
      <c r="E28" s="125" t="s">
        <v>397</v>
      </c>
      <c r="F28" s="778">
        <v>96.497812901118849</v>
      </c>
      <c r="G28" s="159">
        <v>1.1353803332991408E-2</v>
      </c>
      <c r="H28" s="319">
        <v>2.3867328491727902E-2</v>
      </c>
    </row>
    <row r="29" spans="1:8" ht="20" customHeight="1" thickBot="1">
      <c r="A29" s="777" t="s">
        <v>455</v>
      </c>
      <c r="B29" s="124">
        <v>103.841504</v>
      </c>
      <c r="C29" s="125">
        <v>97.098627699999994</v>
      </c>
      <c r="D29" s="124" t="s">
        <v>397</v>
      </c>
      <c r="E29" s="125" t="s">
        <v>397</v>
      </c>
      <c r="F29" s="778">
        <v>101.57088260450418</v>
      </c>
      <c r="G29" s="159">
        <v>2.1714352607884901E-2</v>
      </c>
      <c r="H29" s="319">
        <v>1.5599603200701306E-2</v>
      </c>
    </row>
    <row r="30" spans="1:8" ht="20" customHeight="1" thickBot="1">
      <c r="A30" s="777" t="s">
        <v>456</v>
      </c>
      <c r="B30" s="124">
        <v>79.694472700000006</v>
      </c>
      <c r="C30" s="125">
        <v>75.048475600000003</v>
      </c>
      <c r="D30" s="124" t="s">
        <v>397</v>
      </c>
      <c r="E30" s="125" t="s">
        <v>397</v>
      </c>
      <c r="F30" s="778">
        <v>78.467602292002326</v>
      </c>
      <c r="G30" s="159">
        <v>2.3838014637317828E-2</v>
      </c>
      <c r="H30" s="319">
        <v>2.5229767998365293E-2</v>
      </c>
    </row>
    <row r="31" spans="1:8" ht="20" customHeight="1" thickBot="1">
      <c r="A31" s="777" t="s">
        <v>457</v>
      </c>
      <c r="B31" s="124" t="s">
        <v>397</v>
      </c>
      <c r="C31" s="125" t="s">
        <v>397</v>
      </c>
      <c r="D31" s="124" t="s">
        <v>397</v>
      </c>
      <c r="E31" s="125">
        <v>87.077533399999993</v>
      </c>
      <c r="F31" s="778">
        <v>87.077533372249619</v>
      </c>
      <c r="G31" s="159">
        <v>4.149947762416506E-3</v>
      </c>
      <c r="H31" s="319">
        <v>2.6344550003859712E-2</v>
      </c>
    </row>
    <row r="32" spans="1:8" ht="20" customHeight="1" thickBot="1">
      <c r="A32" s="777" t="s">
        <v>458</v>
      </c>
      <c r="B32" s="124" t="s">
        <v>397</v>
      </c>
      <c r="C32" s="125" t="s">
        <v>397</v>
      </c>
      <c r="D32" s="124" t="s">
        <v>397</v>
      </c>
      <c r="E32" s="125">
        <v>106.83306399999999</v>
      </c>
      <c r="F32" s="778">
        <v>106.83306370821606</v>
      </c>
      <c r="G32" s="159">
        <v>2.2397612965656899E-2</v>
      </c>
      <c r="H32" s="319">
        <v>1.8607787554512978E-2</v>
      </c>
    </row>
    <row r="33" spans="1:12" ht="20" customHeight="1" thickBot="1">
      <c r="A33" s="777" t="s">
        <v>459</v>
      </c>
      <c r="B33" s="124" t="s">
        <v>397</v>
      </c>
      <c r="C33" s="125" t="s">
        <v>397</v>
      </c>
      <c r="D33" s="124" t="s">
        <v>397</v>
      </c>
      <c r="E33" s="125">
        <v>85.668185899999997</v>
      </c>
      <c r="F33" s="778">
        <v>85.668186054777124</v>
      </c>
      <c r="G33" s="159">
        <v>8.1250578186964351E-3</v>
      </c>
      <c r="H33" s="319">
        <v>2.8694313604212596E-2</v>
      </c>
    </row>
    <row r="34" spans="1:12" s="411" customFormat="1" ht="30" customHeight="1" thickBot="1">
      <c r="A34" s="322" t="s">
        <v>462</v>
      </c>
      <c r="B34" s="537" t="s">
        <v>397</v>
      </c>
      <c r="C34" s="731" t="s">
        <v>397</v>
      </c>
      <c r="D34" s="537" t="s">
        <v>397</v>
      </c>
      <c r="E34" s="731" t="s">
        <v>397</v>
      </c>
      <c r="F34" s="537">
        <v>91.524974705275866</v>
      </c>
      <c r="G34" s="512">
        <v>2.4394141549930692E-2</v>
      </c>
      <c r="H34" s="655">
        <v>3.6839427658856172E-2</v>
      </c>
    </row>
    <row r="35" spans="1:12" ht="20" customHeight="1">
      <c r="A35" s="130" t="s">
        <v>1104</v>
      </c>
      <c r="B35" s="779"/>
      <c r="C35" s="779"/>
      <c r="D35" s="779"/>
      <c r="E35" s="779"/>
      <c r="F35" s="779"/>
    </row>
    <row r="36" spans="1:12" ht="12.75" customHeight="1">
      <c r="A36" s="131"/>
      <c r="B36" s="623"/>
      <c r="C36" s="623"/>
      <c r="D36" s="623"/>
      <c r="E36" s="623"/>
      <c r="F36" s="623"/>
    </row>
    <row r="37" spans="1:12" ht="15.75" customHeight="1">
      <c r="A37" s="131" t="s">
        <v>1122</v>
      </c>
      <c r="B37" s="623"/>
      <c r="C37" s="623"/>
      <c r="D37" s="623"/>
      <c r="E37" s="623"/>
      <c r="F37" s="623"/>
    </row>
    <row r="38" spans="1:12" ht="13.5" customHeight="1">
      <c r="A38" s="131"/>
      <c r="B38" s="623"/>
      <c r="C38" s="623"/>
      <c r="D38" s="623"/>
      <c r="E38" s="623"/>
      <c r="F38" s="623"/>
    </row>
    <row r="39" spans="1:12" ht="12.75" customHeight="1">
      <c r="A39" s="131" t="s">
        <v>1123</v>
      </c>
      <c r="B39" s="623"/>
      <c r="C39" s="623"/>
      <c r="D39" s="623"/>
      <c r="E39" s="623"/>
      <c r="F39" s="623"/>
    </row>
    <row r="40" spans="1:12">
      <c r="A40" s="3" t="s">
        <v>1124</v>
      </c>
      <c r="B40" s="60"/>
      <c r="C40" s="60"/>
      <c r="D40" s="60"/>
      <c r="E40" s="60"/>
      <c r="F40" s="60"/>
    </row>
    <row r="41" spans="1:12">
      <c r="A41" s="3" t="s">
        <v>1125</v>
      </c>
      <c r="B41" s="60"/>
      <c r="C41" s="60"/>
      <c r="D41" s="60"/>
      <c r="E41" s="60"/>
      <c r="F41" s="60"/>
    </row>
    <row r="42" spans="1:12">
      <c r="A42" s="3" t="s">
        <v>1126</v>
      </c>
      <c r="B42" s="60"/>
      <c r="C42" s="60"/>
      <c r="D42" s="60"/>
      <c r="E42" s="60"/>
      <c r="F42" s="60"/>
      <c r="J42" s="4"/>
      <c r="K42" s="4"/>
      <c r="L42" s="4"/>
    </row>
    <row r="43" spans="1:12">
      <c r="B43" s="60"/>
      <c r="C43" s="60"/>
      <c r="D43" s="60"/>
      <c r="E43" s="60"/>
      <c r="F43" s="60"/>
    </row>
    <row r="44" spans="1:12">
      <c r="B44" s="60"/>
      <c r="C44" s="60"/>
      <c r="D44" s="60"/>
      <c r="E44" s="60"/>
      <c r="F44" s="60"/>
    </row>
    <row r="45" spans="1:12">
      <c r="A45" s="3" t="s">
        <v>395</v>
      </c>
    </row>
  </sheetData>
  <pageMargins left="0.62" right="0.54" top="0.9" bottom="0.47244094488188981" header="0.53" footer="0.51181102362204722"/>
  <pageSetup paperSize="9" scale="74" orientation="portrait"/>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906EB-EFB2-EF46-A71D-C0E3851A0FE3}">
  <sheetPr>
    <pageSetUpPr fitToPage="1"/>
  </sheetPr>
  <dimension ref="A1:F46"/>
  <sheetViews>
    <sheetView topLeftCell="A22" zoomScaleNormal="100" workbookViewId="0">
      <selection activeCell="A41" sqref="A41"/>
    </sheetView>
  </sheetViews>
  <sheetFormatPr baseColWidth="10" defaultColWidth="11.3984375" defaultRowHeight="13"/>
  <cols>
    <col min="1" max="1" width="17.19921875" style="3" customWidth="1"/>
    <col min="2" max="2" width="16.19921875" style="3" customWidth="1"/>
    <col min="3" max="3" width="15.3984375" style="3" customWidth="1"/>
    <col min="4" max="4" width="17.59765625" style="3" customWidth="1"/>
    <col min="5" max="5" width="16.19921875" style="3" customWidth="1"/>
    <col min="6" max="6" width="15.796875" style="3" customWidth="1"/>
    <col min="7" max="7" width="17.59765625" style="3" customWidth="1"/>
    <col min="8" max="16384" width="11.3984375" style="3"/>
  </cols>
  <sheetData>
    <row r="1" spans="1:6" s="2" customFormat="1" ht="14" customHeight="1">
      <c r="A1" s="272"/>
      <c r="B1" s="272"/>
      <c r="C1" s="272"/>
      <c r="D1" s="272"/>
      <c r="E1" s="272"/>
      <c r="F1" s="272"/>
    </row>
    <row r="2" spans="1:6" s="2" customFormat="1" ht="18.75" customHeight="1">
      <c r="A2" s="396" t="s">
        <v>1846</v>
      </c>
      <c r="B2" s="272"/>
      <c r="C2" s="272"/>
      <c r="D2" s="272"/>
      <c r="E2" s="272"/>
      <c r="F2" s="272"/>
    </row>
    <row r="3" spans="1:6" s="2" customFormat="1" ht="24" customHeight="1">
      <c r="A3" s="396" t="s">
        <v>1152</v>
      </c>
      <c r="B3" s="272"/>
      <c r="C3" s="272"/>
      <c r="D3" s="272"/>
      <c r="E3" s="272"/>
      <c r="F3" s="272"/>
    </row>
    <row r="4" spans="1:6" ht="24" customHeight="1">
      <c r="A4" s="109" t="s">
        <v>426</v>
      </c>
      <c r="B4" s="762">
        <v>0.05</v>
      </c>
      <c r="C4" s="763">
        <v>0.25</v>
      </c>
      <c r="D4" s="762">
        <v>0.5</v>
      </c>
      <c r="E4" s="763">
        <v>0.25</v>
      </c>
      <c r="F4" s="762">
        <v>0.05</v>
      </c>
    </row>
    <row r="5" spans="1:6" ht="73.5" customHeight="1">
      <c r="A5" s="112"/>
      <c r="B5" s="766" t="s">
        <v>1842</v>
      </c>
      <c r="C5" s="767" t="s">
        <v>1842</v>
      </c>
      <c r="D5" s="766" t="s">
        <v>1843</v>
      </c>
      <c r="E5" s="767" t="s">
        <v>1844</v>
      </c>
      <c r="F5" s="766" t="s">
        <v>1844</v>
      </c>
    </row>
    <row r="6" spans="1:6" ht="16" customHeight="1">
      <c r="A6" s="116"/>
      <c r="B6" s="117"/>
      <c r="C6" s="118"/>
      <c r="D6" s="117"/>
      <c r="E6" s="118"/>
      <c r="F6" s="330"/>
    </row>
    <row r="7" spans="1:6" ht="30" customHeight="1" thickBot="1">
      <c r="A7" s="775" t="s">
        <v>434</v>
      </c>
      <c r="B7" s="320">
        <v>331</v>
      </c>
      <c r="C7" s="321">
        <v>367</v>
      </c>
      <c r="D7" s="320">
        <v>389.9</v>
      </c>
      <c r="E7" s="321">
        <v>412.9</v>
      </c>
      <c r="F7" s="320">
        <v>469.9</v>
      </c>
    </row>
    <row r="8" spans="1:6" ht="20" customHeight="1" thickBot="1">
      <c r="A8" s="777" t="s">
        <v>435</v>
      </c>
      <c r="B8" s="134">
        <v>354.5</v>
      </c>
      <c r="C8" s="135">
        <v>396.9</v>
      </c>
      <c r="D8" s="134">
        <v>422.7</v>
      </c>
      <c r="E8" s="135">
        <v>448</v>
      </c>
      <c r="F8" s="134">
        <v>510.3</v>
      </c>
    </row>
    <row r="9" spans="1:6" ht="20" customHeight="1" thickBot="1">
      <c r="A9" s="777" t="s">
        <v>436</v>
      </c>
      <c r="B9" s="134">
        <v>288.39999999999998</v>
      </c>
      <c r="C9" s="135">
        <v>337</v>
      </c>
      <c r="D9" s="134">
        <v>358.1</v>
      </c>
      <c r="E9" s="135">
        <v>383</v>
      </c>
      <c r="F9" s="134">
        <v>400</v>
      </c>
    </row>
    <row r="10" spans="1:6" ht="20" customHeight="1" thickBot="1">
      <c r="A10" s="777" t="s">
        <v>437</v>
      </c>
      <c r="B10" s="134">
        <v>299</v>
      </c>
      <c r="C10" s="135">
        <v>314</v>
      </c>
      <c r="D10" s="134">
        <v>335</v>
      </c>
      <c r="E10" s="135">
        <v>355.5</v>
      </c>
      <c r="F10" s="134">
        <v>401</v>
      </c>
    </row>
    <row r="11" spans="1:6" ht="20" customHeight="1" thickBot="1">
      <c r="A11" s="777" t="s">
        <v>438</v>
      </c>
      <c r="B11" s="134">
        <v>295</v>
      </c>
      <c r="C11" s="135">
        <v>331</v>
      </c>
      <c r="D11" s="134">
        <v>336</v>
      </c>
      <c r="E11" s="135">
        <v>360.9</v>
      </c>
      <c r="F11" s="134">
        <v>390.9</v>
      </c>
    </row>
    <row r="12" spans="1:6" ht="20" customHeight="1" thickBot="1">
      <c r="A12" s="777" t="s">
        <v>439</v>
      </c>
      <c r="B12" s="134">
        <v>290</v>
      </c>
      <c r="C12" s="135">
        <v>307.89999999999998</v>
      </c>
      <c r="D12" s="134">
        <v>327</v>
      </c>
      <c r="E12" s="135">
        <v>341.3</v>
      </c>
      <c r="F12" s="134">
        <v>347.9</v>
      </c>
    </row>
    <row r="13" spans="1:6" ht="20" customHeight="1" thickBot="1">
      <c r="A13" s="777" t="s">
        <v>440</v>
      </c>
      <c r="B13" s="134">
        <v>277</v>
      </c>
      <c r="C13" s="135">
        <v>285</v>
      </c>
      <c r="D13" s="134">
        <v>303</v>
      </c>
      <c r="E13" s="135">
        <v>317.2</v>
      </c>
      <c r="F13" s="134">
        <v>358.3</v>
      </c>
    </row>
    <row r="14" spans="1:6" ht="20" customHeight="1" thickBot="1">
      <c r="A14" s="777" t="s">
        <v>441</v>
      </c>
      <c r="B14" s="134">
        <v>289.8</v>
      </c>
      <c r="C14" s="135">
        <v>318</v>
      </c>
      <c r="D14" s="134">
        <v>339</v>
      </c>
      <c r="E14" s="135">
        <v>377.9</v>
      </c>
      <c r="F14" s="134">
        <v>390</v>
      </c>
    </row>
    <row r="15" spans="1:6" ht="20" customHeight="1" thickBot="1">
      <c r="A15" s="777" t="s">
        <v>442</v>
      </c>
      <c r="B15" s="134">
        <v>300</v>
      </c>
      <c r="C15" s="135">
        <v>324</v>
      </c>
      <c r="D15" s="134">
        <v>331.2</v>
      </c>
      <c r="E15" s="135">
        <v>355.6</v>
      </c>
      <c r="F15" s="134">
        <v>395</v>
      </c>
    </row>
    <row r="16" spans="1:6" ht="20" customHeight="1" thickBot="1">
      <c r="A16" s="777" t="s">
        <v>443</v>
      </c>
      <c r="B16" s="134">
        <v>307</v>
      </c>
      <c r="C16" s="135">
        <v>353</v>
      </c>
      <c r="D16" s="134">
        <v>369.9</v>
      </c>
      <c r="E16" s="135">
        <v>392.2</v>
      </c>
      <c r="F16" s="134">
        <v>423.1</v>
      </c>
    </row>
    <row r="17" spans="1:6" ht="20" customHeight="1" thickBot="1">
      <c r="A17" s="777" t="s">
        <v>444</v>
      </c>
      <c r="B17" s="134">
        <v>323</v>
      </c>
      <c r="C17" s="135">
        <v>356</v>
      </c>
      <c r="D17" s="134">
        <v>377.4</v>
      </c>
      <c r="E17" s="135">
        <v>400.3</v>
      </c>
      <c r="F17" s="134">
        <v>411.4</v>
      </c>
    </row>
    <row r="18" spans="1:6" ht="20" customHeight="1" thickBot="1">
      <c r="A18" s="777" t="s">
        <v>445</v>
      </c>
      <c r="B18" s="134">
        <v>421.3</v>
      </c>
      <c r="C18" s="135">
        <v>457</v>
      </c>
      <c r="D18" s="134">
        <v>539</v>
      </c>
      <c r="E18" s="135">
        <v>539</v>
      </c>
      <c r="F18" s="134">
        <v>589.6</v>
      </c>
    </row>
    <row r="19" spans="1:6" ht="20" customHeight="1" thickBot="1">
      <c r="A19" s="777" t="s">
        <v>446</v>
      </c>
      <c r="B19" s="134">
        <v>353.7</v>
      </c>
      <c r="C19" s="135">
        <v>379.1</v>
      </c>
      <c r="D19" s="134">
        <v>417.4</v>
      </c>
      <c r="E19" s="135">
        <v>460</v>
      </c>
      <c r="F19" s="134">
        <v>483</v>
      </c>
    </row>
    <row r="20" spans="1:6" ht="20" customHeight="1" thickBot="1">
      <c r="A20" s="777" t="s">
        <v>447</v>
      </c>
      <c r="B20" s="134">
        <v>311.60000000000002</v>
      </c>
      <c r="C20" s="135">
        <v>357</v>
      </c>
      <c r="D20" s="134">
        <v>383</v>
      </c>
      <c r="E20" s="135">
        <v>409</v>
      </c>
      <c r="F20" s="134">
        <v>431.9</v>
      </c>
    </row>
    <row r="21" spans="1:6" ht="20" customHeight="1" thickBot="1">
      <c r="A21" s="777" t="s">
        <v>448</v>
      </c>
      <c r="B21" s="134">
        <v>266.89999999999998</v>
      </c>
      <c r="C21" s="135">
        <v>317</v>
      </c>
      <c r="D21" s="134">
        <v>326</v>
      </c>
      <c r="E21" s="135">
        <v>350.9</v>
      </c>
      <c r="F21" s="134">
        <v>385</v>
      </c>
    </row>
    <row r="22" spans="1:6" ht="20" customHeight="1" thickBot="1">
      <c r="A22" s="777" t="s">
        <v>449</v>
      </c>
      <c r="B22" s="134">
        <v>272.10000000000002</v>
      </c>
      <c r="C22" s="135">
        <v>293.60000000000002</v>
      </c>
      <c r="D22" s="134">
        <v>314</v>
      </c>
      <c r="E22" s="135">
        <v>321.89999999999998</v>
      </c>
      <c r="F22" s="134">
        <v>323.7</v>
      </c>
    </row>
    <row r="23" spans="1:6" ht="20" customHeight="1" thickBot="1">
      <c r="A23" s="777" t="s">
        <v>450</v>
      </c>
      <c r="B23" s="134">
        <v>307</v>
      </c>
      <c r="C23" s="135">
        <v>340.7</v>
      </c>
      <c r="D23" s="134">
        <v>357</v>
      </c>
      <c r="E23" s="135">
        <v>378.9</v>
      </c>
      <c r="F23" s="134">
        <v>420.9</v>
      </c>
    </row>
    <row r="24" spans="1:6" ht="20" customHeight="1" thickBot="1">
      <c r="A24" s="777" t="s">
        <v>451</v>
      </c>
      <c r="B24" s="134">
        <v>291</v>
      </c>
      <c r="C24" s="135">
        <v>315</v>
      </c>
      <c r="D24" s="134">
        <v>315.10000000000002</v>
      </c>
      <c r="E24" s="135">
        <v>342</v>
      </c>
      <c r="F24" s="134">
        <v>390.1</v>
      </c>
    </row>
    <row r="25" spans="1:6" ht="20" customHeight="1" thickBot="1">
      <c r="A25" s="777" t="s">
        <v>452</v>
      </c>
      <c r="B25" s="134">
        <v>319</v>
      </c>
      <c r="C25" s="135">
        <v>351</v>
      </c>
      <c r="D25" s="134">
        <v>367</v>
      </c>
      <c r="E25" s="135">
        <v>400.9</v>
      </c>
      <c r="F25" s="134">
        <v>427.9</v>
      </c>
    </row>
    <row r="26" spans="1:6" ht="20" customHeight="1" thickBot="1">
      <c r="A26" s="777" t="s">
        <v>453</v>
      </c>
      <c r="B26" s="134">
        <v>309.60000000000002</v>
      </c>
      <c r="C26" s="135">
        <v>338</v>
      </c>
      <c r="D26" s="134">
        <v>363.2</v>
      </c>
      <c r="E26" s="135">
        <v>384.9</v>
      </c>
      <c r="F26" s="134">
        <v>385.6</v>
      </c>
    </row>
    <row r="27" spans="1:6" ht="20" customHeight="1" thickBot="1">
      <c r="A27" s="777" t="s">
        <v>454</v>
      </c>
      <c r="B27" s="134">
        <v>370</v>
      </c>
      <c r="C27" s="135">
        <v>389</v>
      </c>
      <c r="D27" s="134">
        <v>407</v>
      </c>
      <c r="E27" s="135">
        <v>446</v>
      </c>
      <c r="F27" s="134">
        <v>464.5</v>
      </c>
    </row>
    <row r="28" spans="1:6" ht="20" customHeight="1" thickBot="1">
      <c r="A28" s="777" t="s">
        <v>455</v>
      </c>
      <c r="B28" s="134">
        <v>364.7</v>
      </c>
      <c r="C28" s="135">
        <v>383</v>
      </c>
      <c r="D28" s="134">
        <v>447</v>
      </c>
      <c r="E28" s="135">
        <v>466</v>
      </c>
      <c r="F28" s="134">
        <v>485.9</v>
      </c>
    </row>
    <row r="29" spans="1:6" ht="20" customHeight="1" thickBot="1">
      <c r="A29" s="777" t="s">
        <v>456</v>
      </c>
      <c r="B29" s="134">
        <v>303.89999999999998</v>
      </c>
      <c r="C29" s="135">
        <v>316</v>
      </c>
      <c r="D29" s="134">
        <v>343</v>
      </c>
      <c r="E29" s="135">
        <v>357</v>
      </c>
      <c r="F29" s="134">
        <v>390</v>
      </c>
    </row>
    <row r="30" spans="1:6" ht="20" customHeight="1" thickBot="1">
      <c r="A30" s="777" t="s">
        <v>457</v>
      </c>
      <c r="B30" s="134">
        <v>346</v>
      </c>
      <c r="C30" s="135">
        <v>346</v>
      </c>
      <c r="D30" s="134">
        <v>414</v>
      </c>
      <c r="E30" s="135">
        <v>443</v>
      </c>
      <c r="F30" s="134">
        <v>468.9</v>
      </c>
    </row>
    <row r="31" spans="1:6" ht="20" customHeight="1" thickBot="1">
      <c r="A31" s="777" t="s">
        <v>458</v>
      </c>
      <c r="B31" s="134">
        <v>386</v>
      </c>
      <c r="C31" s="135">
        <v>495</v>
      </c>
      <c r="D31" s="134">
        <v>498</v>
      </c>
      <c r="E31" s="135">
        <v>507</v>
      </c>
      <c r="F31" s="134">
        <v>544.9</v>
      </c>
    </row>
    <row r="32" spans="1:6" ht="20" customHeight="1" thickBot="1">
      <c r="A32" s="777" t="s">
        <v>459</v>
      </c>
      <c r="B32" s="134">
        <v>352.8</v>
      </c>
      <c r="C32" s="135">
        <v>352.8</v>
      </c>
      <c r="D32" s="134">
        <v>403</v>
      </c>
      <c r="E32" s="135">
        <v>456</v>
      </c>
      <c r="F32" s="134">
        <v>487</v>
      </c>
    </row>
    <row r="33" spans="1:6" ht="30" customHeight="1" thickBot="1">
      <c r="A33" s="322" t="s">
        <v>462</v>
      </c>
      <c r="B33" s="136">
        <v>315</v>
      </c>
      <c r="C33" s="137">
        <v>354.5</v>
      </c>
      <c r="D33" s="136">
        <v>387.1</v>
      </c>
      <c r="E33" s="137">
        <v>432.5</v>
      </c>
      <c r="F33" s="136">
        <v>507</v>
      </c>
    </row>
    <row r="34" spans="1:6" ht="20" customHeight="1">
      <c r="A34" s="130" t="s">
        <v>1104</v>
      </c>
      <c r="B34" s="779"/>
      <c r="C34" s="779"/>
      <c r="D34" s="779"/>
      <c r="E34" s="779"/>
      <c r="F34" s="779"/>
    </row>
    <row r="35" spans="1:6" ht="12.75" customHeight="1">
      <c r="A35" s="131"/>
      <c r="B35" s="623"/>
      <c r="C35" s="623"/>
      <c r="D35" s="623"/>
      <c r="E35" s="623"/>
      <c r="F35" s="623"/>
    </row>
    <row r="36" spans="1:6" ht="15.75" customHeight="1">
      <c r="A36" s="131" t="s">
        <v>1122</v>
      </c>
      <c r="B36" s="623"/>
      <c r="C36" s="623"/>
      <c r="D36" s="623"/>
      <c r="E36" s="623"/>
      <c r="F36" s="623"/>
    </row>
    <row r="37" spans="1:6" ht="13.5" customHeight="1">
      <c r="A37" s="131"/>
      <c r="B37" s="623"/>
      <c r="C37" s="623"/>
      <c r="D37" s="623"/>
      <c r="E37" s="623"/>
      <c r="F37" s="623"/>
    </row>
    <row r="38" spans="1:6" ht="12.75" customHeight="1">
      <c r="A38" s="131" t="s">
        <v>1123</v>
      </c>
      <c r="B38" s="623"/>
      <c r="C38" s="623"/>
      <c r="D38" s="623"/>
      <c r="E38" s="623"/>
      <c r="F38" s="623"/>
    </row>
    <row r="39" spans="1:6">
      <c r="A39" s="3" t="s">
        <v>1847</v>
      </c>
      <c r="B39" s="60"/>
      <c r="C39" s="60"/>
      <c r="D39" s="60"/>
      <c r="E39" s="60"/>
      <c r="F39" s="60"/>
    </row>
    <row r="40" spans="1:6">
      <c r="A40" s="3" t="s">
        <v>1848</v>
      </c>
      <c r="B40" s="60"/>
      <c r="C40" s="60"/>
      <c r="D40" s="60"/>
      <c r="E40" s="60"/>
      <c r="F40" s="60"/>
    </row>
    <row r="41" spans="1:6">
      <c r="A41" s="3" t="s">
        <v>1849</v>
      </c>
      <c r="B41" s="60"/>
      <c r="C41" s="60"/>
      <c r="D41" s="60"/>
      <c r="E41" s="60"/>
      <c r="F41" s="60"/>
    </row>
    <row r="42" spans="1:6">
      <c r="A42" s="3" t="s">
        <v>1850</v>
      </c>
      <c r="B42" s="60"/>
      <c r="C42" s="60"/>
      <c r="D42" s="60"/>
      <c r="E42" s="60"/>
      <c r="F42" s="60"/>
    </row>
    <row r="43" spans="1:6">
      <c r="A43" s="3" t="s">
        <v>1851</v>
      </c>
      <c r="B43" s="60"/>
      <c r="C43" s="60"/>
      <c r="D43" s="60"/>
      <c r="E43" s="60"/>
      <c r="F43" s="60"/>
    </row>
    <row r="44" spans="1:6">
      <c r="B44" s="60"/>
      <c r="C44" s="60"/>
      <c r="D44" s="60"/>
      <c r="E44" s="60"/>
      <c r="F44" s="60"/>
    </row>
    <row r="45" spans="1:6">
      <c r="B45" s="60"/>
      <c r="C45" s="60"/>
      <c r="D45" s="60"/>
      <c r="E45" s="60"/>
      <c r="F45" s="60"/>
    </row>
    <row r="46" spans="1:6">
      <c r="A46" s="3" t="s">
        <v>395</v>
      </c>
      <c r="B46" s="60"/>
      <c r="C46" s="60"/>
      <c r="D46" s="60"/>
      <c r="E46" s="60"/>
      <c r="F46" s="60"/>
    </row>
  </sheetData>
  <pageMargins left="0.6692913385826772" right="0.59055118110236227" top="0.70866141732283472" bottom="0.47244094488188981" header="0.59055118110236227" footer="0.51181102362204722"/>
  <pageSetup paperSize="9" scale="78" orientation="portrait" horizontalDpi="1200" verticalDpi="12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D5EC-A744-884E-AE2D-2328494FC709}">
  <sheetPr>
    <pageSetUpPr fitToPage="1"/>
  </sheetPr>
  <dimension ref="A1:G46"/>
  <sheetViews>
    <sheetView topLeftCell="A22" zoomScaleNormal="100" workbookViewId="0">
      <selection activeCell="K6" sqref="K6"/>
    </sheetView>
  </sheetViews>
  <sheetFormatPr baseColWidth="10" defaultColWidth="11.3984375" defaultRowHeight="13"/>
  <cols>
    <col min="1" max="1" width="18.3984375" style="3" customWidth="1"/>
    <col min="2" max="2" width="16.3984375" style="3" customWidth="1"/>
    <col min="3" max="3" width="16.19921875" style="3" customWidth="1"/>
    <col min="4" max="4" width="17.59765625" style="3" customWidth="1"/>
    <col min="5" max="6" width="16.19921875" style="3" customWidth="1"/>
    <col min="7" max="7" width="16.3984375" style="3" customWidth="1"/>
    <col min="8" max="8" width="11.3984375" style="3"/>
    <col min="9" max="9" width="6.59765625" style="3" customWidth="1"/>
    <col min="10" max="16384" width="11.3984375" style="3"/>
  </cols>
  <sheetData>
    <row r="1" spans="1:6" s="2" customFormat="1" ht="14" customHeight="1">
      <c r="A1" s="272"/>
      <c r="B1" s="272"/>
      <c r="C1" s="272"/>
      <c r="D1" s="272"/>
      <c r="E1" s="272"/>
      <c r="F1" s="272"/>
    </row>
    <row r="2" spans="1:6" s="2" customFormat="1" ht="18.75" customHeight="1">
      <c r="A2" s="396" t="s">
        <v>1845</v>
      </c>
      <c r="B2" s="272"/>
      <c r="C2" s="272"/>
      <c r="D2" s="272"/>
      <c r="E2" s="272"/>
      <c r="F2" s="272"/>
    </row>
    <row r="3" spans="1:6" s="2" customFormat="1" ht="24" customHeight="1">
      <c r="A3" s="396" t="s">
        <v>1151</v>
      </c>
      <c r="B3" s="272"/>
      <c r="C3" s="272"/>
      <c r="D3" s="272"/>
      <c r="E3" s="272"/>
      <c r="F3" s="272"/>
    </row>
    <row r="4" spans="1:6" ht="24" customHeight="1">
      <c r="A4" s="109" t="s">
        <v>426</v>
      </c>
      <c r="B4" s="762">
        <v>0.05</v>
      </c>
      <c r="C4" s="763">
        <v>0.25</v>
      </c>
      <c r="D4" s="762">
        <v>0.5</v>
      </c>
      <c r="E4" s="763">
        <v>0.25</v>
      </c>
      <c r="F4" s="762">
        <v>0.05</v>
      </c>
    </row>
    <row r="5" spans="1:6" ht="68.5" customHeight="1">
      <c r="A5" s="112"/>
      <c r="B5" s="766" t="s">
        <v>1842</v>
      </c>
      <c r="C5" s="767" t="s">
        <v>1842</v>
      </c>
      <c r="D5" s="766" t="s">
        <v>1843</v>
      </c>
      <c r="E5" s="767" t="s">
        <v>1844</v>
      </c>
      <c r="F5" s="766" t="s">
        <v>1844</v>
      </c>
    </row>
    <row r="6" spans="1:6" ht="16.75" customHeight="1">
      <c r="A6" s="116"/>
      <c r="B6" s="117"/>
      <c r="C6" s="118"/>
      <c r="D6" s="117"/>
      <c r="E6" s="118"/>
      <c r="F6" s="330"/>
    </row>
    <row r="7" spans="1:6" ht="30" customHeight="1" thickBot="1">
      <c r="A7" s="775" t="s">
        <v>434</v>
      </c>
      <c r="B7" s="320">
        <v>311.89999999999998</v>
      </c>
      <c r="C7" s="321">
        <v>337.6</v>
      </c>
      <c r="D7" s="320">
        <v>362.9</v>
      </c>
      <c r="E7" s="321">
        <v>383.4</v>
      </c>
      <c r="F7" s="320">
        <v>430.7</v>
      </c>
    </row>
    <row r="8" spans="1:6" ht="20" customHeight="1" thickBot="1">
      <c r="A8" s="777" t="s">
        <v>435</v>
      </c>
      <c r="B8" s="134">
        <v>337.7</v>
      </c>
      <c r="C8" s="135">
        <v>362</v>
      </c>
      <c r="D8" s="134">
        <v>391.1</v>
      </c>
      <c r="E8" s="135">
        <v>415</v>
      </c>
      <c r="F8" s="134">
        <v>459.6</v>
      </c>
    </row>
    <row r="9" spans="1:6" ht="20" customHeight="1" thickBot="1">
      <c r="A9" s="777" t="s">
        <v>436</v>
      </c>
      <c r="B9" s="134">
        <v>253.1</v>
      </c>
      <c r="C9" s="135">
        <v>310</v>
      </c>
      <c r="D9" s="134">
        <v>322.89999999999998</v>
      </c>
      <c r="E9" s="135">
        <v>346</v>
      </c>
      <c r="F9" s="134">
        <v>360.9</v>
      </c>
    </row>
    <row r="10" spans="1:6" ht="20" customHeight="1" thickBot="1">
      <c r="A10" s="777" t="s">
        <v>437</v>
      </c>
      <c r="B10" s="134">
        <v>244.2</v>
      </c>
      <c r="C10" s="135">
        <v>282.60000000000002</v>
      </c>
      <c r="D10" s="134">
        <v>307</v>
      </c>
      <c r="E10" s="135">
        <v>320</v>
      </c>
      <c r="F10" s="134">
        <v>324.5</v>
      </c>
    </row>
    <row r="11" spans="1:6" ht="20" customHeight="1" thickBot="1">
      <c r="A11" s="777" t="s">
        <v>438</v>
      </c>
      <c r="B11" s="134">
        <v>264</v>
      </c>
      <c r="C11" s="135">
        <v>309.10000000000002</v>
      </c>
      <c r="D11" s="134">
        <v>309.10000000000002</v>
      </c>
      <c r="E11" s="135">
        <v>324.89999999999998</v>
      </c>
      <c r="F11" s="134">
        <v>371.4</v>
      </c>
    </row>
    <row r="12" spans="1:6" ht="20" customHeight="1" thickBot="1">
      <c r="A12" s="777" t="s">
        <v>439</v>
      </c>
      <c r="B12" s="134">
        <v>271.8</v>
      </c>
      <c r="C12" s="135">
        <v>282.2</v>
      </c>
      <c r="D12" s="134">
        <v>300.8</v>
      </c>
      <c r="E12" s="135">
        <v>307.2</v>
      </c>
      <c r="F12" s="134">
        <v>335.6</v>
      </c>
    </row>
    <row r="13" spans="1:6" ht="20" customHeight="1" thickBot="1">
      <c r="A13" s="777" t="s">
        <v>440</v>
      </c>
      <c r="B13" s="134">
        <v>248</v>
      </c>
      <c r="C13" s="135">
        <v>265.10000000000002</v>
      </c>
      <c r="D13" s="134">
        <v>278.8</v>
      </c>
      <c r="E13" s="135">
        <v>285.5</v>
      </c>
      <c r="F13" s="134">
        <v>318.2</v>
      </c>
    </row>
    <row r="14" spans="1:6" ht="20" customHeight="1" thickBot="1">
      <c r="A14" s="777" t="s">
        <v>441</v>
      </c>
      <c r="B14" s="134">
        <v>258.5</v>
      </c>
      <c r="C14" s="135">
        <v>295.8</v>
      </c>
      <c r="D14" s="134">
        <v>313</v>
      </c>
      <c r="E14" s="135">
        <v>331.5</v>
      </c>
      <c r="F14" s="134">
        <v>359.1</v>
      </c>
    </row>
    <row r="15" spans="1:6" ht="20" customHeight="1" thickBot="1">
      <c r="A15" s="777" t="s">
        <v>442</v>
      </c>
      <c r="B15" s="134">
        <v>280.8</v>
      </c>
      <c r="C15" s="135">
        <v>298.10000000000002</v>
      </c>
      <c r="D15" s="134">
        <v>309.60000000000002</v>
      </c>
      <c r="E15" s="135">
        <v>321</v>
      </c>
      <c r="F15" s="134">
        <v>331.2</v>
      </c>
    </row>
    <row r="16" spans="1:6" ht="20" customHeight="1" thickBot="1">
      <c r="A16" s="777" t="s">
        <v>443</v>
      </c>
      <c r="B16" s="134">
        <v>313.2</v>
      </c>
      <c r="C16" s="135">
        <v>330.3</v>
      </c>
      <c r="D16" s="134">
        <v>336.8</v>
      </c>
      <c r="E16" s="135">
        <v>361.9</v>
      </c>
      <c r="F16" s="134">
        <v>384</v>
      </c>
    </row>
    <row r="17" spans="1:6" ht="20" customHeight="1" thickBot="1">
      <c r="A17" s="777" t="s">
        <v>444</v>
      </c>
      <c r="B17" s="134">
        <v>313.10000000000002</v>
      </c>
      <c r="C17" s="135">
        <v>317.89999999999998</v>
      </c>
      <c r="D17" s="134">
        <v>344.9</v>
      </c>
      <c r="E17" s="135">
        <v>360.3</v>
      </c>
      <c r="F17" s="134">
        <v>386.5</v>
      </c>
    </row>
    <row r="18" spans="1:6" ht="20" customHeight="1" thickBot="1">
      <c r="A18" s="777" t="s">
        <v>445</v>
      </c>
      <c r="B18" s="134">
        <v>421.3</v>
      </c>
      <c r="C18" s="135">
        <v>447</v>
      </c>
      <c r="D18" s="134">
        <v>485.1</v>
      </c>
      <c r="E18" s="135">
        <v>487.6</v>
      </c>
      <c r="F18" s="134">
        <v>522.5</v>
      </c>
    </row>
    <row r="19" spans="1:6" ht="20" customHeight="1" thickBot="1">
      <c r="A19" s="777" t="s">
        <v>446</v>
      </c>
      <c r="B19" s="134">
        <v>336.6</v>
      </c>
      <c r="C19" s="135">
        <v>354.4</v>
      </c>
      <c r="D19" s="134">
        <v>375</v>
      </c>
      <c r="E19" s="135">
        <v>403.9</v>
      </c>
      <c r="F19" s="134">
        <v>434.7</v>
      </c>
    </row>
    <row r="20" spans="1:6" ht="20" customHeight="1" thickBot="1">
      <c r="A20" s="777" t="s">
        <v>447</v>
      </c>
      <c r="B20" s="134">
        <v>307.3</v>
      </c>
      <c r="C20" s="135">
        <v>325</v>
      </c>
      <c r="D20" s="134">
        <v>346</v>
      </c>
      <c r="E20" s="135">
        <v>368.6</v>
      </c>
      <c r="F20" s="134">
        <v>408.5</v>
      </c>
    </row>
    <row r="21" spans="1:6" ht="20" customHeight="1" thickBot="1">
      <c r="A21" s="777" t="s">
        <v>448</v>
      </c>
      <c r="B21" s="134">
        <v>234.9</v>
      </c>
      <c r="C21" s="135">
        <v>287.8</v>
      </c>
      <c r="D21" s="134">
        <v>317</v>
      </c>
      <c r="E21" s="135">
        <v>333.4</v>
      </c>
      <c r="F21" s="134">
        <v>349.7</v>
      </c>
    </row>
    <row r="22" spans="1:6" ht="20" customHeight="1" thickBot="1">
      <c r="A22" s="777" t="s">
        <v>449</v>
      </c>
      <c r="B22" s="134">
        <v>239.4</v>
      </c>
      <c r="C22" s="135">
        <v>264.3</v>
      </c>
      <c r="D22" s="134">
        <v>288.89999999999998</v>
      </c>
      <c r="E22" s="135">
        <v>305.89999999999998</v>
      </c>
      <c r="F22" s="134">
        <v>305.89999999999998</v>
      </c>
    </row>
    <row r="23" spans="1:6" ht="20" customHeight="1" thickBot="1">
      <c r="A23" s="777" t="s">
        <v>450</v>
      </c>
      <c r="B23" s="134">
        <v>289</v>
      </c>
      <c r="C23" s="135">
        <v>316.5</v>
      </c>
      <c r="D23" s="134">
        <v>331</v>
      </c>
      <c r="E23" s="135">
        <v>359.9</v>
      </c>
      <c r="F23" s="134">
        <v>399.9</v>
      </c>
    </row>
    <row r="24" spans="1:6" ht="20" customHeight="1" thickBot="1">
      <c r="A24" s="777" t="s">
        <v>451</v>
      </c>
      <c r="B24" s="134">
        <v>277.39999999999998</v>
      </c>
      <c r="C24" s="135">
        <v>289.8</v>
      </c>
      <c r="D24" s="134">
        <v>298</v>
      </c>
      <c r="E24" s="135">
        <v>318.2</v>
      </c>
      <c r="F24" s="134">
        <v>358.1</v>
      </c>
    </row>
    <row r="25" spans="1:6" ht="20" customHeight="1" thickBot="1">
      <c r="A25" s="777" t="s">
        <v>452</v>
      </c>
      <c r="B25" s="134">
        <v>306.3</v>
      </c>
      <c r="C25" s="135">
        <v>321.60000000000002</v>
      </c>
      <c r="D25" s="134">
        <v>337.6</v>
      </c>
      <c r="E25" s="135">
        <v>359</v>
      </c>
      <c r="F25" s="134">
        <v>406.6</v>
      </c>
    </row>
    <row r="26" spans="1:6" ht="20" customHeight="1" thickBot="1">
      <c r="A26" s="777" t="s">
        <v>453</v>
      </c>
      <c r="B26" s="134">
        <v>272.39999999999998</v>
      </c>
      <c r="C26" s="135">
        <v>303.7</v>
      </c>
      <c r="D26" s="134">
        <v>323.8</v>
      </c>
      <c r="E26" s="135">
        <v>347.8</v>
      </c>
      <c r="F26" s="134">
        <v>365.7</v>
      </c>
    </row>
    <row r="27" spans="1:6" ht="20" customHeight="1" thickBot="1">
      <c r="A27" s="777" t="s">
        <v>454</v>
      </c>
      <c r="B27" s="134">
        <v>338.3</v>
      </c>
      <c r="C27" s="135">
        <v>362</v>
      </c>
      <c r="D27" s="134">
        <v>379.1</v>
      </c>
      <c r="E27" s="135">
        <v>414</v>
      </c>
      <c r="F27" s="134">
        <v>439.8</v>
      </c>
    </row>
    <row r="28" spans="1:6" ht="20" customHeight="1" thickBot="1">
      <c r="A28" s="777" t="s">
        <v>455</v>
      </c>
      <c r="B28" s="134">
        <v>379.9</v>
      </c>
      <c r="C28" s="135">
        <v>384.1</v>
      </c>
      <c r="D28" s="134">
        <v>412.2</v>
      </c>
      <c r="E28" s="135">
        <v>429.7</v>
      </c>
      <c r="F28" s="134">
        <v>472.1</v>
      </c>
    </row>
    <row r="29" spans="1:6" ht="20" customHeight="1" thickBot="1">
      <c r="A29" s="777" t="s">
        <v>456</v>
      </c>
      <c r="B29" s="134">
        <v>270</v>
      </c>
      <c r="C29" s="135">
        <v>289.60000000000002</v>
      </c>
      <c r="D29" s="134">
        <v>311.60000000000002</v>
      </c>
      <c r="E29" s="135">
        <v>345</v>
      </c>
      <c r="F29" s="134">
        <v>350.5</v>
      </c>
    </row>
    <row r="30" spans="1:6" ht="20" customHeight="1" thickBot="1">
      <c r="A30" s="777" t="s">
        <v>457</v>
      </c>
      <c r="B30" s="134">
        <v>346</v>
      </c>
      <c r="C30" s="135">
        <v>346</v>
      </c>
      <c r="D30" s="134">
        <v>396.2</v>
      </c>
      <c r="E30" s="135">
        <v>410.4</v>
      </c>
      <c r="F30" s="134">
        <v>428</v>
      </c>
    </row>
    <row r="31" spans="1:6" ht="20" customHeight="1" thickBot="1">
      <c r="A31" s="777" t="s">
        <v>458</v>
      </c>
      <c r="B31" s="134">
        <v>386</v>
      </c>
      <c r="C31" s="135">
        <v>430.9</v>
      </c>
      <c r="D31" s="134">
        <v>458.2</v>
      </c>
      <c r="E31" s="135">
        <v>468.3</v>
      </c>
      <c r="F31" s="134">
        <v>483.3</v>
      </c>
    </row>
    <row r="32" spans="1:6" ht="20" customHeight="1" thickBot="1">
      <c r="A32" s="777" t="s">
        <v>459</v>
      </c>
      <c r="B32" s="134">
        <v>352.8</v>
      </c>
      <c r="C32" s="135">
        <v>356.8</v>
      </c>
      <c r="D32" s="134">
        <v>375.1</v>
      </c>
      <c r="E32" s="135">
        <v>419.5</v>
      </c>
      <c r="F32" s="134">
        <v>429</v>
      </c>
    </row>
    <row r="33" spans="1:7" ht="30" customHeight="1" thickBot="1">
      <c r="A33" s="322" t="s">
        <v>462</v>
      </c>
      <c r="B33" s="136">
        <v>289.8</v>
      </c>
      <c r="C33" s="137">
        <v>325.3</v>
      </c>
      <c r="D33" s="136">
        <v>358.2</v>
      </c>
      <c r="E33" s="137">
        <v>392.5</v>
      </c>
      <c r="F33" s="136">
        <v>458.2</v>
      </c>
      <c r="G33" s="131"/>
    </row>
    <row r="34" spans="1:7" ht="20" customHeight="1">
      <c r="A34" s="130" t="s">
        <v>1104</v>
      </c>
      <c r="B34" s="779"/>
      <c r="C34" s="779"/>
      <c r="D34" s="779"/>
      <c r="E34" s="779"/>
      <c r="F34" s="779"/>
      <c r="G34" s="623"/>
    </row>
    <row r="35" spans="1:7" ht="12.75" customHeight="1">
      <c r="A35" s="131"/>
      <c r="B35" s="623"/>
      <c r="C35" s="623"/>
      <c r="D35" s="623"/>
      <c r="E35" s="623"/>
      <c r="F35" s="623"/>
      <c r="G35" s="623"/>
    </row>
    <row r="36" spans="1:7" ht="20" customHeight="1">
      <c r="A36" s="131" t="s">
        <v>1122</v>
      </c>
      <c r="B36" s="623"/>
      <c r="C36" s="623"/>
      <c r="D36" s="623"/>
      <c r="E36" s="623"/>
      <c r="F36" s="623"/>
      <c r="G36" s="623"/>
    </row>
    <row r="37" spans="1:7" ht="14.25" customHeight="1">
      <c r="A37" s="131"/>
      <c r="B37" s="623"/>
      <c r="C37" s="623"/>
      <c r="D37" s="623"/>
      <c r="E37" s="623"/>
      <c r="F37" s="623"/>
      <c r="G37" s="623"/>
    </row>
    <row r="38" spans="1:7" ht="12.75" customHeight="1">
      <c r="A38" s="131" t="s">
        <v>1123</v>
      </c>
      <c r="B38" s="623"/>
      <c r="C38" s="623"/>
      <c r="D38" s="623"/>
      <c r="E38" s="623"/>
      <c r="F38" s="623"/>
      <c r="G38" s="623"/>
    </row>
    <row r="39" spans="1:7">
      <c r="A39" s="3" t="s">
        <v>1847</v>
      </c>
      <c r="B39" s="60"/>
      <c r="C39" s="60"/>
      <c r="D39" s="60"/>
      <c r="E39" s="60"/>
      <c r="F39" s="60"/>
      <c r="G39" s="60"/>
    </row>
    <row r="40" spans="1:7">
      <c r="A40" s="3" t="s">
        <v>1848</v>
      </c>
      <c r="B40" s="60"/>
      <c r="C40" s="60"/>
      <c r="D40" s="60"/>
      <c r="E40" s="60"/>
      <c r="F40" s="60"/>
      <c r="G40" s="60"/>
    </row>
    <row r="41" spans="1:7">
      <c r="A41" s="3" t="s">
        <v>1849</v>
      </c>
      <c r="B41" s="60"/>
      <c r="C41" s="60"/>
      <c r="D41" s="60"/>
      <c r="E41" s="60"/>
      <c r="F41" s="60"/>
      <c r="G41" s="60"/>
    </row>
    <row r="42" spans="1:7">
      <c r="A42" s="3" t="s">
        <v>1850</v>
      </c>
      <c r="B42" s="60"/>
      <c r="C42" s="60"/>
      <c r="D42" s="60"/>
      <c r="E42" s="60"/>
      <c r="F42" s="60"/>
      <c r="G42" s="60"/>
    </row>
    <row r="43" spans="1:7">
      <c r="A43" s="3" t="s">
        <v>1851</v>
      </c>
      <c r="B43" s="60"/>
      <c r="C43" s="60"/>
      <c r="D43" s="60"/>
      <c r="E43" s="60"/>
      <c r="F43" s="60"/>
      <c r="G43" s="60"/>
    </row>
    <row r="44" spans="1:7">
      <c r="B44" s="60"/>
      <c r="C44" s="60"/>
      <c r="D44" s="60"/>
      <c r="E44" s="60"/>
      <c r="F44" s="60"/>
      <c r="G44" s="60"/>
    </row>
    <row r="45" spans="1:7">
      <c r="B45" s="60"/>
      <c r="C45" s="60"/>
      <c r="D45" s="60"/>
      <c r="E45" s="60"/>
      <c r="F45" s="60"/>
      <c r="G45" s="60"/>
    </row>
    <row r="46" spans="1:7">
      <c r="A46" s="3" t="s">
        <v>395</v>
      </c>
      <c r="B46" s="60"/>
      <c r="C46" s="60"/>
      <c r="D46" s="60"/>
      <c r="E46" s="60"/>
      <c r="F46" s="60"/>
      <c r="G46" s="60"/>
    </row>
  </sheetData>
  <pageMargins left="0.6692913385826772" right="0.55118110236220474" top="0.6692913385826772" bottom="0.47244094488188981" header="0.47244094488188981" footer="0.51181102362204722"/>
  <pageSetup paperSize="9" scale="78" orientation="portrait"/>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DF5B-7BA8-684F-BCFE-6709AA115625}">
  <sheetPr>
    <pageSetUpPr fitToPage="1"/>
  </sheetPr>
  <dimension ref="A1:F46"/>
  <sheetViews>
    <sheetView zoomScaleNormal="100" workbookViewId="0">
      <selection activeCell="J35" sqref="J35"/>
    </sheetView>
  </sheetViews>
  <sheetFormatPr baseColWidth="10" defaultColWidth="11.3984375" defaultRowHeight="13"/>
  <cols>
    <col min="1" max="1" width="21.19921875" style="3" customWidth="1"/>
    <col min="2" max="2" width="15.796875" style="3" customWidth="1"/>
    <col min="3" max="3" width="15.59765625" style="3" customWidth="1"/>
    <col min="4" max="4" width="17.3984375" style="3" customWidth="1"/>
    <col min="5" max="5" width="15.59765625" style="3" customWidth="1"/>
    <col min="6" max="6" width="15.796875" style="3" customWidth="1"/>
    <col min="7" max="7" width="19.3984375" style="3" customWidth="1"/>
    <col min="8" max="16384" width="11.3984375" style="3"/>
  </cols>
  <sheetData>
    <row r="1" spans="1:6" s="2" customFormat="1" ht="14" customHeight="1">
      <c r="A1" s="272"/>
      <c r="B1" s="272"/>
      <c r="C1" s="272"/>
      <c r="D1" s="272"/>
      <c r="E1" s="272"/>
      <c r="F1" s="272"/>
    </row>
    <row r="2" spans="1:6" s="2" customFormat="1" ht="18.75" customHeight="1">
      <c r="A2" s="396" t="s">
        <v>1841</v>
      </c>
      <c r="B2" s="272"/>
      <c r="C2" s="272"/>
      <c r="D2" s="272"/>
      <c r="E2" s="272"/>
      <c r="F2" s="272"/>
    </row>
    <row r="3" spans="1:6" s="2" customFormat="1" ht="22.5" customHeight="1">
      <c r="A3" s="396" t="s">
        <v>1150</v>
      </c>
      <c r="B3" s="272"/>
      <c r="C3" s="272"/>
      <c r="D3" s="272"/>
      <c r="E3" s="272"/>
      <c r="F3" s="272"/>
    </row>
    <row r="4" spans="1:6" ht="24" customHeight="1">
      <c r="A4" s="109" t="s">
        <v>426</v>
      </c>
      <c r="B4" s="762">
        <v>0.05</v>
      </c>
      <c r="C4" s="763">
        <v>0.25</v>
      </c>
      <c r="D4" s="762">
        <v>0.5</v>
      </c>
      <c r="E4" s="763">
        <v>0.25</v>
      </c>
      <c r="F4" s="762">
        <v>0.05</v>
      </c>
    </row>
    <row r="5" spans="1:6" ht="67.75" customHeight="1">
      <c r="A5" s="112"/>
      <c r="B5" s="766" t="s">
        <v>1842</v>
      </c>
      <c r="C5" s="767" t="s">
        <v>1842</v>
      </c>
      <c r="D5" s="766" t="s">
        <v>1843</v>
      </c>
      <c r="E5" s="767" t="s">
        <v>1844</v>
      </c>
      <c r="F5" s="766" t="s">
        <v>1844</v>
      </c>
    </row>
    <row r="6" spans="1:6" ht="18" customHeight="1">
      <c r="A6" s="116"/>
      <c r="B6" s="117"/>
      <c r="C6" s="118"/>
      <c r="D6" s="117"/>
      <c r="E6" s="118"/>
      <c r="F6" s="330"/>
    </row>
    <row r="7" spans="1:6" ht="30" customHeight="1" thickBot="1">
      <c r="A7" s="775" t="s">
        <v>434</v>
      </c>
      <c r="B7" s="320">
        <v>74.5</v>
      </c>
      <c r="C7" s="321">
        <v>86.6</v>
      </c>
      <c r="D7" s="320">
        <v>94.3</v>
      </c>
      <c r="E7" s="321">
        <v>102.2</v>
      </c>
      <c r="F7" s="320">
        <v>116.2</v>
      </c>
    </row>
    <row r="8" spans="1:6" ht="20" customHeight="1" thickBot="1">
      <c r="A8" s="777" t="s">
        <v>435</v>
      </c>
      <c r="B8" s="134">
        <v>76.5</v>
      </c>
      <c r="C8" s="135">
        <v>86.1</v>
      </c>
      <c r="D8" s="134">
        <v>96.8</v>
      </c>
      <c r="E8" s="135">
        <v>103</v>
      </c>
      <c r="F8" s="134">
        <v>119.2</v>
      </c>
    </row>
    <row r="9" spans="1:6" ht="20" customHeight="1" thickBot="1">
      <c r="A9" s="777" t="s">
        <v>436</v>
      </c>
      <c r="B9" s="134">
        <v>66.2</v>
      </c>
      <c r="C9" s="135">
        <v>74.099999999999994</v>
      </c>
      <c r="D9" s="134">
        <v>77.3</v>
      </c>
      <c r="E9" s="135">
        <v>84.3</v>
      </c>
      <c r="F9" s="134">
        <v>94.3</v>
      </c>
    </row>
    <row r="10" spans="1:6" ht="20" customHeight="1" thickBot="1">
      <c r="A10" s="777" t="s">
        <v>437</v>
      </c>
      <c r="B10" s="134">
        <v>61.1</v>
      </c>
      <c r="C10" s="135">
        <v>71</v>
      </c>
      <c r="D10" s="134">
        <v>80.099999999999994</v>
      </c>
      <c r="E10" s="135">
        <v>84.7</v>
      </c>
      <c r="F10" s="134">
        <v>87.8</v>
      </c>
    </row>
    <row r="11" spans="1:6" ht="20" customHeight="1" thickBot="1">
      <c r="A11" s="777" t="s">
        <v>438</v>
      </c>
      <c r="B11" s="134">
        <v>66</v>
      </c>
      <c r="C11" s="135">
        <v>73.900000000000006</v>
      </c>
      <c r="D11" s="134">
        <v>81</v>
      </c>
      <c r="E11" s="135">
        <v>82.7</v>
      </c>
      <c r="F11" s="134">
        <v>97.8</v>
      </c>
    </row>
    <row r="12" spans="1:6" ht="20" customHeight="1" thickBot="1">
      <c r="A12" s="777" t="s">
        <v>439</v>
      </c>
      <c r="B12" s="134">
        <v>66.7</v>
      </c>
      <c r="C12" s="135">
        <v>71.900000000000006</v>
      </c>
      <c r="D12" s="134">
        <v>76.7</v>
      </c>
      <c r="E12" s="135">
        <v>77</v>
      </c>
      <c r="F12" s="134">
        <v>81.5</v>
      </c>
    </row>
    <row r="13" spans="1:6" ht="20" customHeight="1" thickBot="1">
      <c r="A13" s="777" t="s">
        <v>440</v>
      </c>
      <c r="B13" s="134">
        <v>62</v>
      </c>
      <c r="C13" s="135">
        <v>66.7</v>
      </c>
      <c r="D13" s="134">
        <v>73.3</v>
      </c>
      <c r="E13" s="135">
        <v>73.3</v>
      </c>
      <c r="F13" s="134">
        <v>79.5</v>
      </c>
    </row>
    <row r="14" spans="1:6" ht="20" customHeight="1" thickBot="1">
      <c r="A14" s="777" t="s">
        <v>441</v>
      </c>
      <c r="B14" s="134">
        <v>59.4</v>
      </c>
      <c r="C14" s="135">
        <v>71.5</v>
      </c>
      <c r="D14" s="134">
        <v>73.8</v>
      </c>
      <c r="E14" s="135">
        <v>89.3</v>
      </c>
      <c r="F14" s="134">
        <v>94.5</v>
      </c>
    </row>
    <row r="15" spans="1:6" ht="20" customHeight="1" thickBot="1">
      <c r="A15" s="777" t="s">
        <v>442</v>
      </c>
      <c r="B15" s="134">
        <v>64.599999999999994</v>
      </c>
      <c r="C15" s="135">
        <v>71.3</v>
      </c>
      <c r="D15" s="134">
        <v>81</v>
      </c>
      <c r="E15" s="135">
        <v>84.8</v>
      </c>
      <c r="F15" s="134">
        <v>85.8</v>
      </c>
    </row>
    <row r="16" spans="1:6" ht="20" customHeight="1" thickBot="1">
      <c r="A16" s="777" t="s">
        <v>443</v>
      </c>
      <c r="B16" s="134">
        <v>77.099999999999994</v>
      </c>
      <c r="C16" s="135">
        <v>79</v>
      </c>
      <c r="D16" s="134">
        <v>84.7</v>
      </c>
      <c r="E16" s="135">
        <v>88.9</v>
      </c>
      <c r="F16" s="134">
        <v>99.5</v>
      </c>
    </row>
    <row r="17" spans="1:6" ht="20" customHeight="1" thickBot="1">
      <c r="A17" s="777" t="s">
        <v>444</v>
      </c>
      <c r="B17" s="134">
        <v>73.099999999999994</v>
      </c>
      <c r="C17" s="135">
        <v>82.2</v>
      </c>
      <c r="D17" s="134">
        <v>83</v>
      </c>
      <c r="E17" s="135">
        <v>89.4</v>
      </c>
      <c r="F17" s="134">
        <v>101.2</v>
      </c>
    </row>
    <row r="18" spans="1:6" ht="20" customHeight="1" thickBot="1">
      <c r="A18" s="777" t="s">
        <v>445</v>
      </c>
      <c r="B18" s="134">
        <v>96.9</v>
      </c>
      <c r="C18" s="135">
        <v>104</v>
      </c>
      <c r="D18" s="134">
        <v>130.9</v>
      </c>
      <c r="E18" s="135">
        <v>134.80000000000001</v>
      </c>
      <c r="F18" s="134">
        <v>142.19999999999999</v>
      </c>
    </row>
    <row r="19" spans="1:6" ht="20" customHeight="1" thickBot="1">
      <c r="A19" s="777" t="s">
        <v>446</v>
      </c>
      <c r="B19" s="134">
        <v>86.1</v>
      </c>
      <c r="C19" s="135">
        <v>93</v>
      </c>
      <c r="D19" s="134">
        <v>96.6</v>
      </c>
      <c r="E19" s="135">
        <v>106</v>
      </c>
      <c r="F19" s="134">
        <v>120.8</v>
      </c>
    </row>
    <row r="20" spans="1:6" ht="20" customHeight="1" thickBot="1">
      <c r="A20" s="777" t="s">
        <v>447</v>
      </c>
      <c r="B20" s="134">
        <v>67.099999999999994</v>
      </c>
      <c r="C20" s="135">
        <v>81</v>
      </c>
      <c r="D20" s="134">
        <v>89.3</v>
      </c>
      <c r="E20" s="135">
        <v>95.8</v>
      </c>
      <c r="F20" s="134">
        <v>105</v>
      </c>
    </row>
    <row r="21" spans="1:6" ht="20" customHeight="1" thickBot="1">
      <c r="A21" s="777" t="s">
        <v>448</v>
      </c>
      <c r="B21" s="134">
        <v>58.7</v>
      </c>
      <c r="C21" s="135">
        <v>68</v>
      </c>
      <c r="D21" s="134">
        <v>79.599999999999994</v>
      </c>
      <c r="E21" s="135">
        <v>87.8</v>
      </c>
      <c r="F21" s="134">
        <v>87.8</v>
      </c>
    </row>
    <row r="22" spans="1:6" ht="20" customHeight="1" thickBot="1">
      <c r="A22" s="777" t="s">
        <v>449</v>
      </c>
      <c r="B22" s="134">
        <v>59.9</v>
      </c>
      <c r="C22" s="135">
        <v>69</v>
      </c>
      <c r="D22" s="134">
        <v>73.3</v>
      </c>
      <c r="E22" s="135">
        <v>80.5</v>
      </c>
      <c r="F22" s="134">
        <v>80.5</v>
      </c>
    </row>
    <row r="23" spans="1:6" ht="20" customHeight="1" thickBot="1">
      <c r="A23" s="777" t="s">
        <v>450</v>
      </c>
      <c r="B23" s="134">
        <v>65.3</v>
      </c>
      <c r="C23" s="135">
        <v>77.2</v>
      </c>
      <c r="D23" s="134">
        <v>85.8</v>
      </c>
      <c r="E23" s="135">
        <v>94.8</v>
      </c>
      <c r="F23" s="134">
        <v>105.3</v>
      </c>
    </row>
    <row r="24" spans="1:6" ht="20" customHeight="1" thickBot="1">
      <c r="A24" s="777" t="s">
        <v>451</v>
      </c>
      <c r="B24" s="134">
        <v>67</v>
      </c>
      <c r="C24" s="135">
        <v>78.2</v>
      </c>
      <c r="D24" s="134">
        <v>78.8</v>
      </c>
      <c r="E24" s="135">
        <v>85.5</v>
      </c>
      <c r="F24" s="134">
        <v>92.3</v>
      </c>
    </row>
    <row r="25" spans="1:6" ht="20" customHeight="1" thickBot="1">
      <c r="A25" s="777" t="s">
        <v>452</v>
      </c>
      <c r="B25" s="134">
        <v>69.099999999999994</v>
      </c>
      <c r="C25" s="135">
        <v>80.7</v>
      </c>
      <c r="D25" s="134">
        <v>84</v>
      </c>
      <c r="E25" s="135">
        <v>90.8</v>
      </c>
      <c r="F25" s="134">
        <v>107</v>
      </c>
    </row>
    <row r="26" spans="1:6" ht="20" customHeight="1" thickBot="1">
      <c r="A26" s="777" t="s">
        <v>453</v>
      </c>
      <c r="B26" s="134">
        <v>70.599999999999994</v>
      </c>
      <c r="C26" s="135">
        <v>79</v>
      </c>
      <c r="D26" s="134">
        <v>84.2</v>
      </c>
      <c r="E26" s="135">
        <v>95</v>
      </c>
      <c r="F26" s="134">
        <v>96.3</v>
      </c>
    </row>
    <row r="27" spans="1:6" ht="20" customHeight="1" thickBot="1">
      <c r="A27" s="777" t="s">
        <v>454</v>
      </c>
      <c r="B27" s="134">
        <v>72.2</v>
      </c>
      <c r="C27" s="135">
        <v>88</v>
      </c>
      <c r="D27" s="134">
        <v>98</v>
      </c>
      <c r="E27" s="135">
        <v>106.9</v>
      </c>
      <c r="F27" s="134">
        <v>117.6</v>
      </c>
    </row>
    <row r="28" spans="1:6" ht="20" customHeight="1" thickBot="1">
      <c r="A28" s="777" t="s">
        <v>455</v>
      </c>
      <c r="B28" s="134">
        <v>80.3</v>
      </c>
      <c r="C28" s="135">
        <v>95.7</v>
      </c>
      <c r="D28" s="134">
        <v>102.4</v>
      </c>
      <c r="E28" s="135">
        <v>108</v>
      </c>
      <c r="F28" s="134">
        <v>125.3</v>
      </c>
    </row>
    <row r="29" spans="1:6" ht="20" customHeight="1" thickBot="1">
      <c r="A29" s="777" t="s">
        <v>456</v>
      </c>
      <c r="B29" s="134">
        <v>68.599999999999994</v>
      </c>
      <c r="C29" s="135">
        <v>75</v>
      </c>
      <c r="D29" s="134">
        <v>79</v>
      </c>
      <c r="E29" s="135">
        <v>82.2</v>
      </c>
      <c r="F29" s="134">
        <v>90.2</v>
      </c>
    </row>
    <row r="30" spans="1:6" ht="20" customHeight="1" thickBot="1">
      <c r="A30" s="777" t="s">
        <v>457</v>
      </c>
      <c r="B30" s="134">
        <v>65.8</v>
      </c>
      <c r="C30" s="135">
        <v>65.8</v>
      </c>
      <c r="D30" s="134">
        <v>91.1</v>
      </c>
      <c r="E30" s="135">
        <v>101.4</v>
      </c>
      <c r="F30" s="134">
        <v>114</v>
      </c>
    </row>
    <row r="31" spans="1:6" ht="20" customHeight="1" thickBot="1">
      <c r="A31" s="777" t="s">
        <v>458</v>
      </c>
      <c r="B31" s="134">
        <v>69.5</v>
      </c>
      <c r="C31" s="135">
        <v>109.6</v>
      </c>
      <c r="D31" s="134">
        <v>111.5</v>
      </c>
      <c r="E31" s="135">
        <v>112</v>
      </c>
      <c r="F31" s="134">
        <v>132.1</v>
      </c>
    </row>
    <row r="32" spans="1:6" ht="20" customHeight="1" thickBot="1">
      <c r="A32" s="777" t="s">
        <v>459</v>
      </c>
      <c r="B32" s="134">
        <v>67.099999999999994</v>
      </c>
      <c r="C32" s="135">
        <v>67.099999999999994</v>
      </c>
      <c r="D32" s="134">
        <v>88</v>
      </c>
      <c r="E32" s="135">
        <v>100.3</v>
      </c>
      <c r="F32" s="134">
        <v>112.2</v>
      </c>
    </row>
    <row r="33" spans="1:6" ht="30" customHeight="1" thickBot="1">
      <c r="A33" s="322" t="s">
        <v>462</v>
      </c>
      <c r="B33" s="136">
        <v>69.5</v>
      </c>
      <c r="C33" s="137">
        <v>80.7</v>
      </c>
      <c r="D33" s="136">
        <v>89.2</v>
      </c>
      <c r="E33" s="137">
        <v>100.9</v>
      </c>
      <c r="F33" s="136">
        <v>117.6</v>
      </c>
    </row>
    <row r="34" spans="1:6" ht="20" customHeight="1">
      <c r="A34" s="130" t="s">
        <v>1104</v>
      </c>
      <c r="B34" s="779"/>
      <c r="C34" s="779"/>
      <c r="D34" s="779"/>
      <c r="E34" s="779"/>
      <c r="F34" s="779"/>
    </row>
    <row r="35" spans="1:6" ht="15.75" customHeight="1">
      <c r="A35" s="131"/>
      <c r="B35" s="623"/>
      <c r="C35" s="623"/>
      <c r="D35" s="623"/>
      <c r="E35" s="623"/>
      <c r="F35" s="623"/>
    </row>
    <row r="36" spans="1:6" ht="20.25" customHeight="1">
      <c r="A36" s="131" t="s">
        <v>1122</v>
      </c>
      <c r="B36" s="623"/>
      <c r="C36" s="623"/>
      <c r="D36" s="623"/>
      <c r="E36" s="623"/>
      <c r="F36" s="623"/>
    </row>
    <row r="37" spans="1:6" ht="13.5" customHeight="1">
      <c r="A37" s="131"/>
      <c r="B37" s="623"/>
      <c r="C37" s="623"/>
      <c r="D37" s="623"/>
      <c r="E37" s="623"/>
      <c r="F37" s="623"/>
    </row>
    <row r="38" spans="1:6" ht="12.75" customHeight="1">
      <c r="A38" s="131" t="s">
        <v>1123</v>
      </c>
      <c r="B38" s="623"/>
      <c r="C38" s="623"/>
      <c r="D38" s="623"/>
      <c r="E38" s="623"/>
      <c r="F38" s="623"/>
    </row>
    <row r="39" spans="1:6">
      <c r="A39" s="3" t="s">
        <v>1847</v>
      </c>
      <c r="B39" s="60"/>
      <c r="C39" s="60"/>
      <c r="D39" s="60"/>
      <c r="E39" s="60"/>
      <c r="F39" s="60"/>
    </row>
    <row r="40" spans="1:6">
      <c r="A40" s="3" t="s">
        <v>1848</v>
      </c>
      <c r="B40" s="60"/>
      <c r="C40" s="60"/>
      <c r="D40" s="60"/>
      <c r="E40" s="60"/>
      <c r="F40" s="60"/>
    </row>
    <row r="41" spans="1:6">
      <c r="A41" s="3" t="s">
        <v>1849</v>
      </c>
      <c r="B41" s="60"/>
      <c r="C41" s="60"/>
      <c r="D41" s="60"/>
      <c r="E41" s="60"/>
      <c r="F41" s="60"/>
    </row>
    <row r="42" spans="1:6">
      <c r="A42" s="3" t="s">
        <v>1850</v>
      </c>
      <c r="B42" s="60"/>
      <c r="C42" s="60"/>
      <c r="D42" s="60"/>
      <c r="E42" s="60"/>
      <c r="F42" s="60"/>
    </row>
    <row r="43" spans="1:6">
      <c r="A43" s="3" t="s">
        <v>1851</v>
      </c>
      <c r="B43" s="60"/>
      <c r="C43" s="60"/>
      <c r="D43" s="60"/>
      <c r="E43" s="60"/>
      <c r="F43" s="60"/>
    </row>
    <row r="44" spans="1:6">
      <c r="B44" s="60"/>
      <c r="C44" s="60"/>
      <c r="D44" s="60"/>
      <c r="E44" s="60"/>
      <c r="F44" s="60"/>
    </row>
    <row r="45" spans="1:6">
      <c r="B45" s="60"/>
      <c r="C45" s="60"/>
      <c r="D45" s="60"/>
      <c r="E45" s="60"/>
      <c r="F45" s="60"/>
    </row>
    <row r="46" spans="1:6">
      <c r="A46" s="3" t="s">
        <v>395</v>
      </c>
      <c r="B46" s="60"/>
      <c r="C46" s="60"/>
      <c r="D46" s="60"/>
      <c r="E46" s="60"/>
      <c r="F46" s="60"/>
    </row>
  </sheetData>
  <pageMargins left="0.6692913385826772" right="0.59055118110236227" top="0.70866141732283472" bottom="0.47244094488188981" header="0.59055118110236227" footer="0.51181102362204722"/>
  <pageSetup paperSize="9" scale="74"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148</vt:i4>
      </vt:variant>
      <vt:variant>
        <vt:lpstr>Benannte Bereiche</vt:lpstr>
      </vt:variant>
      <vt:variant>
        <vt:i4>149</vt:i4>
      </vt:variant>
    </vt:vector>
  </HeadingPairs>
  <TitlesOfParts>
    <vt:vector size="297" baseType="lpstr">
      <vt:lpstr>Info</vt:lpstr>
      <vt:lpstr>Ad</vt:lpstr>
      <vt:lpstr>Bd</vt:lpstr>
      <vt:lpstr>B1d</vt:lpstr>
      <vt:lpstr>F1d</vt:lpstr>
      <vt:lpstr>F2d</vt:lpstr>
      <vt:lpstr>F3d</vt:lpstr>
      <vt:lpstr>Jd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214d</vt:lpstr>
      <vt:lpstr>215d</vt:lpstr>
      <vt:lpstr>216d</vt:lpstr>
      <vt:lpstr>217d</vt:lpstr>
      <vt:lpstr>218d</vt:lpstr>
      <vt:lpstr>219d</vt:lpstr>
      <vt:lpstr>220d</vt:lpstr>
      <vt:lpstr>221d</vt:lpstr>
      <vt:lpstr>222d</vt:lpstr>
      <vt:lpstr>223d</vt:lpstr>
      <vt:lpstr>224d</vt:lpstr>
      <vt:lpstr>225d</vt:lpstr>
      <vt:lpstr>226d</vt:lpstr>
      <vt:lpstr>T3d</vt:lpstr>
      <vt:lpstr>301d</vt:lpstr>
      <vt:lpstr>302d</vt:lpstr>
      <vt:lpstr>303d</vt:lpstr>
      <vt:lpstr>304d</vt:lpstr>
      <vt:lpstr>305d</vt:lpstr>
      <vt:lpstr>306d</vt:lpstr>
      <vt:lpstr>307d</vt:lpstr>
      <vt:lpstr>308d</vt:lpstr>
      <vt:lpstr>T4d</vt:lpstr>
      <vt:lpstr>401d</vt:lpstr>
      <vt:lpstr>402d</vt:lpstr>
      <vt:lpstr>403d</vt:lpstr>
      <vt:lpstr>404d</vt:lpstr>
      <vt:lpstr>405d</vt:lpstr>
      <vt:lpstr>406d</vt:lpstr>
      <vt:lpstr>407d</vt:lpstr>
      <vt:lpstr>408d</vt:lpstr>
      <vt:lpstr>409d</vt:lpstr>
      <vt:lpstr>410d</vt:lpstr>
      <vt:lpstr>411d</vt:lpstr>
      <vt:lpstr>T5d</vt:lpstr>
      <vt:lpstr>501d</vt:lpstr>
      <vt:lpstr>502d</vt:lpstr>
      <vt:lpstr>503d</vt:lpstr>
      <vt:lpstr>504d</vt:lpstr>
      <vt:lpstr>505d</vt:lpstr>
      <vt:lpstr>506d</vt:lpstr>
      <vt:lpstr>T6d</vt:lpstr>
      <vt:lpstr>601d</vt:lpstr>
      <vt:lpstr>602d</vt:lpstr>
      <vt:lpstr>603d</vt:lpstr>
      <vt:lpstr>604d</vt:lpstr>
      <vt:lpstr>605d</vt:lpstr>
      <vt:lpstr>606d</vt:lpstr>
      <vt:lpstr>T7d</vt:lpstr>
      <vt:lpstr>701d</vt:lpstr>
      <vt:lpstr>702d</vt:lpstr>
      <vt:lpstr>T8d</vt:lpstr>
      <vt:lpstr>801d</vt:lpstr>
      <vt:lpstr>802d</vt:lpstr>
      <vt:lpstr>803d</vt:lpstr>
      <vt:lpstr>804d</vt:lpstr>
      <vt:lpstr>805d</vt:lpstr>
      <vt:lpstr>806d</vt:lpstr>
      <vt:lpstr>807d</vt:lpstr>
      <vt:lpstr>808d</vt:lpstr>
      <vt:lpstr>809d</vt:lpstr>
      <vt:lpstr>810d</vt:lpstr>
      <vt:lpstr>811d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T10d</vt:lpstr>
      <vt:lpstr>1001d</vt:lpstr>
      <vt:lpstr>1002d</vt:lpstr>
      <vt:lpstr>1003d</vt:lpstr>
      <vt:lpstr>1004d</vt:lpstr>
      <vt:lpstr>1005d</vt:lpstr>
      <vt:lpstr>T11d</vt:lpstr>
      <vt:lpstr>1101d</vt:lpstr>
      <vt:lpstr>1102d</vt:lpstr>
      <vt:lpstr>1103d</vt:lpstr>
      <vt:lpstr>1104d</vt:lpstr>
      <vt:lpstr>1105d</vt:lpstr>
      <vt:lpstr>1106d</vt:lpstr>
      <vt:lpstr>1107d</vt:lpstr>
      <vt:lpstr>1108d</vt:lpstr>
      <vt:lpstr>1109d</vt:lpstr>
      <vt:lpstr>1110d</vt:lpstr>
      <vt:lpstr>1111d</vt:lpstr>
      <vt:lpstr>1112d</vt:lpstr>
      <vt:lpstr>1113d</vt:lpstr>
      <vt:lpstr>1114d</vt:lpstr>
      <vt:lpstr>1115d</vt:lpstr>
      <vt:lpstr>1116d</vt:lpstr>
      <vt:lpstr>1117d</vt:lpstr>
      <vt:lpstr>1118d</vt:lpstr>
      <vt:lpstr>T12d</vt:lpstr>
      <vt:lpstr>1201d</vt:lpstr>
      <vt:lpstr>1202d</vt:lpstr>
      <vt:lpstr>1203d</vt:lpstr>
      <vt:lpstr>1204d</vt:lpstr>
      <vt:lpstr>1205d</vt:lpstr>
      <vt:lpstr>1206d</vt:lpstr>
      <vt:lpstr>1207d</vt:lpstr>
      <vt:lpstr>'1001d'!Druckbereich</vt:lpstr>
      <vt:lpstr>'1002d'!Druckbereich</vt:lpstr>
      <vt:lpstr>'1003d'!Druckbereich</vt:lpstr>
      <vt:lpstr>'1004d'!Druckbereich</vt:lpstr>
      <vt:lpstr>'1005d'!Druckbereich</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'1101d'!Druckbereich</vt:lpstr>
      <vt:lpstr>'1102d'!Druckbereich</vt:lpstr>
      <vt:lpstr>'1103d'!Druckbereich</vt:lpstr>
      <vt:lpstr>'1104d'!Druckbereich</vt:lpstr>
      <vt:lpstr>'1105d'!Druckbereich</vt:lpstr>
      <vt:lpstr>'1106d'!Druckbereich</vt:lpstr>
      <vt:lpstr>'1107d'!Druckbereich</vt:lpstr>
      <vt:lpstr>'1108d'!Druckbereich</vt:lpstr>
      <vt:lpstr>'1109d'!Druckbereich</vt:lpstr>
      <vt:lpstr>'110d'!Druckbereich</vt:lpstr>
      <vt:lpstr>'1110d'!Druckbereich</vt:lpstr>
      <vt:lpstr>'1111d'!Druckbereich</vt:lpstr>
      <vt:lpstr>'1112d'!Druckbereich</vt:lpstr>
      <vt:lpstr>'1113d'!Druckbereich</vt:lpstr>
      <vt:lpstr>'1114d'!Druckbereich</vt:lpstr>
      <vt:lpstr>'1115d'!Druckbereich</vt:lpstr>
      <vt:lpstr>'1116d'!Druckbereich</vt:lpstr>
      <vt:lpstr>'1117d'!Druckbereich</vt:lpstr>
      <vt:lpstr>'1118d'!Druckbereich</vt:lpstr>
      <vt:lpstr>'111d'!Druckbereich</vt:lpstr>
      <vt:lpstr>'112d'!Druckbereich</vt:lpstr>
      <vt:lpstr>'113d'!Druckbereich</vt:lpstr>
      <vt:lpstr>'1201d'!Druckbereich</vt:lpstr>
      <vt:lpstr>'1202d'!Druckbereich</vt:lpstr>
      <vt:lpstr>'1203d'!Druckbereich</vt:lpstr>
      <vt:lpstr>'1204d'!Druckbereich</vt:lpstr>
      <vt:lpstr>'1205d'!Druckbereich</vt:lpstr>
      <vt:lpstr>'1206d'!Druckbereich</vt:lpstr>
      <vt:lpstr>'1207d'!Druckbereich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'214d'!Druckbereich</vt:lpstr>
      <vt:lpstr>'215d'!Druckbereich</vt:lpstr>
      <vt:lpstr>'216d'!Druckbereich</vt:lpstr>
      <vt:lpstr>'217d'!Druckbereich</vt:lpstr>
      <vt:lpstr>'218d'!Druckbereich</vt:lpstr>
      <vt:lpstr>'219d'!Druckbereich</vt:lpstr>
      <vt:lpstr>'220d'!Druckbereich</vt:lpstr>
      <vt:lpstr>'221d'!Druckbereich</vt:lpstr>
      <vt:lpstr>'222d'!Druckbereich</vt:lpstr>
      <vt:lpstr>'223d'!Druckbereich</vt:lpstr>
      <vt:lpstr>'224d'!Druckbereich</vt:lpstr>
      <vt:lpstr>'225d'!Druckbereich</vt:lpstr>
      <vt:lpstr>'226d'!Druckbereich</vt:lpstr>
      <vt:lpstr>'301d'!Druckbereich</vt:lpstr>
      <vt:lpstr>'302d'!Druckbereich</vt:lpstr>
      <vt:lpstr>'303d'!Druckbereich</vt:lpstr>
      <vt:lpstr>'304d'!Druckbereich</vt:lpstr>
      <vt:lpstr>'305d'!Druckbereich</vt:lpstr>
      <vt:lpstr>'306d'!Druckbereich</vt:lpstr>
      <vt:lpstr>'307d'!Druckbereich</vt:lpstr>
      <vt:lpstr>'308d'!Druckbereich</vt:lpstr>
      <vt:lpstr>'401d'!Druckbereich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'501d'!Druckbereich</vt:lpstr>
      <vt:lpstr>'502d'!Druckbereich</vt:lpstr>
      <vt:lpstr>'503d'!Druckbereich</vt:lpstr>
      <vt:lpstr>'504d'!Druckbereich</vt:lpstr>
      <vt:lpstr>'505d'!Druckbereich</vt:lpstr>
      <vt:lpstr>'506d'!Druckbereich</vt:lpstr>
      <vt:lpstr>'601d'!Druckbereich</vt:lpstr>
      <vt:lpstr>'602d'!Druckbereich</vt:lpstr>
      <vt:lpstr>'603d'!Druckbereich</vt:lpstr>
      <vt:lpstr>'604d'!Druckbereich</vt:lpstr>
      <vt:lpstr>'605d'!Druckbereich</vt:lpstr>
      <vt:lpstr>'606d'!Druckbereich</vt:lpstr>
      <vt:lpstr>'701d'!Druckbereich</vt:lpstr>
      <vt:lpstr>'702d'!Druckbereich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B1d!Druckbereich</vt:lpstr>
      <vt:lpstr>F1d!Druckbereich</vt:lpstr>
      <vt:lpstr>F2d!Druckbereich</vt:lpstr>
      <vt:lpstr>F3d!Druckbereich</vt:lpstr>
      <vt:lpstr>Info!Druckbereich</vt:lpstr>
      <vt:lpstr>Jd!Druckbereich</vt:lpstr>
      <vt:lpstr>T10d!Druckbereich</vt:lpstr>
      <vt:lpstr>T11d!Druckbereich</vt:lpstr>
      <vt:lpstr>T12d!Druckbereich</vt:lpstr>
      <vt:lpstr>T1d!Druckbereich</vt:lpstr>
      <vt:lpstr>T2d!Druckbereich</vt:lpstr>
      <vt:lpstr>T3d!Druckbereich</vt:lpstr>
      <vt:lpstr>T4d!Druckbereich</vt:lpstr>
      <vt:lpstr>T5d!Druckbereich</vt:lpstr>
      <vt:lpstr>T8d!Druckbereich</vt:lpstr>
      <vt:lpstr>'501d'!Drucktitel</vt:lpstr>
      <vt:lpstr>'503d'!Drucktitel</vt:lpstr>
      <vt:lpstr>'504d'!Drucktitel</vt:lpstr>
      <vt:lpstr>'505d'!Drucktitel</vt:lpstr>
      <vt:lpstr>'506d'!Drucktitel</vt:lpstr>
      <vt:lpstr>B1d!Drucktitel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2014-06-16T13:59:54Z</cp:lastPrinted>
  <dcterms:created xsi:type="dcterms:W3CDTF">1999-10-15T08:29:27Z</dcterms:created>
  <dcterms:modified xsi:type="dcterms:W3CDTF">2026-04-30T19:58:45Z</dcterms:modified>
</cp:coreProperties>
</file>