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C9D28061-EB45-D749-AD99-3AF34C05D72A}" xr6:coauthVersionLast="47" xr6:coauthVersionMax="47" xr10:uidLastSave="{00000000-0000-0000-0000-000000000000}"/>
  <bookViews>
    <workbookView xWindow="2720" yWindow="680" windowWidth="14280" windowHeight="8800" tabRatio="601" xr2:uid="{CA0F71A7-DAC8-794F-9DD6-68BBA092C096}"/>
  </bookViews>
  <sheets>
    <sheet name="Info" sheetId="1" r:id="rId1"/>
    <sheet name="T1" sheetId="2" r:id="rId2"/>
    <sheet name="101" sheetId="3" r:id="rId3"/>
    <sheet name="102" sheetId="4" r:id="rId4"/>
    <sheet name="103" sheetId="5" r:id="rId5"/>
    <sheet name="104" sheetId="6" r:id="rId6"/>
    <sheet name="105" sheetId="7" r:id="rId7"/>
    <sheet name="106" sheetId="8" r:id="rId8"/>
    <sheet name="107" sheetId="9" r:id="rId9"/>
    <sheet name="108" sheetId="10" r:id="rId10"/>
    <sheet name="109" sheetId="11" r:id="rId11"/>
    <sheet name="110" sheetId="12" r:id="rId12"/>
    <sheet name="111" sheetId="13" r:id="rId13"/>
    <sheet name="112" sheetId="14" r:id="rId14"/>
    <sheet name="113" sheetId="15" r:id="rId15"/>
    <sheet name="114" sheetId="16" r:id="rId16"/>
    <sheet name="115" sheetId="17" r:id="rId17"/>
    <sheet name="116" sheetId="18" r:id="rId18"/>
    <sheet name="117" sheetId="19" r:id="rId19"/>
    <sheet name="118" sheetId="20" r:id="rId20"/>
    <sheet name="119" sheetId="21" r:id="rId21"/>
    <sheet name="120" sheetId="22" r:id="rId22"/>
    <sheet name="121" sheetId="23" r:id="rId23"/>
    <sheet name="122" sheetId="24" r:id="rId24"/>
    <sheet name="123" sheetId="25" r:id="rId25"/>
    <sheet name="124" sheetId="26" r:id="rId26"/>
    <sheet name="125" sheetId="27" r:id="rId27"/>
    <sheet name="126" sheetId="28" r:id="rId28"/>
    <sheet name="127" sheetId="29" r:id="rId29"/>
    <sheet name="128" sheetId="30" r:id="rId30"/>
    <sheet name="129" sheetId="31" r:id="rId31"/>
    <sheet name="130" sheetId="32" r:id="rId32"/>
    <sheet name="131" sheetId="33" r:id="rId33"/>
    <sheet name="132" sheetId="34" r:id="rId34"/>
    <sheet name="133" sheetId="35" r:id="rId35"/>
    <sheet name="134" sheetId="36" r:id="rId36"/>
    <sheet name="135" sheetId="37" r:id="rId37"/>
    <sheet name="136" sheetId="38" r:id="rId38"/>
    <sheet name="137" sheetId="39" r:id="rId39"/>
    <sheet name="138" sheetId="40" r:id="rId40"/>
    <sheet name="139" sheetId="41" r:id="rId41"/>
    <sheet name="140" sheetId="42" r:id="rId42"/>
    <sheet name="141" sheetId="43" r:id="rId43"/>
    <sheet name="142" sheetId="44" r:id="rId44"/>
    <sheet name="143" sheetId="45" r:id="rId45"/>
    <sheet name="144" sheetId="46" r:id="rId46"/>
    <sheet name="T2" sheetId="47" r:id="rId47"/>
    <sheet name="201" sheetId="48" r:id="rId48"/>
    <sheet name="202" sheetId="49" r:id="rId49"/>
    <sheet name="203" sheetId="50" r:id="rId50"/>
    <sheet name="204" sheetId="51" r:id="rId51"/>
    <sheet name="205" sheetId="52" r:id="rId52"/>
    <sheet name="206" sheetId="53" r:id="rId53"/>
    <sheet name="207" sheetId="54" r:id="rId54"/>
    <sheet name="208" sheetId="55" r:id="rId55"/>
    <sheet name="209" sheetId="56" r:id="rId56"/>
    <sheet name="210" sheetId="57" r:id="rId57"/>
    <sheet name="211" sheetId="58" r:id="rId58"/>
    <sheet name="212" sheetId="59" r:id="rId59"/>
    <sheet name="T3" sheetId="60" r:id="rId60"/>
    <sheet name="301" sheetId="61" r:id="rId61"/>
    <sheet name="302" sheetId="62" r:id="rId62"/>
    <sheet name="303" sheetId="63" r:id="rId63"/>
    <sheet name="304" sheetId="64" r:id="rId64"/>
    <sheet name="305" sheetId="65" r:id="rId65"/>
    <sheet name="306" sheetId="66" r:id="rId66"/>
    <sheet name="307" sheetId="137" r:id="rId67"/>
    <sheet name="308" sheetId="138" r:id="rId68"/>
    <sheet name="309" sheetId="139" r:id="rId69"/>
    <sheet name="310" sheetId="70" r:id="rId70"/>
    <sheet name="311" sheetId="71" r:id="rId71"/>
    <sheet name="312" sheetId="72" r:id="rId72"/>
    <sheet name="313" sheetId="73" r:id="rId73"/>
    <sheet name="T4" sheetId="74" r:id="rId74"/>
    <sheet name="401" sheetId="75" r:id="rId75"/>
    <sheet name="402" sheetId="76" r:id="rId76"/>
    <sheet name="403" sheetId="77" r:id="rId77"/>
    <sheet name="404" sheetId="78" r:id="rId78"/>
    <sheet name="405" sheetId="79" r:id="rId79"/>
    <sheet name="406" sheetId="80" r:id="rId80"/>
    <sheet name="407" sheetId="81" r:id="rId81"/>
    <sheet name="408" sheetId="82" r:id="rId82"/>
    <sheet name="409" sheetId="83" r:id="rId83"/>
    <sheet name="410" sheetId="84" r:id="rId84"/>
    <sheet name="411" sheetId="85" r:id="rId85"/>
    <sheet name="412" sheetId="86" r:id="rId86"/>
    <sheet name="413" sheetId="87" r:id="rId87"/>
    <sheet name="T5" sheetId="88" r:id="rId88"/>
    <sheet name="501" sheetId="89" r:id="rId89"/>
    <sheet name="502" sheetId="90" r:id="rId90"/>
    <sheet name="503" sheetId="91" r:id="rId91"/>
    <sheet name="T6" sheetId="92" r:id="rId92"/>
    <sheet name="601" sheetId="93" r:id="rId93"/>
    <sheet name="602" sheetId="94" r:id="rId94"/>
    <sheet name="603" sheetId="95" r:id="rId95"/>
    <sheet name="604" sheetId="96" r:id="rId96"/>
    <sheet name="605" sheetId="97" r:id="rId97"/>
    <sheet name="606" sheetId="98" r:id="rId98"/>
    <sheet name="T7" sheetId="99" r:id="rId99"/>
    <sheet name="701" sheetId="100" r:id="rId100"/>
    <sheet name="702" sheetId="101" r:id="rId101"/>
    <sheet name="703" sheetId="102" r:id="rId102"/>
    <sheet name="704" sheetId="103" r:id="rId103"/>
    <sheet name="705" sheetId="104" r:id="rId104"/>
    <sheet name="706" sheetId="105" r:id="rId105"/>
    <sheet name="T8" sheetId="106" r:id="rId106"/>
    <sheet name="801" sheetId="107" r:id="rId107"/>
    <sheet name="802" sheetId="108" r:id="rId108"/>
    <sheet name="803" sheetId="109" r:id="rId109"/>
    <sheet name="804" sheetId="110" r:id="rId110"/>
    <sheet name="805" sheetId="111" r:id="rId111"/>
    <sheet name="806" sheetId="112" r:id="rId112"/>
    <sheet name="807" sheetId="113" r:id="rId113"/>
    <sheet name="808" sheetId="114" r:id="rId114"/>
    <sheet name="809" sheetId="115" r:id="rId115"/>
    <sheet name="810" sheetId="136" r:id="rId116"/>
    <sheet name="T9" sheetId="135" r:id="rId117"/>
    <sheet name="901" sheetId="117" r:id="rId118"/>
    <sheet name="902" sheetId="118" r:id="rId119"/>
    <sheet name="903" sheetId="119" r:id="rId120"/>
    <sheet name="904" sheetId="120" r:id="rId121"/>
    <sheet name="905" sheetId="121" r:id="rId122"/>
    <sheet name="906" sheetId="133" r:id="rId123"/>
    <sheet name="907" sheetId="122" r:id="rId124"/>
    <sheet name="908" sheetId="134" r:id="rId125"/>
    <sheet name="909" sheetId="123" r:id="rId126"/>
    <sheet name="910" sheetId="124" r:id="rId127"/>
    <sheet name="911" sheetId="125" r:id="rId128"/>
    <sheet name="912" sheetId="126" r:id="rId129"/>
    <sheet name="913" sheetId="127" r:id="rId130"/>
    <sheet name="914" sheetId="128" r:id="rId131"/>
    <sheet name="915" sheetId="129" r:id="rId132"/>
    <sheet name="916" sheetId="130" r:id="rId133"/>
    <sheet name="917" sheetId="131" r:id="rId134"/>
    <sheet name="918" sheetId="132" r:id="rId135"/>
  </sheets>
  <definedNames>
    <definedName name="_xlnm.Print_Area" localSheetId="2">'101'!$A$2:$I$21</definedName>
    <definedName name="_xlnm.Print_Area" localSheetId="3">'102'!$A$1:$G$25</definedName>
    <definedName name="_xlnm.Print_Area" localSheetId="4">'103'!$A$1:$F$41</definedName>
    <definedName name="_xlnm.Print_Area" localSheetId="5">'104'!$A$1:$H$39</definedName>
    <definedName name="_xlnm.Print_Area" localSheetId="6">'105'!$A$1:$G$19</definedName>
    <definedName name="_xlnm.Print_Area" localSheetId="7">'106'!$A$1:$G$16</definedName>
    <definedName name="_xlnm.Print_Area" localSheetId="8">'107'!$A$1:$H$26</definedName>
    <definedName name="_xlnm.Print_Area" localSheetId="9">'108'!$A$1:$G$23</definedName>
    <definedName name="_xlnm.Print_Area" localSheetId="10">'109'!$A$1:$G$23</definedName>
    <definedName name="_xlnm.Print_Area" localSheetId="11">'110'!$A$1:$G$21</definedName>
    <definedName name="_xlnm.Print_Area" localSheetId="12">'111'!$A$1:$G$15</definedName>
    <definedName name="_xlnm.Print_Area" localSheetId="13">'112'!$A$1:$G$15</definedName>
    <definedName name="_xlnm.Print_Area" localSheetId="14">'113'!$A$1:$G$21</definedName>
    <definedName name="_xlnm.Print_Area" localSheetId="15">'114'!$A$1:$G$19</definedName>
    <definedName name="_xlnm.Print_Area" localSheetId="16">'115'!$A$1:$G$23</definedName>
    <definedName name="_xlnm.Print_Area" localSheetId="17">'116'!$A$1:$I$31</definedName>
    <definedName name="_xlnm.Print_Area" localSheetId="18">'117'!$A$1:$G$21</definedName>
    <definedName name="_xlnm.Print_Area" localSheetId="19">'118'!$A$1:$J$30</definedName>
    <definedName name="_xlnm.Print_Area" localSheetId="20">'119'!$A$1:$G$19</definedName>
    <definedName name="_xlnm.Print_Area" localSheetId="21">'120'!$A$1:$G$18</definedName>
    <definedName name="_xlnm.Print_Area" localSheetId="22">'121'!$A$1:$G$20</definedName>
    <definedName name="_xlnm.Print_Area" localSheetId="23">'122'!$A$1:$G$21</definedName>
    <definedName name="_xlnm.Print_Area" localSheetId="24">'123'!$A$1:$H$18</definedName>
    <definedName name="_xlnm.Print_Area" localSheetId="25">'124'!$A$1:$G$18</definedName>
    <definedName name="_xlnm.Print_Area" localSheetId="26">'125'!$A$1:$F$20</definedName>
    <definedName name="_xlnm.Print_Area" localSheetId="27">'126'!$A$1:$F$20</definedName>
    <definedName name="_xlnm.Print_Area" localSheetId="28">'127'!$A$1:$E$36</definedName>
    <definedName name="_xlnm.Print_Area" localSheetId="29">'128'!$A$1:$E$36</definedName>
    <definedName name="_xlnm.Print_Area" localSheetId="30">'129'!$A$1:$E$36</definedName>
    <definedName name="_xlnm.Print_Area" localSheetId="31">'130'!$A$1:$E$35</definedName>
    <definedName name="_xlnm.Print_Area" localSheetId="32">'131'!$A$1:$E$35</definedName>
    <definedName name="_xlnm.Print_Area" localSheetId="33">'132'!$A$1:$G$23</definedName>
    <definedName name="_xlnm.Print_Area" localSheetId="34">'133'!$A$1:$G$21</definedName>
    <definedName name="_xlnm.Print_Area" localSheetId="35">'134'!$A$1:$G$18</definedName>
    <definedName name="_xlnm.Print_Area" localSheetId="36">'135'!$A$1:$I$17</definedName>
    <definedName name="_xlnm.Print_Area" localSheetId="40">'139'!$A$1:$G$15</definedName>
    <definedName name="_xlnm.Print_Area" localSheetId="41">'140'!$A$1:$G$15</definedName>
    <definedName name="_xlnm.Print_Area" localSheetId="42">'141'!$A$1:$G$34</definedName>
    <definedName name="_xlnm.Print_Area" localSheetId="43">'142'!$A$1:$G$22</definedName>
    <definedName name="_xlnm.Print_Area" localSheetId="44">'143'!$A$1:$P$46</definedName>
    <definedName name="_xlnm.Print_Area" localSheetId="45">'144'!$A$1:$G$21</definedName>
    <definedName name="_xlnm.Print_Area" localSheetId="47">'201'!$A$1:$G$23</definedName>
    <definedName name="_xlnm.Print_Area" localSheetId="48">'202'!$A$1:$G$23</definedName>
    <definedName name="_xlnm.Print_Area" localSheetId="49">'203'!$A$1:$G$38</definedName>
    <definedName name="_xlnm.Print_Area" localSheetId="50">'204'!$A$1:$G$39</definedName>
    <definedName name="_xlnm.Print_Area" localSheetId="51">'205'!$A$1:$G$38</definedName>
    <definedName name="_xlnm.Print_Area" localSheetId="52">'206'!$A$1:$H$43</definedName>
    <definedName name="_xlnm.Print_Area" localSheetId="53">'207'!$A$1:$G$39</definedName>
    <definedName name="_xlnm.Print_Area" localSheetId="54">'208'!$A$1:$G$38</definedName>
    <definedName name="_xlnm.Print_Area" localSheetId="55">'209'!$A$1:$H$43</definedName>
    <definedName name="_xlnm.Print_Area" localSheetId="56">'210'!$A$1:$G$39</definedName>
    <definedName name="_xlnm.Print_Area" localSheetId="57">'211'!$A$1:$G$43</definedName>
    <definedName name="_xlnm.Print_Area" localSheetId="58">'212'!$A$1:$H$29</definedName>
    <definedName name="_xlnm.Print_Area" localSheetId="60">'301'!$A$1:$K$42</definedName>
    <definedName name="_xlnm.Print_Area" localSheetId="61">'302'!$A$1:$J$42</definedName>
    <definedName name="_xlnm.Print_Area" localSheetId="63">'304'!$A$1:$K$43</definedName>
    <definedName name="_xlnm.Print_Area" localSheetId="65">'306'!$A$1:$K$42</definedName>
    <definedName name="_xlnm.Print_Area" localSheetId="66">'307'!$A$1:$H$44</definedName>
    <definedName name="_xlnm.Print_Area" localSheetId="67">'308'!$A$1:$G$43</definedName>
    <definedName name="_xlnm.Print_Area" localSheetId="68">'309'!$A$1:$H$44</definedName>
    <definedName name="_xlnm.Print_Area" localSheetId="69">'310'!$A$1:$K$42</definedName>
    <definedName name="_xlnm.Print_Area" localSheetId="70">'311'!$A$1:$H$44</definedName>
    <definedName name="_xlnm.Print_Area" localSheetId="71">'312'!$A$1:$H$44</definedName>
    <definedName name="_xlnm.Print_Area" localSheetId="72">'313'!$A$1:$H$44</definedName>
    <definedName name="_xlnm.Print_Area" localSheetId="74">'401'!$A$1:$I$19</definedName>
    <definedName name="_xlnm.Print_Area" localSheetId="75">'402'!$A$1:$G$42</definedName>
    <definedName name="_xlnm.Print_Area" localSheetId="76">'403'!$A$1:$E$33</definedName>
    <definedName name="_xlnm.Print_Area" localSheetId="77">'404'!$A$1:$I$41</definedName>
    <definedName name="_xlnm.Print_Area" localSheetId="78">'405'!$A$1:$I$40</definedName>
    <definedName name="_xlnm.Print_Area" localSheetId="80">'407'!$A$1:$I$24</definedName>
    <definedName name="_xlnm.Print_Area" localSheetId="81">'408'!$A$1:$I$48</definedName>
    <definedName name="_xlnm.Print_Area" localSheetId="82">'409'!$A$1:$H$44</definedName>
    <definedName name="_xlnm.Print_Area" localSheetId="83">'410'!$A$1:$H$41</definedName>
    <definedName name="_xlnm.Print_Area" localSheetId="84">'411'!$A$1:$I$39</definedName>
    <definedName name="_xlnm.Print_Area" localSheetId="85">'412'!$A$1:$I$42</definedName>
    <definedName name="_xlnm.Print_Area" localSheetId="86">'413'!$A$1:$I$45</definedName>
    <definedName name="_xlnm.Print_Area" localSheetId="88">'501'!$A$1:$Q$109</definedName>
    <definedName name="_xlnm.Print_Area" localSheetId="89">'502'!$A$1:$J$52</definedName>
    <definedName name="_xlnm.Print_Area" localSheetId="90">'503'!$A$1:$J$117</definedName>
    <definedName name="_xlnm.Print_Area" localSheetId="92">'601'!$A$1:$G$20</definedName>
    <definedName name="_xlnm.Print_Area" localSheetId="93">'602'!$A$1:$G$20</definedName>
    <definedName name="_xlnm.Print_Area" localSheetId="94">'603'!$A$1:$F$35</definedName>
    <definedName name="_xlnm.Print_Area" localSheetId="95">'604'!$A$1:$E$33</definedName>
    <definedName name="_xlnm.Print_Area" localSheetId="96">'605'!$A$1:$E$36</definedName>
    <definedName name="_xlnm.Print_Area" localSheetId="97">'606'!$A$1:$E$36</definedName>
    <definedName name="_xlnm.Print_Area" localSheetId="99">'701'!$A$1:$G$25</definedName>
    <definedName name="_xlnm.Print_Area" localSheetId="100">'702'!$A$1:$G$21</definedName>
    <definedName name="_xlnm.Print_Area" localSheetId="101">'703'!$A$1:$F$34</definedName>
    <definedName name="_xlnm.Print_Area" localSheetId="102">'704'!$A$1:$F$34</definedName>
    <definedName name="_xlnm.Print_Area" localSheetId="103">'705'!$A$1:$F$37</definedName>
    <definedName name="_xlnm.Print_Area" localSheetId="104">'706'!$A$1:$F$36</definedName>
    <definedName name="_xlnm.Print_Area" localSheetId="106">'801'!$A$1:$F$49</definedName>
    <definedName name="_xlnm.Print_Area" localSheetId="107">'802'!$A$1:$H$53</definedName>
    <definedName name="_xlnm.Print_Area" localSheetId="108">'803'!$A$1:$H$20</definedName>
    <definedName name="_xlnm.Print_Area" localSheetId="109">'804'!$A$1:$G$23</definedName>
    <definedName name="_xlnm.Print_Area" localSheetId="110">'805'!$A$1:$D$42</definedName>
    <definedName name="_xlnm.Print_Area" localSheetId="111">'806'!$A$1:$D$36</definedName>
    <definedName name="_xlnm.Print_Area" localSheetId="112">'807'!$A$1:$G$22</definedName>
    <definedName name="_xlnm.Print_Area" localSheetId="113">'808'!$A$1:$H$21</definedName>
    <definedName name="_xlnm.Print_Area" localSheetId="114">'809'!$A$1:$D$30</definedName>
    <definedName name="_xlnm.Print_Area" localSheetId="115">'810'!$A$1:$D$41</definedName>
    <definedName name="_xlnm.Print_Area" localSheetId="117">'901'!$A$1:$AQ$22</definedName>
    <definedName name="_xlnm.Print_Area" localSheetId="118">'902'!$A$1:$H$23</definedName>
    <definedName name="_xlnm.Print_Area" localSheetId="119">'903'!$A$1:$J$22</definedName>
    <definedName name="_xlnm.Print_Area" localSheetId="120">'904'!$A$1:$I$20</definedName>
    <definedName name="_xlnm.Print_Area" localSheetId="121">'905'!$A$1:$G$19</definedName>
    <definedName name="_xlnm.Print_Area" localSheetId="122">'906'!$A$1:$M$75</definedName>
    <definedName name="_xlnm.Print_Area" localSheetId="123">'907'!$A$1:$I$65</definedName>
    <definedName name="_xlnm.Print_Area" localSheetId="124">'908'!$A$1:$N$80</definedName>
    <definedName name="_xlnm.Print_Area" localSheetId="125">'909'!$A$1:$J$45</definedName>
    <definedName name="_xlnm.Print_Area" localSheetId="126">'910'!$A$1:$J$32</definedName>
    <definedName name="_xlnm.Print_Area" localSheetId="127">'911'!$A$1:$N$21</definedName>
    <definedName name="_xlnm.Print_Area" localSheetId="128">'912'!$A$1:$I$40</definedName>
    <definedName name="_xlnm.Print_Area" localSheetId="129">'913'!$A$1:$I$27</definedName>
    <definedName name="_xlnm.Print_Area" localSheetId="130">'914'!$A$1:$G$35</definedName>
    <definedName name="_xlnm.Print_Area" localSheetId="131">'915'!$A$1:$K$40</definedName>
    <definedName name="_xlnm.Print_Area" localSheetId="132">'916'!$A$1:$I$34</definedName>
    <definedName name="_xlnm.Print_Area" localSheetId="133">'917'!$A$1:$K$30</definedName>
    <definedName name="_xlnm.Print_Area" localSheetId="134">'918'!$A$1:$I$29</definedName>
    <definedName name="_xlnm.Print_Area" localSheetId="0">Info!$A$1:$J$54</definedName>
    <definedName name="_xlnm.Print_Titles" localSheetId="88">'501'!$A:$A,'501'!$1:$10</definedName>
    <definedName name="_xlnm.Print_Titles" localSheetId="90">'503'!$A:$A,'503'!$1:$10</definedName>
    <definedName name="_xlnm.Print_Titles" localSheetId="122">'906'!$1:$7</definedName>
    <definedName name="_xlnm.Print_Titles" localSheetId="124">'908'!$1:$6</definedName>
    <definedName name="Z_E58FEA52_E3A2_4787_9824_12DA55A527FE_.wvu.Cols" localSheetId="83" hidden="1">'410'!$I:$I</definedName>
    <definedName name="Z_E58FEA52_E3A2_4787_9824_12DA55A527FE_.wvu.PrintArea" localSheetId="83" hidden="1">'410'!$A$1:$E$41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45" l="1"/>
  <c r="D19" i="45"/>
  <c r="C19" i="45"/>
  <c r="C21" i="45"/>
  <c r="D15" i="45"/>
  <c r="C15" i="45"/>
  <c r="D13" i="45"/>
  <c r="C13" i="45"/>
  <c r="D9" i="45"/>
  <c r="C9" i="45"/>
  <c r="S34" i="123"/>
  <c r="P34" i="123"/>
  <c r="M34" i="123"/>
  <c r="U34" i="123"/>
  <c r="R34" i="123"/>
  <c r="O34" i="123"/>
  <c r="N34" i="123"/>
  <c r="U33" i="123"/>
  <c r="R33" i="123"/>
  <c r="U32" i="123"/>
  <c r="R32" i="123"/>
  <c r="U31" i="123"/>
  <c r="R31" i="123"/>
  <c r="U30" i="123"/>
  <c r="R30" i="123"/>
  <c r="U29" i="123"/>
  <c r="R29" i="123"/>
  <c r="U28" i="123"/>
  <c r="R28" i="123"/>
  <c r="U27" i="123"/>
  <c r="R27" i="123"/>
  <c r="U26" i="123"/>
  <c r="R26" i="123"/>
  <c r="U25" i="123"/>
  <c r="R25" i="123"/>
  <c r="U24" i="123"/>
  <c r="R24" i="123"/>
  <c r="U23" i="123"/>
  <c r="R23" i="123"/>
  <c r="U22" i="123"/>
  <c r="R22" i="123"/>
  <c r="U21" i="123"/>
  <c r="R21" i="123"/>
  <c r="U20" i="123"/>
  <c r="R20" i="123"/>
  <c r="U19" i="123"/>
  <c r="R19" i="123"/>
  <c r="U18" i="123"/>
  <c r="R18" i="123"/>
  <c r="U17" i="123"/>
  <c r="R17" i="123"/>
  <c r="U16" i="123"/>
  <c r="R16" i="123"/>
  <c r="U15" i="123"/>
  <c r="R15" i="123"/>
  <c r="U14" i="123"/>
  <c r="R14" i="123"/>
  <c r="U13" i="123"/>
  <c r="R13" i="123"/>
  <c r="U12" i="123"/>
  <c r="R12" i="123"/>
  <c r="U11" i="123"/>
  <c r="R11" i="123"/>
  <c r="U10" i="123"/>
  <c r="R10" i="123"/>
  <c r="U9" i="123"/>
  <c r="R9" i="123"/>
  <c r="U8" i="123"/>
  <c r="R8" i="1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24162F1F-FB00-A445-8D62-D3B282C853B4}">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<sst xmlns="http://schemas.openxmlformats.org/spreadsheetml/2006/main" count="5823" uniqueCount="1772">
  <si>
    <t xml:space="preserve">T 1.20  Kostenbeteiligung je versicherte Person in Fr. nach Versicherungsform ab 1994 </t>
  </si>
  <si>
    <t>Quelle: T 1.19 / T 1.05</t>
  </si>
  <si>
    <t xml:space="preserve">T 1.19  Kostenbeteiligung der Versicherten in Fr. nach Versicherungsform ab 1994 </t>
  </si>
  <si>
    <t>Quelle: T 1.28; 1.29; 1.30; 1.31 [32]</t>
  </si>
  <si>
    <t>Kostengruppen</t>
  </si>
  <si>
    <t>Schätzung</t>
  </si>
  <si>
    <t>Arzt ambulant</t>
  </si>
  <si>
    <t>Spital ambulant</t>
  </si>
  <si>
    <t>Medikamente Arzt</t>
  </si>
  <si>
    <t>Medikamente Apotheke</t>
  </si>
  <si>
    <t>Spitex</t>
  </si>
  <si>
    <t>Physiotherapeut</t>
  </si>
  <si>
    <t>Labor</t>
  </si>
  <si>
    <t>Chiropraktor</t>
  </si>
  <si>
    <t>Mittel und Gegenstände</t>
  </si>
  <si>
    <t>Komplementärmedizin</t>
  </si>
  <si>
    <t>Übrige Leistungen ambulant</t>
  </si>
  <si>
    <t>Leistungen Total</t>
  </si>
  <si>
    <t>davon Leistungen Mutterschaft</t>
  </si>
  <si>
    <t>1) Sofern keine Aufteilung nach den anderen aufgeführten Kostengruppen möglich ist.</t>
  </si>
  <si>
    <t>2) Stationäre Behandlung; andere Gruppen = ambulante Behandlung.</t>
  </si>
  <si>
    <t>3) Für die Schätzungen sind nicht alle Kostengruppen verfügbar.</t>
  </si>
  <si>
    <t>Quelle: 2002 : T 1.16 / T 1.06  ; 2003 - 2004: Prämiengenehmigungsverfahren BSV 2003</t>
  </si>
  <si>
    <r>
      <t xml:space="preserve">Total </t>
    </r>
    <r>
      <rPr>
        <i/>
        <vertAlign val="superscript"/>
        <sz val="11"/>
        <rFont val="Arial"/>
        <family val="2"/>
      </rPr>
      <t>3</t>
    </r>
  </si>
  <si>
    <r>
      <t xml:space="preserve">Spital stationär </t>
    </r>
    <r>
      <rPr>
        <vertAlign val="superscript"/>
        <sz val="11"/>
        <rFont val="Arial"/>
        <family val="2"/>
      </rPr>
      <t>2</t>
    </r>
  </si>
  <si>
    <r>
      <t xml:space="preserve">Pflegeheim </t>
    </r>
    <r>
      <rPr>
        <vertAlign val="superscript"/>
        <sz val="11"/>
        <rFont val="Arial"/>
        <family val="2"/>
      </rPr>
      <t>2</t>
    </r>
  </si>
  <si>
    <r>
      <t xml:space="preserve">Betriebsbeiträge an HMO's </t>
    </r>
    <r>
      <rPr>
        <vertAlign val="superscript"/>
        <sz val="11"/>
        <rFont val="Arial"/>
        <family val="2"/>
      </rPr>
      <t>1</t>
    </r>
  </si>
  <si>
    <r>
      <t xml:space="preserve">Übrige Leistungen stationär </t>
    </r>
    <r>
      <rPr>
        <vertAlign val="superscript"/>
        <sz val="11"/>
        <rFont val="Arial"/>
        <family val="2"/>
      </rPr>
      <t>2</t>
    </r>
  </si>
  <si>
    <t>Ambulante</t>
  </si>
  <si>
    <t>Stationäre</t>
  </si>
  <si>
    <t>1) Vgl. Fussnoten 1) und 2) von Tabelle 1.15.</t>
  </si>
  <si>
    <t>Quelle: T 1.15 / 1.06</t>
  </si>
  <si>
    <r>
      <t xml:space="preserve">T 1.17  Leistungen (brutto) in Fr. je versicherte Person nach Kostengruppen </t>
    </r>
    <r>
      <rPr>
        <b/>
        <sz val="12"/>
        <rFont val="Arial"/>
        <family val="2"/>
      </rPr>
      <t xml:space="preserve">ab 1994 </t>
    </r>
  </si>
  <si>
    <r>
      <t xml:space="preserve">Behandlung </t>
    </r>
    <r>
      <rPr>
        <vertAlign val="superscript"/>
        <sz val="11"/>
        <rFont val="Arial"/>
        <family val="2"/>
      </rPr>
      <t>1</t>
    </r>
  </si>
  <si>
    <t>in 1000 frs</t>
  </si>
  <si>
    <t>Quelle: 2002 : Formular EF3 [T 3.6] / 2003 -2004: Prämiengenehmigungsverfahren BSV 2003</t>
  </si>
  <si>
    <r>
      <t xml:space="preserve">Total </t>
    </r>
    <r>
      <rPr>
        <b/>
        <i/>
        <vertAlign val="superscript"/>
        <sz val="11"/>
        <rFont val="Arial"/>
        <family val="2"/>
      </rPr>
      <t>3</t>
    </r>
  </si>
  <si>
    <r>
      <t>Total</t>
    </r>
    <r>
      <rPr>
        <b/>
        <i/>
        <vertAlign val="superscript"/>
        <sz val="11"/>
        <rFont val="Arial"/>
        <family val="2"/>
      </rPr>
      <t xml:space="preserve"> 3</t>
    </r>
  </si>
  <si>
    <t>1) Vgl. Tabelle 1.16; als stationäre Kosten gelten die Kategorien "Spital stationär", "Pflegeheime" und "übrige Leistungen sta-</t>
  </si>
  <si>
    <t>tionär", als ambulante Kosten alle übrigen Kategorien.</t>
  </si>
  <si>
    <t xml:space="preserve">Betriebsrechnung der Einzel- und Kollektivversicherung insgesamt </t>
  </si>
  <si>
    <t xml:space="preserve">Betriebsrechnung der Einzelversicherung </t>
  </si>
  <si>
    <t>Betriebsrechnung der Kollektivversicherung</t>
  </si>
  <si>
    <t>Kontengruppen</t>
  </si>
  <si>
    <t>Krankheit</t>
  </si>
  <si>
    <t>Unfall</t>
  </si>
  <si>
    <t>Prämien</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</si>
  <si>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</si>
  <si>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</si>
  <si>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</si>
  <si>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</si>
  <si>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</si>
  <si>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</si>
  <si>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</si>
  <si>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</si>
  <si>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</si>
  <si>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</si>
  <si>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Total Versicherungsertrag</t>
  </si>
  <si>
    <t>Kostenbeteiligung der Versicherten (-)</t>
  </si>
  <si>
    <t>30-33</t>
  </si>
  <si>
    <t>Bezahlte Leistungen</t>
  </si>
  <si>
    <t>Sonstige Aufwendungen für Leistungen</t>
  </si>
  <si>
    <t>T 1.25  Gesamtbetriebsergebnis in Fr. nach Versicherungsform ab 1994</t>
  </si>
  <si>
    <t>T 7.06  Betriebsrechnung der Krankenpflegeversicherung Versicherte mit Wohnsitz in einem EG- bzw. EFTA-Staat' 1)  2002</t>
  </si>
  <si>
    <t>T 7.05  Betriebsrechnung der Krankenpflegeversicherung Versicherte wohnhaft im Ausland gemäss Art. 4 und 5 KVV 1) 2002</t>
  </si>
  <si>
    <t>T 7.04  Betriebsrechnung der Krankenpflegeversicherung Liechtenstein 2002</t>
  </si>
  <si>
    <t>T 7.03  Betriebsrechnung der Zusatzversicherungen und der weiteren Versicherungsarten VVG 2002</t>
  </si>
  <si>
    <t>T 7.02  Indikatoren der Betriebsrechnung der anderen Versicherungen in Fr. 2002</t>
  </si>
  <si>
    <t>T 8.10  Bilanz: Passiven der Versicherer per 31.12.2002</t>
  </si>
  <si>
    <t>T 8.09  Bilanz: Aktiven der Versicherer per 31.12.2002</t>
  </si>
  <si>
    <t>T 8.06  Gesamtbetriebsrechnung: Aufwand der Versicherer 2002</t>
  </si>
  <si>
    <t>T 8.05 Gesamtbetriebsrechnung: Ertrag der Versicherer 2002</t>
  </si>
  <si>
    <t>Quelle: 1.28; 1.29; 1.30; 1.31</t>
  </si>
  <si>
    <t xml:space="preserve">T 1.24 Verwaltungsaufwand / Abschreibungen in Fr. je versicherte Person nach Versicherungsform ab 1994 </t>
  </si>
  <si>
    <t>Quelle: T 1.23 / T 1.05</t>
  </si>
  <si>
    <t>T 1.23 Verwaltungsaufwand / Abschreibungen in Fr. nach Versicherungsform ab 1994</t>
  </si>
  <si>
    <t>In % des</t>
  </si>
  <si>
    <t>Versicherungs-</t>
  </si>
  <si>
    <t>und Betriebsauf-</t>
  </si>
  <si>
    <t>wand</t>
  </si>
  <si>
    <t>wands</t>
  </si>
  <si>
    <t>Quelle: 1.28; 1.29; 1.30; 1.31 [4] et T 1.27 [3/4]</t>
  </si>
  <si>
    <t>1) Bezahlte Leistungen der Versicherer = Leistungen (brutto) der Versicherer minus Kostenbeteiligungen der Versicherten.</t>
  </si>
  <si>
    <t>Quelle: T 1.21 / T 1.05</t>
  </si>
  <si>
    <r>
      <t xml:space="preserve">T 1.22 Bezahlte Leistungen </t>
    </r>
    <r>
      <rPr>
        <b/>
        <vertAlign val="superscript"/>
        <sz val="12"/>
        <rFont val="Arial"/>
        <family val="2"/>
      </rPr>
      <t>1</t>
    </r>
    <r>
      <rPr>
        <b/>
        <sz val="12"/>
        <rFont val="Arial"/>
        <family val="2"/>
      </rPr>
      <t xml:space="preserve"> in Fr. je versicherte Person nach Versicherungsform ab 1994</t>
    </r>
  </si>
  <si>
    <t>Quelle: T 1.28; 1.29; 1.30; 1.31 [30-33]</t>
  </si>
  <si>
    <r>
      <t xml:space="preserve">T 1.21  Bezahlte Leistungen </t>
    </r>
    <r>
      <rPr>
        <b/>
        <vertAlign val="superscript"/>
        <sz val="12"/>
        <rFont val="Arial"/>
        <family val="2"/>
      </rPr>
      <t>1)</t>
    </r>
    <r>
      <rPr>
        <b/>
        <sz val="12"/>
        <rFont val="Arial"/>
        <family val="2"/>
      </rPr>
      <t xml:space="preserve"> in Fr. nach Versicherungsform ab 1994</t>
    </r>
  </si>
  <si>
    <t>T 1.43 Obligatorische Krankenpflegeversicherung ab 1996: wichtigste Indikatoren</t>
  </si>
  <si>
    <t>Merkmale</t>
  </si>
  <si>
    <t>Veränderung 2001-2002 in %</t>
  </si>
  <si>
    <t>Veränderung 1996-2002 in %</t>
  </si>
  <si>
    <t>Jahresdurchschnittliche Veränderung 1996-2002 in %</t>
  </si>
  <si>
    <t>Schätzung 2003</t>
  </si>
  <si>
    <t>Schätzung 2004</t>
  </si>
  <si>
    <t>1  – Anzahl Versicherer OKP</t>
  </si>
  <si>
    <t>2  – Versichertenbestand per 31.12.</t>
  </si>
  <si>
    <t>3  – Anzahl Erkrankte</t>
  </si>
  <si>
    <t>4  – Anzahl Erkrankte je 100 Versicherte</t>
  </si>
  <si>
    <t>5  – Anzahl Spitaleinweisungen</t>
  </si>
  <si>
    <t>6  – Anzahl Spitaltage in 1'000</t>
  </si>
  <si>
    <t>7  – Prämiensoll in Mio. Fr.</t>
  </si>
  <si>
    <t>8  – Prämiensoll pro Versicherte(n) in Fr.</t>
  </si>
  <si>
    <t>11 –– davon ambulante Leistungen in Fr.</t>
  </si>
  <si>
    <t>12 –– davon stationäre Leistungen in Fr.</t>
  </si>
  <si>
    <t>13 – Kostenbeteiligung in Mio. Fr.</t>
  </si>
  <si>
    <t>14 – Kostenbeteiligung pro Versicherten in Fr.</t>
  </si>
  <si>
    <t>17 – Verwaltungsaufwand / Abschreibungen in Mio. Fr.</t>
  </si>
  <si>
    <t>18 – Gesamtbetriebsergebnis in Mio. Fr.</t>
  </si>
  <si>
    <t>19 – Rückstellungen: Stand per 31.12. in Mio. Fr.</t>
  </si>
  <si>
    <t>20 – Reserven: Stand per 31.12. in Mio. Fr.</t>
  </si>
  <si>
    <t>1) Leistungen brutto = Leistungen inkl. Kostenbeteiligung der Versicherten.</t>
  </si>
  <si>
    <t>2) Leistungen netto = Leistungen der Versicherer abzüglich Kostenbeteiligung der Versicherten.</t>
  </si>
  <si>
    <t>3) Reserven in Prozent des Prämiensolls.</t>
  </si>
  <si>
    <t>Quelle: 1996-2002 : Formulare EF 1 2 3 oder T 1.01, 1.02, 1.08, 1.09, 1.10, 1.15, 1.17, 1.19, 1.20, 1.21, 1.22, 1.23, 1.25, 1.32, 1.33 / 2003 -2004: Prämiengenehmigungsverfahren BSV 2003</t>
  </si>
  <si>
    <t>Anzahl Versicherer mit EF1 Seite 12 Total OKP Vers. &gt; 0</t>
  </si>
  <si>
    <t>EF3 Seite 3 Total</t>
  </si>
  <si>
    <t>EF3 Seite 7 T 3.6 / [ 2 ]</t>
  </si>
  <si>
    <t>EF3 Seite 8 T 3.7.1</t>
  </si>
  <si>
    <t>EF2 Konto 32 K+U Seiten 2.2 -&gt; 2.7</t>
  </si>
  <si>
    <t>= [ 3 ] / [ 2 ] * 100</t>
  </si>
  <si>
    <t>= [ 13 ] / [ 2 ]</t>
  </si>
  <si>
    <t>EF3 Seite 8 T 3.7.2</t>
  </si>
  <si>
    <t>= [ 9 ] - [ 13 ]</t>
  </si>
  <si>
    <t>= [ 10 ] - [ 14 ]</t>
  </si>
  <si>
    <t>EF3 Seite 5 T 3.4</t>
  </si>
  <si>
    <t>EF2 Konten 40-47 + 48 K+U Seiten 2.2 -&gt; 2.7</t>
  </si>
  <si>
    <t>= [ 7 ] / [ 2 ]</t>
  </si>
  <si>
    <t xml:space="preserve">EF2 Konto Gesamtbetriebsergebnis Krankheit + Unfall Seiten 2.2 -&gt; 2.7 </t>
  </si>
  <si>
    <t>T 8.08  Eigenkapital und Eigenkapitalquote der Versicherer in Fr. ab 1994</t>
  </si>
  <si>
    <t>Eigenkapital-</t>
  </si>
  <si>
    <t>1) Eigenkapital in % des Prämiensolls; die Abnahme der Eigenkapitalquote zwischen 1995 und 1996 wird wegen dem mit dem KVG</t>
  </si>
  <si>
    <t>eingeführten Prämienverbilligungssystem (führte technisch zu einem relativ höheren Prämiensoll der Versicherer) überzeichnet.</t>
  </si>
  <si>
    <t>Quelle: T 8.10 [29]; T 8.05 [60-63]</t>
  </si>
  <si>
    <r>
      <t xml:space="preserve">quote </t>
    </r>
    <r>
      <rPr>
        <vertAlign val="superscript"/>
        <sz val="11"/>
        <rFont val="Arial"/>
        <family val="2"/>
      </rPr>
      <t>1</t>
    </r>
  </si>
  <si>
    <t>T 8.07 Aktiven und Passiven der Versicherer in Fr. ab 1994</t>
  </si>
  <si>
    <t>Aktiven</t>
  </si>
  <si>
    <t>Passiven</t>
  </si>
  <si>
    <t>Bilanz-</t>
  </si>
  <si>
    <t>Umlauf-</t>
  </si>
  <si>
    <t>Anlage-</t>
  </si>
  <si>
    <t>Fremd-</t>
  </si>
  <si>
    <t>Fonds und</t>
  </si>
  <si>
    <t>summe</t>
  </si>
  <si>
    <t>vermögen</t>
  </si>
  <si>
    <t>kapital</t>
  </si>
  <si>
    <t>1) Bestände per Jahresende; Vorjahresvergleiche sind nur mit Vorbehalt möglich, da jene Zusatzversicherungen VAG, welche</t>
  </si>
  <si>
    <t>auch unternehmensrechtlich vom KVG-Bereich eines Versicherers abgetrennt werden, sich der Sicht der BSV-Krankenversicher-</t>
  </si>
  <si>
    <t>ungsstatistik entziehen.</t>
  </si>
  <si>
    <t>Quelle: T 8.09; T 8.10</t>
  </si>
  <si>
    <t>Obligatorische Krankenpflegeversicherung KVG</t>
  </si>
  <si>
    <t>Kostenbeteiligung der Mitglieder</t>
  </si>
  <si>
    <t>30 – 33</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</si>
  <si>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</si>
  <si>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</si>
  <si>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</si>
  <si>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</si>
  <si>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</si>
  <si>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</si>
  <si>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</si>
  <si>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</si>
  <si>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</si>
  <si>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</si>
  <si>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 Erhaltene Verwaltungsentschädigung</t>
  </si>
  <si>
    <t>40 – 47</t>
  </si>
  <si>
    <t>Total Verwaltungsaufwand</t>
  </si>
  <si>
    <t>Abschreibungen</t>
  </si>
  <si>
    <t>3 / 4</t>
  </si>
  <si>
    <t>800 – 801</t>
  </si>
  <si>
    <t>Vorschlag Gesamtbetriebsrechnung</t>
  </si>
  <si>
    <t>Gesamt-Total</t>
  </si>
  <si>
    <t xml:space="preserve">1) Jene Zusatzversicherungen VVG, welche auch unternehmensrechtlich vom KVG-Bereich eines Versicherers abgetrennt werden, </t>
  </si>
  <si>
    <t>entziehen sich der Sicht der BSV-Krankenversicherungsstatistik.</t>
  </si>
  <si>
    <t>Quelle: Formular EF1 [6,7]</t>
  </si>
  <si>
    <r>
      <t xml:space="preserve">Zusatzversicherungen VVG, inkl. Taggeld VVG </t>
    </r>
    <r>
      <rPr>
        <vertAlign val="superscript"/>
        <sz val="11"/>
        <rFont val="Arial"/>
        <family val="2"/>
      </rPr>
      <t>1</t>
    </r>
  </si>
  <si>
    <t>– Taggeld</t>
  </si>
  <si>
    <t>– Überschussbeteiligung auf Kollektivversicherung Taggeld</t>
  </si>
  <si>
    <t>60 – 63</t>
  </si>
  <si>
    <t>T 5.01 Aufsichtsdaten OKP gemäss Art. 31 KVV für das Berichtsjahr 2002</t>
  </si>
  <si>
    <t>Datenstand: 20.10.2003</t>
  </si>
  <si>
    <t>T 5.03 KVG Versicherer: Daten für das freiwillige Taggelversicherung für das Berichtsjahr 2002</t>
  </si>
  <si>
    <t>T 6.06  Betriebsrechnung der Kollektivversicherung 1) 2002</t>
  </si>
  <si>
    <t>T 6.05  Betriebsrechnung der Einzelversicherung 1)  2002</t>
  </si>
  <si>
    <t>T 6.04  Betriebsrechnung der Einzel- und Kollektivversicherung insgesamt 2002</t>
  </si>
  <si>
    <t>T 6.03 Versicherer, Versicherte, Prämien und Leistungen nach Einzel- und Kollektivverträgen 1) 2002</t>
  </si>
  <si>
    <t>CSS Versicherung</t>
  </si>
  <si>
    <t>Krankenkasse Aquilana</t>
  </si>
  <si>
    <t xml:space="preserve">Krankenkasse 57 </t>
  </si>
  <si>
    <t>SUPRA</t>
  </si>
  <si>
    <t>Krankenkasse Luchs-Hätz</t>
  </si>
  <si>
    <t>Krankenkasse Unitas</t>
  </si>
  <si>
    <t>Krankenkasse Einsiedeln</t>
  </si>
  <si>
    <t>Caisse-maladie de la Fonction Publique</t>
  </si>
  <si>
    <t>Kranken- und Unfallkasse Rothenburg</t>
  </si>
  <si>
    <t>PROVITA Gesundheitsversicherung</t>
  </si>
  <si>
    <t>Sumiswalder</t>
  </si>
  <si>
    <t>Caisse-maladie EOS</t>
  </si>
  <si>
    <t>OEKK Celerina</t>
  </si>
  <si>
    <t>Krankenkasse Steffisburg</t>
  </si>
  <si>
    <t>OeKK Ostschweiz</t>
  </si>
  <si>
    <t>C.M.B.B.</t>
  </si>
  <si>
    <t>CONCORDIA Schweiz. Kranken- und Unfallversicherung</t>
  </si>
  <si>
    <t>Krankenkasse Malters</t>
  </si>
  <si>
    <t>Atupri Krankenkasse</t>
  </si>
  <si>
    <t>Avenir Assurances</t>
  </si>
  <si>
    <t xml:space="preserve">Krankenkasse Zurzach </t>
  </si>
  <si>
    <t>Luzerner Hinterland</t>
  </si>
  <si>
    <t>Krankenkasse  KPT / CPT</t>
  </si>
  <si>
    <t>Oeffentliche Krankenkasse</t>
  </si>
  <si>
    <t>Caisse-maladie Hermes</t>
  </si>
  <si>
    <t>ÖKK Kranken- und Unfallversicherungen AG</t>
  </si>
  <si>
    <t>Panorama</t>
  </si>
  <si>
    <t>Oeffenliche Krankenkasse Basel</t>
  </si>
  <si>
    <t>Kranken- und Unfall-Versicherungsverein St. Moritz</t>
  </si>
  <si>
    <t>Krankenkasse Flaachtal</t>
  </si>
  <si>
    <t>Krankenkasse Goms</t>
  </si>
  <si>
    <t>Krankenkasse Embd</t>
  </si>
  <si>
    <t>KK Lötschental</t>
  </si>
  <si>
    <t>Krankenkasse Eisten</t>
  </si>
  <si>
    <t>La Caisse Vaudoise</t>
  </si>
  <si>
    <t>Krankenkasse Stalden</t>
  </si>
  <si>
    <t>Kolping Krankenkasse AG</t>
  </si>
  <si>
    <t>Betriebskassen der Chocoladenfabriken Lindt &amp; Sprüngli AG</t>
  </si>
  <si>
    <t>Krankenkasse Elm</t>
  </si>
  <si>
    <t>Krankenkasse des Saastales</t>
  </si>
  <si>
    <t>ÖKK Lugnez I</t>
  </si>
  <si>
    <t>KLuG Krankenversicherung</t>
  </si>
  <si>
    <t>EGK- Gesundheitskasse</t>
  </si>
  <si>
    <t>Krankenkasse Staldenried</t>
  </si>
  <si>
    <t>ÖKK Lugnez II</t>
  </si>
  <si>
    <t>Krankenkasse SLKK</t>
  </si>
  <si>
    <t>KK Visp und Umgebung</t>
  </si>
  <si>
    <t>OEKK Surselva</t>
  </si>
  <si>
    <t>Schattenberge</t>
  </si>
  <si>
    <t>Natura Gesundheitskasse</t>
  </si>
  <si>
    <t>Progrès caisse-maladie</t>
  </si>
  <si>
    <t>KK Zeneggen</t>
  </si>
  <si>
    <t>Mutualité assurances</t>
  </si>
  <si>
    <t>KK Visperminen</t>
  </si>
  <si>
    <t>KK Gondo-Zwischbergen</t>
  </si>
  <si>
    <t>Wincare Versicherungen</t>
  </si>
  <si>
    <t>Caisse-maladie d'Isérables</t>
  </si>
  <si>
    <t>(EF2 Kontos 40-47 + 48 Krankheit + Unfall Seiten 2.2 -&gt; 2.7) / [ 1 ] in %</t>
  </si>
  <si>
    <t>EF2 Kontos Gesamtbetriebergebnis ohne Nr Krankheit + Unfall Seiten 2.2 -&gt; 2.7 / ( [ 1 ] )</t>
  </si>
  <si>
    <t>EF1 Seite 4 Konto 270</t>
  </si>
  <si>
    <t>8/1</t>
  </si>
  <si>
    <t>=( [ 8 ] / [ 1 ] ) in %</t>
  </si>
  <si>
    <t>EF1 Seite 5 Kontos 290 +290.9</t>
  </si>
  <si>
    <t>9/1</t>
  </si>
  <si>
    <t>= ( [ 9 ] / [ 1 ] ) in %</t>
  </si>
  <si>
    <t>9/3</t>
  </si>
  <si>
    <t>= ( [ 9 ] / [ 3 ] ) in %</t>
  </si>
  <si>
    <t>* wenn EF2 Seite 2.8 VVG Konto 63 Krankheit + Unfall &gt; 0</t>
  </si>
  <si>
    <t>KVG-Versicher</t>
  </si>
  <si>
    <t>mit nur</t>
  </si>
  <si>
    <t>ergebnis</t>
  </si>
  <si>
    <t xml:space="preserve">freiwillige </t>
  </si>
  <si>
    <t>Taggeld-</t>
  </si>
  <si>
    <t>in tausend</t>
  </si>
  <si>
    <t>versicherung</t>
  </si>
  <si>
    <t>*</t>
  </si>
  <si>
    <t>BSV-Nr. nur wenn [2] oder [3] &gt; 0</t>
  </si>
  <si>
    <t xml:space="preserve">* wenn EF1 Seite 12 Zeile 1 Spalte 4 = 0 </t>
  </si>
  <si>
    <t>EF3 Total T 3.9.2</t>
  </si>
  <si>
    <t>EF3 Total T 3.9.3</t>
  </si>
  <si>
    <t>4</t>
  </si>
  <si>
    <t xml:space="preserve">EF2 Kontos 40-47 + 48 Krankheit + Unfall Seiten 2.0 -&gt; 2.1 </t>
  </si>
  <si>
    <t>EF2 Kontos Gesamtbetriebergebnis ohne Nr Krankheit + Unfall Seiten 2.0 -&gt; 2.1</t>
  </si>
  <si>
    <t>EF1 Seite 4 Konto 271</t>
  </si>
  <si>
    <t>EF1 Seite 5 Konto 291</t>
  </si>
  <si>
    <t>Sicherheits- und Schwankungsreserven = Mittel, die dem Versicherer zur Sicherstellung der langfristigen eigenen Zahlungsfähigkeit dienen. Je nach Grösse des Versicherers müssen folgende Mindestsätze (Reserven in % des jährlichen Prämiensolls) erreicht werden:</t>
  </si>
  <si>
    <t>Rückstellungen für unerledigte Versicherungsfälle, welche am Ende des Jahres für diejenigen Leistun­gen gebildet werden müssen, welche von den Versicherten bereits in Anspruch genommen worden sind, für die sie aber noch keine Rechnungen erhalten haben. Es handelt sich hierbei um geschuldete Leistungen, welche die Versicherer im folgenden Jahr noch zu erbringen haben; sie stellen somit keine Reserven dar.</t>
  </si>
  <si>
    <t>301-313</t>
  </si>
  <si>
    <t>Kantonale Durchschnittsprämien für Erwachsene (26 Jahre und älter) ab 1996</t>
  </si>
  <si>
    <t>Kantonale Durchschnittsprämien für junge Erwachsene (19 – 25 Jahre) ab 1996</t>
  </si>
  <si>
    <t>Kantonale Durchschnittsprämien für Kinder (0 – 18 Jahre) ab 1996</t>
  </si>
  <si>
    <r>
      <t xml:space="preserve">1) Bruttokosten = Leistungen (brutto) der Versicherer in der OKP </t>
    </r>
    <r>
      <rPr>
        <b/>
        <sz val="10"/>
        <rFont val="Arial"/>
        <family val="2"/>
      </rPr>
      <t>mit</t>
    </r>
    <r>
      <rPr>
        <sz val="10"/>
        <rFont val="Arial"/>
        <family val="2"/>
      </rPr>
      <t xml:space="preserve"> Kostenbeteiligung durch die Versicherten.</t>
    </r>
  </si>
  <si>
    <t>(vgl. hierzu auch Tabellen 1.13, 1.15 und 1.16).</t>
  </si>
  <si>
    <r>
      <t xml:space="preserve">1) Bruttokosten = Leistungen (brutto) der Versicherer in der OKP </t>
    </r>
    <r>
      <rPr>
        <b/>
        <sz val="10"/>
        <rFont val="Arial"/>
        <family val="2"/>
      </rPr>
      <t>mit</t>
    </r>
    <r>
      <rPr>
        <sz val="10"/>
        <rFont val="Arial"/>
        <family val="2"/>
      </rPr>
      <t xml:space="preserve"> Kostenbeteiligung durch die Versicherten;</t>
    </r>
  </si>
  <si>
    <t>Quelle: T 2.04 / T 2.03</t>
  </si>
  <si>
    <r>
      <t xml:space="preserve">1) Bruttokosten = Leistungen (brutto) der Versicherer in der OKP </t>
    </r>
    <r>
      <rPr>
        <b/>
        <sz val="10"/>
        <rFont val="Arial"/>
        <family val="2"/>
      </rPr>
      <t>mit</t>
    </r>
    <r>
      <rPr>
        <sz val="10"/>
        <rFont val="Arial"/>
        <family val="2"/>
      </rPr>
      <t xml:space="preserve"> der Kostenbeteiligung durch die Versicherten.</t>
    </r>
  </si>
  <si>
    <t>T 2.07  Effektive Kosten 1) in Fr. nach Kantonen 2002</t>
  </si>
  <si>
    <t xml:space="preserve">  (vgl. hierzu auch Tabelle 1.21).</t>
  </si>
  <si>
    <t>Verbindlichkeiten bei Versicherten (ohne Konto.215)</t>
  </si>
  <si>
    <t>Noch zur Verrechnung gelangende Abgabeerträge VOC und HEL</t>
  </si>
  <si>
    <t>Übrige Verbindlichkeiten und passive Rechnungsabgrenzung</t>
  </si>
  <si>
    <t xml:space="preserve">Oblig. Krankenpflegevers. (ohne Kto. 270.2 und 270.3)  </t>
  </si>
  <si>
    <t>Nicht versicherungstechnische Rückstellungen KVG</t>
  </si>
  <si>
    <t>Oblig. Krankenpflegevers. (effektive Kosten gemäss Verordnung (EWG) Nr. 574/72 Art. 93)</t>
  </si>
  <si>
    <t>Oblig. Krankenpflegevers. (Pauschalkosten gem. Verordnung (EWG) Nr. 574/72 Art. 94 und 95)</t>
  </si>
  <si>
    <t xml:space="preserve">Reserven Oblig. Krankenpflegeversicherung (ohne Konto 290.5) </t>
  </si>
  <si>
    <t>Reserven Oblig. Krankenpflegeversicherung EG und EFTA (ohne Liechtenstein)</t>
  </si>
  <si>
    <t>Aktienkapital</t>
  </si>
  <si>
    <t>Datenstand: 18.5.2004</t>
  </si>
  <si>
    <t>- Vergleich der Zahlen 2002 mit den Haushalten von 2000,</t>
  </si>
  <si>
    <t>- unterschiedliche Definition des Begriffes Haushalt.</t>
  </si>
  <si>
    <r>
      <t xml:space="preserve">Mittlere Wohnbevölkerung </t>
    </r>
    <r>
      <rPr>
        <vertAlign val="superscript"/>
        <sz val="11"/>
        <rFont val="Arial"/>
        <family val="2"/>
      </rPr>
      <t>1)</t>
    </r>
  </si>
  <si>
    <r>
      <t xml:space="preserve">BezügerInnenquoten </t>
    </r>
    <r>
      <rPr>
        <vertAlign val="superscript"/>
        <sz val="11"/>
        <rFont val="Arial"/>
        <family val="2"/>
      </rPr>
      <t>2)</t>
    </r>
  </si>
  <si>
    <r>
      <t xml:space="preserve">Total </t>
    </r>
    <r>
      <rPr>
        <vertAlign val="superscript"/>
        <sz val="11"/>
        <rFont val="Arial"/>
        <family val="2"/>
      </rPr>
      <t>3)</t>
    </r>
  </si>
  <si>
    <r>
      <t xml:space="preserve">in % </t>
    </r>
    <r>
      <rPr>
        <vertAlign val="superscript"/>
        <sz val="11"/>
        <rFont val="Arial"/>
        <family val="2"/>
      </rPr>
      <t>4)</t>
    </r>
  </si>
  <si>
    <t>2: Leistungen und Kostenbeteiligung in der OKP</t>
  </si>
  <si>
    <t xml:space="preserve">Nettozahler und Nettoempfänger ab 1993 </t>
  </si>
  <si>
    <t xml:space="preserve">Bruttoumverteilung und Nettoumverteilung ab 1993 </t>
  </si>
  <si>
    <t>Durchschnittlicher Versichertenbestand nach Kantonen und Geschlecht</t>
  </si>
  <si>
    <t>Bruttokosten nach Kantonen und Geschlecht</t>
  </si>
  <si>
    <t>Bruttokosten pro Versicherten pro Versicherungsmonat nach Kantonen und Geschlecht</t>
  </si>
  <si>
    <t xml:space="preserve">Bruttokosten pro Versicherten pro Versicherungsmonat nach Altersgruppen und Geschlecht </t>
  </si>
  <si>
    <t>Effektive Kosten nach Kantonen und Geschlecht</t>
  </si>
  <si>
    <t>Effektive Kosten pro Versicherten pro Versicherungsmonat nach Kantonen und Geschlecht</t>
  </si>
  <si>
    <t>Effektive Kosten pro Versicherten pro Versicherungsmonat nach Altersgruppen und Geschlecht</t>
  </si>
  <si>
    <t>Kostenbeteiligung pro Versicherten pro Jahr nach Kantonen und Geschlecht</t>
  </si>
  <si>
    <t>Kostenbeteiligung pro Versicherten pro Jahr nach Altersgruppen und Geschlecht</t>
  </si>
  <si>
    <t>Durchschnittlicher Versichertenbestand nach Altersgruppen und Geschlecht</t>
  </si>
  <si>
    <t>3: Prämientarife in der OKP</t>
  </si>
  <si>
    <t>Kantonale Durchschnittsprämien für Erwachsene: Vorjahresveränderungen ab 1996</t>
  </si>
  <si>
    <t>Kantonale Durchschnittsprämien für junge Erwachsene: Vorjahresveränderungen ab 1996</t>
  </si>
  <si>
    <t>Kantonale Durchschnittsprämien für Kinder: Vorjahresveränderungen ab 1996</t>
  </si>
  <si>
    <t>4: Prämienverbilligung in der OKP</t>
  </si>
  <si>
    <t>Anzahl BezügerInnen, BezügerInnen-Quoten, Haushalte  sowie Subvention nach KVG ab 1996</t>
  </si>
  <si>
    <t xml:space="preserve">Anzahl BezügerInnen nach Geschlecht und Kanton </t>
  </si>
  <si>
    <t xml:space="preserve">Anzahl BezügerInnen nach Geschlecht und Altersgruppe </t>
  </si>
  <si>
    <t xml:space="preserve">Anzahl subventionierte Haushalte nach Haushaltsgrösse und Kanton </t>
  </si>
  <si>
    <t>Anzahl subventionierte Haushalte nach ausbezahltem Jahresbetrag und Kanton</t>
  </si>
  <si>
    <t xml:space="preserve">Kantonale Grenzbeträge für die Berechtigung: Massgebende Einkommen </t>
  </si>
  <si>
    <t>Hauhaltsvorstand alleinstehend/alleinerziehend</t>
  </si>
  <si>
    <t>Hauhaltsvorstand verheiratet</t>
  </si>
  <si>
    <t>Keine</t>
  </si>
  <si>
    <t>1 Kind</t>
  </si>
  <si>
    <t>2 Kinder</t>
  </si>
  <si>
    <t>3 Kinder</t>
  </si>
  <si>
    <t>Quelle: Formular BSV (PV2 - T 2.3)</t>
  </si>
  <si>
    <t>1) Für massgebende Einkommen, die höher sind als die obenstehenden Beträge, werden keine Subventionen mehr ausbezahlt.</t>
  </si>
  <si>
    <t>Das massgebende Einkommen entspricht einem je nach Kanton definierten Einkommen, meist "steuerbares Einkommen" aber auch "Reineinkommen"</t>
  </si>
  <si>
    <t>oder "Effektives Einkommen", zuzüglich einem bestimmten Anteil des Vermögens (meist "steuerbares Vermögen" oder "Reinvermögen").</t>
  </si>
  <si>
    <r>
      <t xml:space="preserve">Obergrenze des Massgebenden Einkommens </t>
    </r>
    <r>
      <rPr>
        <sz val="11"/>
        <rFont val="Arial"/>
        <family val="2"/>
      </rPr>
      <t>in Fr.</t>
    </r>
  </si>
  <si>
    <t xml:space="preserve">T 4.07 Maximale, budgetierte und ausbezahlte Subventionen ab 1996 </t>
  </si>
  <si>
    <t>Jahr</t>
  </si>
  <si>
    <t>Subven-</t>
  </si>
  <si>
    <t>Reduktions-</t>
  </si>
  <si>
    <t>Subventions-</t>
  </si>
  <si>
    <t>Ausbezahlte</t>
  </si>
  <si>
    <t>budget nach</t>
  </si>
  <si>
    <t>Subventionen</t>
  </si>
  <si>
    <t>in Mio. Fr.</t>
  </si>
  <si>
    <t>Durchschnitt</t>
  </si>
  <si>
    <t xml:space="preserve">CH </t>
  </si>
  <si>
    <t>Quelle: EFV - Verteilungsmodell für Bundes- und Kantonsbeiträge / T 4.09 / T 4.10</t>
  </si>
  <si>
    <t>T 9.06 Finanzströme im schweizerischen Gesundheitswesen in Millionen Franken</t>
  </si>
  <si>
    <t>Durchschnittl.</t>
  </si>
  <si>
    <t>2000-2001</t>
  </si>
  <si>
    <t>jährl.</t>
  </si>
  <si>
    <t>1996-2001</t>
  </si>
  <si>
    <t>Total Kosten des Gesundheitswesens 12)</t>
  </si>
  <si>
    <t>1) Subventionen oder direkte Leistungen an das Gesundheitswesen (an die Leistungserbringer (Spitäler), an die</t>
  </si>
  <si>
    <t xml:space="preserve">   sozialmedizinischen Institutionen, an die Spitex- und Rettungsdienste) und die Öffentliche Gesundheit, Verwaltung und Prävention.</t>
  </si>
  <si>
    <t xml:space="preserve">   Quelle: Kosten des Gesundheitswesens [nach Direktzahlern], BFS. Schätzungen: Entwicklung gemäss durchschnittl. jährl. Veränderung 1996-2001.</t>
  </si>
  <si>
    <t>2) Leistungen/Zahlungen nur an das Gesundheitswesen.</t>
  </si>
  <si>
    <t>3) Individuelle Sachleistungen und Subventionen an die IV-Institutionen; von der AHV bezahlte Hilfsmittel.</t>
  </si>
  <si>
    <t>4) Quelle: T 9.08.</t>
  </si>
  <si>
    <t>5) Ohne Prämien für Taggelder KVG oder VVG.</t>
  </si>
  <si>
    <t>6) Ohne Prämien für Taggelder für Verdienstausfall nach VVG.</t>
  </si>
  <si>
    <t>7) Systeme, die in den Kosten des Gesundheitswesens nicht als Direktzahler gelten.</t>
  </si>
  <si>
    <t xml:space="preserve">     Quelle: Kosten des Gesundheitswesens [aus der Sicht der sozialen Sicherheit], BFS.</t>
  </si>
  <si>
    <t>Indikatoren der Betriebsrechnung der anderen Versicherungen</t>
  </si>
  <si>
    <t>Betriebsrechnung der Zusatzversicherungen und der weiterern Versicherungsarten VVG</t>
  </si>
  <si>
    <t xml:space="preserve">Betriebsrechnung der Krankenpflegeversicherung Liechtenstein </t>
  </si>
  <si>
    <t>Betriebsrechnung der Krankenpflegeversicherung Versicherte wohnhaft im Ausland gemäss Art. 4 und 5 KVV</t>
  </si>
  <si>
    <t>Betriebsrechnung der Krankenpflegeversicherung Versicherte mit Wohnsitz in einem EG- bzw. EFTA-Staat</t>
  </si>
  <si>
    <t>8: Gesamtgeschäft der vom BSV anerkannten Krankenversicherer</t>
  </si>
  <si>
    <t>Anzahl Versicherer ab 1945</t>
  </si>
  <si>
    <t>Versichertenbestände und Versicherungsdichte ab 1945</t>
  </si>
  <si>
    <t xml:space="preserve">Stellen- und Personalbestand der Versicherer ab 1994 </t>
  </si>
  <si>
    <t xml:space="preserve">Ertrag, Aufwand und Ergebnis der Versicherer ab 1994 </t>
  </si>
  <si>
    <t>Gesamtbetriebsrechnung: Ertrag der Versicherer</t>
  </si>
  <si>
    <t xml:space="preserve">Gesamtbetriebsrechnung: Aufwand der Versicherer </t>
  </si>
  <si>
    <t xml:space="preserve">Aktiven und Passiven der Versicherer ab 1994 </t>
  </si>
  <si>
    <t xml:space="preserve">Eigenkapital und Eigenkapitalquote der Versicherer ab 1994 </t>
  </si>
  <si>
    <t>Bilanz: Aktiven der Versicherer per 31.12</t>
  </si>
  <si>
    <t>Bilanz: Passiven der Versicherer 31.12</t>
  </si>
  <si>
    <t>Betrag</t>
  </si>
  <si>
    <t>Anteile</t>
  </si>
  <si>
    <t>Fremdkapital</t>
  </si>
  <si>
    <t>Verbindlichkeiten aus Versicherungsleistungen</t>
  </si>
  <si>
    <t>Zusätzliche Altersgruppen:</t>
  </si>
  <si>
    <t>21 – 25</t>
  </si>
  <si>
    <t>96 – 100</t>
  </si>
  <si>
    <t>101 – 105</t>
  </si>
  <si>
    <t xml:space="preserve">Datenstand: 24.4.2003 </t>
  </si>
  <si>
    <t>Quelle: DATENPOOL santésuisse / Auswertung BSV / Abdeckungsgrad der Erhebung CH 2002: 94,7%  / 2001: 93,4%</t>
  </si>
  <si>
    <t>1: Versicherte und Finanzen in der obligatorischen Krankenpflegeversicherung (OKP)</t>
  </si>
  <si>
    <t>Anzahl Versicherer OKP nach Grösse ab 1994</t>
  </si>
  <si>
    <t>Versichertenbestand nachGeschlecht/Kinder ab 1994 per 31.12</t>
  </si>
  <si>
    <t>Versichertenbestand nach Wohnkanton per 31.12</t>
  </si>
  <si>
    <t>Versichertenbestand nach Alter und Geschlecht per 31.12</t>
  </si>
  <si>
    <t>Versichertenbestand per 31.12 nach Versicherungsform ab 1994</t>
  </si>
  <si>
    <t>Versichertenbestand nach Versicherungsform und Geschlecht / Kinder per 31.12</t>
  </si>
  <si>
    <t>Erkrankte, Spitaleinweisungen und Spitaltage ab 1994</t>
  </si>
  <si>
    <t>Erkrankte, Spitaleinweisungen und Spitaltage nach Geschlecht / Kinder</t>
  </si>
  <si>
    <t>Prämiensoll in Fr. nach Versicherungsform ab 1994</t>
  </si>
  <si>
    <t>Prämiensoll in Fr. je versicherte Person nach Versicherungsform ab 1994</t>
  </si>
  <si>
    <t>2) Einweisungen und Spitaltage ins/im Spital stationär.</t>
  </si>
  <si>
    <t>Quelle: Formular EF3 [T 3.7.1 / 3.7.2] + T 1.02</t>
  </si>
  <si>
    <r>
      <t>Erkrankte</t>
    </r>
    <r>
      <rPr>
        <vertAlign val="superscript"/>
        <sz val="11"/>
        <rFont val="Arial"/>
        <family val="2"/>
      </rPr>
      <t>1</t>
    </r>
  </si>
  <si>
    <r>
      <t>Einweisungen</t>
    </r>
    <r>
      <rPr>
        <vertAlign val="superscript"/>
        <sz val="11"/>
        <rFont val="Arial"/>
        <family val="2"/>
      </rPr>
      <t>2</t>
    </r>
  </si>
  <si>
    <r>
      <t>Spitaltage</t>
    </r>
    <r>
      <rPr>
        <vertAlign val="superscript"/>
        <sz val="11"/>
        <rFont val="Arial"/>
        <family val="2"/>
      </rPr>
      <t>2</t>
    </r>
  </si>
  <si>
    <t>T 1.07 Erkrankte, Spitaleinweisungen und Spitaltage ab 1994</t>
  </si>
  <si>
    <t>Einweisun-</t>
  </si>
  <si>
    <t>2) Die Zeitreihen der Einweisungen und besonders der Spitaltage ins/im Spital stationär sind von beschränkter Aussagekraft; der</t>
  </si>
  <si>
    <t>Grund liegt darin, dass vor 1999 nicht von allen Versicherern die Einweisungen und Tage in Pflegeheime(n) vollständig ausge-</t>
  </si>
  <si>
    <t>schieden werden konnten. So ist insbesondere auch die starke Abnahme der Spitaltage zwischen 1998 und 1999 auf diese</t>
  </si>
  <si>
    <t>"Nicht-mehr-Berücksichtigung" von Pflegeheimtagen durch grosse Versicherer zurückzuführen und darf somit nicht als echte</t>
  </si>
  <si>
    <t>Abnahme der Spitaltage im Spital stationär fehlinterpretiert werden.</t>
  </si>
  <si>
    <t>Quelle: T 1.08</t>
  </si>
  <si>
    <r>
      <t xml:space="preserve">Erkrankte </t>
    </r>
    <r>
      <rPr>
        <vertAlign val="superscript"/>
        <sz val="11"/>
        <rFont val="Arial"/>
        <family val="2"/>
      </rPr>
      <t>1)</t>
    </r>
  </si>
  <si>
    <r>
      <t>Spitaltage</t>
    </r>
    <r>
      <rPr>
        <vertAlign val="superscript"/>
        <sz val="11"/>
        <rFont val="Arial"/>
        <family val="2"/>
      </rPr>
      <t xml:space="preserve"> 2)</t>
    </r>
  </si>
  <si>
    <r>
      <t xml:space="preserve">gen </t>
    </r>
    <r>
      <rPr>
        <vertAlign val="superscript"/>
        <sz val="11"/>
        <rFont val="Arial"/>
        <family val="2"/>
      </rPr>
      <t>2)</t>
    </r>
  </si>
  <si>
    <t>Versicherungsform</t>
  </si>
  <si>
    <t>total in %</t>
  </si>
  <si>
    <t>Ordentliche Jahresfranchise</t>
  </si>
  <si>
    <t>Wählbare Jahresfranchisen</t>
  </si>
  <si>
    <t>BONUS-Versicherung</t>
  </si>
  <si>
    <t>Eingeschränkte Wahl (z.B. HMO)</t>
  </si>
  <si>
    <t>Quelle: Formular EF3 [T3.3]</t>
  </si>
  <si>
    <t>T 1.05 Versichertenbestand per 31.12. nach Versicherungsform ab 1994</t>
  </si>
  <si>
    <t xml:space="preserve">Jahr </t>
  </si>
  <si>
    <t>Ordentl.</t>
  </si>
  <si>
    <t>Quelle: T 1.06</t>
  </si>
  <si>
    <t xml:space="preserve">  0 - 5</t>
  </si>
  <si>
    <t xml:space="preserve">  6 - 10</t>
  </si>
  <si>
    <t>11 - 15</t>
  </si>
  <si>
    <t>16 - 18</t>
  </si>
  <si>
    <t>Total 0 - 18</t>
  </si>
  <si>
    <t>19 - 20</t>
  </si>
  <si>
    <t>21 - 25</t>
  </si>
  <si>
    <t>Total 19 - 65</t>
  </si>
  <si>
    <t>91 - 95</t>
  </si>
  <si>
    <t>96 - 100</t>
  </si>
  <si>
    <t>&gt; 100</t>
  </si>
  <si>
    <t>Total 66 u. mehr</t>
  </si>
  <si>
    <t>unbekannt</t>
  </si>
  <si>
    <t>1) Vgl. Fussnote 3) von Tabelle 1.02.</t>
  </si>
  <si>
    <t>Quelle: Formular EF3 [T 3.1]</t>
  </si>
  <si>
    <t xml:space="preserve">Veränderung </t>
  </si>
  <si>
    <t xml:space="preserve">gegenüber </t>
  </si>
  <si>
    <t>Schweiz</t>
  </si>
  <si>
    <t xml:space="preserve">Total </t>
  </si>
  <si>
    <t>1) Personen mit Wohnsitz/Aufenthalt im Ausland gemäss Art. 4 und 5 KVV.</t>
  </si>
  <si>
    <t>Quelle: Formular EF3 [T 3.2]</t>
  </si>
  <si>
    <r>
      <t xml:space="preserve">Ausland </t>
    </r>
    <r>
      <rPr>
        <vertAlign val="superscript"/>
        <sz val="11"/>
        <rFont val="Arial"/>
        <family val="2"/>
      </rPr>
      <t>1)</t>
    </r>
  </si>
  <si>
    <t>T 1.02  Versichertenbestand nach Geschlecht / Kinder ab 1994</t>
  </si>
  <si>
    <t>1) 1994 und 1995: Krankenpflegegrundversicherung KUVG.</t>
  </si>
  <si>
    <t>2) Personen, die das 18. Altersjahr noch nicht vollendet haben (vor 1996: das 16. Altersjahr).</t>
  </si>
  <si>
    <t>3) Bis 2001: Inbegriffen Versicherte mit Wohnsitz oder Aufenthalt im Ausland gemäss Art. 3, 4 und 5 KVV;</t>
  </si>
  <si>
    <t xml:space="preserve">    ab 2002: Mit Personen mit Wohnsitz oder Aufenthalt im Ausland gemäss Art. 4 und 5 KVV aber ohne Versicherte,</t>
  </si>
  <si>
    <t xml:space="preserve">    die dem Versicherungsobligatorium unterstehen und in einem EU- oder EFTA-Staat Wohnsitz haben (EWG).</t>
  </si>
  <si>
    <t>Quelle: T 1.03</t>
  </si>
  <si>
    <r>
      <t xml:space="preserve">Kinder </t>
    </r>
    <r>
      <rPr>
        <vertAlign val="superscript"/>
        <sz val="11"/>
        <rFont val="Arial"/>
        <family val="2"/>
      </rPr>
      <t>2)</t>
    </r>
  </si>
  <si>
    <t>1 – 5'000</t>
  </si>
  <si>
    <t>5'001 –</t>
  </si>
  <si>
    <t>10'001 –</t>
  </si>
  <si>
    <t>T 2.04  Bruttokosten 1) in Fr. nach Kantonen 2002</t>
  </si>
  <si>
    <t>T 2.05  Bruttokosten 1) in Fr. pro Versicherten pro Versicherungsmonat nach Kantonen 2002</t>
  </si>
  <si>
    <t>T 2.10  Kostenbeteiligung 1) pro Versicherten pro Jahr in Fr. nach Kantonen 2002</t>
  </si>
  <si>
    <t>für Kinder (0 - 18 Jahre) in Franken für 2004</t>
  </si>
  <si>
    <t>Datenstand: 10.10.2003</t>
  </si>
  <si>
    <t>für junge Erwachsene (19 - 25 Jahre) in Franken für 2004</t>
  </si>
  <si>
    <t>für Erwachsene (26 Jahre und mehr) in Franken für 2004</t>
  </si>
  <si>
    <t xml:space="preserve">Datenstand: 1.10.03 </t>
  </si>
  <si>
    <t>T 4.02 Anzahl BezügerInnen nach Geschlecht und Kanton 2002</t>
  </si>
  <si>
    <t>T 4.03 Anzahl BezügerInnen nach Geschlecht und Altersgruppe 2002</t>
  </si>
  <si>
    <t>T 4.04 Anzahl subventionierte Haushalte 1) nach Haushaltsgrösse und Kanton 2002</t>
  </si>
  <si>
    <t>T 4.05 Anzahl subventionierte Haushalte 1) nach ausbezahltem Jahresbetrag und Kanton 2002</t>
  </si>
  <si>
    <t>T 4.06 Kantonale Grenzbeträge für die Berechtigung: Massgebende Einkommen 1)  2002</t>
  </si>
  <si>
    <t>T 4.08 KVG-Verteilmodell 1): Berechnungsbasis sowie Bundes- und Kantonsbeiträge 2002</t>
  </si>
  <si>
    <t>KVG-Verteilmodell 2002</t>
  </si>
  <si>
    <t>Prämiensoll je versicherte Person nach Versicherungsform ab 1996: Veränderung gegenüber dem Vorjahr</t>
  </si>
  <si>
    <t>101-144</t>
  </si>
  <si>
    <t>T 1.44 Prämiensoll je versicherte Person nach Versicherungsform ab 1996 : Veränderung gegenüber dem Vorjahr</t>
  </si>
  <si>
    <t>1) 1997-2002: Effektive Prämienerhöhungen; 2003 - 2004: Schätzung.</t>
  </si>
  <si>
    <t>Siehe auch die Tabelle 9.15, die Schätzungen für die Prämienerhöhung in der Grundversicherung mit ordentlicher Franchise enthält.</t>
  </si>
  <si>
    <t>Quelle: 1996-2002: T 1.10; 2003 - 2004: 2003 -2004: Prämiengenehmigungsverfahren BSV 2003.</t>
  </si>
  <si>
    <t>T 4.09 Reduktionsfaktor und Beitrag nach Reduktion nach Kantonen 2002</t>
  </si>
  <si>
    <t>T 4.10 Ausgerichtete Leistungen nach Kantonen 2002</t>
  </si>
  <si>
    <t>für 2002</t>
  </si>
  <si>
    <t>für 2001</t>
  </si>
  <si>
    <t>1996 - 2003</t>
  </si>
  <si>
    <t>1996 - 2002</t>
  </si>
  <si>
    <t>T 4.13 BezügerInnenquoten nach Geschlecht und Kanton und begünsstigte Haushalte in % 2002</t>
  </si>
  <si>
    <t>–</t>
  </si>
  <si>
    <t/>
  </si>
  <si>
    <t>2002/03</t>
  </si>
  <si>
    <t>-</t>
  </si>
  <si>
    <t>6: Freiwillige Taggeldversicherung KVG</t>
  </si>
  <si>
    <t>Prämien, Leistungen und Versichertenbestand ab 1994</t>
  </si>
  <si>
    <t>Ertrag, Aufwand und Ergebnis ab 1994</t>
  </si>
  <si>
    <t>Versicherer, Versicherte, Prämien und Leistungen nach Einzel- u. Kollektivverträgen</t>
  </si>
  <si>
    <t>Gesamtbetriebsergebnis</t>
  </si>
  <si>
    <t>T 1.12  Prämiensoll in Fr. je versicherte Person nach Versicherungsform und Geschlecht / Kinder 2002</t>
  </si>
  <si>
    <t xml:space="preserve">4) Quelle: BSV T 3.01, 3.03, 3.05, 3.10. Geschätzte Werte nur für das ordentliche Franchise. </t>
  </si>
  <si>
    <t>Die Berechnungsmethode für die durchschnittlichen Prämien in der Grundversicherung befindet sich im Anhang.</t>
  </si>
  <si>
    <t>Die effektiven Prämienerhöhungen nach Versicherungsform sind in der Tabelle 1.44 dargestellt.</t>
  </si>
  <si>
    <r>
      <t xml:space="preserve">Grundversicherung (OKP) </t>
    </r>
    <r>
      <rPr>
        <b/>
        <vertAlign val="superscript"/>
        <sz val="11"/>
        <rFont val="Arial"/>
        <family val="2"/>
      </rPr>
      <t>4</t>
    </r>
  </si>
  <si>
    <r>
      <t xml:space="preserve">Spitalzusatzversicherungen </t>
    </r>
    <r>
      <rPr>
        <b/>
        <vertAlign val="superscript"/>
        <sz val="11"/>
        <rFont val="Arial"/>
        <family val="2"/>
      </rPr>
      <t>1</t>
    </r>
  </si>
  <si>
    <r>
      <t xml:space="preserve">Total </t>
    </r>
    <r>
      <rPr>
        <b/>
        <vertAlign val="superscript"/>
        <sz val="11"/>
        <rFont val="Arial"/>
        <family val="2"/>
      </rPr>
      <t>1</t>
    </r>
  </si>
  <si>
    <r>
      <t xml:space="preserve">Total </t>
    </r>
    <r>
      <rPr>
        <vertAlign val="superscript"/>
        <sz val="11"/>
        <rFont val="Arial"/>
        <family val="2"/>
      </rPr>
      <t>2, 3</t>
    </r>
  </si>
  <si>
    <r>
      <t xml:space="preserve">Kinder </t>
    </r>
    <r>
      <rPr>
        <vertAlign val="superscript"/>
        <sz val="11"/>
        <rFont val="Arial"/>
        <family val="2"/>
      </rPr>
      <t>2</t>
    </r>
  </si>
  <si>
    <r>
      <t xml:space="preserve">Erwachsene </t>
    </r>
    <r>
      <rPr>
        <vertAlign val="superscript"/>
        <sz val="11"/>
        <rFont val="Arial"/>
        <family val="2"/>
      </rPr>
      <t>2</t>
    </r>
  </si>
  <si>
    <t>T 9.14 Entwicklung der Indizes der Krankenpflegekosten, der Löhne sowie der Preise ab 1985</t>
  </si>
  <si>
    <t>Pflege-</t>
  </si>
  <si>
    <t>BFS-Lohn-</t>
  </si>
  <si>
    <t>Konsumen-</t>
  </si>
  <si>
    <t>kosten-</t>
  </si>
  <si>
    <t>tenpreis-</t>
  </si>
  <si>
    <t>index</t>
  </si>
  <si>
    <t>(nominal)</t>
  </si>
  <si>
    <t>Pflegekostenindex OKP</t>
  </si>
  <si>
    <t>BFS–Lohnindex</t>
  </si>
  <si>
    <t>Konsumentenpreisindex</t>
  </si>
  <si>
    <t>1) Entwicklung der Leistungen pro Versicherte(n) in der Krankenpflege-Grundversicherung gemäss KUVG resp. in der oblig. Kranken–</t>
  </si>
  <si>
    <t>pflegeversicherung KVG (ab 1996). Bei den Leistungen - erfasst mit der Kostenbeteiligung der Versicherten – ist der Wechsel auf ei–</t>
  </si>
  <si>
    <t>nen neuen Kontenplan ab 1994 zu berücksichtigen; so wurden vor 1994 die Leistungen berechnet als Gesamtkosten der ambulanten</t>
  </si>
  <si>
    <t>Krankenpflege plus Heilanstaltskosten der Grundversicherung plus Kosten der oblig. Spitaltaggeldversicherung; dabei nicht erfasst</t>
  </si>
  <si>
    <t>waren die Leistungen für Mutterschaft, Invalidität und Tbc; die Folge ist eine leichte Unterschätzung des Indexes für 1985 – 1993.</t>
  </si>
  <si>
    <t>Quelle: T 1.14.</t>
  </si>
  <si>
    <t>2) Quelle: BFS, Sektion Löhne und Arbeitsbedingungen.</t>
  </si>
  <si>
    <r>
      <t xml:space="preserve">index </t>
    </r>
    <r>
      <rPr>
        <vertAlign val="superscript"/>
        <sz val="11"/>
        <rFont val="Arial"/>
        <family val="2"/>
      </rPr>
      <t>2</t>
    </r>
  </si>
  <si>
    <r>
      <t xml:space="preserve">index (LIK) </t>
    </r>
    <r>
      <rPr>
        <vertAlign val="superscript"/>
        <sz val="11"/>
        <rFont val="Arial"/>
        <family val="2"/>
      </rPr>
      <t>3</t>
    </r>
  </si>
  <si>
    <r>
      <t xml:space="preserve">OKP </t>
    </r>
    <r>
      <rPr>
        <vertAlign val="superscript"/>
        <sz val="11"/>
        <rFont val="Arial"/>
        <family val="2"/>
      </rPr>
      <t>1</t>
    </r>
  </si>
  <si>
    <t>Medikamente</t>
  </si>
  <si>
    <t>Ärztliche Leistungen</t>
  </si>
  <si>
    <t>Zahnärztliche Leistungen</t>
  </si>
  <si>
    <t>Spital-leistungen</t>
  </si>
  <si>
    <t>Medizinische Apparate</t>
  </si>
  <si>
    <t>Parame- dizinische Leistungen</t>
  </si>
  <si>
    <t>Gesundheits-plege (Total)</t>
  </si>
  <si>
    <t>Allgemeiner Kostenindex (LIK)</t>
  </si>
  <si>
    <t>1) Basis Mai 2000 = 100.</t>
  </si>
  <si>
    <t>Quelle: T 9.12</t>
  </si>
  <si>
    <r>
      <t xml:space="preserve">T 9.13 Vorjahresveränderung der Preisindizes für Gesundheitspflege ab 1986 </t>
    </r>
    <r>
      <rPr>
        <b/>
        <vertAlign val="superscript"/>
        <sz val="12"/>
        <rFont val="Arial"/>
        <family val="2"/>
      </rPr>
      <t>1</t>
    </r>
  </si>
  <si>
    <t>Gesundheits-pflege (Total)</t>
  </si>
  <si>
    <t>1) Basis Mai 2000 = 100. Indizes auf der Basis Jahresdurchschnitt 1995 = 100.</t>
  </si>
  <si>
    <t>Methode zur Ermittlung des Index  "Gesundheitspflege":</t>
  </si>
  <si>
    <t>- 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</si>
  <si>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</si>
  <si>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</si>
  <si>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 </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</si>
  <si>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</si>
  <si>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</si>
  <si>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</si>
  <si>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</si>
  <si>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BSV-Tarif - meistverkauften Geräten)</t>
  </si>
  <si>
    <t xml:space="preserve">  und andere medizinische Geräte (z.B. Gehhilfen, Stützen usw.)</t>
  </si>
  <si>
    <t>Rückstellung für unerledigte Versicherungsfälle, Risikoausgleich, nicht versicherungstechn. Rückstellungen, Rücklagen aus Fusionen</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</si>
  <si>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</si>
  <si>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</si>
  <si>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</si>
  <si>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</si>
  <si>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</si>
  <si>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</si>
  <si>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</si>
  <si>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701-706</t>
  </si>
  <si>
    <t>KVG-Versicherer</t>
  </si>
  <si>
    <t>Grund-</t>
  </si>
  <si>
    <t>Zusatzver-</t>
  </si>
  <si>
    <t>Versicherung</t>
  </si>
  <si>
    <t>versicherung 4</t>
  </si>
  <si>
    <t>Datenstand: 26.11.2003</t>
  </si>
  <si>
    <t>1) Krankenpflegeversicherung: Prämien und Leistungen ohne Taggeldversicherung;</t>
  </si>
  <si>
    <t>2) Die Zusatzversicherungen gemäss VVG der KVG-Versicherer (Krankenkassen) ab 1996 sind nicht in diesen Zahlen inbegriffen.</t>
  </si>
  <si>
    <t>Quelle: T 9.16 (BPV).</t>
  </si>
  <si>
    <t>3) Zusatzversicherungen der KVG-Versicherer (Krankenkassen) : ab 1996 gemäss VVG.</t>
  </si>
  <si>
    <t>Quelle: BSV T 7.03 [60-65] und [30-33] - Krankentaggeld VVG (BPV).</t>
  </si>
  <si>
    <t>4) Quelle: T 1.27 [60-65] und [30-33].</t>
  </si>
  <si>
    <r>
      <t xml:space="preserve">T 9.18  Krankenversicherung </t>
    </r>
    <r>
      <rPr>
        <b/>
        <vertAlign val="superscript"/>
        <sz val="12"/>
        <rFont val="Arial"/>
        <family val="2"/>
      </rPr>
      <t>1</t>
    </r>
    <r>
      <rPr>
        <b/>
        <sz val="12"/>
        <rFont val="Arial"/>
        <family val="2"/>
      </rPr>
      <t xml:space="preserve"> (KVG-Versicherer und Privatversicherer) ab 1991 in Mio. Fr.</t>
    </r>
  </si>
  <si>
    <r>
      <t xml:space="preserve">Privat-versicherer </t>
    </r>
    <r>
      <rPr>
        <b/>
        <vertAlign val="superscript"/>
        <sz val="11"/>
        <rFont val="Arial"/>
        <family val="2"/>
      </rPr>
      <t>2</t>
    </r>
  </si>
  <si>
    <r>
      <t xml:space="preserve">sicherung </t>
    </r>
    <r>
      <rPr>
        <vertAlign val="superscript"/>
        <sz val="11"/>
        <rFont val="Arial"/>
        <family val="2"/>
      </rPr>
      <t>3</t>
    </r>
  </si>
  <si>
    <r>
      <t xml:space="preserve">versicherung </t>
    </r>
    <r>
      <rPr>
        <vertAlign val="superscript"/>
        <sz val="10"/>
        <rFont val="Arial"/>
        <family val="2"/>
      </rPr>
      <t>4</t>
    </r>
  </si>
  <si>
    <r>
      <t xml:space="preserve">Vor 1991 sind keine Zahlen verfügbar; </t>
    </r>
    <r>
      <rPr>
        <i/>
        <sz val="10"/>
        <rFont val="Arial"/>
        <family val="2"/>
      </rPr>
      <t>1992-1996:  Schätzungen  BSV.</t>
    </r>
  </si>
  <si>
    <t>T 9.17 Taggeldversicherung KVG / VVG ab 1991 in Mio. Fr.</t>
  </si>
  <si>
    <t>Privat-versicherer</t>
  </si>
  <si>
    <t>freiwillige</t>
  </si>
  <si>
    <t>Prämien = verdiente Prämien brutto; Leistungen = Zahlungen für Versicherungsfälle .</t>
  </si>
  <si>
    <t>1) Quelle: T 6.04 [60-65] und [30-33].</t>
  </si>
  <si>
    <t xml:space="preserve">2) Quelle: Bundesamt für Privatversicherungswesen (BPV). Für 1996 sind keine Angaben verfügbar (Beginn dieser Versicherungsdeckung), sie wurden vom BSV geschätzt. </t>
  </si>
  <si>
    <t>3) Total: die kursiv gedruckten Zahlen wurden vom BSV geschätzt auf der Basis der vom BPV gelieferten Zahlen.</t>
  </si>
  <si>
    <t>4) Quelle: Bundesamt für Privatversicherungswesen (BPV). Vor 1991 sind keine Zahlen verfügbar; 1992-1996:  Schätzungen  BSV.</t>
  </si>
  <si>
    <t>3) Quelle: T 9.12.</t>
  </si>
  <si>
    <t>stellungen pro</t>
  </si>
  <si>
    <t>in % der be-</t>
  </si>
  <si>
    <t>stellungen</t>
  </si>
  <si>
    <t>zahlten Lei-</t>
  </si>
  <si>
    <t>1) Bestand jeweils am Jahresende gemäss Bilanz; Werte 1994 und 1995 noch nicht separat für die Grundversicherung erfasst.</t>
  </si>
  <si>
    <t>2) Vgl. Tabelle 1.06.</t>
  </si>
  <si>
    <t>3) Vgl. Tabelle 1.21.</t>
  </si>
  <si>
    <t>Quelle: T 8.10 [270]; T 1.06; T 1.21</t>
  </si>
  <si>
    <r>
      <t xml:space="preserve">Jahr </t>
    </r>
    <r>
      <rPr>
        <vertAlign val="superscript"/>
        <sz val="11"/>
        <rFont val="Arial"/>
        <family val="2"/>
      </rPr>
      <t>1</t>
    </r>
  </si>
  <si>
    <r>
      <t xml:space="preserve">Person in Fr. </t>
    </r>
    <r>
      <rPr>
        <vertAlign val="superscript"/>
        <sz val="11"/>
        <rFont val="Arial"/>
        <family val="2"/>
      </rPr>
      <t>2</t>
    </r>
  </si>
  <si>
    <r>
      <t xml:space="preserve">stungen </t>
    </r>
    <r>
      <rPr>
        <vertAlign val="superscript"/>
        <sz val="11"/>
        <rFont val="Arial"/>
        <family val="2"/>
      </rPr>
      <t>3</t>
    </r>
  </si>
  <si>
    <t>T 1.32 Stand der Reserven in Fr. ab 1996</t>
  </si>
  <si>
    <t>Reserve-</t>
  </si>
  <si>
    <t>pro ver-</t>
  </si>
  <si>
    <t>sicherte Per-</t>
  </si>
  <si>
    <t>3) Reserven in % des Prämiensolls (vgl. Tabelle 1.09).</t>
  </si>
  <si>
    <t>Quelle: T 8.10 [290 + 290.9]; T 1.06; T 1.09.</t>
  </si>
  <si>
    <r>
      <t>Jahr</t>
    </r>
    <r>
      <rPr>
        <vertAlign val="superscript"/>
        <sz val="11"/>
        <rFont val="Arial"/>
        <family val="2"/>
      </rPr>
      <t>1</t>
    </r>
  </si>
  <si>
    <r>
      <t xml:space="preserve">Reserven </t>
    </r>
    <r>
      <rPr>
        <vertAlign val="superscript"/>
        <sz val="11"/>
        <rFont val="Arial"/>
        <family val="2"/>
      </rPr>
      <t>2</t>
    </r>
  </si>
  <si>
    <r>
      <t xml:space="preserve">quote </t>
    </r>
    <r>
      <rPr>
        <vertAlign val="superscript"/>
        <sz val="11"/>
        <rFont val="Arial"/>
        <family val="2"/>
      </rPr>
      <t>3</t>
    </r>
  </si>
  <si>
    <t>Quelle: Formular EF2 [Summe 2.5 bis 2.7]</t>
  </si>
  <si>
    <t>Total</t>
  </si>
  <si>
    <t>&gt; 90</t>
  </si>
  <si>
    <t>Veränd.</t>
  </si>
  <si>
    <t>gegenüb.</t>
  </si>
  <si>
    <t>Vorjahr</t>
  </si>
  <si>
    <t>0 - 18</t>
  </si>
  <si>
    <t>19 - 25</t>
  </si>
  <si>
    <t>26 - 30</t>
  </si>
  <si>
    <t>31 - 35</t>
  </si>
  <si>
    <t>36 - 40</t>
  </si>
  <si>
    <t>41 - 45</t>
  </si>
  <si>
    <t>46 - 50</t>
  </si>
  <si>
    <t>51 - 55</t>
  </si>
  <si>
    <t>56 - 60</t>
  </si>
  <si>
    <t>61 - 65</t>
  </si>
  <si>
    <t>66 - 70</t>
  </si>
  <si>
    <t>71 - 75</t>
  </si>
  <si>
    <t>76 - 80</t>
  </si>
  <si>
    <t>81 - 85</t>
  </si>
  <si>
    <t>86 - 90</t>
  </si>
  <si>
    <t>Männlich</t>
  </si>
  <si>
    <t>Weiblich</t>
  </si>
  <si>
    <t>Altersklassen</t>
  </si>
  <si>
    <t>Quelle: Statistik des Risikoausgleiches - Gemeinsame Einrichtung KVG</t>
  </si>
  <si>
    <t>T 2.12</t>
  </si>
  <si>
    <t>1) Durchschnittlicher Versichertenbestand = Anzahl Versicherungsmonate dividiert durch 12.</t>
  </si>
  <si>
    <t>in %</t>
  </si>
  <si>
    <t>des Totals</t>
  </si>
  <si>
    <t>Durchschnittlicher Versichertenbestand 1) nach Altersgruppen und Geschlecht 2002</t>
  </si>
  <si>
    <t>Datenstand: 4.7.2003</t>
  </si>
  <si>
    <t>Vom Bund anerkannte Versicherungsträger</t>
  </si>
  <si>
    <t>Laufende Aufdatierung</t>
  </si>
  <si>
    <t>Teil  Tabellen (Excel)</t>
  </si>
  <si>
    <t xml:space="preserve">Tabellen </t>
  </si>
  <si>
    <t>Teil 1</t>
  </si>
  <si>
    <t>Versicherte und Finanzen in der obligatorischen Krankenpflegeversicherung (OKP)</t>
  </si>
  <si>
    <t>Teil 2</t>
  </si>
  <si>
    <t>201-212</t>
  </si>
  <si>
    <t>Leistungen und Kostenbeteiligung in der OKP</t>
  </si>
  <si>
    <t>Teil 3</t>
  </si>
  <si>
    <t>Prämien in der OKP</t>
  </si>
  <si>
    <t>Teil 4</t>
  </si>
  <si>
    <t>Prämienverbilligung in der OKP</t>
  </si>
  <si>
    <t>Teil 5</t>
  </si>
  <si>
    <t>Aufsichtsdaten OKP</t>
  </si>
  <si>
    <t>Teil 6</t>
  </si>
  <si>
    <t>601-606</t>
  </si>
  <si>
    <t>Freiwillige Taggeldversicherung KVG</t>
  </si>
  <si>
    <t>Teil 7</t>
  </si>
  <si>
    <t>Teil 8</t>
  </si>
  <si>
    <t>801-810</t>
  </si>
  <si>
    <t>Gesamtgeschäft der vom BSV anerkannten Krankenversicherer</t>
  </si>
  <si>
    <t>Teil 9</t>
  </si>
  <si>
    <t>901-918</t>
  </si>
  <si>
    <t>Zusatzinformationen zum Gesundheitswesen</t>
  </si>
  <si>
    <t>Letzter vollständiger Bericht auf deutsch im PDF-Format auf der Internet-Adresse</t>
  </si>
  <si>
    <t>T 2.11</t>
  </si>
  <si>
    <t>www.bag.admin.ch/kv/statistik/d/index.htm</t>
  </si>
  <si>
    <t>Bundesamt für Gesundheit</t>
  </si>
  <si>
    <t>Sektion Statistik und Mathematik</t>
  </si>
  <si>
    <t>Versicherungsdichte von über 100% dürften primär erhebungstechnische Unterschiede zwischen der Bevölkerungs- und der</t>
  </si>
  <si>
    <t>Krankenversicherungsstatistik verantwortlich sein.</t>
  </si>
  <si>
    <t>Quelle: T 1.03; T 6.01; T 4.13</t>
  </si>
  <si>
    <r>
      <t xml:space="preserve">Versicherten-bestand  </t>
    </r>
    <r>
      <rPr>
        <vertAlign val="superscript"/>
        <sz val="11"/>
        <rFont val="Arial"/>
        <family val="2"/>
      </rPr>
      <t>1</t>
    </r>
  </si>
  <si>
    <r>
      <t xml:space="preserve">rungsdichte </t>
    </r>
    <r>
      <rPr>
        <vertAlign val="superscript"/>
        <sz val="11"/>
        <rFont val="Arial"/>
        <family val="2"/>
      </rPr>
      <t>2</t>
    </r>
  </si>
  <si>
    <t>T 8.01 Anzahl Versicherer ab 1945</t>
  </si>
  <si>
    <t xml:space="preserve">Anzahl </t>
  </si>
  <si>
    <t>Zuwachs</t>
  </si>
  <si>
    <t>Abgang</t>
  </si>
  <si>
    <t>Taggeld</t>
  </si>
  <si>
    <t>pflege</t>
  </si>
  <si>
    <t>1) Einzelheiten ab 1994.</t>
  </si>
  <si>
    <t>Quelle: T 5.01; T 5.03; T 5.04</t>
  </si>
  <si>
    <r>
      <t xml:space="preserve">      Anzahl Versicherer </t>
    </r>
    <r>
      <rPr>
        <vertAlign val="superscript"/>
        <sz val="11"/>
        <rFont val="Arial"/>
        <family val="2"/>
      </rPr>
      <t>1</t>
    </r>
  </si>
  <si>
    <t>Andere Versicherungen der vom BSV anerkannten Krankenversicherer</t>
  </si>
  <si>
    <t>1) vgl. Art. 66 Abs. 3 KVG: "Der Bundesrat setzt die Anteile der einzelnen Kantone am Bundesbeitrag nach deren Wohnbevöl-</t>
  </si>
  <si>
    <t>kerung und deren Finanzkraft fest. Er kann die durchschnittlichen Prämien der obligatorischen Krankenpflegeversicherung in</t>
  </si>
  <si>
    <t>den einzelnen Kantonen berücksichtigen".</t>
  </si>
  <si>
    <t>2) inklusive versicherte Grenzgänger und deren Familienangehörige. Das Modell betrachtet die mittlere Wohnbevölkerung 2000 für 5 Monate</t>
  </si>
  <si>
    <t xml:space="preserve"> und die mittlere Wohnbevölkerung 2000 inklusive versicherte Grenzgänger und deren Familienangehörige für 7 Monate.</t>
  </si>
  <si>
    <t>3) Prämien-Index ist seit 2002 nicht mehr berücksichtigt.</t>
  </si>
  <si>
    <t>4)  Relativer Anteil des Kantonsbeitrages am Bundesbeitrag (vgl. Fussnote 1).</t>
  </si>
  <si>
    <t>5) Maximaler Subventionsbetrag von Bund und Kantonen gemäss KVG-Verteilmodell (vgl. Art. 106 KVG).</t>
  </si>
  <si>
    <r>
      <t xml:space="preserve">index KV </t>
    </r>
    <r>
      <rPr>
        <vertAlign val="superscript"/>
        <sz val="11"/>
        <rFont val="Arial"/>
        <family val="2"/>
      </rPr>
      <t>3)</t>
    </r>
  </si>
  <si>
    <r>
      <t xml:space="preserve">völkerung </t>
    </r>
    <r>
      <rPr>
        <vertAlign val="superscript"/>
        <sz val="11"/>
        <rFont val="Arial"/>
        <family val="2"/>
      </rPr>
      <t>2)</t>
    </r>
  </si>
  <si>
    <r>
      <t xml:space="preserve">Ziel </t>
    </r>
    <r>
      <rPr>
        <b/>
        <vertAlign val="superscript"/>
        <sz val="11"/>
        <rFont val="Arial"/>
        <family val="2"/>
      </rPr>
      <t>5)</t>
    </r>
  </si>
  <si>
    <r>
      <t xml:space="preserve">beiträge </t>
    </r>
    <r>
      <rPr>
        <vertAlign val="superscript"/>
        <sz val="11"/>
        <rFont val="Arial"/>
        <family val="2"/>
      </rPr>
      <t>4)</t>
    </r>
  </si>
  <si>
    <t>Reduk-</t>
  </si>
  <si>
    <t>In %</t>
  </si>
  <si>
    <t>tions-</t>
  </si>
  <si>
    <t>Budget</t>
  </si>
  <si>
    <t>nach Re-</t>
  </si>
  <si>
    <t>Beitrag</t>
  </si>
  <si>
    <t xml:space="preserve">duktion </t>
  </si>
  <si>
    <t>vor Re-</t>
  </si>
  <si>
    <t>Quelle : EFV : Verteilungsmodell für das Jahr 2002: Bundes- und Kantonsbeiträge / Formular BSV PV1.</t>
  </si>
  <si>
    <t>1) vgl. Art. 66 Abs. 5 KVG: "Der Kanton darf den (...) von ihm zu übernehmenden Betrag um maximal 50 Prozent kürzen, wenn</t>
  </si>
  <si>
    <t>des Bundes an diesen Kanton wird im gleichen Verhältnis gekürzt".  Wert gerundet.</t>
  </si>
  <si>
    <t>2) Budget. Wert in einigen Kantonen gerundet.</t>
  </si>
  <si>
    <t>3) Benutzer Kantonsbeitrag in Prozent des maximalen Gesamtbeitrages.</t>
  </si>
  <si>
    <t>4) Der Reduktionsfaktor bezieht sich auf das Total der Prämienverbilligung.</t>
  </si>
  <si>
    <r>
      <t xml:space="preserve">faktor </t>
    </r>
    <r>
      <rPr>
        <vertAlign val="superscript"/>
        <sz val="11"/>
        <rFont val="Arial"/>
        <family val="2"/>
      </rPr>
      <t>1)</t>
    </r>
  </si>
  <si>
    <t xml:space="preserve">1) Quelle: BFS, Bevölkerungsentwicklung. </t>
  </si>
  <si>
    <t>2) Anzahl Einwohner pro Arzt mit Praxistätigkeit resp. Anzahl Einwohner pro Apotheke (Öffentliche Apotheken).</t>
  </si>
  <si>
    <t>2) Summe der Ärzte (mit Praxistätigkeit) mit Facharzttitel in Allgemeinmedizin und der Ärzte (mit Praxistätigkeit) ohne Facharzttitel.</t>
  </si>
  <si>
    <t>3) Inklusiv Fachärzte für innere Medizin, die als Grundversorger tätig sind.</t>
  </si>
  <si>
    <t>4) Quelle: FMH, Ärztestatistik;</t>
  </si>
  <si>
    <t>5) Anzahl Ärzte mit Praxistätigkeit pro 1'000 Einwohner.</t>
  </si>
  <si>
    <t>6) Anderung der Dichte.</t>
  </si>
  <si>
    <t>7) Quelle: Schweizerischer Apothekerverein SAV.</t>
  </si>
  <si>
    <t>8) Anzahl Apotheken (Öffentliche Apotheken) pro 10'000 Einwohner.</t>
  </si>
  <si>
    <r>
      <t xml:space="preserve">Veränd. </t>
    </r>
    <r>
      <rPr>
        <vertAlign val="superscript"/>
        <sz val="11"/>
        <rFont val="Arial"/>
        <family val="2"/>
      </rPr>
      <t>6</t>
    </r>
  </si>
  <si>
    <r>
      <t xml:space="preserve">dichte </t>
    </r>
    <r>
      <rPr>
        <vertAlign val="superscript"/>
        <sz val="11"/>
        <rFont val="Arial"/>
        <family val="2"/>
      </rPr>
      <t>5</t>
    </r>
  </si>
  <si>
    <r>
      <t xml:space="preserve">dichte </t>
    </r>
    <r>
      <rPr>
        <vertAlign val="superscript"/>
        <sz val="11"/>
        <rFont val="Arial"/>
        <family val="2"/>
      </rPr>
      <t>2)</t>
    </r>
  </si>
  <si>
    <r>
      <t>ken</t>
    </r>
    <r>
      <rPr>
        <vertAlign val="superscript"/>
        <sz val="11"/>
        <rFont val="Arial"/>
        <family val="2"/>
      </rPr>
      <t xml:space="preserve"> 7</t>
    </r>
  </si>
  <si>
    <r>
      <t xml:space="preserve">dichte </t>
    </r>
    <r>
      <rPr>
        <vertAlign val="superscript"/>
        <sz val="11"/>
        <rFont val="Arial"/>
        <family val="2"/>
      </rPr>
      <t>8</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</si>
  <si>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</si>
  <si>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</si>
  <si>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</si>
  <si>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t>T 9.07 Finanzströme im schweizerischen Gesundheitswesen in % des Totals der Kosten des Gesundheitswesens</t>
  </si>
  <si>
    <t>Finanzierungsträger</t>
  </si>
  <si>
    <t>des Gesundheitswesens</t>
  </si>
  <si>
    <t>Staat 1)</t>
  </si>
  <si>
    <t>Bund</t>
  </si>
  <si>
    <t>Kantone</t>
  </si>
  <si>
    <t>Gemeinden</t>
  </si>
  <si>
    <t>Sozialversicherungen 2)</t>
  </si>
  <si>
    <t xml:space="preserve">  Unfallversicherung UVG</t>
  </si>
  <si>
    <t xml:space="preserve">  AHV / IV 3)</t>
  </si>
  <si>
    <t xml:space="preserve"> Militärversicherung</t>
  </si>
  <si>
    <t>Finanzierungssaldo für die Krankenversicherung 4)</t>
  </si>
  <si>
    <t>Grundversicherung KVG</t>
  </si>
  <si>
    <t>Zusatzversicherungen VVG der KVG-Versicherer 5)</t>
  </si>
  <si>
    <t>Zusatzversicherungen VVG der Privatversicherer 6)</t>
  </si>
  <si>
    <t>Übrige Systeme der sozialen Sicherheit 7)</t>
  </si>
  <si>
    <t xml:space="preserve">  Prämienverbilligung KVG</t>
  </si>
  <si>
    <t>Kantone (inkl. Gemeinden)</t>
  </si>
  <si>
    <t xml:space="preserve">  Ergänzungsleistungen</t>
  </si>
  <si>
    <t xml:space="preserve">  Sozialhilfe</t>
  </si>
  <si>
    <t>Kantone und Gemeinden</t>
  </si>
  <si>
    <t xml:space="preserve">  Hilflosenentschädigungen</t>
  </si>
  <si>
    <t>AHV</t>
  </si>
  <si>
    <t>IV</t>
  </si>
  <si>
    <t xml:space="preserve">  Krankenversicherungsprämien</t>
  </si>
  <si>
    <t xml:space="preserve">  Kostenbeteiligung</t>
  </si>
  <si>
    <t xml:space="preserve">Zusatzversicherungen VVG der KVG-Versicherer </t>
  </si>
  <si>
    <t xml:space="preserve">  Out of pocket 8)</t>
  </si>
  <si>
    <t>Übrige private Finanzierung 9)</t>
  </si>
  <si>
    <t>Total Kosten des Gesundheitswesens</t>
  </si>
  <si>
    <t>1) - 12) Vgl. Fussnoten von Tabelle 9.06.</t>
  </si>
  <si>
    <t>Quelle: T 9.06.</t>
  </si>
  <si>
    <t xml:space="preserve">T 9.05 Kosten des Gesundheitswesens in der Schweiz </t>
  </si>
  <si>
    <t>aus der Sicht der Volkswirtschaft in Mio. Fr. ab 1985</t>
  </si>
  <si>
    <t>Staat</t>
  </si>
  <si>
    <t>Unter-</t>
  </si>
  <si>
    <t>Private</t>
  </si>
  <si>
    <t>nehmungen</t>
  </si>
  <si>
    <t>Quelle: Kosten des Gesundheitswesens 2001 und Gesundheitskosten in der Schweiz: Entwicklung 1960 bis 2000, BFS.</t>
  </si>
  <si>
    <t>Datenstand: 30.7.2004</t>
  </si>
  <si>
    <t>Datenstand: 30.7.04</t>
  </si>
  <si>
    <r>
      <t xml:space="preserve">T 3.07  Verteilung der kantonalen monatlichen Durchschnittsprämien </t>
    </r>
    <r>
      <rPr>
        <b/>
        <vertAlign val="superscript"/>
        <sz val="12"/>
        <rFont val="Arial"/>
        <family val="2"/>
      </rPr>
      <t xml:space="preserve">1) </t>
    </r>
  </si>
  <si>
    <r>
      <t xml:space="preserve">T 3.08  Verteilung der kantonalen monatlichen Durchschnittsprämien </t>
    </r>
    <r>
      <rPr>
        <b/>
        <vertAlign val="superscript"/>
        <sz val="12"/>
        <rFont val="Arial"/>
        <family val="2"/>
      </rPr>
      <t xml:space="preserve">1) </t>
    </r>
  </si>
  <si>
    <r>
      <t>T 3.09  Verteilung der kantonalen monatlichen Durchschnittsprämien</t>
    </r>
    <r>
      <rPr>
        <b/>
        <vertAlign val="superscript"/>
        <sz val="12"/>
        <rFont val="Arial"/>
        <family val="2"/>
      </rPr>
      <t xml:space="preserve"> 1) </t>
    </r>
  </si>
  <si>
    <r>
      <t xml:space="preserve">T 3.11  Kantonale monatliche Durchschnittsprämien pro Prämienregion </t>
    </r>
    <r>
      <rPr>
        <b/>
        <vertAlign val="superscript"/>
        <sz val="12"/>
        <rFont val="Arial"/>
        <family val="2"/>
      </rPr>
      <t>1)</t>
    </r>
  </si>
  <si>
    <t xml:space="preserve"> inklusive Unfalldeckung der ordentlichen Franchise und auf den Versichertenbeständen nach Kantonen und nach Prämienregionen</t>
  </si>
  <si>
    <t xml:space="preserve"> (Abstufung  dder Prämien). Die Tarife der Versicherungsmodelle mit wählbarer Franchise, Bonus oder eingeschränkter Wahl des</t>
  </si>
  <si>
    <r>
      <t xml:space="preserve">T 3.10 Kantonale monatliche Durchschnittsprämien </t>
    </r>
    <r>
      <rPr>
        <b/>
        <vertAlign val="superscript"/>
        <sz val="12"/>
        <rFont val="Arial"/>
        <family val="2"/>
      </rPr>
      <t>1)</t>
    </r>
    <r>
      <rPr>
        <b/>
        <sz val="12"/>
        <rFont val="Arial"/>
        <family val="2"/>
      </rPr>
      <t xml:space="preserve"> für alle Versicherte in Franken ab 1996</t>
    </r>
  </si>
  <si>
    <t>1) Maximaler Subventionsbetrag von Bund und Kantonen gemäss KVG-Verteilmodell (vgl. Art. 106 KVG).</t>
  </si>
  <si>
    <t>2) Vgl. Art. 66 Abs. 5 KVG: "Der Kanton darf den (...) von ihm zu übernehmenden Betrag um maximal 50 Prozent kürzen, wenn</t>
  </si>
  <si>
    <t>die Prämienverbilligung für Versicherte in bescheidenen wirtschaftlichen Verhältnissen trotzdem sichergestellt ist. Der Beitrag</t>
  </si>
  <si>
    <t>des Bundes an diesen Kanton wird im gleichen Verhältnis gekürzt".</t>
  </si>
  <si>
    <t>3) Subventionsbudget = maximaler Subventionsbetrag abzüglich der Kürzungsbeträge von Kantonen und Bund (vgl. Fussnote 2).</t>
  </si>
  <si>
    <t>4) Effektiv im Berichtsjahr an die Haushalte/BezügerInnen ausbezahlte Prämienverbilligungen nach KVG.</t>
  </si>
  <si>
    <r>
      <t xml:space="preserve">tionsziel </t>
    </r>
    <r>
      <rPr>
        <vertAlign val="superscript"/>
        <sz val="11"/>
        <rFont val="Arial"/>
        <family val="2"/>
      </rPr>
      <t>1)</t>
    </r>
  </si>
  <si>
    <r>
      <t xml:space="preserve">faktor </t>
    </r>
    <r>
      <rPr>
        <vertAlign val="superscript"/>
        <sz val="11"/>
        <rFont val="Arial"/>
        <family val="2"/>
      </rPr>
      <t>2)</t>
    </r>
    <r>
      <rPr>
        <sz val="11"/>
        <rFont val="Arial"/>
        <family val="2"/>
      </rPr>
      <t xml:space="preserve"> :</t>
    </r>
  </si>
  <si>
    <r>
      <t xml:space="preserve">Kürzungen </t>
    </r>
    <r>
      <rPr>
        <vertAlign val="superscript"/>
        <sz val="11"/>
        <rFont val="Arial"/>
        <family val="2"/>
      </rPr>
      <t>3)</t>
    </r>
  </si>
  <si>
    <r>
      <t xml:space="preserve">nach KVG </t>
    </r>
    <r>
      <rPr>
        <vertAlign val="superscript"/>
        <sz val="11"/>
        <rFont val="Arial"/>
        <family val="2"/>
      </rPr>
      <t>4)</t>
    </r>
  </si>
  <si>
    <t>Mittlere</t>
  </si>
  <si>
    <t>Index der</t>
  </si>
  <si>
    <t>Prämien-</t>
  </si>
  <si>
    <t>Wohnbe-</t>
  </si>
  <si>
    <t>Finanz-</t>
  </si>
  <si>
    <t>Bundes-</t>
  </si>
  <si>
    <t>Kantons-</t>
  </si>
  <si>
    <t>kraft</t>
  </si>
  <si>
    <t>beiträge</t>
  </si>
  <si>
    <t>Beiträge</t>
  </si>
  <si>
    <t>in % der</t>
  </si>
  <si>
    <t>in Fr. :</t>
  </si>
  <si>
    <t>T 9.04  Kosten des Gesundheitswesens in der Schweiz nach Leistungen in Mio. Fr. ab 1985</t>
  </si>
  <si>
    <t>Verkauf</t>
  </si>
  <si>
    <t>Prävention</t>
  </si>
  <si>
    <t>Verwaltung</t>
  </si>
  <si>
    <t>und</t>
  </si>
  <si>
    <t>Behandlung</t>
  </si>
  <si>
    <t>Gesund-</t>
  </si>
  <si>
    <t>teilstationäre</t>
  </si>
  <si>
    <t>gung</t>
  </si>
  <si>
    <t>heitsgüter</t>
  </si>
  <si>
    <t>1) Inkl. Psychiatrie.</t>
  </si>
  <si>
    <t>T 9.03  Kosten des Gesundheitswesens in der Schweiz nach Leistungserbringer in Mio. Fr. ab 1985</t>
  </si>
  <si>
    <t>Sozialme-</t>
  </si>
  <si>
    <t>Detail-</t>
  </si>
  <si>
    <t>Organisati-</t>
  </si>
  <si>
    <t>Total </t>
  </si>
  <si>
    <t>häuser</t>
  </si>
  <si>
    <t>dizinische</t>
  </si>
  <si>
    <t>Versor-</t>
  </si>
  <si>
    <t>cherer</t>
  </si>
  <si>
    <t>onen ohne</t>
  </si>
  <si>
    <t>Institu-</t>
  </si>
  <si>
    <t>Erwerbs-</t>
  </si>
  <si>
    <t>charakter</t>
  </si>
  <si>
    <t>1) Institutionen für Betagte, Chronischkranke und Behinderte.</t>
  </si>
  <si>
    <t>2) Aerzte, Zahnärzte, Physiotherapeuten, Psychotherapeuten, Spitexdienste, medizinische Labors und andere.</t>
  </si>
  <si>
    <t>3) Apotheken, Drogerien und therapeutische Apparate.</t>
  </si>
  <si>
    <r>
      <t xml:space="preserve">handel </t>
    </r>
    <r>
      <rPr>
        <vertAlign val="superscript"/>
        <sz val="11"/>
        <rFont val="Arial"/>
        <family val="2"/>
      </rPr>
      <t>3</t>
    </r>
  </si>
  <si>
    <r>
      <t xml:space="preserve">gung </t>
    </r>
    <r>
      <rPr>
        <vertAlign val="superscript"/>
        <sz val="11"/>
        <rFont val="Arial"/>
        <family val="2"/>
      </rPr>
      <t>2</t>
    </r>
  </si>
  <si>
    <r>
      <t xml:space="preserve">tionen </t>
    </r>
    <r>
      <rPr>
        <vertAlign val="superscript"/>
        <sz val="11"/>
        <rFont val="Arial"/>
        <family val="2"/>
      </rPr>
      <t>1</t>
    </r>
  </si>
  <si>
    <t>T 9.02  Kosten des Gesundheitswesens in der Schweiz nach Direktzahler in Mio. Fr. ab 1985</t>
  </si>
  <si>
    <t>Sozial-</t>
  </si>
  <si>
    <t>private</t>
  </si>
  <si>
    <t>rungen</t>
  </si>
  <si>
    <t>Finanzie-</t>
  </si>
  <si>
    <t>1) Subventionen an die Leistungserbringer (Stationäre Betriebe, etc.) sowie Ausgaben für Verwaltung und Prävention.</t>
  </si>
  <si>
    <t>2) Krankenversicherung KVG (Grundversicherung), Unfallversicherung UVG, AHV / IV und Militärversicherung.</t>
  </si>
  <si>
    <t>3) Kostenbeteiligungen der Versicherten für Sozial- und Privatversicherung sowie "Out of pocket" der Haushalte.</t>
  </si>
  <si>
    <t>4) Zuwendungen Dritter an nicht-gewinnorientierte Institutionen für Aeltere, Behinderte, Spitex, etc.</t>
  </si>
  <si>
    <r>
      <t xml:space="preserve">Staat </t>
    </r>
    <r>
      <rPr>
        <vertAlign val="superscript"/>
        <sz val="11"/>
        <rFont val="Arial"/>
        <family val="2"/>
      </rPr>
      <t>1</t>
    </r>
  </si>
  <si>
    <r>
      <t xml:space="preserve">rungen </t>
    </r>
    <r>
      <rPr>
        <vertAlign val="superscript"/>
        <sz val="11"/>
        <rFont val="Arial"/>
        <family val="2"/>
      </rPr>
      <t>2</t>
    </r>
  </si>
  <si>
    <r>
      <t xml:space="preserve">halte </t>
    </r>
    <r>
      <rPr>
        <vertAlign val="superscript"/>
        <sz val="11"/>
        <rFont val="Arial"/>
        <family val="2"/>
      </rPr>
      <t>3</t>
    </r>
  </si>
  <si>
    <r>
      <t xml:space="preserve">rung </t>
    </r>
    <r>
      <rPr>
        <vertAlign val="superscript"/>
        <sz val="11"/>
        <rFont val="Arial"/>
        <family val="2"/>
      </rPr>
      <t>4</t>
    </r>
  </si>
  <si>
    <t xml:space="preserve">T 9.01  Gesundheitskosten ausgewählter OECD–Länder in % des BIP ab 1960 </t>
  </si>
  <si>
    <t>Land</t>
  </si>
  <si>
    <t>Australien</t>
  </si>
  <si>
    <t>Belgien</t>
  </si>
  <si>
    <t>Dänemark</t>
  </si>
  <si>
    <t>Deutschland</t>
  </si>
  <si>
    <t>Finnland</t>
  </si>
  <si>
    <t>Frankreich</t>
  </si>
  <si>
    <t>Grossbritannien</t>
  </si>
  <si>
    <t>Italien</t>
  </si>
  <si>
    <t>Japan</t>
  </si>
  <si>
    <t>Niederlande</t>
  </si>
  <si>
    <t>Norwegen</t>
  </si>
  <si>
    <t>Österreich</t>
  </si>
  <si>
    <t>Schweden</t>
  </si>
  <si>
    <t>Spanien</t>
  </si>
  <si>
    <t>USA</t>
  </si>
  <si>
    <t>T 1.11  Prämiensoll in Fr. nach Versicherungsform und Geschlecht / Kinder 2002</t>
  </si>
  <si>
    <t>T 1.30  Betriebsrechnung der BONUS-Versicherung 2002</t>
  </si>
  <si>
    <t>T 1.29  Betriebsrechnung der Versicherungen mit wählbarer Franchise 2002</t>
  </si>
  <si>
    <t>T 1.28  Betriebsrechnung der Versicherung mit ordentlicher Franchise 2002</t>
  </si>
  <si>
    <t>Maximale, budgetierte und ausbezahlte Subventionen ab 1996</t>
  </si>
  <si>
    <t xml:space="preserve">KVG-Verteilmodell: Berechnungsbasis sowie Bundes- und Kantonsbeiträge </t>
  </si>
  <si>
    <t>Reduktionsfaktor und Beitrag nach Reduktion nach Kantonen</t>
  </si>
  <si>
    <t xml:space="preserve">Ausgerichtete Leistungen nach Kantonen </t>
  </si>
  <si>
    <t>Kantonsbeiträge nach Reduktion ab 1996</t>
  </si>
  <si>
    <t>Kantonsbeiträge in % des Totals vor Reduktion ab 1996</t>
  </si>
  <si>
    <t xml:space="preserve">BezügerInnenquoten nach Geschlecht und Kanton und begünsstigte Haushalte in % </t>
  </si>
  <si>
    <t>der Versicherten sind unterhalb dieser Prämie</t>
  </si>
  <si>
    <t>der Versicherten sind unterhalb und oberhalb dieser Prämie</t>
  </si>
  <si>
    <t>der Versicherten sind oberhalb dieser Prämie</t>
  </si>
  <si>
    <t>Datenquelle: Genehmigungsverfahren für Krankenversicherungsprämien, BSV, Abteilung K+U.</t>
  </si>
  <si>
    <t>1) Vgl. Fussnote 1) von Tabelle 3.01.</t>
  </si>
  <si>
    <t>Schätzung basierend auf den Prämien 2004 und der Aufteilung der Versicherten 2002</t>
  </si>
  <si>
    <t>Verän-</t>
  </si>
  <si>
    <t>derung</t>
  </si>
  <si>
    <t>1996 / 97</t>
  </si>
  <si>
    <t>1997 / 98</t>
  </si>
  <si>
    <t>1998 / 99</t>
  </si>
  <si>
    <t>1999 / 00</t>
  </si>
  <si>
    <t>2000 / 01</t>
  </si>
  <si>
    <t>2001 / 02</t>
  </si>
  <si>
    <t>2002 / 03</t>
  </si>
  <si>
    <t>2003 / 04</t>
  </si>
  <si>
    <t>3)</t>
  </si>
  <si>
    <t>1996 - 2004</t>
  </si>
  <si>
    <t>2)</t>
  </si>
  <si>
    <t>2) Vgl. auch die Entwicklung des Prämiensolls pro Versicherten gemäss KV-Betriebsrechnung in Tabelle 1.10</t>
  </si>
  <si>
    <t>3) Schätzung: Veränderungen 1996/97 der Durchschnittsprämien der Erwachsenen. Die Werte für 1996 / 97 wurden revidiert.</t>
  </si>
  <si>
    <r>
      <t xml:space="preserve">T 3.06 Kantonale Durchschnittsprämien </t>
    </r>
    <r>
      <rPr>
        <b/>
        <vertAlign val="superscript"/>
        <sz val="12"/>
        <rFont val="Arial"/>
        <family val="2"/>
      </rPr>
      <t>1)</t>
    </r>
    <r>
      <rPr>
        <b/>
        <sz val="12"/>
        <rFont val="Arial"/>
        <family val="2"/>
      </rPr>
      <t xml:space="preserve"> für Kinder: Vorjahresveränderungen in % ab 1996</t>
    </r>
  </si>
  <si>
    <r>
      <t>1996</t>
    </r>
    <r>
      <rPr>
        <vertAlign val="superscript"/>
        <sz val="11"/>
        <rFont val="Arial"/>
        <family val="2"/>
      </rPr>
      <t xml:space="preserve">2) </t>
    </r>
    <r>
      <rPr>
        <sz val="11"/>
        <rFont val="Arial"/>
        <family val="2"/>
      </rPr>
      <t>/ 97</t>
    </r>
  </si>
  <si>
    <t>2) Die Werte für 1996 wurden revidiert. Sie wurden mittels der Veränderungen 1996/97 der Erwachsenenprämie geschätzt.</t>
  </si>
  <si>
    <r>
      <t>T 3.05 Kantonale monatliche Durchschnittsprämien</t>
    </r>
    <r>
      <rPr>
        <b/>
        <vertAlign val="superscript"/>
        <sz val="12"/>
        <rFont val="Arial"/>
        <family val="2"/>
      </rPr>
      <t>1)</t>
    </r>
    <r>
      <rPr>
        <b/>
        <sz val="12"/>
        <rFont val="Arial"/>
        <family val="2"/>
      </rPr>
      <t xml:space="preserve"> für Kinder (0 – 18 Jahre) in Fr. ab 1996</t>
    </r>
  </si>
  <si>
    <t>1) Vgl. Fussnote 1) von Tabelle 3.01 sowie Fussnote 2) von Tabelle 3.03.</t>
  </si>
  <si>
    <r>
      <t xml:space="preserve">T 3.04 Kantonale Durchschnittsprämien </t>
    </r>
    <r>
      <rPr>
        <b/>
        <vertAlign val="superscript"/>
        <sz val="12"/>
        <rFont val="Arial"/>
        <family val="2"/>
      </rPr>
      <t>1)</t>
    </r>
    <r>
      <rPr>
        <b/>
        <sz val="12"/>
        <rFont val="Arial"/>
        <family val="2"/>
      </rPr>
      <t xml:space="preserve"> für junge Erwachsene: Vorjahresveränderungen in % ab 1996</t>
    </r>
  </si>
  <si>
    <t>in Fr. ab 1996</t>
  </si>
  <si>
    <t xml:space="preserve">     Schätzungen: Prämienverbilligung: T 4.07; Sozialhilfe: Werte 2001; Ergänzungsleistungen und Hilflosenentschädigungen: Entwicklung gemäss durchnittl. jährl. Veränderung 1996-2001.</t>
  </si>
  <si>
    <t xml:space="preserve">8) Zahnpflege, Pensionskosten in Pflegeheimen, Spitexdienste und rezeptfreie Medikamente </t>
  </si>
  <si>
    <t xml:space="preserve">    ("over the counter") bilden die Hauptkosten zur vollen oder teilweisen Last der Haushalte.</t>
  </si>
  <si>
    <t xml:space="preserve">  "Out of pocket"-Wert aus der Publikation Kosten des Gesundheitswesens - übrige Systeme der sozialen Sicherheit = "out of pocket"-Wert aus T 9.06.</t>
  </si>
  <si>
    <t xml:space="preserve">   Wert berechnet wie das Total der Kosten des Gesundheitswesens - Summe der anderen Positionen.</t>
  </si>
  <si>
    <t>9) Spenden und Legate an Organisationen ohne Erwerbszweck wie Pflegeheime für Betagte, Institutionen für Behinderte, Spitexorganisationen, Gesundheitsligen.</t>
  </si>
  <si>
    <t xml:space="preserve">     Quelle: Kosten des Gesundheitswesens [nach Direktzahlern], BFS. Schätzungen: Entwicklung gemäss durchschnittl. jährl. Veränderung 1996-2001.</t>
  </si>
  <si>
    <t>10) Quelle: T 9.08.</t>
  </si>
  <si>
    <t>11) Quelle: T 9.08.</t>
  </si>
  <si>
    <t>12) Quelle: Kosten des Gesundheitswesens [nach Direktzahlern], BFS. Schätzungen: Entwicklung gemäss durchschnittl. jährl. Veränderung 1996-2001.</t>
  </si>
  <si>
    <r>
      <t xml:space="preserve">  AHV / IV </t>
    </r>
    <r>
      <rPr>
        <b/>
        <sz val="10"/>
        <rFont val="Tms Rmn"/>
      </rPr>
      <t>3)</t>
    </r>
  </si>
  <si>
    <r>
      <t xml:space="preserve">Zusatzversicherungen VVG der KVG-Versicherer </t>
    </r>
    <r>
      <rPr>
        <b/>
        <sz val="8"/>
        <rFont val="Tms Rmn"/>
      </rPr>
      <t>5)</t>
    </r>
  </si>
  <si>
    <r>
      <t xml:space="preserve">Zusatzversicherungen VVG der Privatversicherer </t>
    </r>
    <r>
      <rPr>
        <b/>
        <sz val="8"/>
        <rFont val="Tms Rmn"/>
      </rPr>
      <t>6)</t>
    </r>
  </si>
  <si>
    <r>
      <t xml:space="preserve">  Krankenversicherungsprämien </t>
    </r>
    <r>
      <rPr>
        <b/>
        <sz val="10"/>
        <rFont val="Tms Rmn"/>
      </rPr>
      <t>10)</t>
    </r>
  </si>
  <si>
    <r>
      <t xml:space="preserve">  Kostenbeteiligung </t>
    </r>
    <r>
      <rPr>
        <b/>
        <sz val="10"/>
        <rFont val="Tms Rmn"/>
      </rPr>
      <t>11)</t>
    </r>
  </si>
  <si>
    <r>
      <t xml:space="preserve">  Out of pocket </t>
    </r>
    <r>
      <rPr>
        <b/>
        <sz val="10"/>
        <rFont val="Tms Rmn"/>
      </rPr>
      <t>8)</t>
    </r>
  </si>
  <si>
    <r>
      <t xml:space="preserve">Werte 2002-2003-2004: Schätzung BSV </t>
    </r>
    <r>
      <rPr>
        <b/>
        <i/>
        <sz val="10"/>
        <rFont val="Times New Roman"/>
        <family val="1"/>
      </rPr>
      <t>(kursiv).</t>
    </r>
  </si>
  <si>
    <t>T 9.08 Details des Finanzierungssaldos in Millionen Franken</t>
  </si>
  <si>
    <t xml:space="preserve">Durchschnittl. </t>
  </si>
  <si>
    <t>Krankenversicherung 1)</t>
  </si>
  <si>
    <t>Krankenversicherer</t>
  </si>
  <si>
    <t xml:space="preserve">  a) Leistungen der Krankenversicherer I </t>
  </si>
  <si>
    <t>Zusatzversicherungen VVG der Privatversicherer</t>
  </si>
  <si>
    <t xml:space="preserve">Grundversicherung KVG </t>
  </si>
  <si>
    <t xml:space="preserve">Zusatzversicherungen VVG der Privatversicherer </t>
  </si>
  <si>
    <t xml:space="preserve">  d) Verwaltungskosten (inkl. Prävention) </t>
  </si>
  <si>
    <t>Zusatzversicherungen VVG der Privatversicherer 2)</t>
  </si>
  <si>
    <t xml:space="preserve">  e) Leistungen III (=c+d)</t>
  </si>
  <si>
    <t xml:space="preserve">  f) Kostenbeteiligung</t>
  </si>
  <si>
    <t xml:space="preserve">  g) Gesamtleistungen IV (=e+f)</t>
  </si>
  <si>
    <t xml:space="preserve">  h) Prämien der Haushalte </t>
  </si>
  <si>
    <t>j) Finanzierungssaldo (=e-h oder g-i)</t>
  </si>
  <si>
    <t>Prämiensoll in Fr. nach Versicherungsform und Geschlecht / Kinder</t>
  </si>
  <si>
    <t xml:space="preserve">Prämiensoll in Fr. je versicherte Person nach Versicherungsform und Geschlecht / Kinder </t>
  </si>
  <si>
    <t>Leistungen (brutto) in Fr. nach Versicherungsform ab 1994</t>
  </si>
  <si>
    <t>Leistungen (brutto) in Fr. je versicherte Person nach Versicherungsform ab 1994</t>
  </si>
  <si>
    <t>Leistungen (brutto) in Fr. nach Kostengruppen ab 1994</t>
  </si>
  <si>
    <t xml:space="preserve">Leistungen (brutto) in Fr. nach Kostengruppen und Geschlecht / Kinder </t>
  </si>
  <si>
    <t xml:space="preserve">Leistungen (brutto) in Fr. je versicherte Person nach Kostengruppen 1) ab 1994 </t>
  </si>
  <si>
    <t xml:space="preserve">Leistungen (brutto) in Fr. je versicherte Person nach Kostengruppen und Geschlecht / Kinder </t>
  </si>
  <si>
    <t xml:space="preserve">Kostenbeteiligung der Versicherten in Fr. nach Versicherungsform ab 1994 </t>
  </si>
  <si>
    <t xml:space="preserve">Kostenbeteiligung je versicherte Person in Fr. nach Versicherungsform ab 1994 </t>
  </si>
  <si>
    <t>Bezahlte Leistungen in Fr. nach Versicherungsform ab 1994</t>
  </si>
  <si>
    <t>Bezahlte Leistungen 1) in Fr. je versicherte Person nach Versicherungsform ab 1994</t>
  </si>
  <si>
    <t>Verwaltungsaufwand / Abschreibungen in Fr. nach Versicherungsform ab 1994</t>
  </si>
  <si>
    <t xml:space="preserve">Verwaltungsaufwand / Abschreibungen in Fr. je versicherte Person nach Versicherungsform ab 1994 </t>
  </si>
  <si>
    <t>Gesamtbetriebsergebnis in Fr. nach Versicherungsform ab 1994</t>
  </si>
  <si>
    <t>Gesamtbetriebsergebnis in Fr. je versicherte Person nach Versicherungsform ab 1994</t>
  </si>
  <si>
    <t xml:space="preserve">Betriebsrechnung der obligatorischen Krankenpflegeversicherungen KVG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</si>
  <si>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</si>
  <si>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</si>
  <si>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</si>
  <si>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</si>
  <si>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Stand der Reserven in Fr. ab 1996</t>
  </si>
  <si>
    <t xml:space="preserve">Stand der Rückstellungen für unerledigte Versicherungsfälle in Fr. ab 1996 </t>
  </si>
  <si>
    <t>Aufteilung der Versicherten (Kinder und Erwachsene) nach Versicherungsform ab 1994</t>
  </si>
  <si>
    <t xml:space="preserve">Verteilung der Versicherungsformen in % - Versicherte ab 19 Jahren seit 1997 </t>
  </si>
  <si>
    <t>Verteilung der Versicherungsformen in % nach Kanton - Versicherte ab 19 Jahren</t>
  </si>
  <si>
    <t xml:space="preserve">50'001 – </t>
  </si>
  <si>
    <t xml:space="preserve">100'001 – </t>
  </si>
  <si>
    <t>1) Gemäss Versichertenbestand OKP am Jahresende.</t>
  </si>
  <si>
    <t>2) 1994 und 1995: Krankenpflegegrundversicherung KUVG.</t>
  </si>
  <si>
    <t>Quelle: T 5.01</t>
  </si>
  <si>
    <r>
      <t xml:space="preserve">T 1.01  Anzahl Versicherer OKP nach Grösse </t>
    </r>
    <r>
      <rPr>
        <b/>
        <vertAlign val="superscript"/>
        <sz val="12"/>
        <rFont val="Arial"/>
        <family val="2"/>
      </rPr>
      <t>1)</t>
    </r>
    <r>
      <rPr>
        <b/>
        <sz val="12"/>
        <rFont val="Arial"/>
        <family val="2"/>
      </rPr>
      <t xml:space="preserve"> ab 1994</t>
    </r>
  </si>
  <si>
    <r>
      <t xml:space="preserve">Jahr </t>
    </r>
    <r>
      <rPr>
        <vertAlign val="superscript"/>
        <sz val="11"/>
        <rFont val="Arial"/>
        <family val="2"/>
      </rPr>
      <t>2)</t>
    </r>
  </si>
  <si>
    <t>Quelle: Formular BSV EF2 [T 2.1]</t>
  </si>
  <si>
    <t>1) Getrennte Rechnungsführung für die Einzel- und die Kollektivversicherung wird nur bei unterschiedlichen Prämientarifen</t>
  </si>
  <si>
    <t>verlangt (vgl. Art. 75 Abs. 2 KVG).</t>
  </si>
  <si>
    <t>Quelle: Formular BSV EF2 [T 2.0]</t>
  </si>
  <si>
    <t>Quelle: Formular BSV EF2 [T 2.0 + 2.1]</t>
  </si>
  <si>
    <t>Anzahl / Betrag</t>
  </si>
  <si>
    <t>Einzel-</t>
  </si>
  <si>
    <t>Kollektiv-</t>
  </si>
  <si>
    <t>versiche-</t>
  </si>
  <si>
    <t>rung</t>
  </si>
  <si>
    <t>1999 alt</t>
  </si>
  <si>
    <t>1999 neu</t>
  </si>
  <si>
    <t>Anzahl Versicherer</t>
  </si>
  <si>
    <t>Versichertenbestand</t>
  </si>
  <si>
    <t>Prämiensoll in Fr.</t>
  </si>
  <si>
    <t>Prämiensoll in Fr. pro Versicherte(n)</t>
  </si>
  <si>
    <t xml:space="preserve">Leistungen in Fr. </t>
  </si>
  <si>
    <t>davon Mutterschaft</t>
  </si>
  <si>
    <t>Leistungen in Fr. pro Versicherte(n)</t>
  </si>
  <si>
    <t>Quelle: Formular BSV EF3 [T 3.9]</t>
  </si>
  <si>
    <t xml:space="preserve">T 6.02 Ertrag, Aufwand und Ergebnis in Fr. ab 1994 </t>
  </si>
  <si>
    <t>Total des</t>
  </si>
  <si>
    <t>Total Ver-</t>
  </si>
  <si>
    <t>sicherungs-</t>
  </si>
  <si>
    <t>betriebs-</t>
  </si>
  <si>
    <t>und Betriebs-</t>
  </si>
  <si>
    <t>Qurelle: T 6.04</t>
  </si>
  <si>
    <t>1) Schätzungen für die Jahre 1994 und 1995.</t>
  </si>
  <si>
    <r>
      <t xml:space="preserve">ertrags </t>
    </r>
    <r>
      <rPr>
        <vertAlign val="superscript"/>
        <sz val="11"/>
        <rFont val="Arial"/>
        <family val="2"/>
      </rPr>
      <t>1)</t>
    </r>
  </si>
  <si>
    <r>
      <t xml:space="preserve">ergebnis </t>
    </r>
    <r>
      <rPr>
        <vertAlign val="superscript"/>
        <sz val="11"/>
        <rFont val="Arial"/>
        <family val="2"/>
      </rPr>
      <t>1)</t>
    </r>
  </si>
  <si>
    <r>
      <t xml:space="preserve">aufwand </t>
    </r>
    <r>
      <rPr>
        <vertAlign val="superscript"/>
        <sz val="11"/>
        <rFont val="Arial"/>
        <family val="2"/>
      </rPr>
      <t>1)</t>
    </r>
  </si>
  <si>
    <t>T 6.01 Prämien, Leistungen und Versichertenbestand ab 1994</t>
  </si>
  <si>
    <t>Prämiensoll</t>
  </si>
  <si>
    <t>Leistun-</t>
  </si>
  <si>
    <t>Versi-</t>
  </si>
  <si>
    <t>soll pro</t>
  </si>
  <si>
    <t>gen pro</t>
  </si>
  <si>
    <t>cherten-</t>
  </si>
  <si>
    <t>Versicher-</t>
  </si>
  <si>
    <t>bestand</t>
  </si>
  <si>
    <t>te(n) in Fr.</t>
  </si>
  <si>
    <t>Quelle: T 6.03</t>
  </si>
  <si>
    <t>1) 1994 und 1995: Krankengeldversicherung gemäss KUVG; die Werte 1997 bis 1999 des Versichertenbestands wurden revidiert.</t>
  </si>
  <si>
    <t>5: Individuelle Daten pro Versicherer</t>
  </si>
  <si>
    <t>Aufsichtsdaten der Krankenversicherer OKP</t>
  </si>
  <si>
    <t>Erklärungen und Quellen für die Aufsichtsdaten</t>
  </si>
  <si>
    <t xml:space="preserve">KVG Versicherer: Daten für das freiwillige Taggelversicherung </t>
  </si>
  <si>
    <t>BSV-</t>
  </si>
  <si>
    <t>Name des Versicherers</t>
  </si>
  <si>
    <t>Einnahmen</t>
  </si>
  <si>
    <t>Risikoaus–</t>
  </si>
  <si>
    <t>Verwaltungs-</t>
  </si>
  <si>
    <t>Gesamter-</t>
  </si>
  <si>
    <t>Stand der</t>
  </si>
  <si>
    <t>Reserven</t>
  </si>
  <si>
    <t>* : KVG-</t>
  </si>
  <si>
    <t>Nr.</t>
  </si>
  <si>
    <t>tenbestand</t>
  </si>
  <si>
    <t>gleich in %</t>
  </si>
  <si>
    <t>des Ver-</t>
  </si>
  <si>
    <t xml:space="preserve">aufwand + </t>
  </si>
  <si>
    <t>gebnis pro</t>
  </si>
  <si>
    <t xml:space="preserve"> Rückstel-</t>
  </si>
  <si>
    <t>Versicherer</t>
  </si>
  <si>
    <t>der Ein-</t>
  </si>
  <si>
    <t>sicherers</t>
  </si>
  <si>
    <t>Abschrei-</t>
  </si>
  <si>
    <t>versicherte</t>
  </si>
  <si>
    <t>lungen</t>
  </si>
  <si>
    <t>lungen pro</t>
  </si>
  <si>
    <t xml:space="preserve"> in Mio. Fr.</t>
  </si>
  <si>
    <t>pro versi-</t>
  </si>
  <si>
    <t>mit VVG</t>
  </si>
  <si>
    <t>(OKP</t>
  </si>
  <si>
    <t>nahmen</t>
  </si>
  <si>
    <t>bungen</t>
  </si>
  <si>
    <t>bungen pro</t>
  </si>
  <si>
    <t xml:space="preserve"> Person</t>
  </si>
  <si>
    <t>cherte Per-</t>
  </si>
  <si>
    <t>Zusatz-</t>
  </si>
  <si>
    <t>Versicherer)</t>
  </si>
  <si>
    <t xml:space="preserve"> in % der </t>
  </si>
  <si>
    <t xml:space="preserve"> in Fr.</t>
  </si>
  <si>
    <t>Person</t>
  </si>
  <si>
    <t>son in Fr.</t>
  </si>
  <si>
    <t>versicherungen</t>
  </si>
  <si>
    <t>Ausgaben</t>
  </si>
  <si>
    <t>Person in Fr.</t>
  </si>
  <si>
    <t>5 / 1</t>
  </si>
  <si>
    <t>6 A</t>
  </si>
  <si>
    <t>6 B</t>
  </si>
  <si>
    <t>8 / 1</t>
  </si>
  <si>
    <t>9 / 1</t>
  </si>
  <si>
    <t>9 / 3</t>
  </si>
  <si>
    <t>Quelle und Erklärungen: T 5.02</t>
  </si>
  <si>
    <t>5.02 Erklärungen und Quellen</t>
  </si>
  <si>
    <t>für Aufsichtsdaten OKP gemäss Art. 31 KVV für das Betriebsjahr 2002 (T 5.01)</t>
  </si>
  <si>
    <t>1) Versichertenbestand (nur OKP Versicherer)</t>
  </si>
  <si>
    <t>Durchschnittsbestand = Stand aller Monate zusammengezählt und geteilt durch 12.</t>
  </si>
  <si>
    <t>2) Einnahmen Total (in Mio. Fr.)</t>
  </si>
  <si>
    <t>Prämiensoll, Subventionen und Prämienverbilligungen, Erlösminderungen (Rabatte und Skonti) sowie die übrigen Erträge (Kapital- und Liegenschaftserträge).</t>
  </si>
  <si>
    <t>3) Prämien (in Mio. Fr.)</t>
  </si>
  <si>
    <t>Prämiensoll = Prämiensumme gemäss den genehmigten Prämientarifen.</t>
  </si>
  <si>
    <t>4) Risikoausgleich (in % der Einnahmen)</t>
  </si>
  <si>
    <t>5 + 5/1) Leistungen der Versicherer (in Mio. Fr. und pro versicherte Person in Fr.)</t>
  </si>
  <si>
    <t>Bezahlte Leistungen = Leistungen der Versicherer an die Leistungserbringer (Ärzte, Spitäler, Apotheken, etc.) nach Abzug der Kostenbeteiligung der Versicherten (Franchise / Selbstbehalt / Tagespauschale im Spital).</t>
  </si>
  <si>
    <t>6A + 6B) Verwaltungsaufwand/Abschreibungen (in % der Ausgaben und pro versicherte Person in Fr.)</t>
  </si>
  <si>
    <t>Personalaufwand inkl. Sozialleistungen, Verwaltungsräumlichkeiten und Betriebseinrichtungen, EDV-Kosten, Versicherungsprämien (Mobiliar, Haftpflicht etc.), Werbung sowie Abschreibungen. Ausgaben = Total des Versicherungs- und Betriebsaufwands.</t>
  </si>
  <si>
    <t>7) Gesamtergebnis (pro versicherte Person in Fr.)</t>
  </si>
  <si>
    <t>Das Gesamtbetriebsergebnis entspricht dem Saldo der Einnahmen (Total des Gesamtertrags) und der Ausgaben (Total des Versicherungs- und Betriebsauf­wands).</t>
  </si>
  <si>
    <t>8 + 8/1) Rückstellungen (in Mio. Fr. und pro versicherte Person in Fr.)</t>
  </si>
  <si>
    <t>Verbindlichkeiten bei Partnern</t>
  </si>
  <si>
    <t>Verbindlichkeiten bei Rückversicherern</t>
  </si>
  <si>
    <t>Verbindlichkeiten bei der Gemeinsamen Einrichtung KVG</t>
  </si>
  <si>
    <t>Verbindlichkeiten bei anderen Versicherern</t>
  </si>
  <si>
    <t>EF3 Seite 7 T 3.6</t>
  </si>
  <si>
    <t>= [ 9 ] / [ 2 ]</t>
  </si>
  <si>
    <t>EF1 Seite 5 Konten 290 +290.9</t>
  </si>
  <si>
    <t>=[ 20 ] / [ 7 ] * 100</t>
  </si>
  <si>
    <r>
      <t xml:space="preserve">9  – Leistungen </t>
    </r>
    <r>
      <rPr>
        <vertAlign val="superscript"/>
        <sz val="11"/>
        <rFont val="Arial"/>
        <family val="2"/>
      </rPr>
      <t>1)</t>
    </r>
    <r>
      <rPr>
        <sz val="11"/>
        <rFont val="Arial"/>
        <family val="2"/>
      </rPr>
      <t xml:space="preserve"> in Mio. Fr.</t>
    </r>
  </si>
  <si>
    <r>
      <t xml:space="preserve">10 – Leistungen </t>
    </r>
    <r>
      <rPr>
        <vertAlign val="superscript"/>
        <sz val="11"/>
        <rFont val="Arial"/>
        <family val="2"/>
      </rPr>
      <t>1)</t>
    </r>
    <r>
      <rPr>
        <sz val="11"/>
        <rFont val="Arial"/>
        <family val="2"/>
      </rPr>
      <t xml:space="preserve"> pro Versicherte(n) in Fr.</t>
    </r>
  </si>
  <si>
    <r>
      <t xml:space="preserve">15 – Bezahlte Leistungen </t>
    </r>
    <r>
      <rPr>
        <vertAlign val="superscript"/>
        <sz val="11"/>
        <rFont val="Arial"/>
        <family val="2"/>
      </rPr>
      <t xml:space="preserve">2) </t>
    </r>
    <r>
      <rPr>
        <sz val="11"/>
        <rFont val="Arial"/>
        <family val="2"/>
      </rPr>
      <t>in Mio. Fr.</t>
    </r>
  </si>
  <si>
    <r>
      <t xml:space="preserve">16 – Bezahlte Leistungen </t>
    </r>
    <r>
      <rPr>
        <vertAlign val="superscript"/>
        <sz val="11"/>
        <rFont val="Arial"/>
        <family val="2"/>
      </rPr>
      <t>2)</t>
    </r>
    <r>
      <rPr>
        <sz val="11"/>
        <rFont val="Arial"/>
        <family val="2"/>
      </rPr>
      <t xml:space="preserve"> pro Versicherten in  Fr.</t>
    </r>
  </si>
  <si>
    <r>
      <t xml:space="preserve">21 – Reservequote </t>
    </r>
    <r>
      <rPr>
        <vertAlign val="superscript"/>
        <sz val="11"/>
        <rFont val="Arial"/>
        <family val="2"/>
      </rPr>
      <t>3)</t>
    </r>
    <r>
      <rPr>
        <sz val="11"/>
        <rFont val="Arial"/>
        <family val="2"/>
      </rPr>
      <t xml:space="preserve"> per 31.12. in %</t>
    </r>
  </si>
  <si>
    <t>1) Versichertenbestand = Durchschnittsbestand = Stand aller Monate zusammengezählt und geteilt durch 12.</t>
  </si>
  <si>
    <t>3) Vgl. Fussnote 3) von Tabelle 1.02.</t>
  </si>
  <si>
    <t>Quelle: Formular EF1</t>
  </si>
  <si>
    <r>
      <t xml:space="preserve">T 1.42 Versichertenbestand </t>
    </r>
    <r>
      <rPr>
        <b/>
        <vertAlign val="superscript"/>
        <sz val="12"/>
        <rFont val="Arial"/>
        <family val="2"/>
      </rPr>
      <t xml:space="preserve">1)  </t>
    </r>
    <r>
      <rPr>
        <b/>
        <sz val="12"/>
        <rFont val="Arial"/>
        <family val="2"/>
      </rPr>
      <t>nach Geschlecht / Kinder ab 1995</t>
    </r>
  </si>
  <si>
    <r>
      <t xml:space="preserve">Jahr </t>
    </r>
    <r>
      <rPr>
        <vertAlign val="superscript"/>
        <sz val="11"/>
        <rFont val="Arial"/>
        <family val="2"/>
      </rPr>
      <t>3)</t>
    </r>
  </si>
  <si>
    <t>Kostenbe-</t>
  </si>
  <si>
    <t xml:space="preserve">teiligung </t>
  </si>
  <si>
    <t>nach KOBE</t>
  </si>
  <si>
    <t>(netto)</t>
  </si>
  <si>
    <t>1) OKP = Obligatorische Krankenpflegeversicherung KVG; vor 1996: Krankenpflegegrundversicherung gemäss KUVG und dort ohne</t>
  </si>
  <si>
    <t>die Leistungen für Mutterschaft, Invalidität und Tbc.</t>
  </si>
  <si>
    <t>Quelle: 1985-2002 : T 1.09; (1.13 - 1.21); 1.21 / 2003 -2004: Prämiengenehmigungsverfahren BSV 2003</t>
  </si>
  <si>
    <r>
      <t xml:space="preserve">T 1.41 Prämiensoll, Kostenbeteiligung (KOBE) und Nettoleistungen in der OKP </t>
    </r>
    <r>
      <rPr>
        <b/>
        <vertAlign val="superscript"/>
        <sz val="12"/>
        <rFont val="Arial"/>
        <family val="2"/>
      </rPr>
      <t>1</t>
    </r>
    <r>
      <rPr>
        <b/>
        <sz val="12"/>
        <rFont val="Arial"/>
        <family val="2"/>
      </rPr>
      <t xml:space="preserve">  ab 1985</t>
    </r>
  </si>
  <si>
    <t>Quelle: T 1.39 / T 1.06</t>
  </si>
  <si>
    <t>Quelle: Formular EF3 [T 3.5]</t>
  </si>
  <si>
    <t>Andere</t>
  </si>
  <si>
    <t>150 Fr.</t>
  </si>
  <si>
    <t>300 Fr.</t>
  </si>
  <si>
    <t>375 Fr.</t>
  </si>
  <si>
    <t>rungsformen</t>
  </si>
  <si>
    <t>0 Fr.</t>
  </si>
  <si>
    <t>Quelle: DATENPOOL santésuisse / Auswertung BSV / Abdeckungsgrad der Erhebung 2002: CH 94,7% ; Kantone: 87,9 - 100%</t>
  </si>
  <si>
    <t>T 1.37 Verteilung der Versicherungsformen in % - Versicherte 0-18 Jahre ab 1997</t>
  </si>
  <si>
    <t xml:space="preserve">Datenstand: 1997 - 2000 : 16.4.02 ; 2001-2002 : 24.4.2003 </t>
  </si>
  <si>
    <t>Quelle: T 1.38</t>
  </si>
  <si>
    <t>400 Fr.</t>
  </si>
  <si>
    <t>600 Fr.</t>
  </si>
  <si>
    <t>1200 Fr.</t>
  </si>
  <si>
    <t>1500 Fr.</t>
  </si>
  <si>
    <t>230 Fr.</t>
  </si>
  <si>
    <t>1) Im Jahr 1997: ordentliche Jahresfranchise: 150.-  wählbare Jahresfranchisen: 300.-  600.-  1200.-  1500.-</t>
  </si>
  <si>
    <t>Quelle: T 1.36</t>
  </si>
  <si>
    <r>
      <t>T 1.35 Verteilung der Versicherungsformen</t>
    </r>
    <r>
      <rPr>
        <b/>
        <vertAlign val="superscript"/>
        <sz val="12"/>
        <rFont val="Arial"/>
        <family val="2"/>
      </rPr>
      <t xml:space="preserve"> </t>
    </r>
    <r>
      <rPr>
        <b/>
        <sz val="12"/>
        <rFont val="Arial"/>
        <family val="2"/>
      </rPr>
      <t xml:space="preserve">in % - Versicherte ab 19 Jahren ab 1997 </t>
    </r>
  </si>
  <si>
    <r>
      <t xml:space="preserve">1997 </t>
    </r>
    <r>
      <rPr>
        <vertAlign val="superscript"/>
        <sz val="11"/>
        <rFont val="Arial"/>
        <family val="2"/>
      </rPr>
      <t>1</t>
    </r>
  </si>
  <si>
    <t>T 1.34 Verteilung der Versicherten (Kinder und Erwachsene) nach Versicherungsform ab 1994</t>
  </si>
  <si>
    <t>Quelle: T 1.05</t>
  </si>
  <si>
    <t xml:space="preserve">T 1.33  Stand der Rückstellungen für unerledigte Versicherungsfälle in Fr. ab 1996 </t>
  </si>
  <si>
    <t>Stand</t>
  </si>
  <si>
    <t>Stand Rück-</t>
  </si>
  <si>
    <t>Rückstellungen</t>
  </si>
  <si>
    <t>Rück-</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</si>
  <si>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</si>
  <si>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</si>
  <si>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</si>
  <si>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</si>
  <si>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</si>
  <si>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</si>
  <si>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</si>
  <si>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</si>
  <si>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</si>
  <si>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</si>
  <si>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</si>
  <si>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</si>
  <si>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</si>
  <si>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</si>
  <si>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</si>
  <si>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</si>
  <si>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</si>
  <si>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</si>
  <si>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</si>
  <si>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Übriger neutraler Aufwand und Ertrag</t>
  </si>
  <si>
    <t>Einkommens, Vermögens-, Ertrags- und Kapitalsteuer VVG</t>
  </si>
  <si>
    <t>Total Neutraler Aufwand/Ertrag</t>
  </si>
  <si>
    <t>6 / 7</t>
  </si>
  <si>
    <t>Total des Gesamtertrages</t>
  </si>
  <si>
    <t>Rückschlag Gesamtbetriebsrechnung</t>
  </si>
  <si>
    <t>Quelle: Formular EF1 [8,9]</t>
  </si>
  <si>
    <t>T 8.04  Ertrag, Aufwand und Ergebnis der Versicherer in Fr. ab 1994</t>
  </si>
  <si>
    <t>ertrags</t>
  </si>
  <si>
    <t>1) Vorjahresvergleiche sind nur mit Vorbehalt möglich, da jene Zusatzversicherungen VAG, welche auch unternehmensrechtlich</t>
  </si>
  <si>
    <t>die resp. der Entnahme von den Fonds und Reserven.</t>
  </si>
  <si>
    <t>Quelle:  T 8.05 [6/7]; T 8.06 [3/4]; T 8.06 [800-801] - T 8.05 [800-801]</t>
  </si>
  <si>
    <r>
      <t xml:space="preserve">ergebnis </t>
    </r>
    <r>
      <rPr>
        <vertAlign val="superscript"/>
        <sz val="11"/>
        <rFont val="Arial"/>
        <family val="2"/>
      </rPr>
      <t>2)</t>
    </r>
  </si>
  <si>
    <r>
      <t xml:space="preserve">2) Jahresergebnis ( = Vorschlag Gesamtbetriebsrechnung minus Rückschlag Gesamtbetriebsrechnung) </t>
    </r>
    <r>
      <rPr>
        <i/>
        <sz val="10"/>
        <rFont val="Arial"/>
        <family val="2"/>
      </rPr>
      <t>vor</t>
    </r>
    <r>
      <rPr>
        <sz val="10"/>
        <rFont val="Arial"/>
        <family val="2"/>
      </rPr>
      <t xml:space="preserve"> der Zuweisung an</t>
    </r>
  </si>
  <si>
    <t>T 8.03  Stellen- und Personalbestand der Versicherer ab 1994</t>
  </si>
  <si>
    <t xml:space="preserve">   Verwaltung / Haupsitz</t>
  </si>
  <si>
    <t xml:space="preserve">       Sektionen / Agenturen</t>
  </si>
  <si>
    <t xml:space="preserve">                    Total</t>
  </si>
  <si>
    <t>Stellen</t>
  </si>
  <si>
    <t>1) Ab 2001, nur obligatorische Grundversicherung OKP</t>
  </si>
  <si>
    <t>Quelle: Formular EF3 [3.10.3]</t>
  </si>
  <si>
    <t>T 8.02 Versichertenbestände und Versicherungsdichte ab 1945</t>
  </si>
  <si>
    <t>geldver-</t>
  </si>
  <si>
    <t>sicherte</t>
  </si>
  <si>
    <t>völkerung</t>
  </si>
  <si>
    <t xml:space="preserve">sicherte </t>
  </si>
  <si>
    <t>1) Bis 1995 durchschnittlicher Versichertenbestand; ab 1996 Jahresendbestand (vgl. T 1.03 und 6.01).</t>
  </si>
  <si>
    <t>2) In der Schweiz wohnhafte Krankenpflegeversicherte (vgl. T 1.03) in % der mittleren Wohnbevölkerung; für die errechnete</t>
  </si>
  <si>
    <t>Avantis Assureur maladie</t>
  </si>
  <si>
    <t xml:space="preserve">Caisse-maladie Vallée d'Entremont </t>
  </si>
  <si>
    <t>Krankenkasse Institut Ingenbohl</t>
  </si>
  <si>
    <t>Krankenkasse Turbenthal</t>
  </si>
  <si>
    <t>Auxilia</t>
  </si>
  <si>
    <t>Caisse-maladie de Troistorrents</t>
  </si>
  <si>
    <t>OEKK Winterthur</t>
  </si>
  <si>
    <t>KK Wädenswil</t>
  </si>
  <si>
    <t>Krankenkasse Birchmeier</t>
  </si>
  <si>
    <t>kmu-Krankenversicherung</t>
  </si>
  <si>
    <t>Krankenkasse Stoffel</t>
  </si>
  <si>
    <t>KK Simplon</t>
  </si>
  <si>
    <t>SWICA Krankenversicherung</t>
  </si>
  <si>
    <t>GALENOS</t>
  </si>
  <si>
    <t>ÖKK Schweiz</t>
  </si>
  <si>
    <t>Betriebskrankenkasse Heerbrugg</t>
  </si>
  <si>
    <t>Allgemeine Krankenkasse Brugg</t>
  </si>
  <si>
    <t xml:space="preserve">Caisse-maladie des chemins de fer du Jura </t>
  </si>
  <si>
    <t>Krankenkasse Mischabel</t>
  </si>
  <si>
    <t>Krankenkasse Zermatt</t>
  </si>
  <si>
    <t>Mutuelle Valaisanne</t>
  </si>
  <si>
    <t xml:space="preserve">AMB </t>
  </si>
  <si>
    <t xml:space="preserve">Sanitas Krankenversicherung </t>
  </si>
  <si>
    <t>Krankenkasse KBV</t>
  </si>
  <si>
    <t>Hotela</t>
  </si>
  <si>
    <t>Intras caisse-maladie</t>
  </si>
  <si>
    <t>Philos</t>
  </si>
  <si>
    <t>Assura</t>
  </si>
  <si>
    <t>Caisse-maladie Futura</t>
  </si>
  <si>
    <t>Caisse maladie Universa</t>
  </si>
  <si>
    <t>Aerosana Krankenkasse</t>
  </si>
  <si>
    <t>VISANA</t>
  </si>
  <si>
    <t>AGRISANO</t>
  </si>
  <si>
    <t>Helsana Versicherungen AG</t>
  </si>
  <si>
    <t>Innova Krankenversicherung AG</t>
  </si>
  <si>
    <t>Accorda assurance-maladie</t>
  </si>
  <si>
    <t xml:space="preserve"> </t>
  </si>
  <si>
    <t>Securitas AG</t>
  </si>
  <si>
    <t>Caisse-maladie du personnel communal NE</t>
  </si>
  <si>
    <t>Color Metal</t>
  </si>
  <si>
    <t>Taggeldkasse bildende Künstler/innen</t>
  </si>
  <si>
    <t>Gewerbliche Krankenkasse Bern</t>
  </si>
  <si>
    <t>KSM</t>
  </si>
  <si>
    <t>HC Färberei Oberuzwil</t>
  </si>
  <si>
    <t>Krankengeldversicherung für Mitarbeiter der fenaco-Mitgliedgenossenschaften (KGV)</t>
  </si>
  <si>
    <t>Altersgruppen</t>
  </si>
  <si>
    <t>1) Quelle: Bundesamt für Privatversicherungen (BPV).</t>
  </si>
  <si>
    <t>2) Quelle: Bundesamt für Sozialversicherung (BSV), Formular EF3 [3.7.3].</t>
  </si>
  <si>
    <r>
      <t xml:space="preserve"> Private Versicherer </t>
    </r>
    <r>
      <rPr>
        <b/>
        <vertAlign val="superscript"/>
        <sz val="11"/>
        <rFont val="Arial"/>
        <family val="2"/>
      </rPr>
      <t>1)</t>
    </r>
  </si>
  <si>
    <r>
      <t xml:space="preserve">in % von A </t>
    </r>
    <r>
      <rPr>
        <vertAlign val="superscript"/>
        <sz val="11"/>
        <rFont val="Arial"/>
        <family val="2"/>
      </rPr>
      <t>2)</t>
    </r>
  </si>
  <si>
    <r>
      <t xml:space="preserve">in % von A </t>
    </r>
    <r>
      <rPr>
        <vertAlign val="superscript"/>
        <sz val="11"/>
        <rFont val="Arial"/>
        <family val="2"/>
      </rPr>
      <t>1)</t>
    </r>
  </si>
  <si>
    <t>T 9.10  Entwicklung der Wohnbevölkerung, der Aerzte mit Praxistätigkeit und der Apotheken ab 1985</t>
  </si>
  <si>
    <t>Aerzte</t>
  </si>
  <si>
    <t>Apo</t>
  </si>
  <si>
    <t>Wohn-</t>
  </si>
  <si>
    <t>Apothe-</t>
  </si>
  <si>
    <t>theken</t>
  </si>
  <si>
    <t>Anzahl Ärzte (linke Skala)</t>
  </si>
  <si>
    <t>Anzahl Apotheken (rechte Skala)</t>
  </si>
  <si>
    <t>bevölke-</t>
  </si>
  <si>
    <t>1) Quelle: siehe Tabelle 9.09.</t>
  </si>
  <si>
    <t>2) Anzahl Ärzte mit Praxistätigkeit pro 1'000 Einwohner.</t>
  </si>
  <si>
    <t>3) Anderung der Dichte.</t>
  </si>
  <si>
    <t>4) Anzahl Apotheken (Öffentliche Apotheken) pro 10'000 Einwohner.</t>
  </si>
  <si>
    <r>
      <t xml:space="preserve">Veränd. </t>
    </r>
    <r>
      <rPr>
        <vertAlign val="superscript"/>
        <sz val="11"/>
        <rFont val="Arial"/>
        <family val="2"/>
      </rPr>
      <t>3</t>
    </r>
  </si>
  <si>
    <r>
      <t xml:space="preserve">Aerzte </t>
    </r>
    <r>
      <rPr>
        <vertAlign val="superscript"/>
        <sz val="11"/>
        <rFont val="Arial"/>
        <family val="2"/>
      </rPr>
      <t>1</t>
    </r>
  </si>
  <si>
    <r>
      <t xml:space="preserve">dichte </t>
    </r>
    <r>
      <rPr>
        <vertAlign val="superscript"/>
        <sz val="11"/>
        <rFont val="Arial"/>
        <family val="2"/>
      </rPr>
      <t>2</t>
    </r>
  </si>
  <si>
    <r>
      <t xml:space="preserve">ken </t>
    </r>
    <r>
      <rPr>
        <vertAlign val="superscript"/>
        <sz val="11"/>
        <rFont val="Arial"/>
        <family val="2"/>
      </rPr>
      <t>1</t>
    </r>
  </si>
  <si>
    <r>
      <t xml:space="preserve">dichte </t>
    </r>
    <r>
      <rPr>
        <vertAlign val="superscript"/>
        <sz val="11"/>
        <rFont val="Arial"/>
        <family val="2"/>
      </rPr>
      <t>4</t>
    </r>
  </si>
  <si>
    <r>
      <t xml:space="preserve">rung </t>
    </r>
    <r>
      <rPr>
        <vertAlign val="superscript"/>
        <sz val="11"/>
        <rFont val="Arial"/>
        <family val="2"/>
      </rPr>
      <t>1</t>
    </r>
  </si>
  <si>
    <t>Daten Vorjahr</t>
  </si>
  <si>
    <t>Ärzte:</t>
  </si>
  <si>
    <t>Aerzte-</t>
  </si>
  <si>
    <t>Apo-</t>
  </si>
  <si>
    <t>Allge-</t>
  </si>
  <si>
    <t>Spezial-</t>
  </si>
  <si>
    <t>Ärzte mit</t>
  </si>
  <si>
    <t>theken-</t>
  </si>
  <si>
    <t>mein-</t>
  </si>
  <si>
    <t>äzte</t>
  </si>
  <si>
    <t>Praxistä-</t>
  </si>
  <si>
    <t>ken</t>
  </si>
  <si>
    <t>praktiker</t>
  </si>
  <si>
    <t>FMH</t>
  </si>
  <si>
    <t>tigkeit</t>
  </si>
  <si>
    <t>1) Quellen: BFS, Bevölkerungsentwicklung; FMH, Ärztestatistik (Ärzte mit Praxistätigkeit), Schweizerischerer Apothekerverein.</t>
  </si>
  <si>
    <t>Datenstand: 13.7.2004</t>
  </si>
  <si>
    <t>© Bundesamt für Gesundheit (BAG)</t>
  </si>
  <si>
    <t>Auszugsweiser Abdruck – ausser für kommerzielle Nutzung –  unter</t>
  </si>
  <si>
    <t>Quellenangabe und Zustellung eines Belegexemplares an das Bundesamt</t>
  </si>
  <si>
    <t>für Gesundheit, Sektion Statistik und Mathematik gestattet.</t>
  </si>
  <si>
    <t>Statistik der obligatorischen Krankenversicherung 2002</t>
  </si>
  <si>
    <t>Datenstand: 8.6.04</t>
  </si>
  <si>
    <t>Kantonale Durchschnittsprämien für Erwachsene pro Prämienregion</t>
  </si>
  <si>
    <t>Kantonale Durchschnittsprämien für junge Erwachsene pro Prämienregion</t>
  </si>
  <si>
    <t>Kantonale Durchschnittsprämien für Kinder pro Prämienregion</t>
  </si>
  <si>
    <t>R1</t>
  </si>
  <si>
    <t>R2</t>
  </si>
  <si>
    <t>R3</t>
  </si>
  <si>
    <t>RU</t>
  </si>
  <si>
    <t>Quelle: Genehmigungsverfahren für Krankenversicherungsprämien, BSV.</t>
  </si>
  <si>
    <t>Die Krankenkassen dürfen innerhalb eines Kantons bis zu drei unterschiedliche Regionaltarife anwenden (R1, R2, R3).</t>
  </si>
  <si>
    <t>Einige Kantone haben nur eine Region: die Krankenkassen wenden eine Einheitsprämie an (RU).</t>
  </si>
  <si>
    <r>
      <t xml:space="preserve">T 3.13 Kantonale monatliche Durchschnittsprämien pro Prämienregion </t>
    </r>
    <r>
      <rPr>
        <b/>
        <vertAlign val="superscript"/>
        <sz val="12"/>
        <rFont val="Arial"/>
        <family val="2"/>
      </rPr>
      <t>1)</t>
    </r>
  </si>
  <si>
    <r>
      <t xml:space="preserve">T 3.12  Kantonale monatliche Durchschnittsprämien pro Prämienregion </t>
    </r>
    <r>
      <rPr>
        <b/>
        <vertAlign val="superscript"/>
        <sz val="12"/>
        <rFont val="Arial"/>
        <family val="2"/>
      </rPr>
      <t>1)</t>
    </r>
  </si>
  <si>
    <t>30.07.2004</t>
  </si>
  <si>
    <t>T 8.10</t>
  </si>
  <si>
    <t>18.05.2004</t>
  </si>
  <si>
    <t>8.6.2004</t>
  </si>
  <si>
    <t>T 1.16 1.19 1.21</t>
  </si>
  <si>
    <t>in Mio. frs</t>
  </si>
  <si>
    <t>Korrigierte Tabellen (gegenüber PDF Version und der gedruckten Version) :</t>
  </si>
  <si>
    <t>T 3.07 3.08 3.09</t>
  </si>
  <si>
    <t>Verteilung der kantonalen Durchschnittsprämien für Erwachsene</t>
  </si>
  <si>
    <t>Verteilung der kantonalen Durchschnittsprämien für junge Erwachsene</t>
  </si>
  <si>
    <t>Verteilung der kantonalen Durchschnittsprämien für Kinder</t>
  </si>
  <si>
    <t>3.10</t>
  </si>
  <si>
    <t>Kantonale Durchschnittsprämien für alle Versicherte ab 1996</t>
  </si>
  <si>
    <r>
      <t xml:space="preserve">1) Effektive Kosten = (bezahlte) Leistungen der Versicherer in der OKP </t>
    </r>
    <r>
      <rPr>
        <b/>
        <sz val="10"/>
        <rFont val="Arial"/>
        <family val="2"/>
      </rPr>
      <t>ohne</t>
    </r>
    <r>
      <rPr>
        <sz val="10"/>
        <rFont val="Arial"/>
        <family val="2"/>
      </rPr>
      <t xml:space="preserve"> Kostenbeteiligung durch die Versicherten;</t>
    </r>
  </si>
  <si>
    <t>Quelle: T 2.05 - T 2.08</t>
  </si>
  <si>
    <t>401-413</t>
  </si>
  <si>
    <t>T 4.01 Anzahl BezügerInnen, BezügerInnen-Quoten, Haushalte sowie Subvention nach KVG ab 1996</t>
  </si>
  <si>
    <t>Anzahl</t>
  </si>
  <si>
    <t>Bezüger-</t>
  </si>
  <si>
    <t>Subvention</t>
  </si>
  <si>
    <t>Innen-</t>
  </si>
  <si>
    <t>Haus-</t>
  </si>
  <si>
    <t>nach KVG</t>
  </si>
  <si>
    <t>Innen</t>
  </si>
  <si>
    <t>halte</t>
  </si>
  <si>
    <t>pro Haushalt</t>
  </si>
  <si>
    <t>pro Bezüger</t>
  </si>
  <si>
    <t>in Fr.</t>
  </si>
  <si>
    <t>Quelle: T 4.02 / 4.04 / 4.10 / 4.13</t>
  </si>
  <si>
    <t>1) Angaben zu BezügerInnen und subventionierten Haushalten der Jahre 1996 und 1997 teilweise unvollständig.</t>
  </si>
  <si>
    <t>2) Anzahl BezügerInnen in Prozent der mittleren Wohnbevölkerung des entsprechenden Berichtsjahres.</t>
  </si>
  <si>
    <r>
      <t xml:space="preserve">Jahr </t>
    </r>
    <r>
      <rPr>
        <vertAlign val="superscript"/>
        <sz val="11"/>
        <rFont val="Arial"/>
        <family val="2"/>
      </rPr>
      <t>1)</t>
    </r>
  </si>
  <si>
    <r>
      <t xml:space="preserve">quote </t>
    </r>
    <r>
      <rPr>
        <vertAlign val="superscript"/>
        <sz val="11"/>
        <rFont val="Arial"/>
        <family val="2"/>
      </rPr>
      <t>2)</t>
    </r>
  </si>
  <si>
    <t>Männliche</t>
  </si>
  <si>
    <t>Weibliche</t>
  </si>
  <si>
    <t xml:space="preserve">davon </t>
  </si>
  <si>
    <t>Personen</t>
  </si>
  <si>
    <t>Ergänzungs-</t>
  </si>
  <si>
    <t>Sozialhilfe-</t>
  </si>
  <si>
    <t>Leistungen</t>
  </si>
  <si>
    <t>BezügerInnen</t>
  </si>
  <si>
    <t>Quelle: Formular BSV (PV2 - T 2.1)</t>
  </si>
  <si>
    <t>1) Anzahl Personen, an welche im Berichtsjahr eine Prämienverbilligung nach KVG ausbezahlt wurde.</t>
  </si>
  <si>
    <r>
      <t xml:space="preserve">BezügerInnen </t>
    </r>
    <r>
      <rPr>
        <vertAlign val="superscript"/>
        <sz val="11"/>
        <rFont val="Arial"/>
        <family val="2"/>
      </rPr>
      <t>1)</t>
    </r>
  </si>
  <si>
    <t>Altersgruppe</t>
  </si>
  <si>
    <t>männlich</t>
  </si>
  <si>
    <t>weiblich</t>
  </si>
  <si>
    <t>Anteil am</t>
  </si>
  <si>
    <t>Gesamt-</t>
  </si>
  <si>
    <t>total</t>
  </si>
  <si>
    <t>0 – 5</t>
  </si>
  <si>
    <t>6 – 10</t>
  </si>
  <si>
    <t>11 – 15</t>
  </si>
  <si>
    <t>16 – 18</t>
  </si>
  <si>
    <t>19 – 20</t>
  </si>
  <si>
    <t>20 – 25</t>
  </si>
  <si>
    <t>26 – 30</t>
  </si>
  <si>
    <t>31 – 35</t>
  </si>
  <si>
    <t>36 – 40</t>
  </si>
  <si>
    <t>41 – 45</t>
  </si>
  <si>
    <t>46 – 50</t>
  </si>
  <si>
    <t>51 – 55</t>
  </si>
  <si>
    <t>56 – 60</t>
  </si>
  <si>
    <t>61 – 65</t>
  </si>
  <si>
    <t>66 – 70</t>
  </si>
  <si>
    <t>71 – 75</t>
  </si>
  <si>
    <t>76 – 80</t>
  </si>
  <si>
    <t>81 – 85</t>
  </si>
  <si>
    <t>86 – 90</t>
  </si>
  <si>
    <t>91 – 95</t>
  </si>
  <si>
    <t>96 und mehr</t>
  </si>
  <si>
    <t>Alter unbekannt</t>
  </si>
  <si>
    <t>Haushaltgrösse gemäss Anzahl Haushaltsmitglieder</t>
  </si>
  <si>
    <t>Haushalte</t>
  </si>
  <si>
    <t>davon</t>
  </si>
  <si>
    <t>1 Person</t>
  </si>
  <si>
    <t>2 Perso-</t>
  </si>
  <si>
    <t>3 Perso-</t>
  </si>
  <si>
    <t>4 Perso-</t>
  </si>
  <si>
    <t>5 Perso-</t>
  </si>
  <si>
    <t>alleiner-</t>
  </si>
  <si>
    <t>nen</t>
  </si>
  <si>
    <t>nen und</t>
  </si>
  <si>
    <t>gegen.</t>
  </si>
  <si>
    <t>ziehende</t>
  </si>
  <si>
    <t>mehr</t>
  </si>
  <si>
    <t xml:space="preserve">FR </t>
  </si>
  <si>
    <t xml:space="preserve">SO </t>
  </si>
  <si>
    <t>Quelle: Formular BSV (PV2 - T 2.2)</t>
  </si>
  <si>
    <t>1) Anzahl subventionierte Haushalte im Sinne der kantonalen Regelungen zur Prämienverbilligung.</t>
  </si>
  <si>
    <t>2) Alleinerziehende Personen mit einem oder mehreren Kindern.</t>
  </si>
  <si>
    <r>
      <t xml:space="preserve">Haushalte </t>
    </r>
    <r>
      <rPr>
        <vertAlign val="superscript"/>
        <sz val="11"/>
        <rFont val="Arial"/>
        <family val="2"/>
      </rPr>
      <t>2)</t>
    </r>
  </si>
  <si>
    <t>Ausbezahlter Jahresbetrag</t>
  </si>
  <si>
    <t>1 - 600</t>
  </si>
  <si>
    <t>601 -</t>
  </si>
  <si>
    <t>1'201 -</t>
  </si>
  <si>
    <t>2'401 -</t>
  </si>
  <si>
    <t>3'601 -</t>
  </si>
  <si>
    <t>mehr als</t>
  </si>
  <si>
    <t>Jahresbe-</t>
  </si>
  <si>
    <t>Fr.</t>
  </si>
  <si>
    <t>1'200 Fr.</t>
  </si>
  <si>
    <t>2'400 Fr.</t>
  </si>
  <si>
    <t>3'600 Fr.</t>
  </si>
  <si>
    <t>4'800 Fr.</t>
  </si>
  <si>
    <t>trag un-</t>
  </si>
  <si>
    <t>bekannt</t>
  </si>
  <si>
    <t>Quelle: EFV - Verteilungsmodell für das Jahr 2002: Bundes- und Kantonsbeiträge.</t>
  </si>
  <si>
    <t>61.1+61.2</t>
  </si>
  <si>
    <t>35+35.1</t>
  </si>
  <si>
    <t>40-47+48</t>
  </si>
  <si>
    <t>1) Krankenversicherungsrechtliche Zuordnung von Personen mit Wohnsitz in einem EG- bzw. EFTA-Staat (EWG).</t>
  </si>
  <si>
    <t>Quelle: Formular EF2 [T.E]</t>
  </si>
  <si>
    <t>1) Personen mit Wohnsitz oder Aufenthalt im Ausland gemäss Art. 4 und 5 KVV aber ohne Versicherte,</t>
  </si>
  <si>
    <t xml:space="preserve">    die dem Versicherungsobligatorium unterstehen und in einem EU- oder EFTA-Staat Wohnsitz haben (T 7.06).</t>
  </si>
  <si>
    <t>Quelle: Formular EF2 [2.10]</t>
  </si>
  <si>
    <t>Quelle: Formular EF2 [2.9]</t>
  </si>
  <si>
    <t>Quelle: Formular EF2 [2.8]</t>
  </si>
  <si>
    <t>Zusatzversi-</t>
  </si>
  <si>
    <t>Kranken-</t>
  </si>
  <si>
    <t>Krankenpfle-</t>
  </si>
  <si>
    <t>cherungen</t>
  </si>
  <si>
    <t>pflegever-</t>
  </si>
  <si>
    <t>geversicherung</t>
  </si>
  <si>
    <t xml:space="preserve"> und weitere</t>
  </si>
  <si>
    <t>sicherung</t>
  </si>
  <si>
    <t>Liechten-</t>
  </si>
  <si>
    <t>mit Wohnsitz</t>
  </si>
  <si>
    <t>rungsarten</t>
  </si>
  <si>
    <t>stein</t>
  </si>
  <si>
    <t>wohnhaft</t>
  </si>
  <si>
    <t>in einem EG- bzw.</t>
  </si>
  <si>
    <t>VVG</t>
  </si>
  <si>
    <t xml:space="preserve"> im Ausland</t>
  </si>
  <si>
    <t>EFTA-Staat</t>
  </si>
  <si>
    <t>Versicherungsertrag</t>
  </si>
  <si>
    <t>davon Brutto-Prämien</t>
  </si>
  <si>
    <t>Neutraler Aufwand/Ertrag</t>
  </si>
  <si>
    <t>Total des Gesamtertrags</t>
  </si>
  <si>
    <t>Versicherungsaufwand</t>
  </si>
  <si>
    <t>davon Brutto-Leistungen</t>
  </si>
  <si>
    <t>Betriebsaufwand</t>
  </si>
  <si>
    <t>Total Vers.- und Betriebsaufwand</t>
  </si>
  <si>
    <t>Quelle: T 7.03, 7.04, 7.05, 7.06</t>
  </si>
  <si>
    <t>aufwand</t>
  </si>
  <si>
    <t xml:space="preserve">1) Zusammenzug der «Zusatzversicherungen und weitere Versicherungsarten VVG» sowie der </t>
  </si>
  <si>
    <t>«Krankenpflegeversicherung Liechtenstein», «Krankenpflegeversicherung Versicherte wohnhaft im Ausland gemäss Art 4 und 5 KVV»</t>
  </si>
  <si>
    <t>und «Krankenpflegeversicherung Versicherte mit Wohnsitz in einem EG- bzw. EFTA-Staat» ab 2002.</t>
  </si>
  <si>
    <t>2) Vorjahresvergleiche sind nur mit Vorbehalt möglich, da jene Zusatzversicherungen VAG, welche auch unternehmensrechtlich</t>
  </si>
  <si>
    <t>vom KVG-Bereich eines Versicherers abgetrennt werden, sich der Sicht der BSV-Krankenversicherungsstatistik entziehen.</t>
  </si>
  <si>
    <t>3) Schätzungen für die Jahre 1994 und 1995.</t>
  </si>
  <si>
    <t>Quelle: T 7.02</t>
  </si>
  <si>
    <r>
      <t xml:space="preserve">T 7.01  Ertrag, Aufwand und Ergebnis der anderen Versicherungen insgesamt </t>
    </r>
    <r>
      <rPr>
        <b/>
        <vertAlign val="superscript"/>
        <sz val="12"/>
        <rFont val="Arial"/>
        <family val="2"/>
      </rPr>
      <t>1)</t>
    </r>
    <r>
      <rPr>
        <b/>
        <sz val="12"/>
        <rFont val="Arial"/>
        <family val="2"/>
      </rPr>
      <t xml:space="preserve"> in Fr. ab 1994</t>
    </r>
  </si>
  <si>
    <r>
      <t xml:space="preserve">ertrags </t>
    </r>
    <r>
      <rPr>
        <vertAlign val="superscript"/>
        <sz val="11"/>
        <rFont val="Arial"/>
        <family val="2"/>
      </rPr>
      <t>3)</t>
    </r>
  </si>
  <si>
    <r>
      <t xml:space="preserve">ergebnis </t>
    </r>
    <r>
      <rPr>
        <vertAlign val="superscript"/>
        <sz val="11"/>
        <rFont val="Arial"/>
        <family val="2"/>
      </rPr>
      <t>3)</t>
    </r>
  </si>
  <si>
    <t>7: Andere Versicherungen der vom BSV anerkannten Krankenversicherer</t>
  </si>
  <si>
    <t>Ertrag, Aufwand und Ergebnis der anderen Versicherungen insgesamt ab 1994</t>
  </si>
  <si>
    <t>T 1.27  Betriebsrechnung der obligatorischen Krankenpflegeversicherung KVG insgesamt 1) 2002</t>
  </si>
  <si>
    <t>T 1.40  Leistungen (brutto) in Fr. je versicherte Person nach Versicherungsform und Geschlecht / Kinder 2002</t>
  </si>
  <si>
    <t>T 1.39  Leistungen (brutto) in Fr. nach Versicherungsform und Geschlecht / Kinder 2002</t>
  </si>
  <si>
    <t>T 1.38  Verteilung der Versicherungsformen in % nach Kanton - Versicherte 0-18 Jahre - 2002</t>
  </si>
  <si>
    <t>T 1.36 Verteilung der Versicherungsformen in % nach Kanton - Versicherte ab 19 Jahren - 2002</t>
  </si>
  <si>
    <t>T 1.31  Betriebsrechnung der Versicherungen mit eingeschränkter Wahl des Leistungserbringers 2002</t>
  </si>
  <si>
    <t>und Geschlecht 2002</t>
  </si>
  <si>
    <t xml:space="preserve">Leistungen (brutto) in Fr. nach Versicherungsform und Geschlecht / Kinder </t>
  </si>
  <si>
    <t xml:space="preserve">Leistungen (brutto) in Fr. je versicherte Person nach Versicherungsform und Geschlecht / Kinder </t>
  </si>
  <si>
    <t>Prämiensoll, Kostenbeteiligung (KOBE) und netto Leistungen in der OKP ab 1985</t>
  </si>
  <si>
    <t>Versichertenbestand nach Geschlecht / Kinder ab 1995</t>
  </si>
  <si>
    <t>Obligatorische Krankenpflegeversicherung ab 1996: wichtigste Indikatoren</t>
  </si>
  <si>
    <t>T 1.10  Prämiensoll in Fr. je versicherte Person nach Versicherungsform ab 1994</t>
  </si>
  <si>
    <t>Ordentliche</t>
  </si>
  <si>
    <t>Wählbare</t>
  </si>
  <si>
    <t>BONUS-</t>
  </si>
  <si>
    <t>Einge-</t>
  </si>
  <si>
    <t xml:space="preserve">  Jahres-</t>
  </si>
  <si>
    <t xml:space="preserve"> Jahres-</t>
  </si>
  <si>
    <t>Versiche-</t>
  </si>
  <si>
    <t>schränk-</t>
  </si>
  <si>
    <t>franchise</t>
  </si>
  <si>
    <t>franchisen</t>
  </si>
  <si>
    <t>te Wahl</t>
  </si>
  <si>
    <t xml:space="preserve"> (z.B. HMO)</t>
  </si>
  <si>
    <t>1) Vgl. Fussnote 1) von Tabelle 1.09.</t>
  </si>
  <si>
    <t>Quelle: T 1.12</t>
  </si>
  <si>
    <t>T 1.09  Prämiensoll in Fr. nach Versicherungsform ab 1994</t>
  </si>
  <si>
    <t>1) Der Wechsel auf das Subventionierungssystem mit individueller Prämienverbilligung unter dem KVG führte technisch zu einem</t>
  </si>
  <si>
    <t>relativ höheren Prämiensoll der Versicherer; dieser Effekt ist beim Anstieg des Prämiensolls von 1995 auf 1996 zu berücksichtigen.</t>
  </si>
  <si>
    <t>2) Vgl. Fussnote 3) von Tabelle 1.02.</t>
  </si>
  <si>
    <t>Quelle: T 1.11</t>
  </si>
  <si>
    <r>
      <t xml:space="preserve">Jahr </t>
    </r>
    <r>
      <rPr>
        <vertAlign val="superscript"/>
        <sz val="11"/>
        <rFont val="Arial"/>
        <family val="2"/>
      </rPr>
      <t>1) 2)</t>
    </r>
  </si>
  <si>
    <t>Merkmal</t>
  </si>
  <si>
    <t>Erkrankte je 100 Versicherte</t>
  </si>
  <si>
    <t>Einweisungen je 100 Versicherte</t>
  </si>
  <si>
    <t>Spitaltage je 100 Versicherte</t>
  </si>
  <si>
    <t>Spitaltage je Einweisung</t>
  </si>
  <si>
    <t>1) Anzahl versicherte Personen, welche im Berichtsjahr mindestens einmal ambulante oder stationäre Kosten verursacht haben.</t>
  </si>
  <si>
    <t>2) 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</si>
  <si>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</si>
  <si>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</si>
  <si>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3) Die Werte für 1996 wurden revidiert. Sie wurden mittels der Veränderungen 1996/97 der Erwachsenenprämie geschätzt.</t>
  </si>
  <si>
    <r>
      <t xml:space="preserve">T 3.03 Kantonale monatliche Durchschnittsprämien </t>
    </r>
    <r>
      <rPr>
        <b/>
        <vertAlign val="superscript"/>
        <sz val="12"/>
        <rFont val="Arial"/>
        <family val="2"/>
      </rPr>
      <t>1)</t>
    </r>
    <r>
      <rPr>
        <b/>
        <sz val="12"/>
        <rFont val="Arial"/>
        <family val="2"/>
      </rPr>
      <t xml:space="preserve"> für junge Erwachsene </t>
    </r>
    <r>
      <rPr>
        <b/>
        <vertAlign val="superscript"/>
        <sz val="12"/>
        <rFont val="Arial"/>
        <family val="2"/>
      </rPr>
      <t>2)</t>
    </r>
    <r>
      <rPr>
        <b/>
        <sz val="12"/>
        <rFont val="Arial"/>
        <family val="2"/>
      </rPr>
      <t xml:space="preserve"> (19 – 25 Jahre)</t>
    </r>
  </si>
  <si>
    <t>3) Die Werte für 1996 / 97 wurden revidiert. Diese Werte sind infolge teilweise unvollständiger Daten mit Zurückhaltung zu interpretieren.</t>
  </si>
  <si>
    <t xml:space="preserve">     </t>
  </si>
  <si>
    <r>
      <t xml:space="preserve">T 3.02 Kantonale Durchschnittsprämien </t>
    </r>
    <r>
      <rPr>
        <b/>
        <vertAlign val="superscript"/>
        <sz val="12"/>
        <rFont val="Arial"/>
        <family val="2"/>
      </rPr>
      <t>1)</t>
    </r>
    <r>
      <rPr>
        <b/>
        <sz val="12"/>
        <rFont val="Arial"/>
        <family val="2"/>
      </rPr>
      <t xml:space="preserve"> für Erwachsene: Vorjahresveränderungen in % ab 1997</t>
    </r>
  </si>
  <si>
    <t>1) Ausgewiesen wird die geschätzte monatliche Durchschnittsprämie in Franken; die Berechnungen beruhen auf den Prämientarifen</t>
  </si>
  <si>
    <t xml:space="preserve"> inklusive Unfalldeckung der ordentlichen Franchise und auf den Versichertenbeständen nach Kantonen und nach Prämienregionen.</t>
  </si>
  <si>
    <t xml:space="preserve"> Die Tarife der Versicherungsmodelle mit wählbarer Franchise, Bonus oder eingeschränkter Wahl des</t>
  </si>
  <si>
    <t xml:space="preserve">Leistungserbringers wurden hier nicht berücksichtigt. </t>
  </si>
  <si>
    <t>2)  Die Werte für 1996 wurden revidiert. Diese Werte beziehen sich auf das KVG-Einführungsjahr</t>
  </si>
  <si>
    <t>und sind infolge teilweise unvollständiger Daten mit Zurückhaltung zu interpretieren.</t>
  </si>
  <si>
    <r>
      <t xml:space="preserve">T 3.01 Kantonale monatliche Durchschnittsprämien </t>
    </r>
    <r>
      <rPr>
        <b/>
        <vertAlign val="superscript"/>
        <sz val="12"/>
        <rFont val="Arial"/>
        <family val="2"/>
      </rPr>
      <t>1)</t>
    </r>
    <r>
      <rPr>
        <b/>
        <sz val="12"/>
        <rFont val="Arial"/>
        <family val="2"/>
      </rPr>
      <t xml:space="preserve"> für Erwachsene (26 J. und älter) in Fr. ab 1996</t>
    </r>
  </si>
  <si>
    <t>T 2.08  Effektive Kosten 1) in Fr. pro Versicherten pro Versicherungsmonat nach Kantonen 2002</t>
  </si>
  <si>
    <t>T 2.01  Nettozahler und Nettoempfänger 1993 – 2002</t>
  </si>
  <si>
    <t>T 2.02 Bruttoumverteilung und Nettoumverteilung in Mio. Fr. 1993 – 2002</t>
  </si>
  <si>
    <t>T 2.03  Durchschnittlicher Versichertenbestand 1) nach Kantonen 2002</t>
  </si>
  <si>
    <t>a) Quelle T 9.18. Schätzungen basierend auf T 1.43; Zusatzversicherungen: Entwicklung gemäss durchschnittl. jährl. Veränderung 1997-2002.</t>
  </si>
  <si>
    <t>b) Übriger Versicherungsaufwand gemäss Kosten des Gesundheitswesens, BFS. Quelle: T 1.27 [34]  und T 7.03 [34] + Schätzungskorrekturen.</t>
  </si>
  <si>
    <t>d) Quelle: Kosten des Gesundheitswesens [nach Leistungserbringern und Direktzahlern], BFS. Schätzungen: basierend auf dem 2001 festgestellten Verhältnis [d) / a)].</t>
  </si>
  <si>
    <t>e) Schätzungen: basierend auf dem 2001 festgestellten Verhältnis [e) / a)].</t>
  </si>
  <si>
    <t>f) Quelle: T 1.27 [32]; T 7.03 [32], keine Informationen für Privatversicherer.</t>
  </si>
  <si>
    <t>Schätzungen basierend auf T 1.34; Zusatzversicherungen: Verhältnis [f) / a)] aus dem Jahr 2002.</t>
  </si>
  <si>
    <t>h) Quelle: T 1.18. Schätzungen basierend auf T 1.43 - 75 Mio. Franken (Abzüge); Zusatzversicherungen: Entwicklung gemäss durchschnittl. Jahresveränderung 1997-2002.</t>
  </si>
  <si>
    <t>j) Finanzierungssaldo: Differenz zwischen den Leistungen III der Versicherer an das Gesundheitswesen und den Prämieneinzahlungen der Haushalte.</t>
  </si>
  <si>
    <t xml:space="preserve">    Aus der Sicht des Finanzgleichgewichts handelt es sich um die Kapitaleinkommen, die ausserordentlichen Einkommen, die Gewinne und die Veränderungen von Reserven.</t>
  </si>
  <si>
    <t xml:space="preserve">    Ein positiver Saldo bedeutet grundsätzlich einen Abbau, ein negativer Saldo eine Erhöhung der Reserven.</t>
  </si>
  <si>
    <t>1) Ohne Taggelder (für Verdienstausfall) KVG oder VVG.</t>
  </si>
  <si>
    <t>2) ~ 20% der Leistungen der Privatversicherer (Quelle BPV), basierend auf dem 1998-99 festgestellten</t>
  </si>
  <si>
    <t xml:space="preserve">       Verhältnis "Verwaltungskosten + Prävention / Leistungen" für die Zusatzversicherungen der KVG-Versicherer.</t>
  </si>
  <si>
    <r>
      <t xml:space="preserve">  b) Übriger Aufwand </t>
    </r>
    <r>
      <rPr>
        <b/>
        <sz val="10"/>
        <rFont val="Tms Rmn"/>
      </rPr>
      <t>(=c-a)</t>
    </r>
  </si>
  <si>
    <r>
      <t xml:space="preserve">  c) Leistungen II </t>
    </r>
    <r>
      <rPr>
        <b/>
        <sz val="10"/>
        <rFont val="Tms Rmn"/>
      </rPr>
      <t>(=a+b oder e-d)</t>
    </r>
  </si>
  <si>
    <r>
      <t xml:space="preserve">  i) Gesamtbeitrag </t>
    </r>
    <r>
      <rPr>
        <b/>
        <sz val="10"/>
        <rFont val="Tms Rmn"/>
      </rPr>
      <t>(=h+f)</t>
    </r>
  </si>
  <si>
    <r>
      <t xml:space="preserve">Werte 2002-2003-2004: Schätzung BSV </t>
    </r>
    <r>
      <rPr>
        <b/>
        <i/>
        <sz val="10"/>
        <rFont val="Tms Rmn"/>
      </rPr>
      <t>(kursiv).</t>
    </r>
  </si>
  <si>
    <t>Rückstellungen für unerledigte Versicherungsfälle</t>
  </si>
  <si>
    <t>30-35</t>
  </si>
  <si>
    <t>Brutto-Leistungen</t>
  </si>
  <si>
    <t>Leistungsanteile der Rückversicherer (-)</t>
  </si>
  <si>
    <t>Risikoausgleich</t>
  </si>
  <si>
    <t>Total Versicherungsaufwand</t>
  </si>
  <si>
    <t>40-48</t>
  </si>
  <si>
    <t>Verwaltungsaufwand / Abschreibungen</t>
  </si>
  <si>
    <t>Sonstige Betriebsaufwendungen</t>
  </si>
  <si>
    <t>Total Betriebsaufwand</t>
  </si>
  <si>
    <t>3/4</t>
  </si>
  <si>
    <t>Total Versicherungs- und Betriebsaufwand</t>
  </si>
  <si>
    <t>Versicherungsbetriebsergebnis</t>
  </si>
  <si>
    <t>Neutraler Aufwand / Ertrag</t>
  </si>
  <si>
    <t>Verteilung der Versicherungsformen in % - Versicherte 0-18 Jahre seit 1997</t>
  </si>
  <si>
    <t xml:space="preserve">Verteilung der Versicherungsformen in % nach Kanton - Versicherte 0-18 Jahre </t>
  </si>
  <si>
    <t>Datenstand: 20.10.03</t>
  </si>
  <si>
    <t>T 1.08  Erkrankte, Spitaleinweisungen und Spitaltage nach Geschlecht / Kinder 2002</t>
  </si>
  <si>
    <t>T 1.06  Versichertenbestand nach Versicherungsform und Geschlecht / Kinder per 31.12.2002</t>
  </si>
  <si>
    <t>T 1.04  Versichertenbestand 1) nach Alter und Geschlecht per 31.12.2002</t>
  </si>
  <si>
    <t>T 1.03  Versichertenbestand nach Wohnkanton per 31.12.2002</t>
  </si>
  <si>
    <t>T 1.18  Leistungen (brutto) in Fr. je versicherte Person nach Kostengruppen und Geschlecht / Kinder 2002 - 2004</t>
  </si>
  <si>
    <t>T 1.16  Leistungen (brutto) in Fr. nach Kostengruppen und Geschlecht / Kinder 2002 - 2004</t>
  </si>
  <si>
    <t>2) Werte 1994 - 1997 teilweise geschätzt, Werte 1999 mit Datenstand Oktober 2001 revidiert.</t>
  </si>
  <si>
    <t>Quelle: T 1.16</t>
  </si>
  <si>
    <r>
      <t>T 1.15  Leistungen (brutto) in Fr. nach Kostengruppen</t>
    </r>
    <r>
      <rPr>
        <b/>
        <sz val="12"/>
        <rFont val="Arial"/>
        <family val="2"/>
      </rPr>
      <t xml:space="preserve"> ab 1994</t>
    </r>
  </si>
  <si>
    <r>
      <t xml:space="preserve">Jahr </t>
    </r>
    <r>
      <rPr>
        <vertAlign val="superscript"/>
        <sz val="11"/>
        <rFont val="Arial"/>
        <family val="2"/>
      </rPr>
      <t>2</t>
    </r>
  </si>
  <si>
    <t>T 1.14  Leistungen (brutto) in Fr. je versicherte Person nach Versicherungsform ab 1994</t>
  </si>
  <si>
    <t>Quelle: T 1.40</t>
  </si>
  <si>
    <t>T 1.13  Leistungen (brutto) in Fr. nach Versicherungsform ab 1994</t>
  </si>
  <si>
    <t>Quelle: T 1.39</t>
  </si>
  <si>
    <t>calculé</t>
  </si>
  <si>
    <t>Abweichung</t>
  </si>
  <si>
    <t>vom Gesamt-</t>
  </si>
  <si>
    <t>durchschnitt</t>
  </si>
  <si>
    <t>Quelle: T 1.11 / T 1.06</t>
  </si>
  <si>
    <t>Quelle: Formular EF3 [T 3.4]</t>
  </si>
  <si>
    <t>1) Siehe Fussnote 1) in T 1.27</t>
  </si>
  <si>
    <t>Quelle: Formular EF2 [ 2.4]</t>
  </si>
  <si>
    <t>Quelle: Formular EF2 [ 2.3]</t>
  </si>
  <si>
    <t>Quelle: Formular EF2 [ 2.2 ]</t>
  </si>
  <si>
    <t>Quelle: Formular EF2 [Summe 2.2 bis 2.7]</t>
  </si>
  <si>
    <t>T 1.26  Gesamtbetriebsergebnis in Fr. je versicherte Person nach Versicherungsform ab 1994</t>
  </si>
  <si>
    <t>Quelle: T 1.25 / T 1.05</t>
  </si>
  <si>
    <t>9: Zusatzinformationen zum Gesundheitswesen</t>
  </si>
  <si>
    <t xml:space="preserve">Gesundheitskosten ausgewählter OECD–Länder in % des BIP ab 1960 </t>
  </si>
  <si>
    <t>Kosten des Gesundheitswesens in der Schweiz nach Direktzahler ab 1985</t>
  </si>
  <si>
    <t>Kosten des Gesundheitswesens in der Schweiz nach Leistungserbringer ab 1985</t>
  </si>
  <si>
    <t>Kosten des Gesundheitswesens in der Schweiz nach Leistungen ab 1985</t>
  </si>
  <si>
    <t>Kosten des Gesundheitswesens in der Schweiz aus der Sicht der Volkswirtschaft ab 1985</t>
  </si>
  <si>
    <t>Finanzströme im schweizerischen Gesundheitswesen ab 1996</t>
  </si>
  <si>
    <t>Finanzströme im schweizerischen Gesundheitswesen in % des Totals der Kosten des Gesunheitswesens ab 1996</t>
  </si>
  <si>
    <t>Details des Finanzierungssaldos in Millionen Fr. ab 1996</t>
  </si>
  <si>
    <t>Wohnbevölkerung, Ärzte mit Praxistätigkeit und Apotheken nach Kantonen</t>
  </si>
  <si>
    <t xml:space="preserve">Entwicklung der Wohnbevölkerung, der Ärzte mit Praxistätigkeit und der Apotheken ab 1985 </t>
  </si>
  <si>
    <t>Aufteilung der Versicherten nach Art der Spitalzusatzversicherungen ab 1994</t>
  </si>
  <si>
    <t xml:space="preserve">Entwicklung der Preisindizes für Gesundheitspflege ab 1985 </t>
  </si>
  <si>
    <t>Vorjahresveränderung in % der Preisindizes für Gesundheitspflege ab 1985</t>
  </si>
  <si>
    <t xml:space="preserve">Entwicklung der Indizes der Krankenpflegekosten, der Löhne sowie der Preise ab 1985 </t>
  </si>
  <si>
    <t>Krankenversicherungsprämienindex nach Versicherungsart für die Schweiz ab 1996</t>
  </si>
  <si>
    <t>Krankenversicherung bei den privaten Versicherungsunternehmungen ab 1985</t>
  </si>
  <si>
    <t>Taggeldversicherung KVG / VVG ab 1991</t>
  </si>
  <si>
    <t>Krankenversicherung (KVG-Versicherer und Privatversicherer) ab 1991</t>
  </si>
  <si>
    <t xml:space="preserve"> - Paramedizinische Leistungen: Kostenermittlung nach den typischen Leistungen in den Bereichen Physiotherapie, Labor und Spitex. </t>
  </si>
  <si>
    <t>Quelle: BFS, Sektion Preise und Verbrauch.</t>
  </si>
  <si>
    <r>
      <t xml:space="preserve">T 9.12  Entwicklung der Preisindizes für Gesundheitspflege ab 1985 </t>
    </r>
    <r>
      <rPr>
        <b/>
        <vertAlign val="superscript"/>
        <sz val="12"/>
        <rFont val="Arial"/>
        <family val="2"/>
      </rPr>
      <t>1</t>
    </r>
  </si>
  <si>
    <t>T 9.11 Versicherten mit einer Spitalzusatzversicherungen ab 1994</t>
  </si>
  <si>
    <t>Versicherten-</t>
  </si>
  <si>
    <t xml:space="preserve">   KVG Versicherer </t>
  </si>
  <si>
    <t xml:space="preserve">   Total der Versicherer </t>
  </si>
  <si>
    <t xml:space="preserve">   (KVG + private Versicherer)</t>
  </si>
  <si>
    <t>OKP</t>
  </si>
  <si>
    <t>per 31.12</t>
  </si>
  <si>
    <t>Halbprivat</t>
  </si>
  <si>
    <t>Privat</t>
  </si>
  <si>
    <t>(A)</t>
  </si>
  <si>
    <t>ganze CH</t>
  </si>
  <si>
    <t>in % von A</t>
  </si>
  <si>
    <t>Datenstand: 25.11.2003</t>
  </si>
  <si>
    <t>Fonds</t>
  </si>
  <si>
    <t>– Reglementierte Fonds</t>
  </si>
  <si>
    <t>– Immobilien (Renovationen, Umbauten)</t>
  </si>
  <si>
    <t>– EDV-Projekte</t>
  </si>
  <si>
    <t>Eigenkapital</t>
  </si>
  <si>
    <t>– Reserven Taggeldversicherung nach KVG</t>
  </si>
  <si>
    <t>– Reserven Aktive Rückversicherung</t>
  </si>
  <si>
    <t>– Zusatzversicherung VVG, inkl. Taggeld VVG</t>
  </si>
  <si>
    <t>– Einkaufssummen fusionierter Versicherer</t>
  </si>
  <si>
    <t>Total Passiven</t>
  </si>
  <si>
    <t>Quelle: Formular EF1 [4,5]</t>
  </si>
  <si>
    <t>Umlaufvermögen</t>
  </si>
  <si>
    <t>Flüssige Mittel</t>
  </si>
  <si>
    <t>Forderungen bei Versicherten</t>
  </si>
  <si>
    <t>– Forderungen bei Versicherten brutto</t>
  </si>
  <si>
    <t>– Wertberichtigung / Delkredere (–)</t>
  </si>
  <si>
    <t>Forderungen bei Partnern</t>
  </si>
  <si>
    <t>– Forderungen bei Partnern brutto</t>
  </si>
  <si>
    <t>Forderungen bei Rückversicherern</t>
  </si>
  <si>
    <t>Forderungen von Subventionen, Prämienverbilligung, Risikoausgleich und anderen Beiträgen</t>
  </si>
  <si>
    <t>Vorausbezahlte Versicherungsleistungen, Regress und Rückerstattungsansprüche</t>
  </si>
  <si>
    <t>Uebrige Forderungen und aktive Rechnungsabgrenzung</t>
  </si>
  <si>
    <t>Anlagevermögen</t>
  </si>
  <si>
    <t>Kapitalanlagen</t>
  </si>
  <si>
    <t>– Kapitalanlagen brutto</t>
  </si>
  <si>
    <t>– Wertberichtigung (–)</t>
  </si>
  <si>
    <t>Grundstücke und Gebäude</t>
  </si>
  <si>
    <t>– Grundstücke und Gebäude brutto</t>
  </si>
  <si>
    <t>Betriebseinrichtungen und Fahrzeuge</t>
  </si>
  <si>
    <t>– Betriebseinrichtungen und Fahrzeuge brutto</t>
  </si>
  <si>
    <t>Total Aktiven</t>
  </si>
  <si>
    <t>Quelle: Formular EF1 [3]</t>
  </si>
  <si>
    <t>beitrag</t>
  </si>
  <si>
    <r>
      <t xml:space="preserve">in Fr. </t>
    </r>
    <r>
      <rPr>
        <vertAlign val="superscript"/>
        <sz val="11"/>
        <rFont val="Arial"/>
        <family val="2"/>
      </rPr>
      <t>2)</t>
    </r>
  </si>
  <si>
    <t xml:space="preserve">     Der Anteil der Kollektivversicherung (Prämien und Leistungen) umfasst mehr als 90 %.</t>
  </si>
  <si>
    <r>
      <t>Total</t>
    </r>
    <r>
      <rPr>
        <b/>
        <vertAlign val="superscript"/>
        <sz val="11"/>
        <rFont val="Arial"/>
        <family val="2"/>
      </rPr>
      <t xml:space="preserve"> 3</t>
    </r>
  </si>
  <si>
    <r>
      <t xml:space="preserve">Total </t>
    </r>
    <r>
      <rPr>
        <b/>
        <vertAlign val="superscript"/>
        <sz val="11"/>
        <rFont val="Arial"/>
        <family val="2"/>
      </rPr>
      <t>3</t>
    </r>
  </si>
  <si>
    <r>
      <t xml:space="preserve">VVG </t>
    </r>
    <r>
      <rPr>
        <vertAlign val="superscript"/>
        <sz val="11"/>
        <rFont val="Arial"/>
        <family val="2"/>
      </rPr>
      <t>2</t>
    </r>
  </si>
  <si>
    <r>
      <t xml:space="preserve">VVG </t>
    </r>
    <r>
      <rPr>
        <vertAlign val="superscript"/>
        <sz val="11"/>
        <rFont val="Arial"/>
        <family val="2"/>
      </rPr>
      <t>4</t>
    </r>
  </si>
  <si>
    <r>
      <t xml:space="preserve">KVG </t>
    </r>
    <r>
      <rPr>
        <vertAlign val="superscript"/>
        <sz val="11"/>
        <rFont val="Arial"/>
        <family val="2"/>
      </rPr>
      <t>1</t>
    </r>
  </si>
  <si>
    <r>
      <t xml:space="preserve">T 9.16 Krankenversicherung bei den privaten Versicherungsunternehmungen </t>
    </r>
    <r>
      <rPr>
        <b/>
        <sz val="12"/>
        <rFont val="Arial"/>
        <family val="2"/>
      </rPr>
      <t>ab 1985 in Mio. Fr.</t>
    </r>
  </si>
  <si>
    <t>mit</t>
  </si>
  <si>
    <t>krankenver-</t>
  </si>
  <si>
    <t>1) Prämien = verdiente Prämien brutto; Leistungen = Zahlungen für Versicherungsfälle brutto.</t>
  </si>
  <si>
    <t xml:space="preserve">   Die Zuzatzversicherungen gemäss VVG der KVG-Versicherer (Krankenkassen) ab 1996 sind in diesen Zahlen nicht inbegriffen.</t>
  </si>
  <si>
    <t>2) Prämien und Leistungen ohne Taggeldversicherung.</t>
  </si>
  <si>
    <t>Quelle: Bundesamt für Privatversicherungswesen (BPV).</t>
  </si>
  <si>
    <r>
      <t xml:space="preserve">Prämien </t>
    </r>
    <r>
      <rPr>
        <b/>
        <vertAlign val="superscript"/>
        <sz val="11"/>
        <rFont val="Arial"/>
        <family val="2"/>
      </rPr>
      <t>1</t>
    </r>
  </si>
  <si>
    <r>
      <t xml:space="preserve">Leistungen </t>
    </r>
    <r>
      <rPr>
        <b/>
        <vertAlign val="superscript"/>
        <sz val="11"/>
        <rFont val="Arial"/>
        <family val="2"/>
      </rPr>
      <t>1</t>
    </r>
  </si>
  <si>
    <r>
      <t xml:space="preserve">      Krankenpflegeversicherung</t>
    </r>
    <r>
      <rPr>
        <b/>
        <vertAlign val="superscript"/>
        <sz val="11"/>
        <rFont val="Arial"/>
        <family val="2"/>
      </rPr>
      <t xml:space="preserve"> 2</t>
    </r>
  </si>
  <si>
    <r>
      <t xml:space="preserve">      Krankenpflegeversicherung </t>
    </r>
    <r>
      <rPr>
        <b/>
        <vertAlign val="superscript"/>
        <sz val="11"/>
        <rFont val="Arial"/>
        <family val="2"/>
      </rPr>
      <t>2</t>
    </r>
  </si>
  <si>
    <r>
      <t xml:space="preserve">   Vor 1991 sind keine Zahlen verfügbar; </t>
    </r>
    <r>
      <rPr>
        <i/>
        <sz val="10"/>
        <rFont val="Arial"/>
        <family val="2"/>
      </rPr>
      <t>1992-1996:  Schätzungen  BSV (kursiv).</t>
    </r>
  </si>
  <si>
    <t>T 9.15 Krankenversicherungsprämienindex nach Versicherungsart für die Schweiz ab 1996 (Basis 1999 = 100)</t>
  </si>
  <si>
    <t>Junge</t>
  </si>
  <si>
    <t>Spital</t>
  </si>
  <si>
    <t>allgemein</t>
  </si>
  <si>
    <t>halbprivat</t>
  </si>
  <si>
    <t>privat</t>
  </si>
  <si>
    <t>(19-25 Jahre)</t>
  </si>
  <si>
    <t>(ganze CH)</t>
  </si>
  <si>
    <t>Veränderung gegenüber dem Vorjahr</t>
  </si>
  <si>
    <t>1) Quelle: BFS, Sektion Preise und Verbrauch. Index berechnet seit 1999.</t>
  </si>
  <si>
    <t>2) Die Werte für 1996 wurden geschätzt auf der Basis der Veränderung 1996/97 der Durchschnittsprämien der Erwachsenen.</t>
  </si>
  <si>
    <t>3) Gesamtindex basierend auf einer Gewichtung mit den Versichertenbeständen.</t>
  </si>
  <si>
    <t>für junge Erwachsene (19 -25 Jahre) in Franken für 2004</t>
  </si>
  <si>
    <t>T 9.09  Wohnbevölkerung, Aerzte mit Praxistätigkeit und Apotheken nach Kantonen 2002</t>
  </si>
  <si>
    <t>Quelle: OECD Gesundheitsdaten 2003</t>
  </si>
  <si>
    <t>Über den Risikoausgleich erhalten Versicherer mit überdurchschnittlich kostenverursachenden Versi­cherten (Frauen, ältere Personen) Beiträge, welche von den Versicherern mit unterdurchschnittlich kos­tenverursachenden Versi­cherten (Männer, jüngere Personen) finanziert werden. Eine positive Prozent­zahl bedeutet, dass der Versicherer in den Risikoausgleich einzahlen muss, ein negativer Wert steht bei Versicherern, welche aus dem Risikoausgleich Mittel beziehen können.</t>
  </si>
  <si>
    <t>501-503</t>
  </si>
  <si>
    <t xml:space="preserve">Kostenbeteiligung 1) in Fr. pro Versicherten pro Jahr nach Altersgruppen </t>
  </si>
  <si>
    <t>Quelle: T 2.06 - T 2.09</t>
  </si>
  <si>
    <t>1) Berücksichtigt nur die bei dem Versicherer eingereichten Rechnungen</t>
  </si>
  <si>
    <t>T 2.09</t>
  </si>
  <si>
    <t xml:space="preserve">Effektive Kosten 1) in Fr. pro Versicherten pro Versicherungsmonat nach Altersgruppen </t>
  </si>
  <si>
    <r>
      <t xml:space="preserve">1) Effektive Kosten = (bezahlte) Leistungen der Versicherer in der OKP </t>
    </r>
    <r>
      <rPr>
        <b/>
        <sz val="10"/>
        <rFont val="Arial"/>
        <family val="2"/>
      </rPr>
      <t>ohne</t>
    </r>
    <r>
      <rPr>
        <sz val="10"/>
        <rFont val="Arial"/>
        <family val="2"/>
      </rPr>
      <t xml:space="preserve"> Kostenbeteiligung durch die Versicherten.</t>
    </r>
  </si>
  <si>
    <t>Kanton</t>
  </si>
  <si>
    <t>Kinder</t>
  </si>
  <si>
    <t>Männer</t>
  </si>
  <si>
    <t>Frauen</t>
  </si>
  <si>
    <t>Erwach-</t>
  </si>
  <si>
    <t>Kinder und</t>
  </si>
  <si>
    <t>sene</t>
  </si>
  <si>
    <t>Erwachsene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</si>
  <si>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</si>
  <si>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</si>
  <si>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</si>
  <si>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</si>
  <si>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</si>
  <si>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</si>
  <si>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</si>
  <si>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</si>
  <si>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</si>
  <si>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</si>
  <si>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</si>
  <si>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</si>
  <si>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</si>
  <si>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</si>
  <si>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</si>
  <si>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</si>
  <si>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</si>
  <si>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</si>
  <si>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</si>
  <si>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</si>
  <si>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</si>
  <si>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</si>
  <si>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</si>
  <si>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</si>
  <si>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</si>
  <si>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</si>
  <si>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CH</t>
  </si>
  <si>
    <t>Quelle: T 2.07 / T 2.03</t>
  </si>
  <si>
    <t>Aus-</t>
  </si>
  <si>
    <t>Netto-</t>
  </si>
  <si>
    <t>Anteil</t>
  </si>
  <si>
    <t>gleichs-</t>
  </si>
  <si>
    <t>am Total</t>
  </si>
  <si>
    <t>1) 1993 - 1995: Risikoausgleich in der Krankenpflegegrundversicherung gemäss KUVG.</t>
  </si>
  <si>
    <t>2) Anzahl Versicherer, die für das Ausgleichsjahr eine Abgabe an den Risikoausgleich leisten mussten (Nettozahler), resp.</t>
  </si>
  <si>
    <t>einen Beitrag aus dem Risikoausgleich erhielten (Nettoempfänger).</t>
  </si>
  <si>
    <r>
      <t xml:space="preserve">zahler </t>
    </r>
    <r>
      <rPr>
        <vertAlign val="superscript"/>
        <sz val="11"/>
        <rFont val="Arial"/>
        <family val="2"/>
      </rPr>
      <t>2)</t>
    </r>
  </si>
  <si>
    <r>
      <t xml:space="preserve">empfänger </t>
    </r>
    <r>
      <rPr>
        <vertAlign val="superscript"/>
        <sz val="11"/>
        <rFont val="Arial"/>
        <family val="2"/>
      </rPr>
      <t>2)</t>
    </r>
  </si>
  <si>
    <r>
      <t xml:space="preserve">jahr </t>
    </r>
    <r>
      <rPr>
        <vertAlign val="superscript"/>
        <sz val="11"/>
        <rFont val="Arial"/>
        <family val="2"/>
      </rPr>
      <t>1)</t>
    </r>
  </si>
  <si>
    <t>nach Ge-</t>
  </si>
  <si>
    <t>nach</t>
  </si>
  <si>
    <t>zwischen</t>
  </si>
  <si>
    <t>9 + 9/1 + 9/3) Reserven (in Mio. Fr., pro versicherte Person in Fr., in % des Prämiensolls)</t>
  </si>
  <si>
    <t>Versicherte</t>
  </si>
  <si>
    <t>bis 100</t>
  </si>
  <si>
    <t>bis 500</t>
  </si>
  <si>
    <t>bis 1000</t>
  </si>
  <si>
    <t>bis 2500</t>
  </si>
  <si>
    <t>bis 5000</t>
  </si>
  <si>
    <t>bis 10'000</t>
  </si>
  <si>
    <t>bis 50'000</t>
  </si>
  <si>
    <t>bis 250'000</t>
  </si>
  <si>
    <t>ab 250'000</t>
  </si>
  <si>
    <t>Minimale Reserve in %</t>
  </si>
  <si>
    <t>Dabei dürfen Versicherer mit einer entsprechenden Rückversicherung oder Defizitgarantie den Mindestsatz der Reserven unterschreiten.</t>
  </si>
  <si>
    <t>Quelle: Formulare BSV EF 1 2 3</t>
  </si>
  <si>
    <t xml:space="preserve">EF1 Seite 12 Zeile 1 Spalte 4 nur wenn &gt; 0 </t>
  </si>
  <si>
    <t>EF2 Kontos 6 + 7 Krankheit + Unfall Seiten 2.2 -&gt; 2.7</t>
  </si>
  <si>
    <t>EF2 Konto 61 Krankheit + Unfall Seiten 2.2 -&gt; 2.7</t>
  </si>
  <si>
    <t>(EF2 Konto 37 Krankheit + Unfall Seiten 2.2 -&gt; 2.7) / [ 2 ]</t>
  </si>
  <si>
    <t>EF2 Konto 30-33 Krankheit + Unfall pages 2.2 -&gt; 2.7</t>
  </si>
  <si>
    <t>5/1</t>
  </si>
  <si>
    <t>= ( [ 5 ] / [ 1 ] )</t>
  </si>
  <si>
    <t>(EF2 Kontos 40-47 + 48 Krankheit + Unfall Seiten 2.2 -&gt; 2.7) / (EF2 Konto 3/4 Krankheit + Unfall Seiten 2.2 -&gt; 2.7) in %</t>
  </si>
  <si>
    <r>
      <t xml:space="preserve">in Fr. </t>
    </r>
    <r>
      <rPr>
        <b/>
        <vertAlign val="superscript"/>
        <sz val="11"/>
        <rFont val="Arial"/>
        <family val="2"/>
      </rPr>
      <t>2)</t>
    </r>
  </si>
  <si>
    <r>
      <t xml:space="preserve">duktion </t>
    </r>
    <r>
      <rPr>
        <vertAlign val="superscript"/>
        <sz val="11"/>
        <rFont val="Arial"/>
        <family val="2"/>
      </rPr>
      <t>3)</t>
    </r>
  </si>
  <si>
    <r>
      <t xml:space="preserve">CH </t>
    </r>
    <r>
      <rPr>
        <b/>
        <vertAlign val="superscript"/>
        <sz val="11"/>
        <rFont val="Arial"/>
        <family val="2"/>
      </rPr>
      <t>4)</t>
    </r>
  </si>
  <si>
    <t>und früher</t>
  </si>
  <si>
    <t>Quelle: Formular BSV PV1 / T 4.02 / T 4.04</t>
  </si>
  <si>
    <t>1) Effektiv im Berichtsjahr an die Haushalte/BezügerInnen ausbezahlte Prämienverbilligungen nach KVG.</t>
  </si>
  <si>
    <r>
      <t xml:space="preserve">nach KVG </t>
    </r>
    <r>
      <rPr>
        <vertAlign val="superscript"/>
        <sz val="11"/>
        <rFont val="Arial"/>
        <family val="2"/>
      </rPr>
      <t>1)</t>
    </r>
  </si>
  <si>
    <r>
      <t xml:space="preserve">nach KVG </t>
    </r>
    <r>
      <rPr>
        <b/>
        <vertAlign val="superscript"/>
        <sz val="11"/>
        <rFont val="Arial"/>
        <family val="2"/>
      </rPr>
      <t>1)</t>
    </r>
  </si>
  <si>
    <t>T 4.11 Kantonsbeiträge nach Reduktion in Mio. Fr. ab 1996</t>
  </si>
  <si>
    <t>Jahresdurch-</t>
  </si>
  <si>
    <t>schnittliche</t>
  </si>
  <si>
    <t>Veränderung</t>
  </si>
  <si>
    <t>Quelle: T 4.09</t>
  </si>
  <si>
    <t>T 4.12 Kantonsbeiträge in % des Totals vor Reduktion 1) ab 1996</t>
  </si>
  <si>
    <t>Mittelwert</t>
  </si>
  <si>
    <t>1) Benutzer Kantonsbeitrag in Prozent des maximalen Gesamtbeitrages.</t>
  </si>
  <si>
    <t>Privat-</t>
  </si>
  <si>
    <t>Begünstigte</t>
  </si>
  <si>
    <t>haushalte</t>
  </si>
  <si>
    <t>(approximativ)</t>
  </si>
  <si>
    <t>Quelle: BFS Sektion Bevölkerungsentwicklung / T 4.02 / T 4.05</t>
  </si>
  <si>
    <t>1) Durchschnittliche Wohnbevölkerung in einem bestimmten Gebiet nach wirtschaftlichem Wohnsitz (BFS).</t>
  </si>
  <si>
    <t>2) Anzahl Personen in % der mittleren Wohnbevölkerung des Berichtsjahres.</t>
  </si>
  <si>
    <t>3) Gemäss eidgenössischer Volkszählung 2000.</t>
  </si>
  <si>
    <t>4) Die Zahlen sind nur begrenzt vergleicbar, da</t>
  </si>
  <si>
    <t>jahr</t>
  </si>
  <si>
    <t>schlecht</t>
  </si>
  <si>
    <t>Alter</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</si>
  <si>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</si>
  <si>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</si>
  <si>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</si>
  <si>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</si>
  <si>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2.01).</t>
  </si>
  <si>
    <r>
      <t xml:space="preserve">Bruttoumverteilung </t>
    </r>
    <r>
      <rPr>
        <vertAlign val="superscript"/>
        <sz val="11"/>
        <rFont val="Arial"/>
        <family val="2"/>
      </rPr>
      <t>1)</t>
    </r>
  </si>
  <si>
    <r>
      <t xml:space="preserve">Nettoumverteilung </t>
    </r>
    <r>
      <rPr>
        <vertAlign val="superscript"/>
        <sz val="11"/>
        <rFont val="Arial"/>
        <family val="2"/>
      </rPr>
      <t>2)</t>
    </r>
  </si>
  <si>
    <t>T 2.06</t>
  </si>
  <si>
    <t>Bruttokosten 1) in Fr. pro Versicherten pro Versicherungsmonat nach Altersgruppen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</si>
</sst>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2" formatCode="0.0"/>
    <numFmt numFmtId="183" formatCode="#,##0.0"/>
    <numFmt numFmtId="184" formatCode="0.0%"/>
  </numFmts>
  <fonts count="92">
    <font>
      <sz val="10"/>
      <name val="55 Helvetica Roman"/>
    </font>
    <font>
      <sz val="10"/>
      <name val="Geneva"/>
      <family val="2"/>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b/>
      <i/>
      <sz val="12"/>
      <name val="Arial"/>
      <family val="2"/>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b/>
      <sz val="10"/>
      <color indexed="10"/>
      <name val="Arial"/>
      <family val="2"/>
    </font>
    <font>
      <i/>
      <sz val="11"/>
      <name val="55 Helvetica Roman"/>
    </font>
    <font>
      <sz val="12"/>
      <color indexed="8"/>
      <name val="Arial"/>
      <family val="2"/>
    </font>
    <font>
      <vertAlign val="superscript"/>
      <sz val="11"/>
      <name val="Arial"/>
      <family val="2"/>
    </font>
    <font>
      <sz val="9"/>
      <name val="Arial"/>
      <family val="2"/>
    </font>
    <font>
      <b/>
      <vertAlign val="superscript"/>
      <sz val="11"/>
      <name val="Arial"/>
      <family val="2"/>
    </font>
    <font>
      <sz val="10"/>
      <name val="Arial"/>
      <family val="2"/>
    </font>
    <font>
      <b/>
      <vertAlign val="superscript"/>
      <sz val="12"/>
      <name val="Arial"/>
      <family val="2"/>
    </font>
    <font>
      <b/>
      <sz val="12"/>
      <name val="55 Helvetica Roman"/>
    </font>
    <font>
      <b/>
      <sz val="8"/>
      <color indexed="81"/>
      <name val="Tahoma"/>
      <family val="2"/>
    </font>
    <font>
      <sz val="8"/>
      <color indexed="81"/>
      <name val="Tahoma"/>
      <family val="2"/>
    </font>
    <font>
      <b/>
      <sz val="12"/>
      <color indexed="8"/>
      <name val="Arial"/>
      <family val="2"/>
    </font>
    <font>
      <b/>
      <sz val="10"/>
      <color indexed="8"/>
      <name val="Arial"/>
      <family val="2"/>
    </font>
    <font>
      <sz val="10"/>
      <color indexed="8"/>
      <name val="Arial"/>
      <family val="2"/>
    </font>
    <font>
      <b/>
      <i/>
      <u/>
      <sz val="11"/>
      <name val="Arial"/>
      <family val="2"/>
    </font>
    <font>
      <b/>
      <i/>
      <u/>
      <sz val="10"/>
      <name val="Arial"/>
      <family val="2"/>
    </font>
    <font>
      <i/>
      <vertAlign val="superscript"/>
      <sz val="11"/>
      <name val="Arial"/>
      <family val="2"/>
    </font>
    <font>
      <i/>
      <sz val="11"/>
      <name val="Arial"/>
      <family val="2"/>
    </font>
    <font>
      <b/>
      <i/>
      <sz val="11"/>
      <name val="Arial"/>
      <family val="2"/>
    </font>
    <font>
      <i/>
      <sz val="12"/>
      <name val="Arial"/>
      <family val="2"/>
    </font>
    <font>
      <b/>
      <i/>
      <vertAlign val="superscript"/>
      <sz val="11"/>
      <name val="Arial"/>
      <family val="2"/>
    </font>
    <font>
      <i/>
      <sz val="10"/>
      <name val="Arial"/>
      <family val="2"/>
    </font>
    <font>
      <sz val="8"/>
      <name val="Arial"/>
      <family val="2"/>
    </font>
    <font>
      <b/>
      <sz val="14"/>
      <name val="Arial"/>
      <family val="2"/>
    </font>
    <font>
      <b/>
      <i/>
      <sz val="10"/>
      <name val="Arial"/>
      <family val="2"/>
    </font>
    <font>
      <b/>
      <sz val="9"/>
      <name val="Arial"/>
      <family val="2"/>
    </font>
    <font>
      <vertAlign val="superscript"/>
      <sz val="10"/>
      <name val="Arial"/>
      <family val="2"/>
    </font>
    <font>
      <i/>
      <sz val="10"/>
      <name val="Times New Roman"/>
      <family val="1"/>
    </font>
    <font>
      <sz val="10"/>
      <name val="Times New Roman"/>
      <family val="1"/>
    </font>
    <font>
      <sz val="10"/>
      <name val="Tms Rmn"/>
    </font>
    <font>
      <sz val="8"/>
      <name val="Tms Rmn"/>
    </font>
    <font>
      <b/>
      <sz val="12"/>
      <name val="Times New Roman"/>
      <family val="1"/>
    </font>
    <font>
      <b/>
      <sz val="10"/>
      <name val="Tms Rmn"/>
    </font>
    <font>
      <b/>
      <i/>
      <sz val="10"/>
      <name val="Tms Rmn"/>
    </font>
    <font>
      <sz val="8"/>
      <color indexed="12"/>
      <name val="Tms Rmn"/>
    </font>
    <font>
      <sz val="8"/>
      <color indexed="10"/>
      <name val="Tms Rmn"/>
    </font>
    <font>
      <sz val="10"/>
      <color indexed="10"/>
      <name val="Tms Rmn"/>
    </font>
    <font>
      <sz val="8"/>
      <color indexed="20"/>
      <name val="Tms Rmn"/>
    </font>
    <font>
      <sz val="8"/>
      <color indexed="52"/>
      <name val="Tms Rmn"/>
    </font>
    <font>
      <sz val="8"/>
      <color indexed="53"/>
      <name val="Tms Rmn"/>
    </font>
    <font>
      <sz val="8"/>
      <color indexed="50"/>
      <name val="Tms Rmn"/>
    </font>
    <font>
      <b/>
      <sz val="10"/>
      <color indexed="12"/>
      <name val="Tms Rmn"/>
    </font>
    <font>
      <sz val="9"/>
      <name val="Tms Rmn"/>
    </font>
    <font>
      <sz val="9"/>
      <name val="Times New Roman"/>
      <family val="1"/>
    </font>
    <font>
      <sz val="10"/>
      <color indexed="56"/>
      <name val="Tms Rmn"/>
    </font>
    <font>
      <b/>
      <sz val="10"/>
      <color indexed="56"/>
      <name val="Tms Rmn"/>
    </font>
    <font>
      <b/>
      <sz val="10"/>
      <color indexed="17"/>
      <name val="Tms Rmn"/>
    </font>
    <font>
      <b/>
      <sz val="10"/>
      <color indexed="52"/>
      <name val="Tms Rmn"/>
    </font>
    <font>
      <sz val="10"/>
      <color indexed="20"/>
      <name val="Tms Rmn"/>
    </font>
    <font>
      <i/>
      <sz val="8"/>
      <color indexed="12"/>
      <name val="Tms Rmn"/>
    </font>
    <font>
      <i/>
      <sz val="10"/>
      <color indexed="10"/>
      <name val="Tms Rmn"/>
    </font>
    <font>
      <i/>
      <sz val="10"/>
      <name val="Tms Rmn"/>
    </font>
    <font>
      <i/>
      <sz val="8"/>
      <color indexed="20"/>
      <name val="Tms Rmn"/>
    </font>
    <font>
      <b/>
      <sz val="8"/>
      <name val="Tms Rmn"/>
    </font>
    <font>
      <i/>
      <sz val="8"/>
      <color indexed="52"/>
      <name val="Tms Rmn"/>
    </font>
    <font>
      <i/>
      <sz val="8"/>
      <color indexed="53"/>
      <name val="Tms Rmn"/>
    </font>
    <font>
      <i/>
      <sz val="8"/>
      <color indexed="50"/>
      <name val="Tms Rmn"/>
    </font>
    <font>
      <b/>
      <i/>
      <sz val="10"/>
      <color indexed="12"/>
      <name val="Tms Rmn"/>
    </font>
    <font>
      <b/>
      <i/>
      <sz val="10"/>
      <name val="Times New Roman"/>
      <family val="1"/>
    </font>
    <font>
      <b/>
      <sz val="10"/>
      <name val="Times New Roman"/>
      <family val="1"/>
    </font>
    <font>
      <sz val="8"/>
      <color indexed="17"/>
      <name val="Tms Rmn"/>
    </font>
    <font>
      <i/>
      <sz val="8"/>
      <color indexed="17"/>
      <name val="Tms Rmn"/>
    </font>
    <font>
      <i/>
      <sz val="8"/>
      <color indexed="10"/>
      <name val="Tms Rmn"/>
    </font>
    <font>
      <sz val="10"/>
      <color indexed="14"/>
      <name val="Tms Rmn"/>
    </font>
    <font>
      <i/>
      <sz val="10"/>
      <color indexed="14"/>
      <name val="Tms Rmn"/>
    </font>
    <font>
      <sz val="8"/>
      <color indexed="14"/>
      <name val="Tms Rmn"/>
    </font>
    <font>
      <i/>
      <sz val="8"/>
      <color indexed="14"/>
      <name val="Tms Rmn"/>
    </font>
    <font>
      <b/>
      <sz val="10"/>
      <color indexed="10"/>
      <name val="Tms Rmn"/>
    </font>
    <font>
      <b/>
      <i/>
      <sz val="10"/>
      <color indexed="10"/>
      <name val="Tms Rmn"/>
    </font>
    <font>
      <b/>
      <sz val="8"/>
      <color indexed="10"/>
      <name val="Tms Rmn"/>
    </font>
    <font>
      <b/>
      <i/>
      <sz val="8"/>
      <color indexed="10"/>
      <name val="Tms Rmn"/>
    </font>
    <font>
      <b/>
      <sz val="10"/>
      <color indexed="50"/>
      <name val="Tms Rmn"/>
    </font>
    <font>
      <sz val="12"/>
      <color indexed="10"/>
      <name val="55 Helvetica Roman"/>
    </font>
    <font>
      <b/>
      <sz val="12"/>
      <color indexed="10"/>
      <name val="Arial"/>
      <family val="2"/>
    </font>
    <font>
      <b/>
      <sz val="11"/>
      <color indexed="10"/>
      <name val="55 Helvetica Roman"/>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lightGray">
        <fgColor indexed="22"/>
        <bgColor indexed="22"/>
      </patternFill>
    </fill>
    <fill>
      <patternFill patternType="solid">
        <fgColor indexed="47"/>
        <bgColor indexed="47"/>
      </patternFill>
    </fill>
    <fill>
      <patternFill patternType="solid">
        <fgColor indexed="45"/>
        <bgColor indexed="64"/>
      </patternFill>
    </fill>
    <fill>
      <patternFill patternType="solid">
        <fgColor indexed="43"/>
        <bgColor indexed="64"/>
      </patternFill>
    </fill>
    <fill>
      <patternFill patternType="solid">
        <fgColor indexed="41"/>
        <bgColor indexed="64"/>
      </patternFill>
    </fill>
  </fills>
  <borders count="32">
    <border>
      <left/>
      <right/>
      <top/>
      <bottom/>
      <diagonal/>
    </border>
    <border>
      <left/>
      <right/>
      <top style="thin">
        <color indexed="64"/>
      </top>
      <bottom/>
      <diagonal/>
    </border>
    <border>
      <left/>
      <right/>
      <top/>
      <bottom style="thin">
        <color indexed="64"/>
      </bottom>
      <diagonal/>
    </border>
    <border>
      <left/>
      <right/>
      <top style="thin">
        <color indexed="64"/>
      </top>
      <bottom style="medium">
        <color indexed="9"/>
      </bottom>
      <diagonal/>
    </border>
    <border>
      <left/>
      <right/>
      <top style="medium">
        <color indexed="9"/>
      </top>
      <bottom style="medium">
        <color indexed="9"/>
      </bottom>
      <diagonal/>
    </border>
    <border>
      <left/>
      <right/>
      <top style="medium">
        <color indexed="64"/>
      </top>
      <bottom/>
      <diagonal/>
    </border>
    <border>
      <left/>
      <right/>
      <top/>
      <bottom style="medium">
        <color indexed="9"/>
      </bottom>
      <diagonal/>
    </border>
    <border>
      <left/>
      <right/>
      <top style="medium">
        <color indexed="9"/>
      </top>
      <bottom style="medium">
        <color indexed="64"/>
      </bottom>
      <diagonal/>
    </border>
    <border>
      <left/>
      <right/>
      <top style="medium">
        <color indexed="9"/>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hair">
        <color indexed="64"/>
      </top>
      <bottom style="hair">
        <color indexed="64"/>
      </bottom>
      <diagonal/>
    </border>
    <border>
      <left/>
      <right/>
      <top style="medium">
        <color indexed="9"/>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9"/>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bottom style="medium">
        <color indexed="9"/>
      </bottom>
      <diagonal/>
    </border>
    <border>
      <left style="medium">
        <color indexed="64"/>
      </left>
      <right/>
      <top style="medium">
        <color indexed="9"/>
      </top>
      <bottom/>
      <diagonal/>
    </border>
    <border>
      <left style="medium">
        <color indexed="64"/>
      </left>
      <right/>
      <top style="medium">
        <color indexed="9"/>
      </top>
      <bottom style="medium">
        <color indexed="64"/>
      </bottom>
      <diagonal/>
    </border>
    <border>
      <left/>
      <right/>
      <top style="thin">
        <color indexed="8"/>
      </top>
      <bottom style="medium">
        <color indexed="9"/>
      </bottom>
      <diagonal/>
    </border>
    <border>
      <left style="medium">
        <color indexed="64"/>
      </left>
      <right/>
      <top style="thin">
        <color indexed="8"/>
      </top>
      <bottom style="medium">
        <color indexed="9"/>
      </bottom>
      <diagonal/>
    </border>
    <border>
      <left style="medium">
        <color indexed="64"/>
      </left>
      <right/>
      <top style="thin">
        <color indexed="8"/>
      </top>
      <bottom style="medium">
        <color indexed="64"/>
      </bottom>
      <diagonal/>
    </border>
    <border>
      <left/>
      <right/>
      <top style="thin">
        <color indexed="64"/>
      </top>
      <bottom style="thin">
        <color indexed="64"/>
      </bottom>
      <diagonal/>
    </border>
  </borders>
  <cellStyleXfs count="14">
    <xf numFmtId="0" fontId="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6" fillId="0" borderId="0"/>
    <xf numFmtId="0" fontId="46" fillId="0" borderId="0"/>
    <xf numFmtId="0" fontId="46" fillId="0" borderId="0"/>
    <xf numFmtId="9" fontId="1" fillId="0" borderId="0" applyFont="0" applyFill="0" applyBorder="0" applyAlignment="0" applyProtection="0"/>
  </cellStyleXfs>
  <cellXfs count="1317">
    <xf numFmtId="0" fontId="0" fillId="0" borderId="0" xfId="0"/>
    <xf numFmtId="0" fontId="2" fillId="0" borderId="0" xfId="0" applyFont="1"/>
    <xf numFmtId="0" fontId="4" fillId="2" borderId="1" xfId="0" applyFont="1" applyFill="1" applyBorder="1" applyAlignment="1">
      <alignment horizontal="left"/>
    </xf>
    <xf numFmtId="0" fontId="5" fillId="0" borderId="0" xfId="0" applyFont="1"/>
    <xf numFmtId="0" fontId="4" fillId="2" borderId="0" xfId="0" applyFont="1" applyFill="1" applyBorder="1" applyAlignment="1">
      <alignment horizontal="center"/>
    </xf>
    <xf numFmtId="0" fontId="4" fillId="2" borderId="2" xfId="0" applyFont="1" applyFill="1" applyBorder="1" applyAlignment="1">
      <alignment horizontal="center" vertical="top"/>
    </xf>
    <xf numFmtId="0" fontId="4" fillId="2" borderId="3" xfId="0" applyFont="1" applyFill="1" applyBorder="1" applyAlignment="1">
      <alignment horizontal="left"/>
    </xf>
    <xf numFmtId="0" fontId="4" fillId="2" borderId="4" xfId="0" applyFont="1" applyFill="1" applyBorder="1" applyAlignment="1">
      <alignment horizontal="left"/>
    </xf>
    <xf numFmtId="1" fontId="5" fillId="0" borderId="0" xfId="0" applyNumberFormat="1" applyFont="1"/>
    <xf numFmtId="0" fontId="5" fillId="0" borderId="5" xfId="0" applyFont="1" applyBorder="1"/>
    <xf numFmtId="0" fontId="3" fillId="3"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6" fillId="2" borderId="0" xfId="0" applyFont="1" applyFill="1" applyBorder="1" applyAlignment="1">
      <alignment horizontal="left" vertical="center"/>
    </xf>
    <xf numFmtId="3" fontId="4" fillId="4" borderId="1" xfId="0" applyNumberFormat="1" applyFont="1" applyFill="1" applyBorder="1" applyAlignment="1">
      <alignment horizontal="right"/>
    </xf>
    <xf numFmtId="3" fontId="4" fillId="4" borderId="0" xfId="0" applyNumberFormat="1" applyFont="1" applyFill="1" applyBorder="1" applyAlignment="1">
      <alignment horizontal="right"/>
    </xf>
    <xf numFmtId="3" fontId="4" fillId="4" borderId="2" xfId="0" applyNumberFormat="1" applyFont="1" applyFill="1" applyBorder="1" applyAlignment="1">
      <alignment horizontal="right" vertical="top"/>
    </xf>
    <xf numFmtId="0" fontId="4" fillId="2" borderId="1" xfId="0" applyFont="1" applyFill="1" applyBorder="1" applyAlignment="1">
      <alignment horizontal="right"/>
    </xf>
    <xf numFmtId="0" fontId="4" fillId="2" borderId="0" xfId="0" applyFont="1" applyFill="1" applyBorder="1" applyAlignment="1">
      <alignment horizontal="right"/>
    </xf>
    <xf numFmtId="0" fontId="4" fillId="2" borderId="2" xfId="0" applyFont="1" applyFill="1" applyBorder="1" applyAlignment="1">
      <alignment horizontal="right" vertical="top"/>
    </xf>
    <xf numFmtId="3" fontId="4" fillId="4" borderId="3" xfId="0" applyNumberFormat="1" applyFont="1" applyFill="1" applyBorder="1" applyAlignment="1">
      <alignment horizontal="right"/>
    </xf>
    <xf numFmtId="3" fontId="5" fillId="0" borderId="0" xfId="0" applyNumberFormat="1" applyFont="1" applyAlignment="1">
      <alignment horizontal="right"/>
    </xf>
    <xf numFmtId="0" fontId="5" fillId="0" borderId="0" xfId="0" applyFont="1" applyAlignment="1">
      <alignment horizontal="right"/>
    </xf>
    <xf numFmtId="3" fontId="3" fillId="0" borderId="0" xfId="0" applyNumberFormat="1" applyFont="1" applyAlignment="1">
      <alignment horizontal="left" vertical="center"/>
    </xf>
    <xf numFmtId="0" fontId="2" fillId="0" borderId="0" xfId="0" applyFont="1" applyAlignment="1">
      <alignment horizontal="right"/>
    </xf>
    <xf numFmtId="184" fontId="4" fillId="2" borderId="6" xfId="0" applyNumberFormat="1" applyFont="1" applyFill="1" applyBorder="1" applyAlignment="1">
      <alignment horizontal="right"/>
    </xf>
    <xf numFmtId="184" fontId="4" fillId="2" borderId="4" xfId="0" applyNumberFormat="1" applyFont="1" applyFill="1" applyBorder="1" applyAlignment="1">
      <alignment horizontal="right"/>
    </xf>
    <xf numFmtId="0" fontId="5" fillId="0" borderId="5" xfId="0" applyFont="1" applyBorder="1" applyAlignment="1">
      <alignment horizontal="right"/>
    </xf>
    <xf numFmtId="0" fontId="5" fillId="0" borderId="0" xfId="0" applyFont="1" applyBorder="1" applyAlignment="1">
      <alignment horizontal="right"/>
    </xf>
    <xf numFmtId="3" fontId="4" fillId="4" borderId="6" xfId="0" applyNumberFormat="1" applyFont="1" applyFill="1" applyBorder="1" applyAlignment="1">
      <alignment horizontal="right"/>
    </xf>
    <xf numFmtId="3" fontId="4" fillId="4" borderId="4" xfId="0" applyNumberFormat="1" applyFont="1" applyFill="1" applyBorder="1" applyAlignment="1">
      <alignment horizontal="right"/>
    </xf>
    <xf numFmtId="3" fontId="5" fillId="0" borderId="5" xfId="0" applyNumberFormat="1" applyFont="1" applyBorder="1" applyAlignment="1">
      <alignment horizontal="right"/>
    </xf>
    <xf numFmtId="3" fontId="5" fillId="0" borderId="0" xfId="0" applyNumberFormat="1" applyFont="1" applyBorder="1" applyAlignment="1">
      <alignment horizontal="right"/>
    </xf>
    <xf numFmtId="3" fontId="2" fillId="0" borderId="0" xfId="0" applyNumberFormat="1" applyFont="1" applyAlignment="1">
      <alignment horizontal="right"/>
    </xf>
    <xf numFmtId="3" fontId="6" fillId="4" borderId="4" xfId="0" applyNumberFormat="1" applyFont="1" applyFill="1" applyBorder="1" applyAlignment="1">
      <alignment horizontal="right" vertical="center"/>
    </xf>
    <xf numFmtId="184" fontId="6" fillId="2" borderId="4" xfId="0" applyNumberFormat="1" applyFont="1" applyFill="1" applyBorder="1" applyAlignment="1">
      <alignment horizontal="right" vertical="center"/>
    </xf>
    <xf numFmtId="0" fontId="9" fillId="0" borderId="0" xfId="0" applyFont="1"/>
    <xf numFmtId="1" fontId="9" fillId="0" borderId="0" xfId="0" applyNumberFormat="1" applyFont="1"/>
    <xf numFmtId="0" fontId="5" fillId="0" borderId="0" xfId="0" applyFont="1" applyBorder="1"/>
    <xf numFmtId="0" fontId="5" fillId="0" borderId="0" xfId="0" applyFont="1" applyFill="1"/>
    <xf numFmtId="0" fontId="7"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3" fontId="5" fillId="0" borderId="0" xfId="0" applyNumberFormat="1" applyFont="1"/>
    <xf numFmtId="0" fontId="11" fillId="0" borderId="0" xfId="0" applyFont="1" applyAlignment="1">
      <alignment horizontal="left"/>
    </xf>
    <xf numFmtId="3" fontId="4" fillId="0" borderId="0" xfId="0" applyNumberFormat="1" applyFont="1" applyBorder="1" applyAlignment="1">
      <alignment horizontal="right"/>
    </xf>
    <xf numFmtId="0" fontId="14" fillId="5" borderId="0" xfId="0" applyFont="1" applyFill="1"/>
    <xf numFmtId="0" fontId="0" fillId="5" borderId="0" xfId="0" applyFill="1"/>
    <xf numFmtId="0" fontId="5" fillId="5" borderId="0" xfId="0" applyFont="1" applyFill="1"/>
    <xf numFmtId="0" fontId="15" fillId="5" borderId="0" xfId="0" applyFont="1" applyFill="1"/>
    <xf numFmtId="0" fontId="12" fillId="0" borderId="0" xfId="0" applyFont="1"/>
    <xf numFmtId="2" fontId="3" fillId="0" borderId="0" xfId="0" applyNumberFormat="1" applyFont="1"/>
    <xf numFmtId="2" fontId="12" fillId="0" borderId="0" xfId="0" applyNumberFormat="1" applyFont="1"/>
    <xf numFmtId="0" fontId="12" fillId="5" borderId="0" xfId="0" applyFont="1" applyFill="1" applyAlignment="1">
      <alignment horizontal="center"/>
    </xf>
    <xf numFmtId="2" fontId="18" fillId="5" borderId="0" xfId="0" applyNumberFormat="1" applyFont="1" applyFill="1" applyAlignment="1">
      <alignment horizontal="center"/>
    </xf>
    <xf numFmtId="0" fontId="19" fillId="5" borderId="0" xfId="0" applyFont="1" applyFill="1" applyAlignment="1"/>
    <xf numFmtId="0" fontId="5" fillId="2" borderId="0" xfId="0" applyFont="1" applyFill="1"/>
    <xf numFmtId="0" fontId="2" fillId="0" borderId="0" xfId="0" applyFont="1" applyAlignment="1">
      <alignment horizontal="right" vertical="center"/>
    </xf>
    <xf numFmtId="3" fontId="2" fillId="0" borderId="0" xfId="0" applyNumberFormat="1" applyFont="1" applyAlignment="1">
      <alignment horizontal="right" vertical="center"/>
    </xf>
    <xf numFmtId="2" fontId="5" fillId="0" borderId="0" xfId="0" applyNumberFormat="1" applyFont="1"/>
    <xf numFmtId="0" fontId="5" fillId="0" borderId="0" xfId="0" applyFont="1" applyFill="1" applyBorder="1" applyAlignment="1">
      <alignment vertical="top"/>
    </xf>
    <xf numFmtId="0" fontId="5" fillId="0" borderId="0" xfId="0" applyFont="1" applyBorder="1" applyAlignment="1">
      <alignment vertical="top"/>
    </xf>
    <xf numFmtId="0" fontId="2" fillId="3" borderId="0" xfId="0" applyFont="1" applyFill="1"/>
    <xf numFmtId="0" fontId="3" fillId="0" borderId="0" xfId="0" applyFont="1"/>
    <xf numFmtId="0" fontId="3" fillId="0" borderId="0" xfId="0" applyFont="1" applyAlignment="1">
      <alignment vertical="top"/>
    </xf>
    <xf numFmtId="3" fontId="4" fillId="2" borderId="1" xfId="0" applyNumberFormat="1" applyFont="1" applyFill="1" applyBorder="1" applyAlignment="1">
      <alignment horizontal="right"/>
    </xf>
    <xf numFmtId="3" fontId="4" fillId="2" borderId="0" xfId="0" applyNumberFormat="1" applyFont="1" applyFill="1" applyBorder="1" applyAlignment="1">
      <alignment horizontal="right"/>
    </xf>
    <xf numFmtId="3" fontId="4" fillId="2" borderId="2" xfId="0" applyNumberFormat="1" applyFont="1" applyFill="1" applyBorder="1" applyAlignment="1">
      <alignment horizontal="right" vertical="top"/>
    </xf>
    <xf numFmtId="3" fontId="4" fillId="2" borderId="6" xfId="0" applyNumberFormat="1" applyFont="1" applyFill="1" applyBorder="1" applyAlignment="1">
      <alignment horizontal="right"/>
    </xf>
    <xf numFmtId="3" fontId="4" fillId="0" borderId="0" xfId="0" applyNumberFormat="1" applyFont="1"/>
    <xf numFmtId="0" fontId="4" fillId="2" borderId="4" xfId="0" applyFont="1" applyFill="1" applyBorder="1" applyAlignment="1">
      <alignment horizontal="left" vertical="center"/>
    </xf>
    <xf numFmtId="3" fontId="6" fillId="4" borderId="6" xfId="0" applyNumberFormat="1" applyFont="1" applyFill="1" applyBorder="1" applyAlignment="1">
      <alignment horizontal="right" vertical="center"/>
    </xf>
    <xf numFmtId="3" fontId="6" fillId="2" borderId="6" xfId="0" applyNumberFormat="1" applyFont="1" applyFill="1" applyBorder="1" applyAlignment="1">
      <alignment horizontal="right" vertical="center"/>
    </xf>
    <xf numFmtId="184" fontId="6" fillId="2" borderId="6" xfId="0" applyNumberFormat="1" applyFont="1" applyFill="1" applyBorder="1" applyAlignment="1">
      <alignment horizontal="right" vertical="center"/>
    </xf>
    <xf numFmtId="0" fontId="4" fillId="4" borderId="1" xfId="0" applyFont="1" applyFill="1" applyBorder="1" applyAlignment="1">
      <alignment horizontal="right"/>
    </xf>
    <xf numFmtId="0" fontId="4" fillId="4" borderId="0" xfId="0" applyFont="1" applyFill="1" applyBorder="1" applyAlignment="1">
      <alignment horizontal="right"/>
    </xf>
    <xf numFmtId="0" fontId="4" fillId="4" borderId="0" xfId="0" applyFont="1" applyFill="1" applyBorder="1" applyAlignment="1">
      <alignment horizontal="center"/>
    </xf>
    <xf numFmtId="0" fontId="4" fillId="4" borderId="2" xfId="0" applyFont="1" applyFill="1" applyBorder="1" applyAlignment="1">
      <alignment horizontal="center" vertical="top"/>
    </xf>
    <xf numFmtId="0" fontId="4" fillId="4" borderId="2" xfId="0" applyFont="1" applyFill="1" applyBorder="1" applyAlignment="1">
      <alignment horizontal="right" vertical="top"/>
    </xf>
    <xf numFmtId="3" fontId="4" fillId="4" borderId="6" xfId="0" applyNumberFormat="1" applyFont="1" applyFill="1" applyBorder="1"/>
    <xf numFmtId="3" fontId="4" fillId="4" borderId="4" xfId="0" applyNumberFormat="1" applyFont="1" applyFill="1" applyBorder="1"/>
    <xf numFmtId="0" fontId="3" fillId="0" borderId="0" xfId="0" applyFont="1" applyBorder="1" applyAlignment="1">
      <alignment vertical="top"/>
    </xf>
    <xf numFmtId="0" fontId="4" fillId="2" borderId="0" xfId="0" applyFont="1" applyFill="1" applyBorder="1" applyAlignment="1">
      <alignment horizontal="left"/>
    </xf>
    <xf numFmtId="0" fontId="4" fillId="2" borderId="2" xfId="0" applyFont="1" applyFill="1" applyBorder="1" applyAlignment="1">
      <alignment horizontal="left" vertical="top"/>
    </xf>
    <xf numFmtId="0" fontId="4" fillId="2" borderId="3" xfId="0" quotePrefix="1" applyFont="1" applyFill="1" applyBorder="1" applyAlignment="1">
      <alignment horizontal="left"/>
    </xf>
    <xf numFmtId="0" fontId="4" fillId="2" borderId="4" xfId="0" quotePrefix="1" applyFont="1" applyFill="1" applyBorder="1" applyAlignment="1">
      <alignment horizontal="left"/>
    </xf>
    <xf numFmtId="0" fontId="6" fillId="2" borderId="4" xfId="0" quotePrefix="1" applyFont="1" applyFill="1" applyBorder="1" applyAlignment="1">
      <alignment horizontal="left"/>
    </xf>
    <xf numFmtId="3" fontId="6" fillId="4" borderId="4" xfId="0" applyNumberFormat="1" applyFont="1" applyFill="1" applyBorder="1"/>
    <xf numFmtId="184" fontId="6" fillId="2" borderId="4" xfId="0" applyNumberFormat="1" applyFont="1" applyFill="1" applyBorder="1" applyAlignment="1">
      <alignment horizontal="right"/>
    </xf>
    <xf numFmtId="3" fontId="6" fillId="4" borderId="4" xfId="0" applyNumberFormat="1" applyFont="1" applyFill="1" applyBorder="1" applyAlignment="1">
      <alignment horizontal="right"/>
    </xf>
    <xf numFmtId="0" fontId="4" fillId="4" borderId="1" xfId="0" applyFont="1" applyFill="1" applyBorder="1" applyAlignment="1">
      <alignment horizontal="left"/>
    </xf>
    <xf numFmtId="3" fontId="4" fillId="2" borderId="3" xfId="0" applyNumberFormat="1" applyFont="1" applyFill="1" applyBorder="1" applyAlignment="1">
      <alignment horizontal="right"/>
    </xf>
    <xf numFmtId="3" fontId="4" fillId="4" borderId="3" xfId="0" applyNumberFormat="1" applyFont="1" applyFill="1" applyBorder="1"/>
    <xf numFmtId="183" fontId="4" fillId="2" borderId="4" xfId="0" applyNumberFormat="1" applyFont="1" applyFill="1" applyBorder="1" applyAlignment="1">
      <alignment horizontal="right"/>
    </xf>
    <xf numFmtId="0" fontId="5" fillId="0" borderId="0" xfId="0" applyFont="1" applyAlignment="1">
      <alignment horizontal="left"/>
    </xf>
    <xf numFmtId="0" fontId="2" fillId="0" borderId="0" xfId="0" applyFont="1" applyAlignment="1">
      <alignment horizontal="center"/>
    </xf>
    <xf numFmtId="0" fontId="4" fillId="2" borderId="1" xfId="0" applyFont="1" applyFill="1" applyBorder="1" applyAlignment="1">
      <alignment horizontal="center"/>
    </xf>
    <xf numFmtId="0" fontId="4" fillId="0" borderId="0" xfId="0" applyFont="1"/>
    <xf numFmtId="3" fontId="4" fillId="2" borderId="3" xfId="0" applyNumberFormat="1" applyFont="1" applyFill="1" applyBorder="1"/>
    <xf numFmtId="184" fontId="4" fillId="2" borderId="3" xfId="0" applyNumberFormat="1" applyFont="1" applyFill="1" applyBorder="1" applyAlignment="1">
      <alignment horizontal="center"/>
    </xf>
    <xf numFmtId="3" fontId="6" fillId="4" borderId="3" xfId="0" applyNumberFormat="1" applyFont="1" applyFill="1" applyBorder="1" applyAlignment="1">
      <alignment vertical="center"/>
    </xf>
    <xf numFmtId="3" fontId="6" fillId="2" borderId="3" xfId="0" applyNumberFormat="1" applyFont="1" applyFill="1" applyBorder="1" applyAlignment="1">
      <alignment vertical="center"/>
    </xf>
    <xf numFmtId="184" fontId="6" fillId="2" borderId="3" xfId="0" applyNumberFormat="1" applyFont="1" applyFill="1" applyBorder="1" applyAlignment="1">
      <alignment horizontal="center" vertical="center"/>
    </xf>
    <xf numFmtId="0" fontId="5" fillId="0" borderId="5" xfId="0" applyFont="1" applyBorder="1" applyAlignment="1">
      <alignment horizontal="center"/>
    </xf>
    <xf numFmtId="0" fontId="5" fillId="0" borderId="0" xfId="0" applyFont="1" applyBorder="1" applyAlignment="1">
      <alignment horizontal="center"/>
    </xf>
    <xf numFmtId="0" fontId="5" fillId="0" borderId="0" xfId="0" applyFont="1" applyAlignment="1">
      <alignment horizontal="center"/>
    </xf>
    <xf numFmtId="3" fontId="2" fillId="0" borderId="0" xfId="0" applyNumberFormat="1" applyFont="1"/>
    <xf numFmtId="3" fontId="2" fillId="0" borderId="0" xfId="0" applyNumberFormat="1" applyFont="1" applyAlignment="1"/>
    <xf numFmtId="3" fontId="4" fillId="2" borderId="0" xfId="0" applyNumberFormat="1" applyFont="1" applyFill="1" applyBorder="1" applyAlignment="1">
      <alignment horizontal="center"/>
    </xf>
    <xf numFmtId="3" fontId="4" fillId="4" borderId="0" xfId="0" applyNumberFormat="1" applyFont="1" applyFill="1" applyBorder="1" applyAlignment="1">
      <alignment horizontal="center"/>
    </xf>
    <xf numFmtId="3" fontId="4" fillId="4" borderId="2" xfId="0" applyNumberFormat="1" applyFont="1" applyFill="1" applyBorder="1" applyAlignment="1">
      <alignment horizontal="center" vertical="top"/>
    </xf>
    <xf numFmtId="3" fontId="4" fillId="2" borderId="2" xfId="0" applyNumberFormat="1" applyFont="1" applyFill="1" applyBorder="1" applyAlignment="1">
      <alignment horizontal="center" vertical="top"/>
    </xf>
    <xf numFmtId="3" fontId="4" fillId="2" borderId="6" xfId="0" applyNumberFormat="1" applyFont="1" applyFill="1" applyBorder="1"/>
    <xf numFmtId="3" fontId="6" fillId="4" borderId="6" xfId="0" applyNumberFormat="1" applyFont="1" applyFill="1" applyBorder="1" applyAlignment="1">
      <alignment vertical="center"/>
    </xf>
    <xf numFmtId="3" fontId="6" fillId="2" borderId="6" xfId="0" applyNumberFormat="1" applyFont="1" applyFill="1" applyBorder="1" applyAlignment="1">
      <alignment vertical="center"/>
    </xf>
    <xf numFmtId="0" fontId="9" fillId="0" borderId="0" xfId="0" applyFont="1" applyAlignment="1">
      <alignment vertical="center"/>
    </xf>
    <xf numFmtId="3" fontId="6" fillId="0" borderId="0" xfId="0" applyNumberFormat="1" applyFont="1" applyAlignment="1">
      <alignment vertical="center"/>
    </xf>
    <xf numFmtId="3" fontId="5" fillId="0" borderId="5" xfId="0" applyNumberFormat="1" applyFont="1" applyBorder="1"/>
    <xf numFmtId="3" fontId="5" fillId="0" borderId="0" xfId="0" applyNumberFormat="1" applyFont="1" applyBorder="1"/>
    <xf numFmtId="3" fontId="4" fillId="2" borderId="4" xfId="0" applyNumberFormat="1" applyFont="1" applyFill="1" applyBorder="1"/>
    <xf numFmtId="3" fontId="6" fillId="4" borderId="4" xfId="0" applyNumberFormat="1" applyFont="1" applyFill="1" applyBorder="1" applyAlignment="1">
      <alignment vertical="center"/>
    </xf>
    <xf numFmtId="3" fontId="6" fillId="2" borderId="4" xfId="0" applyNumberFormat="1" applyFont="1" applyFill="1" applyBorder="1" applyAlignment="1">
      <alignment vertical="center"/>
    </xf>
    <xf numFmtId="3" fontId="4" fillId="2" borderId="4" xfId="0" applyNumberFormat="1" applyFont="1" applyFill="1" applyBorder="1" applyAlignment="1">
      <alignment horizontal="right"/>
    </xf>
    <xf numFmtId="3" fontId="6" fillId="2" borderId="4" xfId="0" applyNumberFormat="1" applyFont="1" applyFill="1" applyBorder="1" applyAlignment="1">
      <alignment horizontal="right" vertical="center"/>
    </xf>
    <xf numFmtId="0" fontId="5" fillId="0" borderId="0" xfId="0" applyFont="1" applyFill="1" applyBorder="1"/>
    <xf numFmtId="3" fontId="5" fillId="0" borderId="0" xfId="0" applyNumberFormat="1" applyFont="1" applyFill="1" applyBorder="1" applyAlignment="1">
      <alignment horizontal="right"/>
    </xf>
    <xf numFmtId="184" fontId="4" fillId="2" borderId="3" xfId="0" applyNumberFormat="1" applyFont="1" applyFill="1" applyBorder="1" applyAlignment="1">
      <alignment horizontal="right"/>
    </xf>
    <xf numFmtId="184" fontId="4" fillId="4" borderId="3" xfId="0" applyNumberFormat="1" applyFont="1" applyFill="1" applyBorder="1" applyAlignment="1">
      <alignment horizontal="right"/>
    </xf>
    <xf numFmtId="184" fontId="4" fillId="4" borderId="4" xfId="0" applyNumberFormat="1" applyFont="1" applyFill="1" applyBorder="1" applyAlignment="1">
      <alignment horizontal="right"/>
    </xf>
    <xf numFmtId="0" fontId="4" fillId="2" borderId="4" xfId="0" quotePrefix="1" applyFont="1" applyFill="1" applyBorder="1" applyAlignment="1">
      <alignment horizontal="left" vertical="center"/>
    </xf>
    <xf numFmtId="3" fontId="4" fillId="4" borderId="4" xfId="0" applyNumberFormat="1" applyFont="1" applyFill="1" applyBorder="1" applyAlignment="1">
      <alignment horizontal="right" vertical="center"/>
    </xf>
    <xf numFmtId="184" fontId="4" fillId="2" borderId="4" xfId="0" applyNumberFormat="1" applyFont="1" applyFill="1" applyBorder="1" applyAlignment="1">
      <alignment horizontal="right" vertical="center"/>
    </xf>
    <xf numFmtId="184" fontId="4" fillId="4" borderId="4" xfId="0" applyNumberFormat="1" applyFont="1" applyFill="1" applyBorder="1" applyAlignment="1">
      <alignment horizontal="right" vertical="center"/>
    </xf>
    <xf numFmtId="3" fontId="4" fillId="2" borderId="4" xfId="0" applyNumberFormat="1" applyFont="1" applyFill="1" applyBorder="1" applyAlignment="1">
      <alignment horizontal="right" vertical="center"/>
    </xf>
    <xf numFmtId="0" fontId="5" fillId="0" borderId="0" xfId="0" applyFont="1" applyAlignment="1">
      <alignment vertical="center"/>
    </xf>
    <xf numFmtId="0" fontId="6" fillId="2" borderId="0" xfId="0" quotePrefix="1" applyFont="1" applyFill="1" applyBorder="1" applyAlignment="1">
      <alignment horizontal="left" vertical="center"/>
    </xf>
    <xf numFmtId="3" fontId="6" fillId="4" borderId="0" xfId="0" applyNumberFormat="1" applyFont="1" applyFill="1" applyBorder="1" applyAlignment="1">
      <alignment horizontal="right" vertical="center"/>
    </xf>
    <xf numFmtId="184" fontId="6" fillId="4" borderId="0" xfId="0" applyNumberFormat="1" applyFont="1" applyFill="1" applyBorder="1" applyAlignment="1">
      <alignment horizontal="right" vertical="center"/>
    </xf>
    <xf numFmtId="3" fontId="6" fillId="2" borderId="0" xfId="0" applyNumberFormat="1" applyFont="1" applyFill="1" applyBorder="1" applyAlignment="1">
      <alignment horizontal="right" vertical="center"/>
    </xf>
    <xf numFmtId="184" fontId="6" fillId="4" borderId="6" xfId="0" applyNumberFormat="1" applyFont="1" applyFill="1" applyBorder="1" applyAlignment="1">
      <alignment horizontal="right" vertical="center"/>
    </xf>
    <xf numFmtId="2" fontId="5" fillId="0" borderId="5" xfId="0" applyNumberFormat="1" applyFont="1" applyBorder="1"/>
    <xf numFmtId="2" fontId="5" fillId="0" borderId="0" xfId="0" applyNumberFormat="1" applyFont="1" applyBorder="1"/>
    <xf numFmtId="182" fontId="5" fillId="0" borderId="0" xfId="0" applyNumberFormat="1" applyFont="1"/>
    <xf numFmtId="0" fontId="2" fillId="0" borderId="0" xfId="0" applyFont="1" applyAlignment="1"/>
    <xf numFmtId="0" fontId="4" fillId="4" borderId="1" xfId="0" applyFont="1" applyFill="1" applyBorder="1" applyAlignment="1">
      <alignment horizontal="center"/>
    </xf>
    <xf numFmtId="0" fontId="0" fillId="2" borderId="1" xfId="0" applyFill="1" applyBorder="1" applyAlignment="1">
      <alignment horizontal="center"/>
    </xf>
    <xf numFmtId="182" fontId="4" fillId="2" borderId="3" xfId="0" applyNumberFormat="1" applyFont="1" applyFill="1" applyBorder="1" applyAlignment="1">
      <alignment horizontal="left"/>
    </xf>
    <xf numFmtId="184" fontId="4" fillId="2" borderId="3" xfId="0" applyNumberFormat="1" applyFont="1" applyFill="1" applyBorder="1"/>
    <xf numFmtId="182" fontId="4" fillId="2" borderId="4" xfId="0" applyNumberFormat="1" applyFont="1" applyFill="1" applyBorder="1" applyAlignment="1">
      <alignment horizontal="left"/>
    </xf>
    <xf numFmtId="182" fontId="6" fillId="2" borderId="0" xfId="0" applyNumberFormat="1" applyFont="1" applyFill="1" applyBorder="1" applyAlignment="1">
      <alignment horizontal="left" vertical="center"/>
    </xf>
    <xf numFmtId="184" fontId="6" fillId="2" borderId="3" xfId="0" applyNumberFormat="1" applyFont="1" applyFill="1" applyBorder="1" applyAlignment="1">
      <alignment vertical="center"/>
    </xf>
    <xf numFmtId="3" fontId="4" fillId="0" borderId="5" xfId="0" applyNumberFormat="1" applyFont="1" applyBorder="1" applyAlignment="1">
      <alignment horizontal="right" vertical="top"/>
    </xf>
    <xf numFmtId="3" fontId="4" fillId="0" borderId="0" xfId="0" applyNumberFormat="1" applyFont="1" applyBorder="1" applyAlignment="1">
      <alignment horizontal="right" vertical="top"/>
    </xf>
    <xf numFmtId="184" fontId="4" fillId="4" borderId="3" xfId="0" applyNumberFormat="1" applyFont="1" applyFill="1" applyBorder="1" applyAlignment="1">
      <alignment horizontal="center"/>
    </xf>
    <xf numFmtId="3" fontId="6" fillId="2" borderId="0" xfId="0" applyNumberFormat="1" applyFont="1" applyFill="1" applyBorder="1" applyAlignment="1">
      <alignment vertical="center"/>
    </xf>
    <xf numFmtId="3" fontId="6" fillId="4" borderId="0" xfId="0" applyNumberFormat="1" applyFont="1" applyFill="1" applyBorder="1" applyAlignment="1">
      <alignment vertical="center"/>
    </xf>
    <xf numFmtId="184" fontId="6" fillId="4" borderId="3" xfId="0" applyNumberFormat="1" applyFont="1" applyFill="1" applyBorder="1" applyAlignment="1">
      <alignment horizontal="center" vertical="center"/>
    </xf>
    <xf numFmtId="0" fontId="21" fillId="3" borderId="0" xfId="0" applyFont="1" applyFill="1"/>
    <xf numFmtId="0" fontId="4" fillId="4" borderId="0" xfId="0" applyFont="1" applyFill="1" applyBorder="1" applyAlignment="1">
      <alignment horizontal="left"/>
    </xf>
    <xf numFmtId="3" fontId="4" fillId="4" borderId="0" xfId="0" applyNumberFormat="1" applyFont="1" applyFill="1" applyBorder="1" applyAlignment="1">
      <alignment horizontal="left"/>
    </xf>
    <xf numFmtId="182" fontId="4" fillId="2" borderId="6" xfId="0" applyNumberFormat="1" applyFont="1" applyFill="1" applyBorder="1" applyAlignment="1">
      <alignment horizontal="left"/>
    </xf>
    <xf numFmtId="182" fontId="4" fillId="2" borderId="7" xfId="0" applyNumberFormat="1" applyFont="1" applyFill="1" applyBorder="1" applyAlignment="1">
      <alignment horizontal="left"/>
    </xf>
    <xf numFmtId="3" fontId="4" fillId="4" borderId="7" xfId="0" applyNumberFormat="1" applyFont="1" applyFill="1" applyBorder="1"/>
    <xf numFmtId="3" fontId="4" fillId="2" borderId="7" xfId="0" applyNumberFormat="1" applyFont="1" applyFill="1" applyBorder="1"/>
    <xf numFmtId="184" fontId="2" fillId="0" borderId="0" xfId="0" applyNumberFormat="1" applyFont="1"/>
    <xf numFmtId="184" fontId="4" fillId="4" borderId="1" xfId="0" applyNumberFormat="1" applyFont="1" applyFill="1" applyBorder="1" applyAlignment="1">
      <alignment horizontal="right"/>
    </xf>
    <xf numFmtId="184" fontId="4" fillId="4" borderId="0" xfId="0" applyNumberFormat="1" applyFont="1" applyFill="1" applyBorder="1" applyAlignment="1">
      <alignment horizontal="right"/>
    </xf>
    <xf numFmtId="184" fontId="4" fillId="4" borderId="2" xfId="0" applyNumberFormat="1" applyFont="1" applyFill="1" applyBorder="1" applyAlignment="1">
      <alignment horizontal="right" vertical="top"/>
    </xf>
    <xf numFmtId="183" fontId="4" fillId="4" borderId="3" xfId="0" quotePrefix="1" applyNumberFormat="1" applyFont="1" applyFill="1" applyBorder="1" applyAlignment="1">
      <alignment horizontal="right"/>
    </xf>
    <xf numFmtId="183" fontId="4" fillId="2" borderId="3" xfId="0" applyNumberFormat="1" applyFont="1" applyFill="1" applyBorder="1" applyAlignment="1">
      <alignment horizontal="right"/>
    </xf>
    <xf numFmtId="183" fontId="4" fillId="4" borderId="3" xfId="0" applyNumberFormat="1" applyFont="1" applyFill="1" applyBorder="1" applyAlignment="1">
      <alignment horizontal="right"/>
    </xf>
    <xf numFmtId="183" fontId="4" fillId="4" borderId="4" xfId="0" quotePrefix="1" applyNumberFormat="1" applyFont="1" applyFill="1" applyBorder="1" applyAlignment="1">
      <alignment horizontal="right"/>
    </xf>
    <xf numFmtId="183" fontId="6" fillId="4" borderId="4" xfId="0" quotePrefix="1" applyNumberFormat="1" applyFont="1" applyFill="1" applyBorder="1" applyAlignment="1">
      <alignment horizontal="right"/>
    </xf>
    <xf numFmtId="184" fontId="6" fillId="4" borderId="4" xfId="0" applyNumberFormat="1" applyFont="1" applyFill="1" applyBorder="1" applyAlignment="1">
      <alignment horizontal="right"/>
    </xf>
    <xf numFmtId="183" fontId="6" fillId="2" borderId="4" xfId="0" applyNumberFormat="1" applyFont="1" applyFill="1" applyBorder="1" applyAlignment="1">
      <alignment horizontal="right"/>
    </xf>
    <xf numFmtId="0" fontId="4" fillId="2" borderId="0" xfId="0" quotePrefix="1" applyFont="1" applyFill="1" applyBorder="1" applyAlignment="1">
      <alignment horizontal="left" vertical="center"/>
    </xf>
    <xf numFmtId="183" fontId="4" fillId="4" borderId="0" xfId="0" quotePrefix="1" applyNumberFormat="1" applyFont="1" applyFill="1" applyBorder="1" applyAlignment="1">
      <alignment horizontal="right" vertical="center"/>
    </xf>
    <xf numFmtId="184" fontId="4" fillId="4" borderId="0" xfId="0" applyNumberFormat="1" applyFont="1" applyFill="1" applyBorder="1" applyAlignment="1">
      <alignment horizontal="right" vertical="center"/>
    </xf>
    <xf numFmtId="183" fontId="4" fillId="2" borderId="0" xfId="0" applyNumberFormat="1" applyFont="1" applyFill="1" applyBorder="1" applyAlignment="1">
      <alignment horizontal="right" vertical="center"/>
    </xf>
    <xf numFmtId="183" fontId="4" fillId="4" borderId="0" xfId="0" applyNumberFormat="1" applyFont="1" applyFill="1" applyBorder="1" applyAlignment="1">
      <alignment horizontal="right" vertical="center"/>
    </xf>
    <xf numFmtId="182" fontId="5" fillId="0" borderId="5" xfId="0" applyNumberFormat="1" applyFont="1" applyBorder="1"/>
    <xf numFmtId="184" fontId="5" fillId="0" borderId="5" xfId="0" applyNumberFormat="1" applyFont="1" applyBorder="1"/>
    <xf numFmtId="182" fontId="5" fillId="0" borderId="0" xfId="0" applyNumberFormat="1" applyFont="1" applyBorder="1"/>
    <xf numFmtId="184" fontId="5" fillId="0" borderId="0" xfId="0" applyNumberFormat="1" applyFont="1" applyBorder="1"/>
    <xf numFmtId="184" fontId="5" fillId="0" borderId="0" xfId="0" applyNumberFormat="1" applyFont="1"/>
    <xf numFmtId="0" fontId="6" fillId="4" borderId="1" xfId="0" applyFont="1" applyFill="1" applyBorder="1" applyAlignment="1">
      <alignment horizontal="right"/>
    </xf>
    <xf numFmtId="3" fontId="6" fillId="4" borderId="0" xfId="0" applyNumberFormat="1" applyFont="1" applyFill="1" applyBorder="1" applyAlignment="1">
      <alignment horizontal="right"/>
    </xf>
    <xf numFmtId="3" fontId="6" fillId="4" borderId="2" xfId="0" applyNumberFormat="1" applyFont="1" applyFill="1" applyBorder="1" applyAlignment="1">
      <alignment horizontal="right" vertical="top"/>
    </xf>
    <xf numFmtId="3" fontId="4" fillId="4" borderId="3" xfId="0" applyNumberFormat="1" applyFont="1" applyFill="1" applyBorder="1" applyAlignment="1">
      <alignment horizontal="center"/>
    </xf>
    <xf numFmtId="3" fontId="6" fillId="4" borderId="3" xfId="0" applyNumberFormat="1" applyFont="1" applyFill="1" applyBorder="1"/>
    <xf numFmtId="3" fontId="4" fillId="4" borderId="4" xfId="0" applyNumberFormat="1" applyFont="1" applyFill="1" applyBorder="1" applyAlignment="1">
      <alignment horizontal="center"/>
    </xf>
    <xf numFmtId="184" fontId="4" fillId="2" borderId="4" xfId="0" applyNumberFormat="1" applyFont="1" applyFill="1" applyBorder="1" applyAlignment="1">
      <alignment horizontal="center"/>
    </xf>
    <xf numFmtId="182" fontId="4" fillId="2" borderId="0" xfId="0" applyNumberFormat="1" applyFont="1" applyFill="1" applyBorder="1" applyAlignment="1">
      <alignment horizontal="left" vertical="center"/>
    </xf>
    <xf numFmtId="3" fontId="4" fillId="4" borderId="0" xfId="0" applyNumberFormat="1" applyFont="1" applyFill="1" applyBorder="1" applyAlignment="1">
      <alignment vertical="center"/>
    </xf>
    <xf numFmtId="3" fontId="4" fillId="2" borderId="0" xfId="0" applyNumberFormat="1" applyFont="1" applyFill="1" applyBorder="1" applyAlignment="1">
      <alignment vertical="center"/>
    </xf>
    <xf numFmtId="3" fontId="4" fillId="4" borderId="0" xfId="0" applyNumberFormat="1" applyFont="1" applyFill="1" applyBorder="1" applyAlignment="1">
      <alignment horizontal="center" vertical="center"/>
    </xf>
    <xf numFmtId="184" fontId="4" fillId="2" borderId="0" xfId="0" applyNumberFormat="1" applyFont="1" applyFill="1" applyBorder="1" applyAlignment="1">
      <alignment horizontal="center" vertical="center"/>
    </xf>
    <xf numFmtId="3" fontId="4" fillId="0" borderId="5" xfId="0" applyNumberFormat="1" applyFont="1" applyBorder="1" applyAlignment="1">
      <alignment horizontal="center" vertical="top"/>
    </xf>
    <xf numFmtId="3" fontId="6" fillId="0" borderId="5" xfId="0" applyNumberFormat="1" applyFont="1" applyBorder="1" applyAlignment="1">
      <alignment horizontal="right" vertical="top"/>
    </xf>
    <xf numFmtId="3" fontId="4" fillId="0" borderId="0" xfId="0" applyNumberFormat="1" applyFont="1" applyBorder="1" applyAlignment="1">
      <alignment horizontal="center" vertical="top"/>
    </xf>
    <xf numFmtId="3" fontId="6" fillId="0" borderId="0" xfId="0" applyNumberFormat="1" applyFont="1" applyBorder="1" applyAlignment="1">
      <alignment horizontal="right" vertical="top"/>
    </xf>
    <xf numFmtId="0" fontId="2" fillId="0" borderId="2" xfId="0" applyFont="1" applyBorder="1" applyAlignment="1">
      <alignment horizontal="center"/>
    </xf>
    <xf numFmtId="0" fontId="6" fillId="2" borderId="1" xfId="0" applyFont="1" applyFill="1" applyBorder="1" applyAlignment="1">
      <alignment horizontal="right"/>
    </xf>
    <xf numFmtId="3" fontId="6" fillId="2" borderId="0" xfId="0" applyNumberFormat="1" applyFont="1" applyFill="1" applyBorder="1" applyAlignment="1">
      <alignment horizontal="right"/>
    </xf>
    <xf numFmtId="3" fontId="6" fillId="2" borderId="2" xfId="0" applyNumberFormat="1" applyFont="1" applyFill="1" applyBorder="1" applyAlignment="1">
      <alignment horizontal="right" vertical="top"/>
    </xf>
    <xf numFmtId="3" fontId="6" fillId="2" borderId="3" xfId="0" applyNumberFormat="1" applyFont="1" applyFill="1" applyBorder="1"/>
    <xf numFmtId="184" fontId="4" fillId="4" borderId="4" xfId="0" applyNumberFormat="1" applyFont="1" applyFill="1" applyBorder="1" applyAlignment="1">
      <alignment horizontal="center"/>
    </xf>
    <xf numFmtId="3" fontId="6" fillId="2" borderId="4" xfId="0" applyNumberFormat="1" applyFont="1" applyFill="1" applyBorder="1"/>
    <xf numFmtId="3" fontId="6" fillId="2" borderId="4" xfId="0" applyNumberFormat="1" applyFont="1" applyFill="1" applyBorder="1" applyAlignment="1">
      <alignment horizontal="right"/>
    </xf>
    <xf numFmtId="184" fontId="6" fillId="4" borderId="0" xfId="0" applyNumberFormat="1" applyFont="1" applyFill="1" applyBorder="1" applyAlignment="1">
      <alignment horizontal="center" vertical="center"/>
    </xf>
    <xf numFmtId="184" fontId="6" fillId="2" borderId="7" xfId="0" applyNumberFormat="1" applyFont="1" applyFill="1" applyBorder="1" applyAlignment="1">
      <alignment horizontal="center" vertical="center"/>
    </xf>
    <xf numFmtId="0" fontId="9" fillId="0" borderId="0" xfId="0" applyFont="1" applyBorder="1" applyAlignment="1">
      <alignment vertical="center"/>
    </xf>
    <xf numFmtId="3" fontId="4" fillId="2" borderId="3" xfId="0" applyNumberFormat="1" applyFont="1" applyFill="1" applyBorder="1" applyAlignment="1">
      <alignment horizontal="center"/>
    </xf>
    <xf numFmtId="3" fontId="6" fillId="2" borderId="3" xfId="0" applyNumberFormat="1" applyFont="1" applyFill="1" applyBorder="1" applyAlignment="1">
      <alignment horizontal="center" vertical="center"/>
    </xf>
    <xf numFmtId="183" fontId="4" fillId="4" borderId="3" xfId="0" applyNumberFormat="1" applyFont="1" applyFill="1" applyBorder="1"/>
    <xf numFmtId="183" fontId="4" fillId="2" borderId="3" xfId="0" applyNumberFormat="1" applyFont="1" applyFill="1" applyBorder="1"/>
    <xf numFmtId="183" fontId="6" fillId="4" borderId="3" xfId="0" applyNumberFormat="1" applyFont="1" applyFill="1" applyBorder="1" applyAlignment="1">
      <alignment vertical="center"/>
    </xf>
    <xf numFmtId="183" fontId="6" fillId="2" borderId="3" xfId="0" applyNumberFormat="1" applyFont="1" applyFill="1" applyBorder="1" applyAlignment="1">
      <alignment vertical="center"/>
    </xf>
    <xf numFmtId="184" fontId="4" fillId="4" borderId="3" xfId="0" applyNumberFormat="1" applyFont="1" applyFill="1" applyBorder="1"/>
    <xf numFmtId="184" fontId="6" fillId="4" borderId="3" xfId="0" applyNumberFormat="1" applyFont="1" applyFill="1" applyBorder="1" applyAlignment="1">
      <alignment vertical="center"/>
    </xf>
    <xf numFmtId="0" fontId="2" fillId="0" borderId="2" xfId="0" applyFont="1" applyBorder="1"/>
    <xf numFmtId="0" fontId="4" fillId="4" borderId="0" xfId="0" applyFont="1" applyFill="1" applyAlignment="1">
      <alignment horizontal="right"/>
    </xf>
    <xf numFmtId="0" fontId="4" fillId="2" borderId="0" xfId="0" applyFont="1" applyFill="1" applyAlignment="1">
      <alignment horizontal="center"/>
    </xf>
    <xf numFmtId="1" fontId="4" fillId="4" borderId="0" xfId="0" applyNumberFormat="1" applyFont="1" applyFill="1" applyBorder="1" applyAlignment="1">
      <alignment horizontal="center"/>
    </xf>
    <xf numFmtId="9" fontId="4" fillId="2" borderId="3" xfId="0" applyNumberFormat="1" applyFont="1" applyFill="1" applyBorder="1" applyAlignment="1">
      <alignment horizontal="center"/>
    </xf>
    <xf numFmtId="3" fontId="6" fillId="4" borderId="7" xfId="0" applyNumberFormat="1" applyFont="1" applyFill="1" applyBorder="1" applyAlignment="1">
      <alignment vertical="center"/>
    </xf>
    <xf numFmtId="9" fontId="6" fillId="2" borderId="7" xfId="0" applyNumberFormat="1" applyFont="1" applyFill="1" applyBorder="1" applyAlignment="1">
      <alignment horizontal="center" vertical="center"/>
    </xf>
    <xf numFmtId="0" fontId="5" fillId="0" borderId="0" xfId="0" quotePrefix="1" applyFont="1"/>
    <xf numFmtId="0" fontId="3" fillId="0" borderId="0" xfId="2" applyFont="1"/>
    <xf numFmtId="0" fontId="23" fillId="0" borderId="0" xfId="2"/>
    <xf numFmtId="0" fontId="23" fillId="0" borderId="0" xfId="2" applyAlignment="1"/>
    <xf numFmtId="0" fontId="21" fillId="0" borderId="0" xfId="2" applyFont="1" applyAlignment="1"/>
    <xf numFmtId="2" fontId="23" fillId="0" borderId="0" xfId="2" quotePrefix="1" applyNumberFormat="1"/>
    <xf numFmtId="0" fontId="3" fillId="0" borderId="0" xfId="3" applyFont="1"/>
    <xf numFmtId="0" fontId="23" fillId="0" borderId="0" xfId="3"/>
    <xf numFmtId="0" fontId="21" fillId="0" borderId="0" xfId="3" applyFont="1" applyAlignment="1"/>
    <xf numFmtId="0" fontId="3" fillId="0" borderId="0" xfId="4" applyFont="1"/>
    <xf numFmtId="0" fontId="23" fillId="0" borderId="0" xfId="4"/>
    <xf numFmtId="0" fontId="21" fillId="0" borderId="0" xfId="4" applyFont="1" applyAlignment="1"/>
    <xf numFmtId="2" fontId="23" fillId="0" borderId="0" xfId="4" applyNumberFormat="1"/>
    <xf numFmtId="0" fontId="3" fillId="3" borderId="0" xfId="0" applyFont="1" applyFill="1" applyAlignment="1">
      <alignment vertical="top"/>
    </xf>
    <xf numFmtId="9" fontId="6" fillId="4" borderId="1" xfId="0" applyNumberFormat="1" applyFont="1" applyFill="1" applyBorder="1" applyAlignment="1">
      <alignment horizontal="right" wrapText="1"/>
    </xf>
    <xf numFmtId="9" fontId="6" fillId="2" borderId="1" xfId="0" applyNumberFormat="1" applyFont="1" applyFill="1" applyBorder="1" applyAlignment="1">
      <alignment horizontal="right" wrapText="1"/>
    </xf>
    <xf numFmtId="9" fontId="4" fillId="4" borderId="0" xfId="0" applyNumberFormat="1" applyFont="1" applyFill="1" applyBorder="1" applyAlignment="1">
      <alignment horizontal="right" wrapText="1"/>
    </xf>
    <xf numFmtId="9" fontId="4" fillId="2" borderId="0" xfId="0" applyNumberFormat="1" applyFont="1" applyFill="1" applyBorder="1" applyAlignment="1">
      <alignment horizontal="right" wrapText="1"/>
    </xf>
    <xf numFmtId="3" fontId="4" fillId="3" borderId="5" xfId="0" applyNumberFormat="1" applyFont="1" applyFill="1" applyBorder="1" applyAlignment="1">
      <alignment horizontal="right" vertical="top"/>
    </xf>
    <xf numFmtId="3" fontId="4" fillId="3" borderId="0" xfId="0" applyNumberFormat="1" applyFont="1" applyFill="1" applyBorder="1" applyAlignment="1">
      <alignment horizontal="right" vertical="top"/>
    </xf>
    <xf numFmtId="0" fontId="5" fillId="3" borderId="0" xfId="0" applyFont="1" applyFill="1"/>
    <xf numFmtId="0" fontId="20" fillId="4" borderId="0" xfId="0" applyFont="1" applyFill="1" applyBorder="1" applyAlignment="1">
      <alignment horizontal="center"/>
    </xf>
    <xf numFmtId="0" fontId="20" fillId="4" borderId="2" xfId="0" applyFont="1" applyFill="1" applyBorder="1" applyAlignment="1">
      <alignment horizontal="center" vertical="top"/>
    </xf>
    <xf numFmtId="182" fontId="4" fillId="4" borderId="3" xfId="0" applyNumberFormat="1" applyFont="1" applyFill="1" applyBorder="1" applyAlignment="1">
      <alignment horizontal="right"/>
    </xf>
    <xf numFmtId="184" fontId="4" fillId="4" borderId="6" xfId="0" applyNumberFormat="1" applyFont="1" applyFill="1" applyBorder="1" applyAlignment="1">
      <alignment horizontal="center"/>
    </xf>
    <xf numFmtId="184" fontId="4" fillId="2" borderId="6" xfId="0" applyNumberFormat="1" applyFont="1" applyFill="1" applyBorder="1" applyAlignment="1">
      <alignment horizontal="center"/>
    </xf>
    <xf numFmtId="182" fontId="4" fillId="4" borderId="4" xfId="0" applyNumberFormat="1" applyFont="1" applyFill="1" applyBorder="1" applyAlignment="1">
      <alignment horizontal="right"/>
    </xf>
    <xf numFmtId="182" fontId="6" fillId="4" borderId="0" xfId="0" applyNumberFormat="1" applyFont="1" applyFill="1" applyBorder="1" applyAlignment="1">
      <alignment horizontal="right" vertical="center"/>
    </xf>
    <xf numFmtId="184" fontId="6" fillId="4" borderId="4" xfId="0" applyNumberFormat="1" applyFont="1" applyFill="1" applyBorder="1" applyAlignment="1">
      <alignment horizontal="center" vertical="center"/>
    </xf>
    <xf numFmtId="184" fontId="6" fillId="2" borderId="4" xfId="0" applyNumberFormat="1" applyFont="1" applyFill="1" applyBorder="1" applyAlignment="1">
      <alignment horizontal="center" vertical="center"/>
    </xf>
    <xf numFmtId="184" fontId="6" fillId="4" borderId="7" xfId="0" applyNumberFormat="1" applyFont="1" applyFill="1" applyBorder="1" applyAlignment="1">
      <alignment horizontal="center" vertical="center"/>
    </xf>
    <xf numFmtId="182" fontId="4" fillId="0" borderId="5" xfId="0" applyNumberFormat="1" applyFont="1" applyBorder="1" applyAlignment="1">
      <alignment horizontal="center" vertical="top"/>
    </xf>
    <xf numFmtId="182" fontId="4" fillId="0" borderId="0" xfId="0" applyNumberFormat="1" applyFont="1" applyBorder="1" applyAlignment="1">
      <alignment horizontal="center" vertical="top"/>
    </xf>
    <xf numFmtId="182" fontId="0" fillId="0" borderId="0" xfId="0" applyNumberFormat="1"/>
    <xf numFmtId="0" fontId="20" fillId="4" borderId="0" xfId="0" applyFont="1" applyFill="1" applyBorder="1" applyAlignment="1">
      <alignment horizontal="right"/>
    </xf>
    <xf numFmtId="1" fontId="4" fillId="4" borderId="6" xfId="0" applyNumberFormat="1" applyFont="1" applyFill="1" applyBorder="1" applyAlignment="1">
      <alignment horizontal="right"/>
    </xf>
    <xf numFmtId="1" fontId="4" fillId="2" borderId="6" xfId="0" applyNumberFormat="1" applyFont="1" applyFill="1" applyBorder="1" applyAlignment="1">
      <alignment horizontal="right"/>
    </xf>
    <xf numFmtId="1" fontId="4" fillId="2" borderId="3" xfId="0" applyNumberFormat="1" applyFont="1" applyFill="1" applyBorder="1" applyAlignment="1">
      <alignment horizontal="right"/>
    </xf>
    <xf numFmtId="1" fontId="4" fillId="4" borderId="4" xfId="0" applyNumberFormat="1" applyFont="1" applyFill="1" applyBorder="1" applyAlignment="1">
      <alignment horizontal="right"/>
    </xf>
    <xf numFmtId="1" fontId="4" fillId="2" borderId="4" xfId="0" applyNumberFormat="1" applyFont="1" applyFill="1" applyBorder="1" applyAlignment="1">
      <alignment horizontal="right"/>
    </xf>
    <xf numFmtId="1" fontId="6" fillId="4" borderId="4" xfId="0" applyNumberFormat="1" applyFont="1" applyFill="1" applyBorder="1" applyAlignment="1">
      <alignment horizontal="right" vertical="center"/>
    </xf>
    <xf numFmtId="1" fontId="6" fillId="2" borderId="4" xfId="0" applyNumberFormat="1" applyFont="1" applyFill="1" applyBorder="1" applyAlignment="1">
      <alignment horizontal="right" vertical="center"/>
    </xf>
    <xf numFmtId="1" fontId="6" fillId="2" borderId="0" xfId="0" applyNumberFormat="1" applyFont="1" applyFill="1" applyBorder="1" applyAlignment="1">
      <alignment horizontal="right" vertical="center"/>
    </xf>
    <xf numFmtId="3" fontId="6" fillId="4" borderId="7" xfId="0" applyNumberFormat="1" applyFont="1" applyFill="1" applyBorder="1" applyAlignment="1">
      <alignment horizontal="right" vertical="center"/>
    </xf>
    <xf numFmtId="182" fontId="4" fillId="0" borderId="5" xfId="0" applyNumberFormat="1" applyFont="1" applyBorder="1" applyAlignment="1">
      <alignment horizontal="right" vertical="top"/>
    </xf>
    <xf numFmtId="182" fontId="4" fillId="0" borderId="0" xfId="0" applyNumberFormat="1" applyFont="1" applyBorder="1" applyAlignment="1">
      <alignment horizontal="right" vertical="top"/>
    </xf>
    <xf numFmtId="3" fontId="20" fillId="4" borderId="0" xfId="0" applyNumberFormat="1" applyFont="1" applyFill="1" applyBorder="1" applyAlignment="1">
      <alignment horizontal="center"/>
    </xf>
    <xf numFmtId="184" fontId="6" fillId="4" borderId="6" xfId="0" applyNumberFormat="1" applyFont="1" applyFill="1" applyBorder="1" applyAlignment="1">
      <alignment horizontal="center" vertical="center"/>
    </xf>
    <xf numFmtId="184" fontId="6" fillId="2" borderId="6" xfId="0" applyNumberFormat="1" applyFont="1" applyFill="1" applyBorder="1" applyAlignment="1">
      <alignment horizontal="center" vertical="center"/>
    </xf>
    <xf numFmtId="0" fontId="4" fillId="2" borderId="0" xfId="0" applyFont="1" applyFill="1" applyBorder="1" applyAlignment="1">
      <alignment horizontal="left" vertical="center"/>
    </xf>
    <xf numFmtId="0" fontId="25" fillId="0" borderId="0" xfId="6" applyFont="1"/>
    <xf numFmtId="0" fontId="23" fillId="0" borderId="0" xfId="6"/>
    <xf numFmtId="0" fontId="3" fillId="0" borderId="0" xfId="6" applyFont="1"/>
    <xf numFmtId="0" fontId="21" fillId="0" borderId="0" xfId="6" applyFont="1" applyAlignment="1"/>
    <xf numFmtId="3" fontId="3" fillId="0" borderId="0" xfId="0" applyNumberFormat="1" applyFont="1"/>
    <xf numFmtId="3" fontId="6" fillId="4" borderId="1" xfId="0" applyNumberFormat="1" applyFont="1" applyFill="1" applyBorder="1" applyAlignment="1">
      <alignment horizontal="right"/>
    </xf>
    <xf numFmtId="0" fontId="4" fillId="2" borderId="2" xfId="0" applyFont="1" applyFill="1" applyBorder="1" applyAlignment="1">
      <alignment horizontal="left"/>
    </xf>
    <xf numFmtId="0" fontId="4" fillId="2" borderId="2" xfId="0" applyFont="1" applyFill="1" applyBorder="1" applyAlignment="1">
      <alignment horizontal="center"/>
    </xf>
    <xf numFmtId="0" fontId="4" fillId="2" borderId="3" xfId="0" applyFont="1" applyFill="1" applyBorder="1" applyAlignment="1">
      <alignment horizontal="left" vertical="center"/>
    </xf>
    <xf numFmtId="3" fontId="4" fillId="4" borderId="6" xfId="0" applyNumberFormat="1" applyFont="1" applyFill="1" applyBorder="1" applyAlignment="1">
      <alignment horizontal="right" vertical="center"/>
    </xf>
    <xf numFmtId="3" fontId="4" fillId="2" borderId="6" xfId="0" applyNumberFormat="1" applyFont="1" applyFill="1" applyBorder="1" applyAlignment="1">
      <alignment horizontal="right" vertical="center"/>
    </xf>
    <xf numFmtId="3" fontId="9" fillId="0" borderId="5" xfId="0" applyNumberFormat="1" applyFont="1" applyBorder="1"/>
    <xf numFmtId="3" fontId="9" fillId="0" borderId="0" xfId="0" applyNumberFormat="1" applyFont="1" applyBorder="1"/>
    <xf numFmtId="3" fontId="9" fillId="0" borderId="0" xfId="0" applyNumberFormat="1" applyFont="1"/>
    <xf numFmtId="0" fontId="6" fillId="2" borderId="1" xfId="0" applyFont="1" applyFill="1" applyBorder="1" applyAlignment="1">
      <alignment horizontal="left"/>
    </xf>
    <xf numFmtId="3" fontId="6" fillId="4" borderId="6" xfId="0" applyNumberFormat="1" applyFont="1" applyFill="1" applyBorder="1" applyAlignment="1">
      <alignment horizontal="right"/>
    </xf>
    <xf numFmtId="184" fontId="2" fillId="0" borderId="0" xfId="0" applyNumberFormat="1" applyFont="1" applyAlignment="1">
      <alignment horizontal="center"/>
    </xf>
    <xf numFmtId="184" fontId="4" fillId="2" borderId="1" xfId="0" applyNumberFormat="1" applyFont="1" applyFill="1" applyBorder="1" applyAlignment="1">
      <alignment horizontal="center"/>
    </xf>
    <xf numFmtId="0" fontId="6" fillId="4" borderId="0" xfId="0" applyFont="1" applyFill="1" applyBorder="1" applyAlignment="1">
      <alignment horizontal="right"/>
    </xf>
    <xf numFmtId="184" fontId="4" fillId="2" borderId="0" xfId="0" applyNumberFormat="1" applyFont="1" applyFill="1" applyBorder="1" applyAlignment="1">
      <alignment horizontal="center"/>
    </xf>
    <xf numFmtId="0" fontId="6" fillId="4" borderId="2" xfId="0" applyFont="1" applyFill="1" applyBorder="1" applyAlignment="1">
      <alignment horizontal="right" vertical="top"/>
    </xf>
    <xf numFmtId="184" fontId="4" fillId="2" borderId="2" xfId="0" applyNumberFormat="1" applyFont="1" applyFill="1" applyBorder="1" applyAlignment="1">
      <alignment horizontal="center" vertical="top"/>
    </xf>
    <xf numFmtId="0" fontId="4" fillId="0" borderId="0" xfId="0" applyFont="1" applyAlignment="1">
      <alignment horizontal="right"/>
    </xf>
    <xf numFmtId="0" fontId="6" fillId="2" borderId="3" xfId="0" quotePrefix="1" applyFont="1" applyFill="1" applyBorder="1" applyAlignment="1"/>
    <xf numFmtId="0" fontId="4" fillId="2" borderId="4" xfId="0" quotePrefix="1" applyFont="1" applyFill="1" applyBorder="1" applyAlignment="1"/>
    <xf numFmtId="3" fontId="4" fillId="2" borderId="4" xfId="0" applyNumberFormat="1" applyFont="1" applyFill="1" applyBorder="1" applyAlignment="1"/>
    <xf numFmtId="0" fontId="6" fillId="2" borderId="4" xfId="0" quotePrefix="1" applyFont="1" applyFill="1" applyBorder="1" applyAlignment="1"/>
    <xf numFmtId="3" fontId="4" fillId="2" borderId="4" xfId="0" applyNumberFormat="1" applyFont="1" applyFill="1" applyBorder="1" applyAlignment="1">
      <alignment vertical="center"/>
    </xf>
    <xf numFmtId="0" fontId="4" fillId="2" borderId="0" xfId="0" quotePrefix="1" applyFont="1" applyFill="1" applyBorder="1" applyAlignment="1">
      <alignment vertical="center"/>
    </xf>
    <xf numFmtId="184" fontId="4" fillId="2" borderId="4" xfId="0" applyNumberFormat="1" applyFont="1" applyFill="1" applyBorder="1" applyAlignment="1">
      <alignment horizontal="center" vertical="center"/>
    </xf>
    <xf numFmtId="3" fontId="4" fillId="4" borderId="0" xfId="0" applyNumberFormat="1" applyFont="1" applyFill="1" applyBorder="1" applyAlignment="1">
      <alignment horizontal="right" vertical="center"/>
    </xf>
    <xf numFmtId="0" fontId="9" fillId="0" borderId="5" xfId="0" applyFont="1" applyBorder="1"/>
    <xf numFmtId="184" fontId="5" fillId="0" borderId="5" xfId="0" applyNumberFormat="1" applyFont="1" applyBorder="1" applyAlignment="1">
      <alignment horizontal="center"/>
    </xf>
    <xf numFmtId="0" fontId="9" fillId="0" borderId="0" xfId="0" applyFont="1" applyBorder="1"/>
    <xf numFmtId="184" fontId="5" fillId="0" borderId="0" xfId="0" applyNumberFormat="1" applyFont="1" applyBorder="1" applyAlignment="1">
      <alignment horizontal="center"/>
    </xf>
    <xf numFmtId="184" fontId="5" fillId="0" borderId="0" xfId="0" applyNumberFormat="1" applyFont="1" applyAlignment="1">
      <alignment horizontal="center"/>
    </xf>
    <xf numFmtId="0" fontId="6" fillId="2" borderId="4" xfId="0" quotePrefix="1" applyFont="1" applyFill="1" applyBorder="1" applyAlignment="1">
      <alignment horizontal="left" vertical="center"/>
    </xf>
    <xf numFmtId="3" fontId="4" fillId="4" borderId="4" xfId="0" applyNumberFormat="1" applyFont="1" applyFill="1" applyBorder="1" applyAlignment="1"/>
    <xf numFmtId="0" fontId="3" fillId="0" borderId="0" xfId="5" applyFont="1"/>
    <xf numFmtId="0" fontId="23" fillId="0" borderId="0" xfId="5"/>
    <xf numFmtId="0" fontId="5" fillId="0" borderId="0" xfId="5" applyFont="1"/>
    <xf numFmtId="0" fontId="2" fillId="0" borderId="0" xfId="0" applyNumberFormat="1" applyFont="1" applyAlignment="1">
      <alignment horizontal="center"/>
    </xf>
    <xf numFmtId="0" fontId="5" fillId="2" borderId="1" xfId="0" applyFont="1" applyFill="1" applyBorder="1" applyAlignment="1">
      <alignment horizontal="left"/>
    </xf>
    <xf numFmtId="0" fontId="5" fillId="4" borderId="1" xfId="0" applyFont="1" applyFill="1" applyBorder="1" applyAlignment="1">
      <alignment horizontal="center"/>
    </xf>
    <xf numFmtId="0" fontId="5" fillId="2" borderId="1" xfId="0" applyFont="1" applyFill="1" applyBorder="1" applyAlignment="1">
      <alignment horizontal="center"/>
    </xf>
    <xf numFmtId="3" fontId="5" fillId="2" borderId="1" xfId="0" applyNumberFormat="1" applyFont="1" applyFill="1" applyBorder="1" applyAlignment="1">
      <alignment horizontal="center"/>
    </xf>
    <xf numFmtId="3" fontId="5" fillId="4" borderId="1" xfId="0" applyNumberFormat="1" applyFont="1" applyFill="1" applyBorder="1" applyAlignment="1">
      <alignment horizontal="center"/>
    </xf>
    <xf numFmtId="0" fontId="5" fillId="2" borderId="1" xfId="0" applyNumberFormat="1" applyFont="1" applyFill="1" applyBorder="1" applyAlignment="1">
      <alignment horizontal="center"/>
    </xf>
    <xf numFmtId="0" fontId="5" fillId="2" borderId="0" xfId="0" applyFont="1" applyFill="1" applyBorder="1" applyAlignment="1">
      <alignment horizontal="left"/>
    </xf>
    <xf numFmtId="0" fontId="5" fillId="4" borderId="0" xfId="0" applyFont="1" applyFill="1" applyBorder="1" applyAlignment="1">
      <alignment horizontal="center"/>
    </xf>
    <xf numFmtId="0" fontId="5" fillId="2" borderId="0" xfId="0" applyFont="1" applyFill="1" applyBorder="1" applyAlignment="1">
      <alignment horizontal="center"/>
    </xf>
    <xf numFmtId="3" fontId="5" fillId="2" borderId="0" xfId="0" applyNumberFormat="1" applyFont="1" applyFill="1" applyBorder="1" applyAlignment="1">
      <alignment horizontal="center"/>
    </xf>
    <xf numFmtId="3" fontId="5" fillId="4"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2" xfId="0" applyFont="1" applyFill="1" applyBorder="1" applyAlignment="1">
      <alignment horizontal="left"/>
    </xf>
    <xf numFmtId="0" fontId="5" fillId="2" borderId="2" xfId="0" applyFont="1" applyFill="1" applyBorder="1" applyAlignment="1">
      <alignment horizontal="center"/>
    </xf>
    <xf numFmtId="0" fontId="5" fillId="4" borderId="2" xfId="0" applyFont="1" applyFill="1" applyBorder="1" applyAlignment="1">
      <alignment horizontal="center" vertical="top"/>
    </xf>
    <xf numFmtId="0" fontId="5" fillId="2" borderId="2" xfId="0" applyFont="1" applyFill="1" applyBorder="1" applyAlignment="1">
      <alignment horizontal="center" vertical="top"/>
    </xf>
    <xf numFmtId="3" fontId="5" fillId="2" borderId="2" xfId="0" applyNumberFormat="1" applyFont="1" applyFill="1" applyBorder="1" applyAlignment="1">
      <alignment horizontal="center" vertical="top"/>
    </xf>
    <xf numFmtId="3" fontId="5" fillId="4" borderId="2" xfId="0" applyNumberFormat="1" applyFont="1" applyFill="1" applyBorder="1" applyAlignment="1">
      <alignment horizontal="center" vertical="top"/>
    </xf>
    <xf numFmtId="0" fontId="5" fillId="2" borderId="2" xfId="0" applyNumberFormat="1" applyFont="1" applyFill="1" applyBorder="1" applyAlignment="1">
      <alignment horizontal="center" vertical="top"/>
    </xf>
    <xf numFmtId="1" fontId="5" fillId="2" borderId="6" xfId="0" applyNumberFormat="1" applyFont="1" applyFill="1" applyBorder="1" applyAlignment="1">
      <alignment horizontal="right" vertical="center"/>
    </xf>
    <xf numFmtId="0" fontId="5" fillId="2" borderId="6" xfId="0" applyFont="1" applyFill="1" applyBorder="1" applyAlignment="1">
      <alignment horizontal="left" vertical="center"/>
    </xf>
    <xf numFmtId="3" fontId="5" fillId="4" borderId="6" xfId="0" applyNumberFormat="1" applyFont="1" applyFill="1" applyBorder="1" applyAlignment="1">
      <alignment vertical="center"/>
    </xf>
    <xf numFmtId="183" fontId="5" fillId="2" borderId="6" xfId="0" applyNumberFormat="1" applyFont="1" applyFill="1" applyBorder="1" applyAlignment="1">
      <alignment horizontal="right" vertical="center"/>
    </xf>
    <xf numFmtId="183" fontId="5" fillId="4" borderId="6" xfId="0" applyNumberFormat="1" applyFont="1" applyFill="1" applyBorder="1" applyAlignment="1">
      <alignment horizontal="right" vertical="center"/>
    </xf>
    <xf numFmtId="184" fontId="5" fillId="2" borderId="6" xfId="0" applyNumberFormat="1" applyFont="1" applyFill="1" applyBorder="1" applyAlignment="1">
      <alignment horizontal="right" vertical="center"/>
    </xf>
    <xf numFmtId="3" fontId="5" fillId="4" borderId="6" xfId="0" applyNumberFormat="1" applyFont="1" applyFill="1" applyBorder="1" applyAlignment="1">
      <alignment horizontal="right" vertical="center"/>
    </xf>
    <xf numFmtId="184" fontId="5" fillId="2" borderId="6" xfId="0" applyNumberFormat="1" applyFont="1" applyFill="1" applyBorder="1" applyAlignment="1">
      <alignment vertical="center"/>
    </xf>
    <xf numFmtId="3" fontId="5" fillId="2" borderId="6" xfId="0" applyNumberFormat="1" applyFont="1" applyFill="1" applyBorder="1" applyAlignment="1">
      <alignment horizontal="right" vertical="center"/>
    </xf>
    <xf numFmtId="184" fontId="5" fillId="4" borderId="6" xfId="0" applyNumberFormat="1" applyFont="1" applyFill="1" applyBorder="1" applyAlignment="1">
      <alignment horizontal="right" vertical="center"/>
    </xf>
    <xf numFmtId="0" fontId="5" fillId="2" borderId="6" xfId="0" applyNumberFormat="1" applyFont="1" applyFill="1" applyBorder="1" applyAlignment="1">
      <alignment horizontal="center" vertical="center"/>
    </xf>
    <xf numFmtId="1" fontId="5" fillId="2" borderId="4" xfId="0" applyNumberFormat="1" applyFont="1" applyFill="1" applyBorder="1" applyAlignment="1">
      <alignment horizontal="right" vertical="center"/>
    </xf>
    <xf numFmtId="0" fontId="5" fillId="2" borderId="4" xfId="0" applyFont="1" applyFill="1" applyBorder="1" applyAlignment="1">
      <alignment horizontal="left" vertical="center"/>
    </xf>
    <xf numFmtId="3" fontId="5" fillId="4" borderId="4" xfId="0" applyNumberFormat="1" applyFont="1" applyFill="1" applyBorder="1" applyAlignment="1">
      <alignment vertical="center"/>
    </xf>
    <xf numFmtId="183" fontId="5" fillId="2" borderId="4" xfId="0" applyNumberFormat="1" applyFont="1" applyFill="1" applyBorder="1" applyAlignment="1">
      <alignment horizontal="right" vertical="center"/>
    </xf>
    <xf numFmtId="183" fontId="5" fillId="4" borderId="4" xfId="0" applyNumberFormat="1" applyFont="1" applyFill="1" applyBorder="1" applyAlignment="1">
      <alignment horizontal="right" vertical="center"/>
    </xf>
    <xf numFmtId="184" fontId="5" fillId="2" borderId="4" xfId="0" applyNumberFormat="1" applyFont="1" applyFill="1" applyBorder="1" applyAlignment="1">
      <alignment horizontal="right" vertical="center"/>
    </xf>
    <xf numFmtId="3" fontId="5" fillId="4" borderId="4" xfId="0" applyNumberFormat="1" applyFont="1" applyFill="1" applyBorder="1" applyAlignment="1">
      <alignment horizontal="right" vertical="center"/>
    </xf>
    <xf numFmtId="184" fontId="5" fillId="2" borderId="4" xfId="0" applyNumberFormat="1" applyFont="1" applyFill="1" applyBorder="1" applyAlignment="1">
      <alignment vertical="center"/>
    </xf>
    <xf numFmtId="3" fontId="5" fillId="2" borderId="4" xfId="0" applyNumberFormat="1" applyFont="1" applyFill="1" applyBorder="1" applyAlignment="1">
      <alignment horizontal="right" vertical="center"/>
    </xf>
    <xf numFmtId="184" fontId="5" fillId="4" borderId="4" xfId="0" applyNumberFormat="1" applyFont="1" applyFill="1" applyBorder="1" applyAlignment="1">
      <alignment horizontal="right" vertical="center"/>
    </xf>
    <xf numFmtId="1" fontId="5" fillId="2" borderId="8" xfId="0" applyNumberFormat="1" applyFont="1" applyFill="1" applyBorder="1" applyAlignment="1">
      <alignment horizontal="right" vertical="center"/>
    </xf>
    <xf numFmtId="0" fontId="5" fillId="2" borderId="8" xfId="0" applyFont="1" applyFill="1" applyBorder="1" applyAlignment="1">
      <alignment horizontal="left" vertical="center"/>
    </xf>
    <xf numFmtId="3" fontId="5" fillId="4" borderId="8" xfId="0" applyNumberFormat="1" applyFont="1" applyFill="1" applyBorder="1" applyAlignment="1">
      <alignment vertical="center"/>
    </xf>
    <xf numFmtId="183" fontId="5" fillId="2" borderId="8" xfId="0" applyNumberFormat="1" applyFont="1" applyFill="1" applyBorder="1" applyAlignment="1">
      <alignment horizontal="right" vertical="center"/>
    </xf>
    <xf numFmtId="183" fontId="5" fillId="4" borderId="8" xfId="0" applyNumberFormat="1" applyFont="1" applyFill="1" applyBorder="1" applyAlignment="1">
      <alignment horizontal="right" vertical="center"/>
    </xf>
    <xf numFmtId="184" fontId="5" fillId="2" borderId="8" xfId="0" applyNumberFormat="1" applyFont="1" applyFill="1" applyBorder="1" applyAlignment="1">
      <alignment horizontal="right" vertical="center"/>
    </xf>
    <xf numFmtId="3" fontId="5" fillId="4" borderId="8" xfId="0" applyNumberFormat="1" applyFont="1" applyFill="1" applyBorder="1" applyAlignment="1">
      <alignment horizontal="right" vertical="center"/>
    </xf>
    <xf numFmtId="184" fontId="5" fillId="2" borderId="8" xfId="0" applyNumberFormat="1" applyFont="1" applyFill="1" applyBorder="1" applyAlignment="1">
      <alignment vertical="center"/>
    </xf>
    <xf numFmtId="3" fontId="5" fillId="2" borderId="8" xfId="0" applyNumberFormat="1" applyFont="1" applyFill="1" applyBorder="1" applyAlignment="1">
      <alignment horizontal="right" vertical="center"/>
    </xf>
    <xf numFmtId="184" fontId="5" fillId="4" borderId="8" xfId="0" applyNumberFormat="1" applyFont="1" applyFill="1" applyBorder="1" applyAlignment="1">
      <alignment horizontal="right" vertical="center"/>
    </xf>
    <xf numFmtId="1" fontId="9" fillId="2" borderId="7" xfId="0" applyNumberFormat="1" applyFont="1" applyFill="1" applyBorder="1" applyAlignment="1">
      <alignment horizontal="right" vertical="center"/>
    </xf>
    <xf numFmtId="0" fontId="9" fillId="2" borderId="7" xfId="0" applyFont="1" applyFill="1" applyBorder="1" applyAlignment="1">
      <alignment horizontal="left" vertical="center"/>
    </xf>
    <xf numFmtId="3" fontId="9" fillId="4" borderId="7" xfId="0" applyNumberFormat="1" applyFont="1" applyFill="1" applyBorder="1" applyAlignment="1">
      <alignment vertical="center"/>
    </xf>
    <xf numFmtId="183" fontId="9" fillId="2" borderId="7" xfId="0" applyNumberFormat="1" applyFont="1" applyFill="1" applyBorder="1" applyAlignment="1">
      <alignment horizontal="right" vertical="center"/>
    </xf>
    <xf numFmtId="183" fontId="9" fillId="4" borderId="7" xfId="0" applyNumberFormat="1" applyFont="1" applyFill="1" applyBorder="1" applyAlignment="1">
      <alignment horizontal="right" vertical="center"/>
    </xf>
    <xf numFmtId="184" fontId="9" fillId="2" borderId="7" xfId="0" applyNumberFormat="1" applyFont="1" applyFill="1" applyBorder="1" applyAlignment="1">
      <alignment horizontal="right" vertical="center"/>
    </xf>
    <xf numFmtId="3" fontId="9" fillId="4" borderId="7" xfId="0" applyNumberFormat="1" applyFont="1" applyFill="1" applyBorder="1" applyAlignment="1">
      <alignment horizontal="right" vertical="center"/>
    </xf>
    <xf numFmtId="184" fontId="9" fillId="2" borderId="7" xfId="0" applyNumberFormat="1" applyFont="1" applyFill="1" applyBorder="1" applyAlignment="1">
      <alignment vertical="center"/>
    </xf>
    <xf numFmtId="3" fontId="9" fillId="2" borderId="7" xfId="0" applyNumberFormat="1" applyFont="1" applyFill="1" applyBorder="1" applyAlignment="1">
      <alignment horizontal="right" vertical="center"/>
    </xf>
    <xf numFmtId="184" fontId="9" fillId="4" borderId="7" xfId="0" applyNumberFormat="1" applyFont="1" applyFill="1" applyBorder="1" applyAlignment="1">
      <alignment horizontal="right" vertical="center"/>
    </xf>
    <xf numFmtId="0" fontId="9" fillId="2" borderId="7" xfId="0" applyNumberFormat="1" applyFont="1" applyFill="1" applyBorder="1" applyAlignment="1">
      <alignment horizontal="center" vertical="center"/>
    </xf>
    <xf numFmtId="1" fontId="5" fillId="0" borderId="6" xfId="0" applyNumberFormat="1" applyFont="1" applyFill="1" applyBorder="1" applyAlignment="1">
      <alignment horizontal="right"/>
    </xf>
    <xf numFmtId="0" fontId="5" fillId="0" borderId="6" xfId="0" applyFont="1" applyFill="1" applyBorder="1" applyAlignment="1">
      <alignment horizontal="left"/>
    </xf>
    <xf numFmtId="3" fontId="5" fillId="0" borderId="6" xfId="0" applyNumberFormat="1" applyFont="1" applyFill="1" applyBorder="1" applyAlignment="1"/>
    <xf numFmtId="183" fontId="5" fillId="0" borderId="6" xfId="0" applyNumberFormat="1" applyFont="1" applyFill="1" applyBorder="1" applyAlignment="1">
      <alignment horizontal="right"/>
    </xf>
    <xf numFmtId="184" fontId="5" fillId="0" borderId="6" xfId="0" applyNumberFormat="1" applyFont="1" applyFill="1" applyBorder="1" applyAlignment="1">
      <alignment horizontal="right"/>
    </xf>
    <xf numFmtId="3" fontId="5" fillId="0" borderId="6" xfId="0" applyNumberFormat="1" applyFont="1" applyFill="1" applyBorder="1" applyAlignment="1">
      <alignment horizontal="right"/>
    </xf>
    <xf numFmtId="184" fontId="5" fillId="0" borderId="6" xfId="0" applyNumberFormat="1" applyFont="1" applyFill="1" applyBorder="1" applyAlignment="1"/>
    <xf numFmtId="0" fontId="5" fillId="0" borderId="0" xfId="0" applyNumberFormat="1" applyFont="1" applyAlignment="1">
      <alignment horizontal="center"/>
    </xf>
    <xf numFmtId="1" fontId="5" fillId="0" borderId="4" xfId="0" applyNumberFormat="1" applyFont="1" applyFill="1" applyBorder="1" applyAlignment="1">
      <alignment horizontal="right"/>
    </xf>
    <xf numFmtId="3" fontId="5" fillId="0" borderId="4" xfId="0" applyNumberFormat="1" applyFont="1" applyFill="1" applyBorder="1" applyAlignment="1"/>
    <xf numFmtId="183" fontId="5" fillId="0" borderId="4" xfId="0" applyNumberFormat="1" applyFont="1" applyFill="1" applyBorder="1" applyAlignment="1">
      <alignment horizontal="right"/>
    </xf>
    <xf numFmtId="184" fontId="5" fillId="0" borderId="4" xfId="0" applyNumberFormat="1" applyFont="1" applyFill="1" applyBorder="1" applyAlignment="1">
      <alignment horizontal="right"/>
    </xf>
    <xf numFmtId="3" fontId="5" fillId="0" borderId="4" xfId="0" applyNumberFormat="1" applyFont="1" applyFill="1" applyBorder="1" applyAlignment="1">
      <alignment horizontal="left"/>
    </xf>
    <xf numFmtId="184" fontId="5" fillId="0" borderId="4" xfId="0" applyNumberFormat="1" applyFont="1" applyFill="1" applyBorder="1" applyAlignment="1"/>
    <xf numFmtId="3" fontId="5" fillId="0" borderId="4" xfId="0" applyNumberFormat="1" applyFont="1" applyFill="1" applyBorder="1" applyAlignment="1">
      <alignment horizontal="right"/>
    </xf>
    <xf numFmtId="0" fontId="28" fillId="0" borderId="0" xfId="0" applyFont="1" applyAlignment="1">
      <alignment horizontal="left"/>
    </xf>
    <xf numFmtId="0" fontId="28" fillId="0" borderId="0" xfId="0" applyFont="1" applyAlignment="1"/>
    <xf numFmtId="0" fontId="29" fillId="0" borderId="0" xfId="0" applyFont="1" applyAlignment="1"/>
    <xf numFmtId="0" fontId="30" fillId="0" borderId="0" xfId="0" applyFont="1" applyAlignment="1"/>
    <xf numFmtId="0" fontId="29" fillId="0" borderId="9" xfId="0" applyFont="1" applyBorder="1" applyAlignment="1">
      <alignment vertical="top" wrapText="1"/>
    </xf>
    <xf numFmtId="0" fontId="30" fillId="0" borderId="10" xfId="0" applyFont="1" applyBorder="1" applyAlignment="1">
      <alignment horizontal="justify" vertical="top" wrapText="1"/>
    </xf>
    <xf numFmtId="0" fontId="29" fillId="0" borderId="11" xfId="0" applyFont="1" applyBorder="1" applyAlignment="1">
      <alignment vertical="top" wrapText="1"/>
    </xf>
    <xf numFmtId="0" fontId="30" fillId="0" borderId="12" xfId="0" applyFont="1" applyBorder="1" applyAlignment="1">
      <alignment horizontal="justify" vertical="top" wrapText="1"/>
    </xf>
    <xf numFmtId="0" fontId="5" fillId="0" borderId="0" xfId="0" applyFont="1" applyAlignment="1"/>
    <xf numFmtId="1" fontId="31" fillId="0" borderId="0" xfId="0" applyNumberFormat="1" applyFont="1" applyFill="1" applyBorder="1" applyAlignment="1"/>
    <xf numFmtId="0" fontId="9" fillId="0" borderId="0" xfId="0" applyFont="1" applyFill="1" applyBorder="1" applyAlignment="1">
      <alignment horizontal="center"/>
    </xf>
    <xf numFmtId="0" fontId="21" fillId="0" borderId="0" xfId="0" applyFont="1" applyFill="1" applyBorder="1"/>
    <xf numFmtId="16" fontId="9" fillId="0" borderId="0" xfId="0" quotePrefix="1" applyNumberFormat="1" applyFont="1" applyFill="1" applyBorder="1" applyAlignment="1">
      <alignment horizontal="center"/>
    </xf>
    <xf numFmtId="0" fontId="21" fillId="0" borderId="0" xfId="0" quotePrefix="1" applyFont="1" applyFill="1" applyBorder="1"/>
    <xf numFmtId="18" fontId="9" fillId="0" borderId="0" xfId="0" quotePrefix="1" applyNumberFormat="1" applyFont="1" applyFill="1" applyBorder="1" applyAlignment="1">
      <alignment horizontal="center"/>
    </xf>
    <xf numFmtId="0" fontId="9" fillId="0" borderId="0" xfId="0" quotePrefix="1" applyFont="1" applyFill="1" applyBorder="1" applyAlignment="1">
      <alignment horizontal="center"/>
    </xf>
    <xf numFmtId="0" fontId="9" fillId="0" borderId="0" xfId="0" applyFont="1" applyBorder="1" applyAlignment="1">
      <alignment horizontal="center"/>
    </xf>
    <xf numFmtId="0" fontId="21" fillId="0" borderId="0" xfId="0" applyFont="1" applyBorder="1"/>
    <xf numFmtId="3" fontId="5" fillId="4" borderId="6" xfId="0" applyNumberFormat="1" applyFont="1" applyFill="1" applyBorder="1" applyAlignment="1">
      <alignment horizontal="center" vertical="center"/>
    </xf>
    <xf numFmtId="183" fontId="5" fillId="4" borderId="6" xfId="0" applyNumberFormat="1" applyFont="1" applyFill="1" applyBorder="1" applyAlignment="1">
      <alignment vertical="center"/>
    </xf>
    <xf numFmtId="3" fontId="5" fillId="4" borderId="4" xfId="0" applyNumberFormat="1" applyFont="1" applyFill="1" applyBorder="1" applyAlignment="1">
      <alignment horizontal="center" vertical="center"/>
    </xf>
    <xf numFmtId="183" fontId="5" fillId="4" borderId="4" xfId="0" applyNumberFormat="1" applyFont="1" applyFill="1" applyBorder="1" applyAlignment="1">
      <alignment vertical="center"/>
    </xf>
    <xf numFmtId="3" fontId="5" fillId="4" borderId="8" xfId="0" applyNumberFormat="1" applyFont="1" applyFill="1" applyBorder="1" applyAlignment="1">
      <alignment horizontal="center" vertical="center"/>
    </xf>
    <xf numFmtId="183" fontId="5" fillId="4" borderId="8" xfId="0" applyNumberFormat="1" applyFont="1" applyFill="1" applyBorder="1" applyAlignment="1">
      <alignment vertical="center"/>
    </xf>
    <xf numFmtId="3" fontId="9" fillId="4" borderId="7" xfId="0" applyNumberFormat="1" applyFont="1" applyFill="1" applyBorder="1" applyAlignment="1">
      <alignment horizontal="center" vertical="center"/>
    </xf>
    <xf numFmtId="183" fontId="9" fillId="4" borderId="7" xfId="0" applyNumberFormat="1" applyFont="1" applyFill="1" applyBorder="1" applyAlignment="1">
      <alignment vertical="center"/>
    </xf>
    <xf numFmtId="3" fontId="5" fillId="0" borderId="6" xfId="0" applyNumberFormat="1" applyFont="1" applyFill="1" applyBorder="1" applyAlignment="1">
      <alignment horizontal="center"/>
    </xf>
    <xf numFmtId="3" fontId="5" fillId="0" borderId="4" xfId="0" applyNumberFormat="1" applyFont="1" applyFill="1" applyBorder="1" applyAlignment="1">
      <alignment horizontal="center"/>
    </xf>
    <xf numFmtId="0" fontId="32" fillId="0" borderId="0" xfId="0" applyFont="1" applyAlignment="1">
      <alignment horizontal="left"/>
    </xf>
    <xf numFmtId="0" fontId="18" fillId="5" borderId="0" xfId="0" applyNumberFormat="1" applyFont="1" applyFill="1" applyAlignment="1">
      <alignment horizontal="center"/>
    </xf>
    <xf numFmtId="0" fontId="3" fillId="0" borderId="0" xfId="0" applyFont="1" applyFill="1" applyBorder="1" applyAlignment="1">
      <alignment vertical="center"/>
    </xf>
    <xf numFmtId="3" fontId="5" fillId="0" borderId="2" xfId="0" applyNumberFormat="1" applyFont="1" applyFill="1" applyBorder="1" applyAlignment="1">
      <alignment horizontal="right"/>
    </xf>
    <xf numFmtId="0" fontId="5" fillId="0" borderId="2" xfId="0" applyFont="1" applyFill="1" applyBorder="1" applyAlignment="1">
      <alignment horizontal="right"/>
    </xf>
    <xf numFmtId="0" fontId="4" fillId="2" borderId="7" xfId="0" applyFont="1" applyFill="1" applyBorder="1" applyAlignment="1">
      <alignment horizontal="left"/>
    </xf>
    <xf numFmtId="3" fontId="4" fillId="4" borderId="7" xfId="0" applyNumberFormat="1" applyFont="1" applyFill="1" applyBorder="1" applyAlignment="1">
      <alignment horizontal="right"/>
    </xf>
    <xf numFmtId="184" fontId="4" fillId="2" borderId="7" xfId="0" applyNumberFormat="1" applyFont="1" applyFill="1" applyBorder="1" applyAlignment="1">
      <alignment horizontal="right"/>
    </xf>
    <xf numFmtId="0" fontId="5" fillId="3" borderId="0" xfId="0" applyFont="1" applyFill="1" applyBorder="1"/>
    <xf numFmtId="0" fontId="3" fillId="0" borderId="0" xfId="1" applyFont="1"/>
    <xf numFmtId="0" fontId="23" fillId="0" borderId="0" xfId="1"/>
    <xf numFmtId="2" fontId="23" fillId="0" borderId="0" xfId="1" applyNumberFormat="1"/>
    <xf numFmtId="0" fontId="6" fillId="2" borderId="8" xfId="0" quotePrefix="1" applyFont="1" applyFill="1" applyBorder="1" applyAlignment="1">
      <alignment horizontal="left" vertical="center"/>
    </xf>
    <xf numFmtId="3" fontId="6" fillId="4" borderId="8" xfId="0" applyNumberFormat="1" applyFont="1" applyFill="1" applyBorder="1" applyAlignment="1">
      <alignment horizontal="right" vertical="center"/>
    </xf>
    <xf numFmtId="3" fontId="6" fillId="2" borderId="8" xfId="0" applyNumberFormat="1" applyFont="1" applyFill="1" applyBorder="1" applyAlignment="1">
      <alignment horizontal="right" vertical="center"/>
    </xf>
    <xf numFmtId="0" fontId="21" fillId="3" borderId="0" xfId="0" applyFont="1" applyFill="1" applyBorder="1" applyProtection="1"/>
    <xf numFmtId="0" fontId="2" fillId="0" borderId="0" xfId="0" applyFont="1" applyBorder="1"/>
    <xf numFmtId="0" fontId="4" fillId="2" borderId="1" xfId="0" applyFont="1" applyFill="1" applyBorder="1"/>
    <xf numFmtId="0" fontId="4" fillId="2" borderId="0" xfId="0" applyFont="1" applyFill="1" applyBorder="1"/>
    <xf numFmtId="0" fontId="4" fillId="2" borderId="2" xfId="0" applyFont="1" applyFill="1" applyBorder="1"/>
    <xf numFmtId="3" fontId="4" fillId="4" borderId="2" xfId="0" applyNumberFormat="1" applyFont="1" applyFill="1" applyBorder="1" applyAlignment="1">
      <alignment horizontal="right"/>
    </xf>
    <xf numFmtId="3" fontId="4" fillId="2" borderId="2" xfId="0" applyNumberFormat="1" applyFont="1" applyFill="1" applyBorder="1" applyAlignment="1">
      <alignment horizontal="right"/>
    </xf>
    <xf numFmtId="0" fontId="4" fillId="4" borderId="2" xfId="0" applyFont="1" applyFill="1" applyBorder="1" applyAlignment="1">
      <alignment horizontal="right"/>
    </xf>
    <xf numFmtId="0" fontId="4" fillId="2" borderId="3" xfId="0" applyFont="1" applyFill="1" applyBorder="1"/>
    <xf numFmtId="3" fontId="6" fillId="4" borderId="3" xfId="0" applyNumberFormat="1" applyFont="1" applyFill="1" applyBorder="1" applyAlignment="1">
      <alignment horizontal="right"/>
    </xf>
    <xf numFmtId="0" fontId="4" fillId="2" borderId="4" xfId="0" applyFont="1" applyFill="1" applyBorder="1"/>
    <xf numFmtId="183" fontId="4" fillId="4" borderId="4" xfId="0" applyNumberFormat="1" applyFont="1" applyFill="1" applyBorder="1" applyAlignment="1">
      <alignment horizontal="right"/>
    </xf>
    <xf numFmtId="183" fontId="6" fillId="4" borderId="4" xfId="0" applyNumberFormat="1" applyFont="1" applyFill="1" applyBorder="1" applyAlignment="1">
      <alignment horizontal="right"/>
    </xf>
    <xf numFmtId="0" fontId="5" fillId="2" borderId="4" xfId="0" applyFont="1" applyFill="1" applyBorder="1"/>
    <xf numFmtId="0" fontId="4" fillId="2" borderId="0" xfId="0" applyFont="1" applyFill="1" applyBorder="1" applyAlignment="1">
      <alignment vertical="center"/>
    </xf>
    <xf numFmtId="183" fontId="6" fillId="4" borderId="0" xfId="0" applyNumberFormat="1" applyFont="1" applyFill="1" applyBorder="1" applyAlignment="1">
      <alignment horizontal="right" vertical="center"/>
    </xf>
    <xf numFmtId="184" fontId="4" fillId="2" borderId="3" xfId="0" applyNumberFormat="1" applyFont="1" applyFill="1" applyBorder="1" applyAlignment="1">
      <alignment vertical="center"/>
    </xf>
    <xf numFmtId="0" fontId="4" fillId="2" borderId="2" xfId="0" applyFont="1" applyFill="1" applyBorder="1" applyAlignment="1">
      <alignment horizontal="right"/>
    </xf>
    <xf numFmtId="0" fontId="4" fillId="2" borderId="6" xfId="0" applyFont="1" applyFill="1" applyBorder="1" applyAlignment="1">
      <alignment vertical="top" wrapText="1"/>
    </xf>
    <xf numFmtId="184" fontId="4" fillId="4" borderId="6" xfId="0" applyNumberFormat="1" applyFont="1" applyFill="1" applyBorder="1"/>
    <xf numFmtId="184" fontId="4" fillId="2" borderId="6" xfId="0" applyNumberFormat="1" applyFont="1" applyFill="1" applyBorder="1"/>
    <xf numFmtId="0" fontId="4" fillId="2" borderId="8" xfId="0" applyFont="1" applyFill="1" applyBorder="1" applyAlignment="1">
      <alignment vertical="top"/>
    </xf>
    <xf numFmtId="3" fontId="4" fillId="4" borderId="8" xfId="0" applyNumberFormat="1" applyFont="1" applyFill="1" applyBorder="1"/>
    <xf numFmtId="3" fontId="4" fillId="2" borderId="8" xfId="0" applyNumberFormat="1" applyFont="1" applyFill="1" applyBorder="1"/>
    <xf numFmtId="184" fontId="4" fillId="4" borderId="8" xfId="0" applyNumberFormat="1" applyFont="1" applyFill="1" applyBorder="1"/>
    <xf numFmtId="184" fontId="4" fillId="2" borderId="8" xfId="0" applyNumberFormat="1" applyFont="1" applyFill="1" applyBorder="1"/>
    <xf numFmtId="184" fontId="6" fillId="4" borderId="6" xfId="0" applyNumberFormat="1" applyFont="1" applyFill="1" applyBorder="1" applyAlignment="1">
      <alignment vertical="center"/>
    </xf>
    <xf numFmtId="184" fontId="6" fillId="2" borderId="6" xfId="0" applyNumberFormat="1" applyFont="1" applyFill="1" applyBorder="1" applyAlignment="1">
      <alignment vertical="center"/>
    </xf>
    <xf numFmtId="0" fontId="4" fillId="2" borderId="1" xfId="0" applyFont="1" applyFill="1" applyBorder="1" applyAlignment="1">
      <alignment horizontal="left" vertical="center"/>
    </xf>
    <xf numFmtId="0" fontId="4" fillId="4" borderId="1" xfId="0" applyFont="1" applyFill="1" applyBorder="1" applyAlignment="1">
      <alignment horizontal="right" vertical="center"/>
    </xf>
    <xf numFmtId="0" fontId="4" fillId="2" borderId="1" xfId="0" applyFont="1" applyFill="1" applyBorder="1" applyAlignment="1">
      <alignment horizontal="right" vertical="center"/>
    </xf>
    <xf numFmtId="0" fontId="4" fillId="4" borderId="0" xfId="0" applyFont="1" applyFill="1" applyBorder="1" applyAlignment="1">
      <alignment horizontal="right" vertical="center"/>
    </xf>
    <xf numFmtId="0" fontId="4" fillId="2" borderId="0" xfId="0" applyFont="1" applyFill="1" applyBorder="1" applyAlignment="1">
      <alignment horizontal="right" vertical="center"/>
    </xf>
    <xf numFmtId="16" fontId="4" fillId="2" borderId="4" xfId="0" applyNumberFormat="1" applyFont="1" applyFill="1" applyBorder="1" applyAlignment="1">
      <alignment horizontal="left"/>
    </xf>
    <xf numFmtId="3" fontId="4" fillId="4" borderId="4" xfId="0" applyNumberFormat="1" applyFont="1" applyFill="1" applyBorder="1" applyAlignment="1">
      <alignment vertical="center"/>
    </xf>
    <xf numFmtId="0" fontId="6" fillId="2" borderId="13" xfId="0" applyFont="1" applyFill="1" applyBorder="1" applyAlignment="1">
      <alignment horizontal="left" vertical="center"/>
    </xf>
    <xf numFmtId="184" fontId="6" fillId="2" borderId="7" xfId="0" applyNumberFormat="1" applyFont="1" applyFill="1" applyBorder="1" applyAlignment="1">
      <alignment vertical="center"/>
    </xf>
    <xf numFmtId="184" fontId="4" fillId="4" borderId="4" xfId="0" applyNumberFormat="1" applyFont="1" applyFill="1" applyBorder="1"/>
    <xf numFmtId="184" fontId="4" fillId="4" borderId="4" xfId="0" applyNumberFormat="1" applyFont="1" applyFill="1" applyBorder="1" applyAlignment="1">
      <alignment vertical="center"/>
    </xf>
    <xf numFmtId="0" fontId="4" fillId="2" borderId="6" xfId="0" applyFont="1" applyFill="1" applyBorder="1" applyAlignment="1">
      <alignment horizontal="left" vertical="center"/>
    </xf>
    <xf numFmtId="0" fontId="6" fillId="2" borderId="7" xfId="0" applyFont="1" applyFill="1" applyBorder="1" applyAlignment="1">
      <alignment horizontal="left" vertical="center"/>
    </xf>
    <xf numFmtId="3" fontId="6" fillId="2" borderId="7" xfId="0" applyNumberFormat="1" applyFont="1" applyFill="1" applyBorder="1" applyAlignment="1">
      <alignment horizontal="right" vertical="center"/>
    </xf>
    <xf numFmtId="3" fontId="6" fillId="2" borderId="7" xfId="0" applyNumberFormat="1" applyFont="1" applyFill="1" applyBorder="1" applyAlignment="1">
      <alignment vertical="center"/>
    </xf>
    <xf numFmtId="184" fontId="6" fillId="4" borderId="7" xfId="0" applyNumberFormat="1" applyFont="1" applyFill="1" applyBorder="1" applyAlignment="1">
      <alignment horizontal="right" vertical="center"/>
    </xf>
    <xf numFmtId="0" fontId="21" fillId="3" borderId="0" xfId="0" applyFont="1" applyFill="1" applyBorder="1"/>
    <xf numFmtId="0" fontId="4" fillId="6" borderId="1" xfId="0" applyFont="1" applyFill="1" applyBorder="1" applyAlignment="1">
      <alignment horizontal="left"/>
    </xf>
    <xf numFmtId="0" fontId="4" fillId="7" borderId="1" xfId="0" applyFont="1" applyFill="1" applyBorder="1" applyAlignment="1">
      <alignment horizontal="right"/>
    </xf>
    <xf numFmtId="0" fontId="4" fillId="6" borderId="1" xfId="0" applyFont="1" applyFill="1" applyBorder="1" applyAlignment="1">
      <alignment horizontal="right"/>
    </xf>
    <xf numFmtId="0" fontId="4" fillId="6" borderId="0" xfId="0" applyFont="1" applyFill="1" applyBorder="1" applyAlignment="1">
      <alignment horizontal="left"/>
    </xf>
    <xf numFmtId="0" fontId="4" fillId="7" borderId="0" xfId="0" applyFont="1" applyFill="1" applyBorder="1" applyAlignment="1">
      <alignment horizontal="right"/>
    </xf>
    <xf numFmtId="3" fontId="4" fillId="6" borderId="0" xfId="0" applyNumberFormat="1" applyFont="1" applyFill="1" applyBorder="1" applyAlignment="1">
      <alignment horizontal="right"/>
    </xf>
    <xf numFmtId="0" fontId="4" fillId="6" borderId="0" xfId="0" applyFont="1" applyFill="1" applyBorder="1" applyAlignment="1">
      <alignment horizontal="right"/>
    </xf>
    <xf numFmtId="0" fontId="4" fillId="6" borderId="2" xfId="0" applyFont="1" applyFill="1" applyBorder="1" applyAlignment="1">
      <alignment horizontal="left" vertical="top"/>
    </xf>
    <xf numFmtId="0" fontId="4" fillId="7" borderId="2" xfId="0" applyFont="1" applyFill="1" applyBorder="1" applyAlignment="1">
      <alignment horizontal="right" vertical="top"/>
    </xf>
    <xf numFmtId="0" fontId="4" fillId="6" borderId="2" xfId="0" applyFont="1" applyFill="1" applyBorder="1" applyAlignment="1">
      <alignment horizontal="right" vertical="top"/>
    </xf>
    <xf numFmtId="0" fontId="4" fillId="6" borderId="3" xfId="0" quotePrefix="1" applyFont="1" applyFill="1" applyBorder="1" applyAlignment="1">
      <alignment horizontal="left"/>
    </xf>
    <xf numFmtId="3" fontId="4" fillId="7" borderId="3" xfId="0" applyNumberFormat="1" applyFont="1" applyFill="1" applyBorder="1" applyAlignment="1">
      <alignment horizontal="right"/>
    </xf>
    <xf numFmtId="0" fontId="4" fillId="6" borderId="3" xfId="0" quotePrefix="1" applyFont="1" applyFill="1" applyBorder="1" applyAlignment="1">
      <alignment horizontal="right"/>
    </xf>
    <xf numFmtId="184" fontId="4" fillId="6" borderId="3" xfId="0" quotePrefix="1" applyNumberFormat="1" applyFont="1" applyFill="1" applyBorder="1" applyAlignment="1">
      <alignment horizontal="right"/>
    </xf>
    <xf numFmtId="0" fontId="4" fillId="6" borderId="4" xfId="0" quotePrefix="1" applyFont="1" applyFill="1" applyBorder="1" applyAlignment="1">
      <alignment horizontal="left"/>
    </xf>
    <xf numFmtId="3" fontId="4" fillId="7" borderId="4" xfId="0" applyNumberFormat="1" applyFont="1" applyFill="1" applyBorder="1" applyAlignment="1">
      <alignment horizontal="right"/>
    </xf>
    <xf numFmtId="0" fontId="4" fillId="6" borderId="4" xfId="0" quotePrefix="1" applyFont="1" applyFill="1" applyBorder="1" applyAlignment="1">
      <alignment horizontal="right"/>
    </xf>
    <xf numFmtId="184" fontId="4" fillId="6" borderId="4" xfId="0" quotePrefix="1" applyNumberFormat="1" applyFont="1" applyFill="1" applyBorder="1" applyAlignment="1">
      <alignment horizontal="right"/>
    </xf>
    <xf numFmtId="0" fontId="6" fillId="6" borderId="0" xfId="0" quotePrefix="1" applyFont="1" applyFill="1" applyBorder="1" applyAlignment="1">
      <alignment horizontal="left" vertical="center"/>
    </xf>
    <xf numFmtId="3" fontId="6" fillId="7" borderId="0" xfId="0" applyNumberFormat="1" applyFont="1" applyFill="1" applyBorder="1" applyAlignment="1">
      <alignment horizontal="right" vertical="center"/>
    </xf>
    <xf numFmtId="0" fontId="6" fillId="6" borderId="0" xfId="0" quotePrefix="1" applyFont="1" applyFill="1" applyBorder="1" applyAlignment="1">
      <alignment horizontal="right" vertical="center"/>
    </xf>
    <xf numFmtId="184" fontId="6" fillId="6" borderId="4" xfId="0" quotePrefix="1" applyNumberFormat="1" applyFont="1" applyFill="1" applyBorder="1" applyAlignment="1">
      <alignment horizontal="right" vertical="center"/>
    </xf>
    <xf numFmtId="182" fontId="4" fillId="2" borderId="3" xfId="0" applyNumberFormat="1" applyFont="1" applyFill="1" applyBorder="1" applyAlignment="1">
      <alignment horizontal="right"/>
    </xf>
    <xf numFmtId="0" fontId="5" fillId="3" borderId="5" xfId="0" applyFont="1" applyFill="1" applyBorder="1"/>
    <xf numFmtId="0" fontId="3" fillId="0" borderId="2" xfId="0" applyFont="1" applyBorder="1" applyAlignment="1">
      <alignment vertical="top"/>
    </xf>
    <xf numFmtId="0" fontId="0" fillId="0" borderId="2" xfId="0" applyBorder="1" applyAlignment="1"/>
    <xf numFmtId="0" fontId="34" fillId="2" borderId="1" xfId="0" applyFont="1" applyFill="1" applyBorder="1" applyAlignment="1">
      <alignment horizontal="right"/>
    </xf>
    <xf numFmtId="0" fontId="34" fillId="4" borderId="1" xfId="0" applyFont="1" applyFill="1" applyBorder="1" applyAlignment="1">
      <alignment horizontal="right"/>
    </xf>
    <xf numFmtId="0" fontId="34" fillId="2" borderId="0" xfId="0" applyFont="1" applyFill="1" applyBorder="1" applyAlignment="1">
      <alignment horizontal="right"/>
    </xf>
    <xf numFmtId="0" fontId="34" fillId="4" borderId="0" xfId="0" applyFont="1" applyFill="1" applyBorder="1" applyAlignment="1">
      <alignment horizontal="right"/>
    </xf>
    <xf numFmtId="0" fontId="34" fillId="2" borderId="2" xfId="0" applyFont="1" applyFill="1" applyBorder="1" applyAlignment="1">
      <alignment horizontal="right" vertical="top"/>
    </xf>
    <xf numFmtId="0" fontId="34" fillId="4" borderId="2" xfId="0" applyFont="1" applyFill="1" applyBorder="1" applyAlignment="1">
      <alignment horizontal="right" vertical="top"/>
    </xf>
    <xf numFmtId="3" fontId="34" fillId="2" borderId="2" xfId="0" applyNumberFormat="1" applyFont="1" applyFill="1" applyBorder="1" applyAlignment="1">
      <alignment horizontal="right" vertical="top"/>
    </xf>
    <xf numFmtId="3" fontId="6" fillId="2" borderId="3" xfId="0" applyNumberFormat="1" applyFont="1" applyFill="1" applyBorder="1" applyAlignment="1">
      <alignment horizontal="right"/>
    </xf>
    <xf numFmtId="3" fontId="34" fillId="2" borderId="3" xfId="0" applyNumberFormat="1" applyFont="1" applyFill="1" applyBorder="1" applyAlignment="1">
      <alignment horizontal="right"/>
    </xf>
    <xf numFmtId="184" fontId="34" fillId="4" borderId="3" xfId="0" applyNumberFormat="1" applyFont="1" applyFill="1" applyBorder="1" applyAlignment="1">
      <alignment horizontal="right"/>
    </xf>
    <xf numFmtId="3" fontId="34" fillId="2" borderId="4" xfId="0" applyNumberFormat="1" applyFont="1" applyFill="1" applyBorder="1" applyAlignment="1">
      <alignment horizontal="right"/>
    </xf>
    <xf numFmtId="3" fontId="34" fillId="2" borderId="4" xfId="0" applyNumberFormat="1" applyFont="1" applyFill="1" applyBorder="1" applyAlignment="1">
      <alignment horizontal="right" vertical="center"/>
    </xf>
    <xf numFmtId="0" fontId="34" fillId="2" borderId="0" xfId="0" quotePrefix="1" applyFont="1" applyFill="1" applyBorder="1" applyAlignment="1">
      <alignment horizontal="left" vertical="top"/>
    </xf>
    <xf numFmtId="3" fontId="34" fillId="4" borderId="0" xfId="0" applyNumberFormat="1" applyFont="1" applyFill="1" applyBorder="1" applyAlignment="1">
      <alignment horizontal="right" vertical="top"/>
    </xf>
    <xf numFmtId="3" fontId="34" fillId="2" borderId="0" xfId="0" applyNumberFormat="1" applyFont="1" applyFill="1" applyBorder="1" applyAlignment="1">
      <alignment horizontal="right" vertical="top"/>
    </xf>
    <xf numFmtId="3" fontId="35" fillId="2" borderId="0" xfId="0" applyNumberFormat="1" applyFont="1" applyFill="1" applyBorder="1" applyAlignment="1">
      <alignment horizontal="right" vertical="top"/>
    </xf>
    <xf numFmtId="3" fontId="34" fillId="2" borderId="7" xfId="0" applyNumberFormat="1" applyFont="1" applyFill="1" applyBorder="1" applyAlignment="1">
      <alignment horizontal="right" vertical="top"/>
    </xf>
    <xf numFmtId="3" fontId="34" fillId="4" borderId="7" xfId="0" applyNumberFormat="1" applyFont="1" applyFill="1" applyBorder="1" applyAlignment="1">
      <alignment horizontal="right" vertical="top"/>
    </xf>
    <xf numFmtId="0" fontId="36" fillId="0" borderId="0" xfId="0" applyFont="1"/>
    <xf numFmtId="0" fontId="35" fillId="4" borderId="1" xfId="0" applyFont="1" applyFill="1" applyBorder="1" applyAlignment="1">
      <alignment horizontal="right"/>
    </xf>
    <xf numFmtId="0" fontId="35" fillId="2" borderId="1" xfId="0" applyFont="1" applyFill="1" applyBorder="1" applyAlignment="1">
      <alignment horizontal="right"/>
    </xf>
    <xf numFmtId="0" fontId="35" fillId="4" borderId="0" xfId="0" applyFont="1" applyFill="1" applyBorder="1" applyAlignment="1">
      <alignment horizontal="right"/>
    </xf>
    <xf numFmtId="3" fontId="35" fillId="2" borderId="0" xfId="0" applyNumberFormat="1" applyFont="1" applyFill="1" applyBorder="1" applyAlignment="1">
      <alignment horizontal="right"/>
    </xf>
    <xf numFmtId="0" fontId="35" fillId="2" borderId="0" xfId="0" applyNumberFormat="1" applyFont="1" applyFill="1" applyBorder="1" applyAlignment="1">
      <alignment horizontal="right"/>
    </xf>
    <xf numFmtId="0" fontId="35" fillId="4" borderId="2" xfId="0" applyFont="1" applyFill="1" applyBorder="1" applyAlignment="1">
      <alignment horizontal="right" vertical="top"/>
    </xf>
    <xf numFmtId="3" fontId="35" fillId="2" borderId="2" xfId="0" applyNumberFormat="1" applyFont="1" applyFill="1" applyBorder="1" applyAlignment="1">
      <alignment horizontal="right" vertical="top"/>
    </xf>
    <xf numFmtId="3" fontId="34" fillId="4" borderId="3" xfId="0" applyNumberFormat="1" applyFont="1" applyFill="1" applyBorder="1" applyAlignment="1">
      <alignment horizontal="right"/>
    </xf>
    <xf numFmtId="3" fontId="34" fillId="4" borderId="4" xfId="0" applyNumberFormat="1" applyFont="1" applyFill="1" applyBorder="1" applyAlignment="1">
      <alignment horizontal="right"/>
    </xf>
    <xf numFmtId="184" fontId="4" fillId="4" borderId="3" xfId="0" applyNumberFormat="1" applyFont="1" applyFill="1" applyBorder="1" applyAlignment="1">
      <alignment horizontal="right" vertical="center"/>
    </xf>
    <xf numFmtId="3" fontId="34" fillId="4" borderId="4" xfId="0" applyNumberFormat="1" applyFont="1" applyFill="1" applyBorder="1" applyAlignment="1">
      <alignment horizontal="right" vertical="center"/>
    </xf>
    <xf numFmtId="0" fontId="34" fillId="2" borderId="0" xfId="0" quotePrefix="1" applyFont="1" applyFill="1" applyBorder="1" applyAlignment="1">
      <alignment horizontal="left" vertical="top" wrapText="1"/>
    </xf>
    <xf numFmtId="184" fontId="34" fillId="4" borderId="0" xfId="0" applyNumberFormat="1" applyFont="1" applyFill="1" applyBorder="1" applyAlignment="1">
      <alignment horizontal="right" vertical="top"/>
    </xf>
    <xf numFmtId="0" fontId="38" fillId="0" borderId="0" xfId="0" applyFont="1"/>
    <xf numFmtId="0" fontId="4" fillId="0" borderId="0" xfId="0" applyFont="1" applyFill="1" applyBorder="1" applyAlignment="1">
      <alignment horizontal="left"/>
    </xf>
    <xf numFmtId="0" fontId="5" fillId="0" borderId="0" xfId="0" applyFont="1" applyFill="1" applyAlignment="1">
      <alignment horizontal="center"/>
    </xf>
    <xf numFmtId="3" fontId="5" fillId="0" borderId="0" xfId="0" applyNumberFormat="1" applyFont="1" applyFill="1"/>
    <xf numFmtId="182" fontId="5" fillId="0" borderId="0" xfId="0" applyNumberFormat="1" applyFont="1" applyFill="1"/>
    <xf numFmtId="0" fontId="5" fillId="8" borderId="0" xfId="0" applyFont="1" applyFill="1"/>
    <xf numFmtId="0" fontId="6" fillId="2" borderId="0" xfId="0" applyFont="1" applyFill="1" applyBorder="1" applyAlignment="1">
      <alignment vertical="center"/>
    </xf>
    <xf numFmtId="184" fontId="6" fillId="2" borderId="0" xfId="0" applyNumberFormat="1" applyFont="1" applyFill="1" applyBorder="1" applyAlignment="1">
      <alignment vertical="center"/>
    </xf>
    <xf numFmtId="3" fontId="4" fillId="2" borderId="0" xfId="0" applyNumberFormat="1" applyFont="1" applyFill="1" applyBorder="1"/>
    <xf numFmtId="184" fontId="6" fillId="4" borderId="0" xfId="0" applyNumberFormat="1" applyFont="1" applyFill="1" applyBorder="1" applyAlignment="1">
      <alignment vertical="center"/>
    </xf>
    <xf numFmtId="0" fontId="4" fillId="2" borderId="13" xfId="0" applyFont="1" applyFill="1" applyBorder="1" applyAlignment="1">
      <alignment horizontal="left" vertical="center"/>
    </xf>
    <xf numFmtId="3" fontId="4" fillId="4" borderId="13" xfId="0" applyNumberFormat="1" applyFont="1" applyFill="1" applyBorder="1" applyAlignment="1">
      <alignment horizontal="right" vertical="center"/>
    </xf>
    <xf numFmtId="3" fontId="4" fillId="2" borderId="13" xfId="0" applyNumberFormat="1" applyFont="1" applyFill="1" applyBorder="1" applyAlignment="1">
      <alignment horizontal="right" vertical="center"/>
    </xf>
    <xf numFmtId="3" fontId="6" fillId="4" borderId="13" xfId="0" applyNumberFormat="1" applyFont="1" applyFill="1" applyBorder="1" applyAlignment="1">
      <alignment horizontal="right" vertical="center"/>
    </xf>
    <xf numFmtId="0" fontId="39" fillId="3" borderId="0" xfId="0" applyFont="1" applyFill="1" applyBorder="1"/>
    <xf numFmtId="0" fontId="5" fillId="0" borderId="0" xfId="0" applyFont="1" applyAlignment="1">
      <alignment vertical="top"/>
    </xf>
    <xf numFmtId="0" fontId="4" fillId="4" borderId="0" xfId="0" applyFont="1" applyFill="1" applyBorder="1" applyAlignment="1">
      <alignment horizontal="right" wrapText="1"/>
    </xf>
    <xf numFmtId="0" fontId="4" fillId="2" borderId="0" xfId="0" applyFont="1" applyFill="1" applyBorder="1" applyAlignment="1">
      <alignment horizontal="right" wrapText="1"/>
    </xf>
    <xf numFmtId="0" fontId="4" fillId="4" borderId="0" xfId="0" applyFont="1" applyFill="1" applyBorder="1" applyAlignment="1">
      <alignment horizontal="right" vertical="top"/>
    </xf>
    <xf numFmtId="1" fontId="4" fillId="2" borderId="3" xfId="0" applyNumberFormat="1" applyFont="1" applyFill="1" applyBorder="1" applyAlignment="1">
      <alignment horizontal="left"/>
    </xf>
    <xf numFmtId="1" fontId="4" fillId="2" borderId="4" xfId="0" applyNumberFormat="1" applyFont="1" applyFill="1" applyBorder="1" applyAlignment="1">
      <alignment horizontal="left"/>
    </xf>
    <xf numFmtId="1" fontId="6" fillId="2" borderId="0" xfId="0" applyNumberFormat="1" applyFont="1" applyFill="1" applyBorder="1" applyAlignment="1">
      <alignment horizontal="left" vertical="center"/>
    </xf>
    <xf numFmtId="184" fontId="6" fillId="2" borderId="3" xfId="0" applyNumberFormat="1" applyFont="1" applyFill="1" applyBorder="1" applyAlignment="1">
      <alignment horizontal="right" vertical="center"/>
    </xf>
    <xf numFmtId="3" fontId="0" fillId="0" borderId="0" xfId="0" applyNumberFormat="1"/>
    <xf numFmtId="0" fontId="6" fillId="0" borderId="0" xfId="0" applyFont="1" applyFill="1"/>
    <xf numFmtId="3" fontId="6" fillId="0" borderId="0" xfId="0" applyNumberFormat="1" applyFont="1" applyFill="1"/>
    <xf numFmtId="0" fontId="40" fillId="3" borderId="0" xfId="0" applyFont="1" applyFill="1" applyAlignment="1">
      <alignment vertical="top"/>
    </xf>
    <xf numFmtId="0" fontId="9" fillId="3" borderId="0" xfId="0" applyFont="1" applyFill="1"/>
    <xf numFmtId="0" fontId="40" fillId="3" borderId="13" xfId="0" applyFont="1" applyFill="1" applyBorder="1" applyAlignment="1">
      <alignment vertical="top"/>
    </xf>
    <xf numFmtId="0" fontId="21" fillId="3" borderId="13" xfId="0" applyFont="1" applyFill="1" applyBorder="1" applyAlignment="1">
      <alignment vertical="center"/>
    </xf>
    <xf numFmtId="0" fontId="5" fillId="3" borderId="13" xfId="0" applyFont="1" applyFill="1" applyBorder="1" applyAlignment="1">
      <alignment vertical="center"/>
    </xf>
    <xf numFmtId="0" fontId="9" fillId="3" borderId="13" xfId="0" applyFont="1" applyFill="1" applyBorder="1" applyAlignment="1">
      <alignment vertical="center"/>
    </xf>
    <xf numFmtId="0" fontId="5" fillId="0" borderId="13" xfId="0" applyFont="1" applyBorder="1"/>
    <xf numFmtId="0" fontId="6" fillId="4" borderId="0" xfId="0" applyFont="1" applyFill="1" applyBorder="1"/>
    <xf numFmtId="0" fontId="6" fillId="2" borderId="0" xfId="0" applyFont="1" applyFill="1" applyBorder="1" applyAlignment="1">
      <alignment horizontal="right"/>
    </xf>
    <xf numFmtId="0" fontId="6" fillId="2" borderId="0" xfId="0" applyFont="1" applyFill="1" applyBorder="1"/>
    <xf numFmtId="0" fontId="21" fillId="4" borderId="0" xfId="0" applyFont="1" applyFill="1" applyBorder="1" applyAlignment="1">
      <alignment horizontal="right" wrapText="1"/>
    </xf>
    <xf numFmtId="0" fontId="21" fillId="2" borderId="0" xfId="0" applyFont="1" applyFill="1" applyBorder="1" applyAlignment="1">
      <alignment horizontal="right" wrapText="1"/>
    </xf>
    <xf numFmtId="0" fontId="41" fillId="2" borderId="0" xfId="0" applyFont="1" applyFill="1" applyBorder="1" applyAlignment="1">
      <alignment horizontal="right" wrapText="1"/>
    </xf>
    <xf numFmtId="0" fontId="41" fillId="4" borderId="0" xfId="0" applyFont="1" applyFill="1" applyBorder="1" applyAlignment="1">
      <alignment horizontal="right" wrapText="1"/>
    </xf>
    <xf numFmtId="0" fontId="42" fillId="2" borderId="0" xfId="0" applyFont="1" applyFill="1" applyBorder="1"/>
    <xf numFmtId="0" fontId="6" fillId="4" borderId="2" xfId="0" applyFont="1" applyFill="1" applyBorder="1" applyAlignment="1">
      <alignment vertical="top"/>
    </xf>
    <xf numFmtId="0" fontId="6" fillId="2" borderId="2" xfId="0" applyFont="1" applyFill="1" applyBorder="1" applyAlignment="1">
      <alignment vertical="top"/>
    </xf>
    <xf numFmtId="0" fontId="6" fillId="2" borderId="2" xfId="0" applyFont="1" applyFill="1" applyBorder="1"/>
    <xf numFmtId="0" fontId="6" fillId="4" borderId="2" xfId="0" applyFont="1" applyFill="1" applyBorder="1"/>
    <xf numFmtId="0" fontId="4" fillId="4" borderId="6" xfId="0" applyFont="1" applyFill="1" applyBorder="1" applyAlignment="1"/>
    <xf numFmtId="3" fontId="4" fillId="2" borderId="6" xfId="0" applyNumberFormat="1" applyFont="1" applyFill="1" applyBorder="1" applyAlignment="1"/>
    <xf numFmtId="3" fontId="4" fillId="4" borderId="6" xfId="0" applyNumberFormat="1" applyFont="1" applyFill="1" applyBorder="1" applyAlignment="1"/>
    <xf numFmtId="3" fontId="6" fillId="2" borderId="6" xfId="0" applyNumberFormat="1" applyFont="1" applyFill="1" applyBorder="1" applyAlignment="1"/>
    <xf numFmtId="184" fontId="5" fillId="4" borderId="6" xfId="0" applyNumberFormat="1" applyFont="1" applyFill="1" applyBorder="1" applyAlignment="1">
      <alignment horizontal="center"/>
    </xf>
    <xf numFmtId="184" fontId="5" fillId="2" borderId="6" xfId="0" applyNumberFormat="1" applyFont="1" applyFill="1" applyBorder="1" applyAlignment="1">
      <alignment horizontal="center"/>
    </xf>
    <xf numFmtId="3" fontId="34" fillId="2" borderId="6" xfId="0" applyNumberFormat="1" applyFont="1" applyFill="1" applyBorder="1" applyAlignment="1">
      <alignment horizontal="right"/>
    </xf>
    <xf numFmtId="3" fontId="34" fillId="4" borderId="6" xfId="0" applyNumberFormat="1" applyFont="1" applyFill="1" applyBorder="1" applyAlignment="1">
      <alignment horizontal="right"/>
    </xf>
    <xf numFmtId="0" fontId="4" fillId="4" borderId="4" xfId="0" applyFont="1" applyFill="1" applyBorder="1" applyAlignment="1"/>
    <xf numFmtId="3" fontId="6" fillId="2" borderId="4" xfId="0" applyNumberFormat="1" applyFont="1" applyFill="1" applyBorder="1" applyAlignment="1"/>
    <xf numFmtId="3" fontId="34" fillId="2" borderId="4" xfId="0" applyNumberFormat="1" applyFont="1" applyFill="1" applyBorder="1" applyAlignment="1"/>
    <xf numFmtId="3" fontId="34" fillId="4" borderId="4" xfId="0" applyNumberFormat="1" applyFont="1" applyFill="1" applyBorder="1" applyAlignment="1"/>
    <xf numFmtId="182" fontId="4" fillId="2" borderId="4" xfId="0" applyNumberFormat="1" applyFont="1" applyFill="1" applyBorder="1" applyAlignment="1">
      <alignment horizontal="right"/>
    </xf>
    <xf numFmtId="183" fontId="4" fillId="2" borderId="4" xfId="0" applyNumberFormat="1" applyFont="1" applyFill="1" applyBorder="1" applyAlignment="1"/>
    <xf numFmtId="183" fontId="4" fillId="4" borderId="4" xfId="0" applyNumberFormat="1" applyFont="1" applyFill="1" applyBorder="1" applyAlignment="1"/>
    <xf numFmtId="182" fontId="6" fillId="2" borderId="4" xfId="0" applyNumberFormat="1" applyFont="1" applyFill="1" applyBorder="1" applyAlignment="1">
      <alignment horizontal="right"/>
    </xf>
    <xf numFmtId="182" fontId="34" fillId="2" borderId="4" xfId="0" applyNumberFormat="1" applyFont="1" applyFill="1" applyBorder="1" applyAlignment="1">
      <alignment horizontal="right"/>
    </xf>
    <xf numFmtId="183" fontId="34" fillId="4" borderId="4" xfId="0" applyNumberFormat="1" applyFont="1" applyFill="1" applyBorder="1" applyAlignment="1">
      <alignment horizontal="right"/>
    </xf>
    <xf numFmtId="0" fontId="4" fillId="4" borderId="7" xfId="0" applyFont="1" applyFill="1" applyBorder="1" applyAlignment="1"/>
    <xf numFmtId="3" fontId="4" fillId="2" borderId="7" xfId="0" applyNumberFormat="1" applyFont="1" applyFill="1" applyBorder="1" applyAlignment="1">
      <alignment horizontal="right"/>
    </xf>
    <xf numFmtId="184" fontId="4" fillId="2" borderId="7" xfId="0" applyNumberFormat="1" applyFont="1" applyFill="1" applyBorder="1" applyAlignment="1"/>
    <xf numFmtId="184" fontId="4" fillId="4" borderId="7" xfId="0" applyNumberFormat="1" applyFont="1" applyFill="1" applyBorder="1" applyAlignment="1"/>
    <xf numFmtId="184" fontId="6" fillId="2" borderId="7" xfId="0" applyNumberFormat="1" applyFont="1" applyFill="1" applyBorder="1" applyAlignment="1"/>
    <xf numFmtId="184" fontId="5" fillId="4" borderId="7" xfId="0" applyNumberFormat="1" applyFont="1" applyFill="1" applyBorder="1" applyAlignment="1">
      <alignment horizontal="center"/>
    </xf>
    <xf numFmtId="184" fontId="5" fillId="2" borderId="7" xfId="0" applyNumberFormat="1" applyFont="1" applyFill="1" applyBorder="1" applyAlignment="1">
      <alignment horizontal="center"/>
    </xf>
    <xf numFmtId="184" fontId="34" fillId="2" borderId="7" xfId="0" applyNumberFormat="1" applyFont="1" applyFill="1" applyBorder="1" applyAlignment="1"/>
    <xf numFmtId="184" fontId="34" fillId="4" borderId="7" xfId="0" applyNumberFormat="1" applyFont="1" applyFill="1" applyBorder="1" applyAlignment="1"/>
    <xf numFmtId="0" fontId="4" fillId="0" borderId="5" xfId="0" applyFont="1" applyFill="1" applyBorder="1" applyAlignment="1"/>
    <xf numFmtId="3" fontId="4" fillId="0" borderId="5" xfId="0" applyNumberFormat="1" applyFont="1" applyFill="1" applyBorder="1" applyAlignment="1">
      <alignment horizontal="right"/>
    </xf>
    <xf numFmtId="184" fontId="4" fillId="0" borderId="5" xfId="0" applyNumberFormat="1" applyFont="1" applyFill="1" applyBorder="1" applyAlignment="1"/>
    <xf numFmtId="184" fontId="6" fillId="0" borderId="5" xfId="0" applyNumberFormat="1" applyFont="1" applyFill="1" applyBorder="1" applyAlignment="1"/>
    <xf numFmtId="0" fontId="3" fillId="3" borderId="0" xfId="0" applyFont="1" applyFill="1"/>
    <xf numFmtId="3" fontId="2" fillId="0" borderId="0" xfId="0" applyNumberFormat="1" applyFont="1" applyFill="1"/>
    <xf numFmtId="0" fontId="4" fillId="0" borderId="0" xfId="0" applyFont="1" applyFill="1" applyBorder="1"/>
    <xf numFmtId="3" fontId="2" fillId="0" borderId="0" xfId="0" applyNumberFormat="1" applyFont="1" applyFill="1" applyBorder="1"/>
    <xf numFmtId="0" fontId="3" fillId="0" borderId="0" xfId="0" applyFont="1" applyBorder="1"/>
    <xf numFmtId="0" fontId="21" fillId="0" borderId="0" xfId="0" applyFont="1" applyFill="1"/>
    <xf numFmtId="0" fontId="4" fillId="0" borderId="14" xfId="0" applyFont="1" applyBorder="1" applyAlignment="1">
      <alignment horizontal="center"/>
    </xf>
    <xf numFmtId="0" fontId="5" fillId="0" borderId="14" xfId="0" applyFont="1" applyBorder="1"/>
    <xf numFmtId="0" fontId="21" fillId="0" borderId="14" xfId="0" applyFont="1" applyFill="1" applyBorder="1"/>
    <xf numFmtId="0" fontId="21" fillId="0" borderId="14" xfId="0" applyFont="1" applyBorder="1"/>
    <xf numFmtId="0" fontId="9" fillId="0" borderId="14" xfId="0" applyFont="1" applyBorder="1"/>
    <xf numFmtId="0" fontId="21" fillId="0" borderId="14" xfId="0" applyFont="1" applyBorder="1" applyAlignment="1">
      <alignment horizontal="center"/>
    </xf>
    <xf numFmtId="0" fontId="5" fillId="0" borderId="14" xfId="0" quotePrefix="1" applyFont="1" applyBorder="1"/>
    <xf numFmtId="0" fontId="21" fillId="0" borderId="14" xfId="0" quotePrefix="1" applyFont="1" applyBorder="1"/>
    <xf numFmtId="0" fontId="21" fillId="0" borderId="0" xfId="0" applyFont="1"/>
    <xf numFmtId="0" fontId="4" fillId="2" borderId="6" xfId="0" quotePrefix="1" applyFont="1" applyFill="1" applyBorder="1" applyAlignment="1">
      <alignment horizontal="left"/>
    </xf>
    <xf numFmtId="0" fontId="5" fillId="0" borderId="0" xfId="0" applyFont="1" applyBorder="1" applyAlignment="1"/>
    <xf numFmtId="0" fontId="2" fillId="3" borderId="0" xfId="0" applyFont="1" applyFill="1" applyAlignment="1">
      <alignment horizontal="right"/>
    </xf>
    <xf numFmtId="0" fontId="4" fillId="2" borderId="0" xfId="0" applyFont="1" applyFill="1" applyBorder="1" applyAlignment="1">
      <alignment horizontal="right" vertical="top"/>
    </xf>
    <xf numFmtId="184" fontId="6" fillId="2" borderId="0" xfId="0" applyNumberFormat="1" applyFont="1" applyFill="1" applyBorder="1" applyAlignment="1">
      <alignment horizontal="right" vertical="center"/>
    </xf>
    <xf numFmtId="1" fontId="5" fillId="0" borderId="5" xfId="0" applyNumberFormat="1" applyFont="1" applyFill="1" applyBorder="1" applyAlignment="1">
      <alignment horizontal="left"/>
    </xf>
    <xf numFmtId="183" fontId="4" fillId="0" borderId="5" xfId="0" applyNumberFormat="1" applyFont="1" applyFill="1" applyBorder="1" applyAlignment="1">
      <alignment horizontal="right"/>
    </xf>
    <xf numFmtId="1" fontId="34" fillId="0" borderId="2" xfId="0" applyNumberFormat="1" applyFont="1" applyFill="1" applyBorder="1" applyAlignment="1">
      <alignment horizontal="left"/>
    </xf>
    <xf numFmtId="183" fontId="4" fillId="0" borderId="2" xfId="0" applyNumberFormat="1" applyFont="1" applyFill="1" applyBorder="1" applyAlignment="1">
      <alignment horizontal="right"/>
    </xf>
    <xf numFmtId="1" fontId="34" fillId="2" borderId="6" xfId="0" applyNumberFormat="1" applyFont="1" applyFill="1" applyBorder="1" applyAlignment="1">
      <alignment horizontal="left"/>
    </xf>
    <xf numFmtId="184" fontId="34" fillId="2" borderId="6" xfId="0" applyNumberFormat="1" applyFont="1" applyFill="1" applyBorder="1" applyAlignment="1">
      <alignment horizontal="right"/>
    </xf>
    <xf numFmtId="1" fontId="34" fillId="2" borderId="7" xfId="0" applyNumberFormat="1" applyFont="1" applyFill="1" applyBorder="1" applyAlignment="1">
      <alignment horizontal="left"/>
    </xf>
    <xf numFmtId="3" fontId="34" fillId="4" borderId="7" xfId="0" applyNumberFormat="1" applyFont="1" applyFill="1" applyBorder="1" applyAlignment="1">
      <alignment horizontal="right"/>
    </xf>
    <xf numFmtId="184" fontId="34" fillId="2" borderId="7" xfId="0" applyNumberFormat="1" applyFont="1" applyFill="1" applyBorder="1" applyAlignment="1">
      <alignment horizontal="right"/>
    </xf>
    <xf numFmtId="1" fontId="5" fillId="0" borderId="0" xfId="0" applyNumberFormat="1" applyFont="1" applyFill="1" applyBorder="1" applyAlignment="1">
      <alignment horizontal="left"/>
    </xf>
    <xf numFmtId="183" fontId="4" fillId="0" borderId="0" xfId="0" applyNumberFormat="1" applyFont="1" applyFill="1" applyBorder="1" applyAlignment="1">
      <alignment horizontal="right"/>
    </xf>
    <xf numFmtId="0" fontId="2" fillId="0" borderId="0" xfId="0" applyFont="1" applyFill="1"/>
    <xf numFmtId="0" fontId="5" fillId="0" borderId="0" xfId="0" applyFont="1" applyFill="1" applyAlignment="1">
      <alignment horizontal="right"/>
    </xf>
    <xf numFmtId="0" fontId="5" fillId="3" borderId="0" xfId="0" applyFont="1" applyFill="1" applyAlignment="1">
      <alignment horizontal="right"/>
    </xf>
    <xf numFmtId="0" fontId="3" fillId="3" borderId="0" xfId="0" applyFont="1" applyFill="1" applyAlignment="1">
      <alignment horizontal="center"/>
    </xf>
    <xf numFmtId="0" fontId="3" fillId="3" borderId="2" xfId="0" applyFont="1" applyFill="1" applyBorder="1"/>
    <xf numFmtId="0" fontId="3" fillId="3" borderId="2" xfId="0" applyFont="1" applyFill="1" applyBorder="1" applyAlignment="1">
      <alignment horizontal="center"/>
    </xf>
    <xf numFmtId="0" fontId="6" fillId="2" borderId="2" xfId="0" applyFont="1" applyFill="1" applyBorder="1" applyAlignment="1">
      <alignment horizontal="center" vertical="top"/>
    </xf>
    <xf numFmtId="184" fontId="6" fillId="4" borderId="3" xfId="0" applyNumberFormat="1" applyFont="1" applyFill="1" applyBorder="1" applyAlignment="1">
      <alignment horizontal="right"/>
    </xf>
    <xf numFmtId="184" fontId="6" fillId="2" borderId="3" xfId="0" applyNumberFormat="1" applyFont="1" applyFill="1" applyBorder="1" applyAlignment="1">
      <alignment horizontal="right"/>
    </xf>
    <xf numFmtId="184" fontId="6" fillId="4" borderId="3" xfId="0" applyNumberFormat="1" applyFont="1" applyFill="1" applyBorder="1" applyAlignment="1">
      <alignment horizontal="right" vertical="center"/>
    </xf>
    <xf numFmtId="184" fontId="4" fillId="4" borderId="7" xfId="0" applyNumberFormat="1" applyFont="1" applyFill="1" applyBorder="1" applyAlignment="1">
      <alignment horizontal="right" vertical="center"/>
    </xf>
    <xf numFmtId="0" fontId="9" fillId="3" borderId="5" xfId="0" applyFont="1" applyFill="1" applyBorder="1"/>
    <xf numFmtId="0" fontId="9" fillId="3" borderId="5" xfId="0" applyFont="1" applyFill="1" applyBorder="1" applyAlignment="1">
      <alignment horizontal="center"/>
    </xf>
    <xf numFmtId="0" fontId="9" fillId="3" borderId="0" xfId="0" applyFont="1" applyFill="1" applyAlignment="1">
      <alignment horizontal="center"/>
    </xf>
    <xf numFmtId="0" fontId="9" fillId="0" borderId="0" xfId="0" applyFont="1" applyAlignment="1">
      <alignment horizontal="center"/>
    </xf>
    <xf numFmtId="0" fontId="4" fillId="2" borderId="6" xfId="0" applyFont="1" applyFill="1" applyBorder="1" applyAlignment="1">
      <alignment horizontal="left"/>
    </xf>
    <xf numFmtId="0" fontId="3" fillId="0" borderId="0" xfId="0" applyFont="1" applyAlignment="1">
      <alignment horizontal="center"/>
    </xf>
    <xf numFmtId="0" fontId="6" fillId="2" borderId="0" xfId="0" applyFont="1" applyFill="1" applyBorder="1" applyAlignment="1">
      <alignment horizontal="center"/>
    </xf>
    <xf numFmtId="184" fontId="6" fillId="2" borderId="7" xfId="0" applyNumberFormat="1" applyFont="1" applyFill="1" applyBorder="1" applyAlignment="1">
      <alignment horizontal="right" vertical="center"/>
    </xf>
    <xf numFmtId="0" fontId="9" fillId="0" borderId="5" xfId="0" applyFont="1" applyBorder="1" applyAlignment="1">
      <alignment horizontal="center"/>
    </xf>
    <xf numFmtId="184" fontId="4" fillId="2" borderId="4" xfId="0" applyNumberFormat="1" applyFont="1" applyFill="1" applyBorder="1"/>
    <xf numFmtId="0" fontId="21" fillId="2" borderId="3" xfId="0" applyFont="1" applyFill="1" applyBorder="1" applyAlignment="1">
      <alignment horizontal="left"/>
    </xf>
    <xf numFmtId="0" fontId="21" fillId="2" borderId="4" xfId="0" applyFont="1" applyFill="1" applyBorder="1" applyAlignment="1">
      <alignment horizontal="left"/>
    </xf>
    <xf numFmtId="0" fontId="20" fillId="2" borderId="0" xfId="0" applyFont="1" applyFill="1" applyBorder="1" applyAlignment="1">
      <alignment horizontal="right"/>
    </xf>
    <xf numFmtId="0" fontId="4" fillId="2" borderId="3" xfId="0" quotePrefix="1" applyFont="1" applyFill="1" applyBorder="1" applyAlignment="1">
      <alignment horizontal="left" vertical="center"/>
    </xf>
    <xf numFmtId="184" fontId="4" fillId="2" borderId="6" xfId="0" applyNumberFormat="1" applyFont="1" applyFill="1" applyBorder="1" applyAlignment="1">
      <alignment horizontal="right" vertical="center"/>
    </xf>
    <xf numFmtId="0" fontId="25" fillId="0" borderId="0" xfId="7" applyFont="1"/>
    <xf numFmtId="0" fontId="23" fillId="0" borderId="0" xfId="7"/>
    <xf numFmtId="0" fontId="3" fillId="0" borderId="0" xfId="7" applyFont="1"/>
    <xf numFmtId="0" fontId="21" fillId="0" borderId="0" xfId="7" applyFont="1" applyAlignment="1"/>
    <xf numFmtId="0" fontId="5" fillId="0" borderId="0" xfId="7" applyFont="1" applyAlignment="1"/>
    <xf numFmtId="0" fontId="3" fillId="0" borderId="0" xfId="8" applyFont="1"/>
    <xf numFmtId="0" fontId="23" fillId="0" borderId="0" xfId="8"/>
    <xf numFmtId="2" fontId="23" fillId="0" borderId="0" xfId="8" applyNumberFormat="1"/>
    <xf numFmtId="0" fontId="21" fillId="0" borderId="0" xfId="8" applyFont="1" applyAlignment="1"/>
    <xf numFmtId="0" fontId="4" fillId="2" borderId="4" xfId="0" applyFont="1" applyFill="1" applyBorder="1" applyAlignment="1">
      <alignment horizontal="left" wrapText="1"/>
    </xf>
    <xf numFmtId="0" fontId="5" fillId="0" borderId="0" xfId="0" applyFont="1" applyAlignment="1">
      <alignment wrapText="1"/>
    </xf>
    <xf numFmtId="184" fontId="4" fillId="4" borderId="1" xfId="0" applyNumberFormat="1" applyFont="1" applyFill="1" applyBorder="1" applyAlignment="1">
      <alignment horizontal="center"/>
    </xf>
    <xf numFmtId="184" fontId="4" fillId="4" borderId="0" xfId="0" applyNumberFormat="1" applyFont="1" applyFill="1" applyBorder="1" applyAlignment="1">
      <alignment horizontal="center"/>
    </xf>
    <xf numFmtId="184" fontId="4" fillId="4" borderId="2" xfId="0" applyNumberFormat="1" applyFont="1" applyFill="1" applyBorder="1" applyAlignment="1">
      <alignment horizontal="center" vertical="top"/>
    </xf>
    <xf numFmtId="184" fontId="6" fillId="2" borderId="4" xfId="0" applyNumberFormat="1" applyFont="1" applyFill="1" applyBorder="1" applyAlignment="1">
      <alignment horizontal="center"/>
    </xf>
    <xf numFmtId="184" fontId="6" fillId="4" borderId="4" xfId="0" applyNumberFormat="1" applyFont="1" applyFill="1" applyBorder="1" applyAlignment="1">
      <alignment horizontal="center"/>
    </xf>
    <xf numFmtId="3" fontId="2" fillId="0" borderId="0" xfId="0" applyNumberFormat="1" applyFont="1" applyAlignment="1">
      <alignment horizontal="center"/>
    </xf>
    <xf numFmtId="3" fontId="4" fillId="2" borderId="1" xfId="0" applyNumberFormat="1" applyFont="1" applyFill="1" applyBorder="1" applyAlignment="1">
      <alignment horizontal="center"/>
    </xf>
    <xf numFmtId="0" fontId="4" fillId="2" borderId="4" xfId="0" applyFont="1" applyFill="1" applyBorder="1" applyAlignment="1">
      <alignment horizontal="left" vertical="center" wrapText="1"/>
    </xf>
    <xf numFmtId="184" fontId="4" fillId="2" borderId="6" xfId="0" applyNumberFormat="1" applyFont="1" applyFill="1" applyBorder="1" applyAlignment="1">
      <alignment horizontal="center" vertical="center"/>
    </xf>
    <xf numFmtId="0" fontId="6" fillId="2" borderId="4" xfId="0" applyFont="1" applyFill="1" applyBorder="1" applyAlignment="1">
      <alignment horizontal="left" vertical="center"/>
    </xf>
    <xf numFmtId="184" fontId="6" fillId="2" borderId="6" xfId="0" applyNumberFormat="1" applyFont="1" applyFill="1" applyBorder="1" applyAlignment="1">
      <alignment horizontal="center"/>
    </xf>
    <xf numFmtId="183" fontId="4" fillId="2" borderId="4" xfId="0" applyNumberFormat="1" applyFont="1" applyFill="1" applyBorder="1" applyAlignment="1">
      <alignment horizontal="center" vertical="center"/>
    </xf>
    <xf numFmtId="183" fontId="4" fillId="2" borderId="0" xfId="0" applyNumberFormat="1" applyFont="1" applyFill="1" applyBorder="1" applyAlignment="1">
      <alignment horizontal="center" vertical="center"/>
    </xf>
    <xf numFmtId="3" fontId="5" fillId="0" borderId="5" xfId="0" applyNumberFormat="1" applyFont="1" applyBorder="1" applyAlignment="1">
      <alignment horizontal="center"/>
    </xf>
    <xf numFmtId="3" fontId="5" fillId="0" borderId="0" xfId="0" applyNumberFormat="1" applyFont="1" applyBorder="1" applyAlignment="1">
      <alignment horizontal="center"/>
    </xf>
    <xf numFmtId="3" fontId="5" fillId="0" borderId="0" xfId="0" applyNumberFormat="1" applyFont="1" applyAlignment="1">
      <alignment horizontal="center"/>
    </xf>
    <xf numFmtId="0" fontId="4" fillId="4" borderId="2" xfId="0" applyFont="1" applyFill="1" applyBorder="1" applyAlignment="1">
      <alignment horizontal="left" vertical="top"/>
    </xf>
    <xf numFmtId="3" fontId="4" fillId="4" borderId="6" xfId="0" quotePrefix="1" applyNumberFormat="1" applyFont="1" applyFill="1" applyBorder="1" applyAlignment="1">
      <alignment horizontal="right"/>
    </xf>
    <xf numFmtId="3" fontId="4" fillId="4" borderId="4" xfId="0" quotePrefix="1" applyNumberFormat="1" applyFont="1" applyFill="1" applyBorder="1" applyAlignment="1">
      <alignment horizontal="right"/>
    </xf>
    <xf numFmtId="3" fontId="6" fillId="4" borderId="4" xfId="0" quotePrefix="1" applyNumberFormat="1" applyFont="1" applyFill="1" applyBorder="1" applyAlignment="1">
      <alignment horizontal="right"/>
    </xf>
    <xf numFmtId="0" fontId="4" fillId="4" borderId="1" xfId="0" applyFont="1" applyFill="1" applyBorder="1" applyAlignment="1">
      <alignment horizontal="center" wrapText="1"/>
    </xf>
    <xf numFmtId="3" fontId="4" fillId="4" borderId="1" xfId="0" applyNumberFormat="1" applyFont="1" applyFill="1" applyBorder="1" applyAlignment="1">
      <alignment horizontal="center"/>
    </xf>
    <xf numFmtId="0" fontId="4" fillId="4" borderId="0" xfId="0" applyFont="1" applyFill="1" applyBorder="1" applyAlignment="1">
      <alignment horizontal="center" vertical="top"/>
    </xf>
    <xf numFmtId="0" fontId="4" fillId="2" borderId="15" xfId="0" applyFont="1" applyFill="1" applyBorder="1" applyAlignment="1">
      <alignment horizontal="left" vertical="center"/>
    </xf>
    <xf numFmtId="3" fontId="4" fillId="4" borderId="15" xfId="0" applyNumberFormat="1" applyFont="1" applyFill="1" applyBorder="1" applyAlignment="1">
      <alignment horizontal="right" vertical="center"/>
    </xf>
    <xf numFmtId="184" fontId="4" fillId="2" borderId="15" xfId="0" applyNumberFormat="1" applyFont="1" applyFill="1" applyBorder="1" applyAlignment="1">
      <alignment horizontal="right" vertical="center"/>
    </xf>
    <xf numFmtId="0" fontId="6" fillId="2" borderId="6" xfId="0" applyFont="1" applyFill="1" applyBorder="1" applyAlignment="1">
      <alignment horizontal="left" vertical="center"/>
    </xf>
    <xf numFmtId="3" fontId="4" fillId="4" borderId="3" xfId="0" applyNumberFormat="1" applyFont="1" applyFill="1" applyBorder="1" applyAlignment="1">
      <alignment horizontal="right" vertical="center"/>
    </xf>
    <xf numFmtId="3" fontId="4" fillId="2" borderId="3" xfId="0" quotePrefix="1" applyNumberFormat="1" applyFont="1" applyFill="1" applyBorder="1" applyAlignment="1">
      <alignment horizontal="right" vertical="center"/>
    </xf>
    <xf numFmtId="3" fontId="4" fillId="4" borderId="3" xfId="0" quotePrefix="1" applyNumberFormat="1" applyFont="1" applyFill="1" applyBorder="1" applyAlignment="1">
      <alignment horizontal="right" vertical="center"/>
    </xf>
    <xf numFmtId="0" fontId="4" fillId="2" borderId="15" xfId="0" applyFont="1" applyFill="1" applyBorder="1" applyAlignment="1">
      <alignment horizontal="left"/>
    </xf>
    <xf numFmtId="3" fontId="4" fillId="2" borderId="15" xfId="0" applyNumberFormat="1" applyFont="1" applyFill="1" applyBorder="1" applyAlignment="1">
      <alignment horizontal="right" vertical="center"/>
    </xf>
    <xf numFmtId="3" fontId="4" fillId="2" borderId="15" xfId="0" quotePrefix="1" applyNumberFormat="1" applyFont="1" applyFill="1" applyBorder="1" applyAlignment="1">
      <alignment horizontal="right" vertical="center"/>
    </xf>
    <xf numFmtId="3" fontId="4" fillId="4" borderId="15" xfId="0" quotePrefix="1" applyNumberFormat="1" applyFont="1" applyFill="1" applyBorder="1" applyAlignment="1">
      <alignment horizontal="right" vertical="center"/>
    </xf>
    <xf numFmtId="3" fontId="4" fillId="2" borderId="6" xfId="0" quotePrefix="1" applyNumberFormat="1" applyFont="1" applyFill="1" applyBorder="1" applyAlignment="1">
      <alignment horizontal="right" vertical="center"/>
    </xf>
    <xf numFmtId="3" fontId="4" fillId="4" borderId="6" xfId="0" quotePrefix="1" applyNumberFormat="1" applyFont="1" applyFill="1" applyBorder="1" applyAlignment="1">
      <alignment horizontal="right" vertical="center"/>
    </xf>
    <xf numFmtId="2" fontId="0" fillId="0" borderId="0" xfId="0" applyNumberFormat="1"/>
    <xf numFmtId="184" fontId="4" fillId="4" borderId="6" xfId="0" applyNumberFormat="1" applyFont="1" applyFill="1" applyBorder="1" applyAlignment="1">
      <alignment horizontal="right"/>
    </xf>
    <xf numFmtId="0" fontId="34" fillId="2" borderId="4" xfId="0" quotePrefix="1" applyFont="1" applyFill="1" applyBorder="1" applyAlignment="1">
      <alignment horizontal="left"/>
    </xf>
    <xf numFmtId="184" fontId="34" fillId="4" borderId="4" xfId="0" applyNumberFormat="1" applyFont="1" applyFill="1" applyBorder="1" applyAlignment="1">
      <alignment horizontal="right"/>
    </xf>
    <xf numFmtId="0" fontId="34" fillId="2" borderId="0" xfId="0" quotePrefix="1" applyFont="1" applyFill="1" applyBorder="1" applyAlignment="1">
      <alignment horizontal="left" vertical="center"/>
    </xf>
    <xf numFmtId="3" fontId="34" fillId="4" borderId="0" xfId="0" applyNumberFormat="1" applyFont="1" applyFill="1" applyBorder="1" applyAlignment="1">
      <alignment horizontal="right" vertical="center"/>
    </xf>
    <xf numFmtId="3" fontId="34" fillId="2" borderId="0" xfId="0" applyNumberFormat="1" applyFont="1" applyFill="1" applyBorder="1" applyAlignment="1">
      <alignment horizontal="right" vertical="center"/>
    </xf>
    <xf numFmtId="184" fontId="34" fillId="4" borderId="0" xfId="0" applyNumberFormat="1" applyFont="1" applyFill="1" applyBorder="1" applyAlignment="1">
      <alignment horizontal="right" vertical="center"/>
    </xf>
    <xf numFmtId="0" fontId="23" fillId="0" borderId="0" xfId="3" quotePrefix="1" applyAlignment="1">
      <alignment horizontal="right"/>
    </xf>
    <xf numFmtId="0" fontId="3" fillId="3" borderId="2" xfId="0" applyFont="1" applyFill="1" applyBorder="1" applyAlignment="1">
      <alignment vertical="top"/>
    </xf>
    <xf numFmtId="0" fontId="2" fillId="3" borderId="2" xfId="0" applyFont="1" applyFill="1" applyBorder="1" applyAlignment="1">
      <alignment horizontal="right"/>
    </xf>
    <xf numFmtId="0" fontId="6" fillId="4" borderId="0" xfId="0" applyFont="1" applyFill="1" applyBorder="1" applyAlignment="1">
      <alignment horizontal="left"/>
    </xf>
    <xf numFmtId="0" fontId="6" fillId="2" borderId="0" xfId="0" applyFont="1" applyFill="1" applyBorder="1" applyAlignment="1">
      <alignment horizontal="left"/>
    </xf>
    <xf numFmtId="0" fontId="6" fillId="4" borderId="16" xfId="0" applyFont="1" applyFill="1" applyBorder="1" applyAlignment="1">
      <alignment horizontal="left"/>
    </xf>
    <xf numFmtId="0" fontId="6" fillId="4" borderId="0" xfId="0" applyFont="1" applyFill="1" applyBorder="1" applyAlignment="1">
      <alignment horizontal="right" wrapText="1"/>
    </xf>
    <xf numFmtId="0" fontId="6" fillId="2" borderId="0" xfId="0" applyFont="1" applyFill="1" applyBorder="1" applyAlignment="1">
      <alignment horizontal="right" wrapText="1"/>
    </xf>
    <xf numFmtId="0" fontId="5" fillId="4" borderId="0" xfId="0" applyFont="1" applyFill="1" applyBorder="1" applyAlignment="1">
      <alignment horizontal="right" vertical="top"/>
    </xf>
    <xf numFmtId="0" fontId="5" fillId="4" borderId="16" xfId="0" applyFont="1" applyFill="1" applyBorder="1" applyAlignment="1">
      <alignment horizontal="right" vertical="top"/>
    </xf>
    <xf numFmtId="0" fontId="4" fillId="4" borderId="17" xfId="0" applyFont="1" applyFill="1" applyBorder="1" applyAlignment="1">
      <alignment horizontal="right" vertical="top"/>
    </xf>
    <xf numFmtId="1" fontId="4" fillId="2" borderId="6" xfId="0" applyNumberFormat="1" applyFont="1" applyFill="1" applyBorder="1" applyAlignment="1">
      <alignment horizontal="left"/>
    </xf>
    <xf numFmtId="183" fontId="4" fillId="4" borderId="6" xfId="0" quotePrefix="1" applyNumberFormat="1" applyFont="1" applyFill="1" applyBorder="1" applyAlignment="1">
      <alignment horizontal="right"/>
    </xf>
    <xf numFmtId="183" fontId="4" fillId="2" borderId="6" xfId="0" quotePrefix="1" applyNumberFormat="1" applyFont="1" applyFill="1" applyBorder="1" applyAlignment="1">
      <alignment horizontal="right"/>
    </xf>
    <xf numFmtId="183" fontId="4" fillId="2" borderId="6" xfId="0" applyNumberFormat="1" applyFont="1" applyFill="1" applyBorder="1" applyAlignment="1">
      <alignment horizontal="right"/>
    </xf>
    <xf numFmtId="183" fontId="4" fillId="4" borderId="18" xfId="0" quotePrefix="1" applyNumberFormat="1" applyFont="1" applyFill="1" applyBorder="1" applyAlignment="1">
      <alignment horizontal="right"/>
    </xf>
    <xf numFmtId="183" fontId="34" fillId="2" borderId="3" xfId="0" quotePrefix="1" applyNumberFormat="1" applyFont="1" applyFill="1" applyBorder="1" applyAlignment="1">
      <alignment horizontal="right"/>
    </xf>
    <xf numFmtId="183" fontId="34" fillId="4" borderId="3" xfId="0" quotePrefix="1" applyNumberFormat="1" applyFont="1" applyFill="1" applyBorder="1" applyAlignment="1">
      <alignment horizontal="right"/>
    </xf>
    <xf numFmtId="183" fontId="34" fillId="2" borderId="6" xfId="0" applyNumberFormat="1" applyFont="1" applyFill="1" applyBorder="1" applyAlignment="1">
      <alignment horizontal="right"/>
    </xf>
    <xf numFmtId="183" fontId="4" fillId="4" borderId="19" xfId="0" quotePrefix="1" applyNumberFormat="1" applyFont="1" applyFill="1" applyBorder="1" applyAlignment="1">
      <alignment horizontal="right"/>
    </xf>
    <xf numFmtId="183" fontId="4" fillId="4" borderId="20" xfId="0" applyNumberFormat="1" applyFont="1" applyFill="1" applyBorder="1" applyAlignment="1">
      <alignment horizontal="right"/>
    </xf>
    <xf numFmtId="183" fontId="6" fillId="2" borderId="0" xfId="0" applyNumberFormat="1" applyFont="1" applyFill="1" applyBorder="1" applyAlignment="1">
      <alignment horizontal="right" vertical="center"/>
    </xf>
    <xf numFmtId="183" fontId="6" fillId="4" borderId="21" xfId="0" applyNumberFormat="1" applyFont="1" applyFill="1" applyBorder="1" applyAlignment="1">
      <alignment horizontal="right" vertical="center"/>
    </xf>
    <xf numFmtId="1" fontId="5" fillId="3" borderId="5" xfId="0" applyNumberFormat="1" applyFont="1" applyFill="1" applyBorder="1" applyAlignment="1">
      <alignment horizontal="left"/>
    </xf>
    <xf numFmtId="183" fontId="4" fillId="3" borderId="5" xfId="0" applyNumberFormat="1" applyFont="1" applyFill="1" applyBorder="1" applyAlignment="1">
      <alignment horizontal="right"/>
    </xf>
    <xf numFmtId="1" fontId="5" fillId="3" borderId="0" xfId="0" applyNumberFormat="1" applyFont="1" applyFill="1" applyBorder="1" applyAlignment="1">
      <alignment horizontal="left"/>
    </xf>
    <xf numFmtId="183" fontId="4" fillId="3" borderId="0" xfId="0" applyNumberFormat="1" applyFont="1" applyFill="1" applyBorder="1" applyAlignment="1">
      <alignment horizontal="right"/>
    </xf>
    <xf numFmtId="0" fontId="6" fillId="2" borderId="22" xfId="0" applyFont="1" applyFill="1" applyBorder="1" applyAlignment="1">
      <alignment horizontal="left"/>
    </xf>
    <xf numFmtId="0" fontId="6" fillId="2" borderId="16" xfId="0" applyFont="1" applyFill="1" applyBorder="1" applyAlignment="1">
      <alignment horizontal="left"/>
    </xf>
    <xf numFmtId="0" fontId="4" fillId="2" borderId="16" xfId="0" applyFont="1" applyFill="1" applyBorder="1" applyAlignment="1">
      <alignment horizontal="right"/>
    </xf>
    <xf numFmtId="0" fontId="4" fillId="2" borderId="16" xfId="0" applyFont="1" applyFill="1" applyBorder="1" applyAlignment="1">
      <alignment horizontal="right" vertical="top"/>
    </xf>
    <xf numFmtId="0" fontId="4" fillId="2" borderId="17" xfId="0" applyFont="1" applyFill="1" applyBorder="1" applyAlignment="1">
      <alignment horizontal="right" vertical="top"/>
    </xf>
    <xf numFmtId="183" fontId="4" fillId="2" borderId="18" xfId="0" quotePrefix="1" applyNumberFormat="1" applyFont="1" applyFill="1" applyBorder="1" applyAlignment="1">
      <alignment horizontal="right"/>
    </xf>
    <xf numFmtId="183" fontId="4" fillId="4" borderId="6" xfId="0" applyNumberFormat="1" applyFont="1" applyFill="1" applyBorder="1" applyAlignment="1">
      <alignment horizontal="right"/>
    </xf>
    <xf numFmtId="183" fontId="34" fillId="4" borderId="6" xfId="0" quotePrefix="1" applyNumberFormat="1" applyFont="1" applyFill="1" applyBorder="1" applyAlignment="1">
      <alignment horizontal="right"/>
    </xf>
    <xf numFmtId="183" fontId="4" fillId="2" borderId="19" xfId="0" quotePrefix="1" applyNumberFormat="1" applyFont="1" applyFill="1" applyBorder="1" applyAlignment="1">
      <alignment horizontal="right"/>
    </xf>
    <xf numFmtId="183" fontId="34" fillId="2" borderId="6" xfId="0" quotePrefix="1" applyNumberFormat="1" applyFont="1" applyFill="1" applyBorder="1" applyAlignment="1">
      <alignment horizontal="right"/>
    </xf>
    <xf numFmtId="183" fontId="6" fillId="4" borderId="3" xfId="0" quotePrefix="1" applyNumberFormat="1" applyFont="1" applyFill="1" applyBorder="1" applyAlignment="1">
      <alignment horizontal="right" vertical="center"/>
    </xf>
    <xf numFmtId="183" fontId="6" fillId="4" borderId="6" xfId="0" quotePrefix="1" applyNumberFormat="1" applyFont="1" applyFill="1" applyBorder="1" applyAlignment="1">
      <alignment horizontal="right" vertical="center"/>
    </xf>
    <xf numFmtId="183" fontId="6" fillId="2" borderId="23" xfId="0" quotePrefix="1" applyNumberFormat="1" applyFont="1" applyFill="1" applyBorder="1" applyAlignment="1">
      <alignment horizontal="right" vertical="center"/>
    </xf>
    <xf numFmtId="183" fontId="6" fillId="2" borderId="6" xfId="0" quotePrefix="1" applyNumberFormat="1" applyFont="1" applyFill="1" applyBorder="1" applyAlignment="1">
      <alignment horizontal="right" vertical="center"/>
    </xf>
    <xf numFmtId="183" fontId="6" fillId="2" borderId="6" xfId="0" applyNumberFormat="1" applyFont="1" applyFill="1" applyBorder="1" applyAlignment="1">
      <alignment horizontal="right" vertical="center"/>
    </xf>
    <xf numFmtId="0" fontId="15" fillId="0" borderId="0" xfId="0" applyFont="1" applyAlignment="1">
      <alignment vertical="center"/>
    </xf>
    <xf numFmtId="0" fontId="6" fillId="4" borderId="22" xfId="0" applyFont="1" applyFill="1" applyBorder="1" applyAlignment="1">
      <alignment horizontal="left"/>
    </xf>
    <xf numFmtId="0" fontId="6" fillId="4" borderId="2" xfId="0" applyFont="1" applyFill="1" applyBorder="1" applyAlignment="1">
      <alignment horizontal="left"/>
    </xf>
    <xf numFmtId="0" fontId="6" fillId="4" borderId="17" xfId="0" applyFont="1" applyFill="1" applyBorder="1" applyAlignment="1">
      <alignment horizontal="left"/>
    </xf>
    <xf numFmtId="0" fontId="4" fillId="4" borderId="16" xfId="0" applyFont="1" applyFill="1" applyBorder="1" applyAlignment="1">
      <alignment horizontal="right"/>
    </xf>
    <xf numFmtId="183" fontId="4" fillId="4" borderId="19" xfId="0" applyNumberFormat="1" applyFont="1" applyFill="1" applyBorder="1" applyAlignment="1">
      <alignment horizontal="right"/>
    </xf>
    <xf numFmtId="0" fontId="3" fillId="0" borderId="0" xfId="0" applyFont="1" applyFill="1" applyBorder="1" applyAlignment="1">
      <alignment vertical="top"/>
    </xf>
    <xf numFmtId="0" fontId="2" fillId="0" borderId="0" xfId="0" applyFont="1" applyFill="1" applyBorder="1" applyAlignment="1">
      <alignment horizontal="right"/>
    </xf>
    <xf numFmtId="0" fontId="2" fillId="0" borderId="2" xfId="0" applyFont="1" applyFill="1" applyBorder="1"/>
    <xf numFmtId="0" fontId="6" fillId="4" borderId="1" xfId="0" applyFont="1" applyFill="1" applyBorder="1" applyAlignment="1">
      <alignment horizontal="left"/>
    </xf>
    <xf numFmtId="0" fontId="4" fillId="2" borderId="1" xfId="0" applyFont="1" applyFill="1" applyBorder="1" applyAlignment="1"/>
    <xf numFmtId="0" fontId="5" fillId="4" borderId="0" xfId="0" applyFont="1" applyFill="1"/>
    <xf numFmtId="0" fontId="6" fillId="4" borderId="16" xfId="0" applyFont="1" applyFill="1" applyBorder="1" applyAlignment="1">
      <alignment horizontal="center"/>
    </xf>
    <xf numFmtId="0" fontId="4" fillId="4" borderId="16" xfId="0" applyFont="1" applyFill="1" applyBorder="1" applyAlignment="1">
      <alignment horizontal="center"/>
    </xf>
    <xf numFmtId="0" fontId="4" fillId="2" borderId="0" xfId="0" applyFont="1" applyFill="1" applyBorder="1" applyAlignment="1">
      <alignment horizontal="left" vertical="top"/>
    </xf>
    <xf numFmtId="0" fontId="4" fillId="4" borderId="16" xfId="0" applyFont="1" applyFill="1" applyBorder="1" applyAlignment="1">
      <alignment horizontal="right" vertical="top"/>
    </xf>
    <xf numFmtId="0" fontId="4" fillId="2" borderId="24" xfId="0" applyFont="1" applyFill="1" applyBorder="1" applyAlignment="1">
      <alignment horizontal="right" vertical="top"/>
    </xf>
    <xf numFmtId="183" fontId="4" fillId="2" borderId="25" xfId="0" applyNumberFormat="1" applyFont="1" applyFill="1" applyBorder="1" applyAlignment="1">
      <alignment horizontal="right"/>
    </xf>
    <xf numFmtId="1" fontId="4" fillId="2" borderId="8" xfId="0" applyNumberFormat="1" applyFont="1" applyFill="1" applyBorder="1" applyAlignment="1">
      <alignment horizontal="left"/>
    </xf>
    <xf numFmtId="183" fontId="4" fillId="2" borderId="8" xfId="0" applyNumberFormat="1" applyFont="1" applyFill="1" applyBorder="1" applyAlignment="1">
      <alignment horizontal="right"/>
    </xf>
    <xf numFmtId="183" fontId="4" fillId="4" borderId="8" xfId="0" applyNumberFormat="1" applyFont="1" applyFill="1" applyBorder="1" applyAlignment="1">
      <alignment horizontal="right"/>
    </xf>
    <xf numFmtId="183" fontId="4" fillId="4" borderId="18" xfId="0" applyNumberFormat="1" applyFont="1" applyFill="1" applyBorder="1" applyAlignment="1">
      <alignment horizontal="right"/>
    </xf>
    <xf numFmtId="183" fontId="4" fillId="4" borderId="26" xfId="0" applyNumberFormat="1" applyFont="1" applyFill="1" applyBorder="1" applyAlignment="1">
      <alignment horizontal="right"/>
    </xf>
    <xf numFmtId="1" fontId="4" fillId="2" borderId="7" xfId="0" applyNumberFormat="1" applyFont="1" applyFill="1" applyBorder="1" applyAlignment="1">
      <alignment horizontal="left"/>
    </xf>
    <xf numFmtId="183" fontId="4" fillId="4" borderId="7" xfId="0" applyNumberFormat="1" applyFont="1" applyFill="1" applyBorder="1" applyAlignment="1">
      <alignment horizontal="right"/>
    </xf>
    <xf numFmtId="183" fontId="4" fillId="2" borderId="7" xfId="0" applyNumberFormat="1" applyFont="1" applyFill="1" applyBorder="1" applyAlignment="1">
      <alignment horizontal="right"/>
    </xf>
    <xf numFmtId="183" fontId="4" fillId="4" borderId="27" xfId="0" applyNumberFormat="1" applyFont="1" applyFill="1" applyBorder="1" applyAlignment="1">
      <alignment horizontal="right"/>
    </xf>
    <xf numFmtId="1" fontId="4" fillId="0" borderId="0" xfId="0" applyNumberFormat="1" applyFont="1" applyFill="1" applyBorder="1" applyAlignment="1">
      <alignment horizontal="left"/>
    </xf>
    <xf numFmtId="184" fontId="4" fillId="0" borderId="0" xfId="0" applyNumberFormat="1" applyFont="1" applyFill="1" applyBorder="1" applyAlignment="1">
      <alignment horizontal="right"/>
    </xf>
    <xf numFmtId="1" fontId="3" fillId="0" borderId="0" xfId="0" applyNumberFormat="1" applyFont="1" applyFill="1" applyBorder="1" applyAlignment="1">
      <alignment horizontal="left"/>
    </xf>
    <xf numFmtId="1" fontId="4" fillId="0" borderId="2" xfId="0" applyNumberFormat="1" applyFont="1" applyFill="1" applyBorder="1" applyAlignment="1">
      <alignment horizontal="left"/>
    </xf>
    <xf numFmtId="184" fontId="4" fillId="0" borderId="2" xfId="0" applyNumberFormat="1" applyFont="1" applyFill="1" applyBorder="1" applyAlignment="1">
      <alignment horizontal="right"/>
    </xf>
    <xf numFmtId="184" fontId="4" fillId="4" borderId="18" xfId="0" applyNumberFormat="1" applyFont="1" applyFill="1" applyBorder="1" applyAlignment="1">
      <alignment horizontal="right"/>
    </xf>
    <xf numFmtId="184" fontId="4" fillId="4" borderId="20" xfId="0" applyNumberFormat="1" applyFont="1" applyFill="1" applyBorder="1" applyAlignment="1">
      <alignment horizontal="right"/>
    </xf>
    <xf numFmtId="184" fontId="4" fillId="4" borderId="7" xfId="0" applyNumberFormat="1" applyFont="1" applyFill="1" applyBorder="1" applyAlignment="1">
      <alignment horizontal="right"/>
    </xf>
    <xf numFmtId="184" fontId="4" fillId="4" borderId="27" xfId="0" applyNumberFormat="1" applyFont="1" applyFill="1" applyBorder="1" applyAlignment="1">
      <alignment horizontal="right"/>
    </xf>
    <xf numFmtId="182" fontId="0" fillId="0" borderId="0" xfId="0" applyNumberFormat="1" applyFill="1"/>
    <xf numFmtId="0" fontId="4" fillId="2" borderId="1" xfId="0" applyFont="1" applyFill="1" applyBorder="1" applyAlignment="1">
      <alignment horizontal="left" vertical="top" wrapText="1"/>
    </xf>
    <xf numFmtId="0" fontId="4" fillId="4" borderId="1" xfId="0" applyFont="1" applyFill="1" applyBorder="1" applyAlignment="1">
      <alignment horizontal="right" vertical="top" wrapText="1"/>
    </xf>
    <xf numFmtId="0" fontId="4" fillId="2" borderId="1" xfId="0" applyFont="1" applyFill="1" applyBorder="1" applyAlignment="1">
      <alignment horizontal="right" vertical="top" wrapText="1"/>
    </xf>
    <xf numFmtId="0" fontId="5" fillId="0" borderId="0" xfId="0" applyFont="1" applyAlignment="1">
      <alignment vertical="top" wrapText="1"/>
    </xf>
    <xf numFmtId="1" fontId="4" fillId="2" borderId="28" xfId="0" applyNumberFormat="1" applyFont="1" applyFill="1" applyBorder="1" applyAlignment="1">
      <alignment horizontal="left"/>
    </xf>
    <xf numFmtId="184" fontId="4" fillId="4" borderId="28" xfId="0" applyNumberFormat="1" applyFont="1" applyFill="1" applyBorder="1" applyAlignment="1">
      <alignment horizontal="right"/>
    </xf>
    <xf numFmtId="184" fontId="4" fillId="2" borderId="28" xfId="0" applyNumberFormat="1" applyFont="1" applyFill="1" applyBorder="1" applyAlignment="1">
      <alignment horizontal="right"/>
    </xf>
    <xf numFmtId="1" fontId="21" fillId="3" borderId="5" xfId="0" applyNumberFormat="1" applyFont="1" applyFill="1" applyBorder="1" applyAlignment="1">
      <alignment horizontal="left"/>
    </xf>
    <xf numFmtId="1" fontId="21" fillId="3" borderId="0" xfId="0" applyNumberFormat="1" applyFont="1" applyFill="1" applyBorder="1" applyAlignment="1">
      <alignment horizontal="left"/>
    </xf>
    <xf numFmtId="0" fontId="4" fillId="2" borderId="0" xfId="0" applyFont="1" applyFill="1" applyBorder="1" applyAlignment="1">
      <alignment horizontal="right" vertical="top" wrapText="1"/>
    </xf>
    <xf numFmtId="0" fontId="44" fillId="0" borderId="0" xfId="0" applyFont="1"/>
    <xf numFmtId="0" fontId="45" fillId="0" borderId="0" xfId="0" quotePrefix="1" applyFont="1"/>
    <xf numFmtId="0" fontId="45" fillId="0" borderId="0" xfId="0" applyFont="1"/>
    <xf numFmtId="0" fontId="6" fillId="2" borderId="16" xfId="0" applyFont="1" applyFill="1" applyBorder="1" applyAlignment="1">
      <alignment horizontal="left" vertical="top"/>
    </xf>
    <xf numFmtId="0" fontId="4" fillId="2" borderId="16" xfId="0" applyFont="1" applyFill="1" applyBorder="1" applyAlignment="1">
      <alignment horizontal="right" vertical="center"/>
    </xf>
    <xf numFmtId="3" fontId="4" fillId="4" borderId="28" xfId="0" applyNumberFormat="1" applyFont="1" applyFill="1" applyBorder="1" applyAlignment="1">
      <alignment horizontal="right"/>
    </xf>
    <xf numFmtId="184" fontId="4" fillId="2" borderId="29" xfId="0" applyNumberFormat="1" applyFont="1" applyFill="1" applyBorder="1" applyAlignment="1">
      <alignment horizontal="right"/>
    </xf>
    <xf numFmtId="184" fontId="6" fillId="2" borderId="30" xfId="0" applyNumberFormat="1" applyFont="1" applyFill="1" applyBorder="1" applyAlignment="1">
      <alignment horizontal="right" vertical="center"/>
    </xf>
    <xf numFmtId="184" fontId="6" fillId="4" borderId="28" xfId="0" applyNumberFormat="1" applyFont="1" applyFill="1" applyBorder="1" applyAlignment="1">
      <alignment horizontal="right" vertical="center"/>
    </xf>
    <xf numFmtId="184" fontId="6" fillId="2" borderId="28" xfId="0" applyNumberFormat="1" applyFont="1" applyFill="1" applyBorder="1" applyAlignment="1">
      <alignment horizontal="right" vertical="center"/>
    </xf>
    <xf numFmtId="3" fontId="6" fillId="4" borderId="28" xfId="0" applyNumberFormat="1" applyFont="1" applyFill="1" applyBorder="1" applyAlignment="1">
      <alignment horizontal="right" vertical="center"/>
    </xf>
    <xf numFmtId="184" fontId="6" fillId="2" borderId="27" xfId="0" applyNumberFormat="1" applyFont="1" applyFill="1" applyBorder="1" applyAlignment="1">
      <alignment horizontal="right" vertical="center"/>
    </xf>
    <xf numFmtId="184" fontId="4" fillId="2" borderId="3" xfId="0" quotePrefix="1" applyNumberFormat="1" applyFont="1" applyFill="1" applyBorder="1" applyAlignment="1">
      <alignment horizontal="right"/>
    </xf>
    <xf numFmtId="4" fontId="4" fillId="2" borderId="3" xfId="0" applyNumberFormat="1" applyFont="1" applyFill="1" applyBorder="1" applyAlignment="1">
      <alignment horizontal="right"/>
    </xf>
    <xf numFmtId="4" fontId="4" fillId="4" borderId="3" xfId="0" quotePrefix="1" applyNumberFormat="1" applyFont="1" applyFill="1" applyBorder="1" applyAlignment="1">
      <alignment horizontal="right"/>
    </xf>
    <xf numFmtId="4" fontId="4" fillId="4" borderId="3" xfId="0" applyNumberFormat="1" applyFont="1" applyFill="1" applyBorder="1" applyAlignment="1">
      <alignment horizontal="right"/>
    </xf>
    <xf numFmtId="4" fontId="4" fillId="2" borderId="4" xfId="0" applyNumberFormat="1" applyFont="1" applyFill="1" applyBorder="1" applyAlignment="1">
      <alignment horizontal="right"/>
    </xf>
    <xf numFmtId="2" fontId="6" fillId="2" borderId="0" xfId="0" applyNumberFormat="1" applyFont="1" applyFill="1" applyBorder="1" applyAlignment="1">
      <alignment horizontal="right" vertical="center"/>
    </xf>
    <xf numFmtId="2" fontId="6" fillId="4" borderId="0" xfId="0" applyNumberFormat="1" applyFont="1" applyFill="1" applyBorder="1" applyAlignment="1">
      <alignment horizontal="right" vertical="center"/>
    </xf>
    <xf numFmtId="0" fontId="3" fillId="0" borderId="0" xfId="0" applyFont="1" applyFill="1" applyAlignment="1">
      <alignment vertical="center"/>
    </xf>
    <xf numFmtId="4" fontId="6" fillId="4" borderId="3" xfId="0" applyNumberFormat="1" applyFont="1" applyFill="1" applyBorder="1" applyAlignment="1">
      <alignment horizontal="right" vertical="center"/>
    </xf>
    <xf numFmtId="4" fontId="6" fillId="2" borderId="3" xfId="0" applyNumberFormat="1" applyFont="1" applyFill="1" applyBorder="1" applyAlignment="1">
      <alignment horizontal="right" vertical="center"/>
    </xf>
    <xf numFmtId="1" fontId="4" fillId="2" borderId="0" xfId="0" applyNumberFormat="1" applyFont="1" applyFill="1" applyBorder="1" applyAlignment="1">
      <alignment horizontal="left" vertical="center"/>
    </xf>
    <xf numFmtId="3" fontId="4" fillId="2" borderId="0" xfId="0" applyNumberFormat="1" applyFont="1" applyFill="1" applyBorder="1" applyAlignment="1">
      <alignment horizontal="right" vertical="center"/>
    </xf>
    <xf numFmtId="1" fontId="5" fillId="0" borderId="5" xfId="0" applyNumberFormat="1" applyFont="1" applyBorder="1" applyAlignment="1">
      <alignment horizontal="left"/>
    </xf>
    <xf numFmtId="183" fontId="4" fillId="0" borderId="5" xfId="0" applyNumberFormat="1" applyFont="1" applyBorder="1" applyAlignment="1">
      <alignment horizontal="right"/>
    </xf>
    <xf numFmtId="1" fontId="5" fillId="0" borderId="0" xfId="0" applyNumberFormat="1" applyFont="1" applyBorder="1" applyAlignment="1">
      <alignment horizontal="left"/>
    </xf>
    <xf numFmtId="183" fontId="4" fillId="0" borderId="0" xfId="0" applyNumberFormat="1" applyFont="1" applyBorder="1" applyAlignment="1">
      <alignment horizontal="right"/>
    </xf>
    <xf numFmtId="0" fontId="5" fillId="0" borderId="0" xfId="0" applyFont="1" applyFill="1" applyBorder="1" applyAlignment="1">
      <alignment horizontal="right"/>
    </xf>
    <xf numFmtId="0" fontId="48" fillId="0" borderId="0" xfId="11" applyFont="1"/>
    <xf numFmtId="0" fontId="46" fillId="0" borderId="0" xfId="11"/>
    <xf numFmtId="0" fontId="46" fillId="0" borderId="0" xfId="11" applyFill="1"/>
    <xf numFmtId="0" fontId="49" fillId="0" borderId="0" xfId="11" applyFont="1"/>
    <xf numFmtId="0" fontId="46" fillId="0" borderId="13" xfId="11" applyBorder="1"/>
    <xf numFmtId="0" fontId="46" fillId="0" borderId="0" xfId="11" applyBorder="1"/>
    <xf numFmtId="0" fontId="46" fillId="4" borderId="0" xfId="11" applyFill="1" applyAlignment="1">
      <alignment horizontal="right"/>
    </xf>
    <xf numFmtId="0" fontId="46" fillId="2" borderId="0" xfId="11" applyFill="1" applyAlignment="1">
      <alignment horizontal="right"/>
    </xf>
    <xf numFmtId="0" fontId="46" fillId="0" borderId="0" xfId="11" applyAlignment="1">
      <alignment horizontal="right"/>
    </xf>
    <xf numFmtId="2" fontId="46" fillId="0" borderId="0" xfId="11" applyNumberFormat="1"/>
    <xf numFmtId="183" fontId="46" fillId="0" borderId="0" xfId="11" applyNumberFormat="1" applyAlignment="1">
      <alignment horizontal="right"/>
    </xf>
    <xf numFmtId="2" fontId="46" fillId="0" borderId="0" xfId="11" applyNumberFormat="1" applyAlignment="1">
      <alignment horizontal="right"/>
    </xf>
    <xf numFmtId="0" fontId="50" fillId="4" borderId="0" xfId="11" applyFont="1" applyFill="1" applyBorder="1" applyAlignment="1">
      <alignment horizontal="left"/>
    </xf>
    <xf numFmtId="0" fontId="46" fillId="4" borderId="0" xfId="11" applyFill="1" applyBorder="1" applyAlignment="1">
      <alignment horizontal="right"/>
    </xf>
    <xf numFmtId="0" fontId="46" fillId="2" borderId="0" xfId="11" applyFill="1" applyAlignment="1">
      <alignment horizontal="center"/>
    </xf>
    <xf numFmtId="0" fontId="46" fillId="4" borderId="0" xfId="11" applyFill="1" applyAlignment="1">
      <alignment horizontal="center"/>
    </xf>
    <xf numFmtId="183" fontId="46" fillId="0" borderId="0" xfId="11" applyNumberFormat="1"/>
    <xf numFmtId="0" fontId="46" fillId="4" borderId="0" xfId="11" applyFill="1" applyBorder="1"/>
    <xf numFmtId="0" fontId="49" fillId="4" borderId="0" xfId="11" applyFont="1" applyFill="1" applyBorder="1"/>
    <xf numFmtId="0" fontId="46" fillId="2" borderId="0" xfId="11" applyFill="1" applyBorder="1" applyAlignment="1">
      <alignment horizontal="center"/>
    </xf>
    <xf numFmtId="0" fontId="46" fillId="4" borderId="0" xfId="11" applyFill="1" applyBorder="1" applyAlignment="1">
      <alignment horizontal="center"/>
    </xf>
    <xf numFmtId="183" fontId="49" fillId="0" borderId="0" xfId="11" applyNumberFormat="1" applyFont="1"/>
    <xf numFmtId="0" fontId="49" fillId="4" borderId="2" xfId="11" applyFont="1" applyFill="1" applyBorder="1"/>
    <xf numFmtId="0" fontId="46" fillId="4" borderId="2" xfId="11" applyFill="1" applyBorder="1"/>
    <xf numFmtId="0" fontId="46" fillId="2" borderId="2" xfId="11" applyFill="1" applyBorder="1"/>
    <xf numFmtId="0" fontId="49" fillId="4" borderId="3" xfId="11" applyFont="1" applyFill="1" applyBorder="1"/>
    <xf numFmtId="0" fontId="46" fillId="4" borderId="3" xfId="11" applyFill="1" applyBorder="1"/>
    <xf numFmtId="184" fontId="49" fillId="2" borderId="3" xfId="11" applyNumberFormat="1" applyFont="1" applyFill="1" applyBorder="1" applyAlignment="1">
      <alignment horizontal="left"/>
    </xf>
    <xf numFmtId="184" fontId="49" fillId="4" borderId="3" xfId="11" applyNumberFormat="1" applyFont="1" applyFill="1" applyBorder="1" applyAlignment="1">
      <alignment horizontal="left"/>
    </xf>
    <xf numFmtId="0" fontId="49" fillId="4" borderId="4" xfId="11" applyFont="1" applyFill="1" applyBorder="1"/>
    <xf numFmtId="0" fontId="46" fillId="4" borderId="4" xfId="11" applyFont="1" applyFill="1" applyBorder="1"/>
    <xf numFmtId="184" fontId="51" fillId="2" borderId="4" xfId="11" applyNumberFormat="1" applyFont="1" applyFill="1" applyBorder="1"/>
    <xf numFmtId="184" fontId="51" fillId="4" borderId="4" xfId="11" applyNumberFormat="1" applyFont="1" applyFill="1" applyBorder="1"/>
    <xf numFmtId="0" fontId="46" fillId="4" borderId="4" xfId="11" applyFill="1" applyBorder="1"/>
    <xf numFmtId="0" fontId="52" fillId="4" borderId="4" xfId="11" applyFont="1" applyFill="1" applyBorder="1"/>
    <xf numFmtId="184" fontId="53" fillId="2" borderId="4" xfId="11" applyNumberFormat="1" applyFont="1" applyFill="1" applyBorder="1"/>
    <xf numFmtId="184" fontId="53" fillId="4" borderId="4" xfId="11" applyNumberFormat="1" applyFont="1" applyFill="1" applyBorder="1"/>
    <xf numFmtId="2" fontId="47" fillId="0" borderId="0" xfId="11" applyNumberFormat="1" applyFont="1"/>
    <xf numFmtId="0" fontId="47" fillId="0" borderId="0" xfId="11" applyFont="1"/>
    <xf numFmtId="184" fontId="49" fillId="2" borderId="4" xfId="11" applyNumberFormat="1" applyFont="1" applyFill="1" applyBorder="1" applyAlignment="1">
      <alignment horizontal="left"/>
    </xf>
    <xf numFmtId="184" fontId="49" fillId="4" borderId="4" xfId="11" applyNumberFormat="1" applyFont="1" applyFill="1" applyBorder="1" applyAlignment="1">
      <alignment horizontal="left"/>
    </xf>
    <xf numFmtId="184" fontId="51" fillId="2" borderId="4" xfId="11" applyNumberFormat="1" applyFont="1" applyFill="1" applyBorder="1" applyAlignment="1">
      <alignment horizontal="right"/>
    </xf>
    <xf numFmtId="184" fontId="51" fillId="4" borderId="4" xfId="11" applyNumberFormat="1" applyFont="1" applyFill="1" applyBorder="1" applyAlignment="1">
      <alignment horizontal="right"/>
    </xf>
    <xf numFmtId="184" fontId="46" fillId="2" borderId="4" xfId="11" applyNumberFormat="1" applyFill="1" applyBorder="1"/>
    <xf numFmtId="184" fontId="46" fillId="4" borderId="4" xfId="11" applyNumberFormat="1" applyFill="1" applyBorder="1"/>
    <xf numFmtId="0" fontId="47" fillId="4" borderId="4" xfId="11" applyFont="1" applyFill="1" applyBorder="1"/>
    <xf numFmtId="184" fontId="54" fillId="2" borderId="4" xfId="11" applyNumberFormat="1" applyFont="1" applyFill="1" applyBorder="1" applyAlignment="1">
      <alignment horizontal="right"/>
    </xf>
    <xf numFmtId="184" fontId="54" fillId="4" borderId="4" xfId="11" applyNumberFormat="1" applyFont="1" applyFill="1" applyBorder="1" applyAlignment="1">
      <alignment horizontal="right"/>
    </xf>
    <xf numFmtId="184" fontId="46" fillId="2" borderId="4" xfId="11" applyNumberFormat="1" applyFont="1" applyFill="1" applyBorder="1" applyAlignment="1"/>
    <xf numFmtId="184" fontId="46" fillId="4" borderId="4" xfId="11" applyNumberFormat="1" applyFont="1" applyFill="1" applyBorder="1" applyAlignment="1"/>
    <xf numFmtId="184" fontId="55" fillId="2" borderId="4" xfId="11" applyNumberFormat="1" applyFont="1" applyFill="1" applyBorder="1" applyAlignment="1">
      <alignment horizontal="right"/>
    </xf>
    <xf numFmtId="184" fontId="55" fillId="4" borderId="4" xfId="11" applyNumberFormat="1" applyFont="1" applyFill="1" applyBorder="1" applyAlignment="1">
      <alignment horizontal="right"/>
    </xf>
    <xf numFmtId="184" fontId="46" fillId="2" borderId="4" xfId="11" applyNumberFormat="1" applyFill="1" applyBorder="1" applyAlignment="1">
      <alignment horizontal="center"/>
    </xf>
    <xf numFmtId="184" fontId="46" fillId="4" borderId="4" xfId="11" applyNumberFormat="1" applyFill="1" applyBorder="1" applyAlignment="1">
      <alignment horizontal="center"/>
    </xf>
    <xf numFmtId="184" fontId="46" fillId="2" borderId="4" xfId="11" applyNumberFormat="1" applyFont="1" applyFill="1" applyBorder="1" applyAlignment="1">
      <alignment horizontal="center"/>
    </xf>
    <xf numFmtId="184" fontId="46" fillId="4" borderId="4" xfId="11" applyNumberFormat="1" applyFont="1" applyFill="1" applyBorder="1" applyAlignment="1">
      <alignment horizontal="center"/>
    </xf>
    <xf numFmtId="184" fontId="56" fillId="2" borderId="4" xfId="11" applyNumberFormat="1" applyFont="1" applyFill="1" applyBorder="1" applyAlignment="1">
      <alignment horizontal="right"/>
    </xf>
    <xf numFmtId="184" fontId="56" fillId="4" borderId="4" xfId="11" applyNumberFormat="1" applyFont="1" applyFill="1" applyBorder="1" applyAlignment="1">
      <alignment horizontal="right"/>
    </xf>
    <xf numFmtId="183" fontId="47" fillId="0" borderId="0" xfId="11" applyNumberFormat="1" applyFont="1"/>
    <xf numFmtId="184" fontId="57" fillId="2" borderId="4" xfId="11" applyNumberFormat="1" applyFont="1" applyFill="1" applyBorder="1" applyAlignment="1">
      <alignment horizontal="right"/>
    </xf>
    <xf numFmtId="184" fontId="57" fillId="4" borderId="4" xfId="11" applyNumberFormat="1" applyFont="1" applyFill="1" applyBorder="1" applyAlignment="1">
      <alignment horizontal="right"/>
    </xf>
    <xf numFmtId="184" fontId="58" fillId="2" borderId="4" xfId="11" applyNumberFormat="1" applyFont="1" applyFill="1" applyBorder="1" applyAlignment="1">
      <alignment horizontal="left"/>
    </xf>
    <xf numFmtId="184" fontId="58" fillId="4" borderId="4" xfId="11" applyNumberFormat="1" applyFont="1" applyFill="1" applyBorder="1" applyAlignment="1">
      <alignment horizontal="left"/>
    </xf>
    <xf numFmtId="184" fontId="46" fillId="2" borderId="4" xfId="11" applyNumberFormat="1" applyFont="1" applyFill="1" applyBorder="1"/>
    <xf numFmtId="184" fontId="46" fillId="4" borderId="4" xfId="11" applyNumberFormat="1" applyFont="1" applyFill="1" applyBorder="1"/>
    <xf numFmtId="0" fontId="49" fillId="4" borderId="7" xfId="11" applyFont="1" applyFill="1" applyBorder="1"/>
    <xf numFmtId="0" fontId="47" fillId="4" borderId="7" xfId="11" applyFont="1" applyFill="1" applyBorder="1"/>
    <xf numFmtId="184" fontId="58" fillId="2" borderId="7" xfId="11" applyNumberFormat="1" applyFont="1" applyFill="1" applyBorder="1" applyAlignment="1">
      <alignment horizontal="left"/>
    </xf>
    <xf numFmtId="184" fontId="58" fillId="4" borderId="7" xfId="11" applyNumberFormat="1" applyFont="1" applyFill="1" applyBorder="1" applyAlignment="1">
      <alignment horizontal="left"/>
    </xf>
    <xf numFmtId="0" fontId="59" fillId="0" borderId="0" xfId="11" applyFont="1" applyBorder="1"/>
    <xf numFmtId="0" fontId="59" fillId="0" borderId="0" xfId="11" applyFont="1"/>
    <xf numFmtId="0" fontId="45" fillId="0" borderId="0" xfId="11" applyFont="1" applyBorder="1"/>
    <xf numFmtId="10" fontId="46" fillId="0" borderId="0" xfId="11" applyNumberFormat="1"/>
    <xf numFmtId="0" fontId="60" fillId="0" borderId="0" xfId="11" applyFont="1" applyBorder="1"/>
    <xf numFmtId="0" fontId="60" fillId="0" borderId="0" xfId="11" applyFont="1"/>
    <xf numFmtId="49" fontId="45" fillId="0" borderId="0" xfId="11" applyNumberFormat="1" applyFont="1" applyBorder="1"/>
    <xf numFmtId="0" fontId="45" fillId="0" borderId="0" xfId="11" applyFont="1"/>
    <xf numFmtId="0" fontId="45" fillId="0" borderId="0" xfId="11" applyFont="1" applyFill="1" applyBorder="1"/>
    <xf numFmtId="0" fontId="61" fillId="0" borderId="0" xfId="11" applyFont="1" applyBorder="1"/>
    <xf numFmtId="0" fontId="62" fillId="0" borderId="0" xfId="11" applyFont="1" applyBorder="1"/>
    <xf numFmtId="0" fontId="63" fillId="0" borderId="0" xfId="11" applyFont="1" applyBorder="1"/>
    <xf numFmtId="0" fontId="64" fillId="0" borderId="0" xfId="11" applyFont="1" applyBorder="1"/>
    <xf numFmtId="0" fontId="65" fillId="0" borderId="0" xfId="11" applyFont="1" applyBorder="1"/>
    <xf numFmtId="0" fontId="4" fillId="0" borderId="0" xfId="0" applyFont="1" applyFill="1" applyBorder="1" applyAlignment="1">
      <alignment horizontal="right" vertical="top"/>
    </xf>
    <xf numFmtId="183" fontId="6" fillId="4" borderId="4" xfId="0" applyNumberFormat="1" applyFont="1" applyFill="1" applyBorder="1" applyAlignment="1">
      <alignment horizontal="right" vertical="center"/>
    </xf>
    <xf numFmtId="183" fontId="6" fillId="2" borderId="4" xfId="0" applyNumberFormat="1" applyFont="1" applyFill="1" applyBorder="1" applyAlignment="1">
      <alignment horizontal="right" vertical="center"/>
    </xf>
    <xf numFmtId="184" fontId="6" fillId="4" borderId="4" xfId="0" applyNumberFormat="1" applyFont="1" applyFill="1" applyBorder="1" applyAlignment="1">
      <alignment horizontal="right" vertical="center"/>
    </xf>
    <xf numFmtId="0" fontId="4" fillId="2" borderId="6" xfId="0" applyNumberFormat="1" applyFont="1" applyFill="1" applyBorder="1" applyAlignment="1">
      <alignment horizontal="left"/>
    </xf>
    <xf numFmtId="0" fontId="4" fillId="2" borderId="4" xfId="0" applyNumberFormat="1" applyFont="1" applyFill="1" applyBorder="1" applyAlignment="1">
      <alignment horizontal="left"/>
    </xf>
    <xf numFmtId="0" fontId="4" fillId="2" borderId="3" xfId="0" applyNumberFormat="1" applyFont="1" applyFill="1" applyBorder="1" applyAlignment="1">
      <alignment horizontal="left"/>
    </xf>
    <xf numFmtId="0" fontId="4" fillId="2" borderId="31" xfId="0" applyFont="1" applyFill="1" applyBorder="1" applyAlignment="1">
      <alignment horizontal="left" vertical="center"/>
    </xf>
    <xf numFmtId="0" fontId="4" fillId="4" borderId="31" xfId="0" applyFont="1" applyFill="1" applyBorder="1" applyAlignment="1">
      <alignment horizontal="right" vertical="center"/>
    </xf>
    <xf numFmtId="0" fontId="4" fillId="2" borderId="31" xfId="0" applyFont="1" applyFill="1" applyBorder="1" applyAlignment="1">
      <alignment vertical="center"/>
    </xf>
    <xf numFmtId="0" fontId="4" fillId="4" borderId="31" xfId="0" applyFont="1" applyFill="1" applyBorder="1" applyAlignment="1">
      <alignment vertical="center"/>
    </xf>
    <xf numFmtId="1" fontId="6" fillId="2" borderId="4" xfId="0" applyNumberFormat="1" applyFont="1" applyFill="1" applyBorder="1" applyAlignment="1">
      <alignment horizontal="left" vertical="center"/>
    </xf>
    <xf numFmtId="1" fontId="4" fillId="3" borderId="5" xfId="0" applyNumberFormat="1" applyFont="1" applyFill="1" applyBorder="1" applyAlignment="1">
      <alignment horizontal="left"/>
    </xf>
    <xf numFmtId="1" fontId="4" fillId="3" borderId="0" xfId="0" applyNumberFormat="1" applyFont="1" applyFill="1" applyBorder="1" applyAlignment="1">
      <alignment horizontal="left"/>
    </xf>
    <xf numFmtId="0" fontId="16" fillId="0" borderId="0" xfId="0" applyFont="1" applyFill="1"/>
    <xf numFmtId="0" fontId="48" fillId="0" borderId="0" xfId="10" applyFont="1"/>
    <xf numFmtId="0" fontId="46" fillId="0" borderId="0" xfId="10"/>
    <xf numFmtId="0" fontId="46" fillId="0" borderId="0" xfId="10" applyFill="1"/>
    <xf numFmtId="0" fontId="49" fillId="0" borderId="0" xfId="10" applyFont="1"/>
    <xf numFmtId="0" fontId="46" fillId="0" borderId="13" xfId="10" applyBorder="1"/>
    <xf numFmtId="0" fontId="46" fillId="4" borderId="0" xfId="10" applyFill="1" applyAlignment="1">
      <alignment horizontal="right"/>
    </xf>
    <xf numFmtId="0" fontId="46" fillId="2" borderId="0" xfId="10" applyFill="1" applyAlignment="1">
      <alignment horizontal="right"/>
    </xf>
    <xf numFmtId="184" fontId="39" fillId="2" borderId="0" xfId="10" applyNumberFormat="1" applyFont="1" applyFill="1" applyBorder="1" applyAlignment="1">
      <alignment horizontal="center"/>
    </xf>
    <xf numFmtId="184" fontId="39" fillId="4" borderId="0" xfId="10" applyNumberFormat="1" applyFont="1" applyFill="1" applyBorder="1" applyAlignment="1">
      <alignment horizontal="center"/>
    </xf>
    <xf numFmtId="0" fontId="46" fillId="0" borderId="0" xfId="10" applyAlignment="1">
      <alignment horizontal="right"/>
    </xf>
    <xf numFmtId="2" fontId="46" fillId="0" borderId="0" xfId="10" applyNumberFormat="1"/>
    <xf numFmtId="183" fontId="46" fillId="0" borderId="0" xfId="10" applyNumberFormat="1" applyAlignment="1">
      <alignment horizontal="right"/>
    </xf>
    <xf numFmtId="2" fontId="46" fillId="0" borderId="0" xfId="10" applyNumberFormat="1" applyAlignment="1">
      <alignment horizontal="right"/>
    </xf>
    <xf numFmtId="0" fontId="50" fillId="4" borderId="0" xfId="10" applyFont="1" applyFill="1" applyBorder="1" applyAlignment="1">
      <alignment horizontal="left"/>
    </xf>
    <xf numFmtId="0" fontId="46" fillId="4" borderId="0" xfId="10" applyFill="1" applyBorder="1" applyAlignment="1">
      <alignment horizontal="right"/>
    </xf>
    <xf numFmtId="0" fontId="49" fillId="2" borderId="0" xfId="10" applyFont="1" applyFill="1" applyAlignment="1">
      <alignment horizontal="center"/>
    </xf>
    <xf numFmtId="0" fontId="49" fillId="4" borderId="0" xfId="10" applyFont="1" applyFill="1" applyAlignment="1">
      <alignment horizontal="center"/>
    </xf>
    <xf numFmtId="0" fontId="50" fillId="2" borderId="0" xfId="10" applyFont="1" applyFill="1" applyAlignment="1">
      <alignment horizontal="center"/>
    </xf>
    <xf numFmtId="0" fontId="50" fillId="4" borderId="0" xfId="10" applyFont="1" applyFill="1" applyAlignment="1">
      <alignment horizontal="center"/>
    </xf>
    <xf numFmtId="183" fontId="46" fillId="0" borderId="0" xfId="10" applyNumberFormat="1"/>
    <xf numFmtId="0" fontId="46" fillId="4" borderId="0" xfId="10" applyFill="1" applyBorder="1"/>
    <xf numFmtId="0" fontId="46" fillId="2" borderId="0" xfId="10" applyFill="1" applyAlignment="1">
      <alignment horizontal="center"/>
    </xf>
    <xf numFmtId="0" fontId="46" fillId="4" borderId="0" xfId="10" applyFill="1" applyAlignment="1">
      <alignment horizontal="center"/>
    </xf>
    <xf numFmtId="0" fontId="49" fillId="4" borderId="0" xfId="10" applyFont="1" applyFill="1" applyBorder="1"/>
    <xf numFmtId="0" fontId="46" fillId="2" borderId="0" xfId="10" applyFill="1" applyBorder="1" applyAlignment="1">
      <alignment horizontal="center"/>
    </xf>
    <xf numFmtId="0" fontId="46" fillId="4" borderId="0" xfId="10" applyFill="1" applyBorder="1" applyAlignment="1">
      <alignment horizontal="center"/>
    </xf>
    <xf numFmtId="184" fontId="39" fillId="2" borderId="0" xfId="10" applyNumberFormat="1" applyFont="1" applyFill="1" applyBorder="1" applyAlignment="1">
      <alignment horizontal="center" vertical="top"/>
    </xf>
    <xf numFmtId="184" fontId="39" fillId="4" borderId="0" xfId="10" applyNumberFormat="1" applyFont="1" applyFill="1" applyBorder="1" applyAlignment="1">
      <alignment horizontal="center" vertical="top"/>
    </xf>
    <xf numFmtId="183" fontId="49" fillId="0" borderId="0" xfId="10" applyNumberFormat="1" applyFont="1"/>
    <xf numFmtId="0" fontId="49" fillId="4" borderId="2" xfId="10" applyFont="1" applyFill="1" applyBorder="1"/>
    <xf numFmtId="0" fontId="46" fillId="4" borderId="2" xfId="10" applyFill="1" applyBorder="1"/>
    <xf numFmtId="0" fontId="46" fillId="2" borderId="2" xfId="10" applyFill="1" applyBorder="1"/>
    <xf numFmtId="0" fontId="39" fillId="4" borderId="2" xfId="10" applyFont="1" applyFill="1" applyBorder="1" applyAlignment="1">
      <alignment horizontal="center"/>
    </xf>
    <xf numFmtId="0" fontId="49" fillId="4" borderId="3" xfId="10" applyFont="1" applyFill="1" applyBorder="1"/>
    <xf numFmtId="0" fontId="46" fillId="4" borderId="3" xfId="10" applyFill="1" applyBorder="1"/>
    <xf numFmtId="183" fontId="49" fillId="2" borderId="3" xfId="10" applyNumberFormat="1" applyFont="1" applyFill="1" applyBorder="1" applyAlignment="1">
      <alignment horizontal="left"/>
    </xf>
    <xf numFmtId="183" fontId="49" fillId="4" borderId="3" xfId="10" applyNumberFormat="1" applyFont="1" applyFill="1" applyBorder="1" applyAlignment="1">
      <alignment horizontal="left"/>
    </xf>
    <xf numFmtId="184" fontId="49" fillId="2" borderId="3" xfId="10" applyNumberFormat="1" applyFont="1" applyFill="1" applyBorder="1" applyAlignment="1">
      <alignment horizontal="left"/>
    </xf>
    <xf numFmtId="184" fontId="49" fillId="4" borderId="3" xfId="10" applyNumberFormat="1" applyFont="1" applyFill="1" applyBorder="1" applyAlignment="1">
      <alignment horizontal="left"/>
    </xf>
    <xf numFmtId="3" fontId="50" fillId="2" borderId="3" xfId="10" applyNumberFormat="1" applyFont="1" applyFill="1" applyBorder="1" applyAlignment="1">
      <alignment horizontal="left"/>
    </xf>
    <xf numFmtId="3" fontId="50" fillId="4" borderId="3" xfId="10" applyNumberFormat="1" applyFont="1" applyFill="1" applyBorder="1" applyAlignment="1">
      <alignment horizontal="left"/>
    </xf>
    <xf numFmtId="0" fontId="49" fillId="4" borderId="4" xfId="10" applyFont="1" applyFill="1" applyBorder="1"/>
    <xf numFmtId="0" fontId="46" fillId="4" borderId="4" xfId="10" applyFont="1" applyFill="1" applyBorder="1"/>
    <xf numFmtId="183" fontId="51" fillId="2" borderId="4" xfId="10" applyNumberFormat="1" applyFont="1" applyFill="1" applyBorder="1"/>
    <xf numFmtId="183" fontId="51" fillId="4" borderId="4" xfId="10" applyNumberFormat="1" applyFont="1" applyFill="1" applyBorder="1"/>
    <xf numFmtId="184" fontId="51" fillId="2" borderId="4" xfId="10" applyNumberFormat="1" applyFont="1" applyFill="1" applyBorder="1" applyAlignment="1">
      <alignment horizontal="right"/>
    </xf>
    <xf numFmtId="184" fontId="51" fillId="4" borderId="4" xfId="10" applyNumberFormat="1" applyFont="1" applyFill="1" applyBorder="1" applyAlignment="1">
      <alignment horizontal="right"/>
    </xf>
    <xf numFmtId="3" fontId="66" fillId="2" borderId="4" xfId="10" applyNumberFormat="1" applyFont="1" applyFill="1" applyBorder="1"/>
    <xf numFmtId="3" fontId="66" fillId="4" borderId="4" xfId="10" applyNumberFormat="1" applyFont="1" applyFill="1" applyBorder="1"/>
    <xf numFmtId="0" fontId="46" fillId="4" borderId="4" xfId="10" applyFill="1" applyBorder="1"/>
    <xf numFmtId="184" fontId="51" fillId="2" borderId="4" xfId="10" applyNumberFormat="1" applyFont="1" applyFill="1" applyBorder="1"/>
    <xf numFmtId="184" fontId="51" fillId="4" borderId="4" xfId="10" applyNumberFormat="1" applyFont="1" applyFill="1" applyBorder="1"/>
    <xf numFmtId="0" fontId="52" fillId="4" borderId="4" xfId="10" applyFont="1" applyFill="1" applyBorder="1"/>
    <xf numFmtId="183" fontId="53" fillId="2" borderId="4" xfId="10" applyNumberFormat="1" applyFont="1" applyFill="1" applyBorder="1"/>
    <xf numFmtId="183" fontId="53" fillId="4" borderId="4" xfId="10" applyNumberFormat="1" applyFont="1" applyFill="1" applyBorder="1"/>
    <xf numFmtId="184" fontId="53" fillId="2" borderId="4" xfId="10" applyNumberFormat="1" applyFont="1" applyFill="1" applyBorder="1"/>
    <xf numFmtId="184" fontId="53" fillId="4" borderId="4" xfId="10" applyNumberFormat="1" applyFont="1" applyFill="1" applyBorder="1"/>
    <xf numFmtId="3" fontId="67" fillId="2" borderId="4" xfId="10" applyNumberFormat="1" applyFont="1" applyFill="1" applyBorder="1"/>
    <xf numFmtId="3" fontId="67" fillId="4" borderId="4" xfId="10" applyNumberFormat="1" applyFont="1" applyFill="1" applyBorder="1"/>
    <xf numFmtId="2" fontId="47" fillId="0" borderId="0" xfId="10" applyNumberFormat="1" applyFont="1"/>
    <xf numFmtId="0" fontId="47" fillId="0" borderId="0" xfId="10" applyFont="1"/>
    <xf numFmtId="183" fontId="49" fillId="2" borderId="4" xfId="10" applyNumberFormat="1" applyFont="1" applyFill="1" applyBorder="1" applyAlignment="1">
      <alignment horizontal="left"/>
    </xf>
    <xf numFmtId="183" fontId="49" fillId="4" borderId="4" xfId="10" applyNumberFormat="1" applyFont="1" applyFill="1" applyBorder="1" applyAlignment="1">
      <alignment horizontal="left"/>
    </xf>
    <xf numFmtId="184" fontId="49" fillId="2" borderId="4" xfId="10" applyNumberFormat="1" applyFont="1" applyFill="1" applyBorder="1" applyAlignment="1">
      <alignment horizontal="left"/>
    </xf>
    <xf numFmtId="184" fontId="49" fillId="4" borderId="4" xfId="10" applyNumberFormat="1" applyFont="1" applyFill="1" applyBorder="1" applyAlignment="1">
      <alignment horizontal="left"/>
    </xf>
    <xf numFmtId="3" fontId="50" fillId="2" borderId="4" xfId="10" applyNumberFormat="1" applyFont="1" applyFill="1" applyBorder="1" applyAlignment="1">
      <alignment horizontal="left"/>
    </xf>
    <xf numFmtId="3" fontId="50" fillId="4" borderId="4" xfId="10" applyNumberFormat="1" applyFont="1" applyFill="1" applyBorder="1" applyAlignment="1">
      <alignment horizontal="left"/>
    </xf>
    <xf numFmtId="183" fontId="51" fillId="2" borderId="4" xfId="10" applyNumberFormat="1" applyFont="1" applyFill="1" applyBorder="1" applyAlignment="1">
      <alignment horizontal="right"/>
    </xf>
    <xf numFmtId="183" fontId="51" fillId="4" borderId="4" xfId="10" applyNumberFormat="1" applyFont="1" applyFill="1" applyBorder="1" applyAlignment="1">
      <alignment horizontal="right"/>
    </xf>
    <xf numFmtId="3" fontId="66" fillId="2" borderId="4" xfId="10" applyNumberFormat="1" applyFont="1" applyFill="1" applyBorder="1" applyAlignment="1">
      <alignment horizontal="right"/>
    </xf>
    <xf numFmtId="3" fontId="66" fillId="4" borderId="4" xfId="10" applyNumberFormat="1" applyFont="1" applyFill="1" applyBorder="1" applyAlignment="1">
      <alignment horizontal="right"/>
    </xf>
    <xf numFmtId="183" fontId="46" fillId="2" borderId="4" xfId="10" applyNumberFormat="1" applyFill="1" applyBorder="1"/>
    <xf numFmtId="183" fontId="46" fillId="4" borderId="4" xfId="10" applyNumberFormat="1" applyFill="1" applyBorder="1"/>
    <xf numFmtId="184" fontId="46" fillId="2" borderId="4" xfId="10" applyNumberFormat="1" applyFill="1" applyBorder="1"/>
    <xf numFmtId="184" fontId="46" fillId="4" borderId="4" xfId="10" applyNumberFormat="1" applyFill="1" applyBorder="1"/>
    <xf numFmtId="3" fontId="68" fillId="2" borderId="4" xfId="10" applyNumberFormat="1" applyFont="1" applyFill="1" applyBorder="1"/>
    <xf numFmtId="3" fontId="68" fillId="4" borderId="4" xfId="10" applyNumberFormat="1" applyFont="1" applyFill="1" applyBorder="1"/>
    <xf numFmtId="0" fontId="47" fillId="4" borderId="4" xfId="10" applyFont="1" applyFill="1" applyBorder="1"/>
    <xf numFmtId="183" fontId="54" fillId="2" borderId="4" xfId="10" applyNumberFormat="1" applyFont="1" applyFill="1" applyBorder="1" applyAlignment="1">
      <alignment horizontal="right"/>
    </xf>
    <xf numFmtId="183" fontId="54" fillId="4" borderId="4" xfId="10" applyNumberFormat="1" applyFont="1" applyFill="1" applyBorder="1" applyAlignment="1">
      <alignment horizontal="right"/>
    </xf>
    <xf numFmtId="184" fontId="54" fillId="2" borderId="4" xfId="10" applyNumberFormat="1" applyFont="1" applyFill="1" applyBorder="1" applyAlignment="1">
      <alignment horizontal="right"/>
    </xf>
    <xf numFmtId="184" fontId="54" fillId="4" borderId="4" xfId="10" applyNumberFormat="1" applyFont="1" applyFill="1" applyBorder="1" applyAlignment="1">
      <alignment horizontal="right"/>
    </xf>
    <xf numFmtId="3" fontId="69" fillId="2" borderId="4" xfId="10" applyNumberFormat="1" applyFont="1" applyFill="1" applyBorder="1" applyAlignment="1">
      <alignment horizontal="right"/>
    </xf>
    <xf numFmtId="3" fontId="69" fillId="4" borderId="4" xfId="10" applyNumberFormat="1" applyFont="1" applyFill="1" applyBorder="1" applyAlignment="1">
      <alignment horizontal="right"/>
    </xf>
    <xf numFmtId="183" fontId="46" fillId="2" borderId="4" xfId="10" applyNumberFormat="1" applyFont="1" applyFill="1" applyBorder="1" applyAlignment="1"/>
    <xf numFmtId="183" fontId="46" fillId="4" borderId="4" xfId="10" applyNumberFormat="1" applyFont="1" applyFill="1" applyBorder="1" applyAlignment="1"/>
    <xf numFmtId="184" fontId="46" fillId="2" borderId="4" xfId="10" applyNumberFormat="1" applyFont="1" applyFill="1" applyBorder="1" applyAlignment="1"/>
    <xf numFmtId="184" fontId="46" fillId="4" borderId="4" xfId="10" applyNumberFormat="1" applyFont="1" applyFill="1" applyBorder="1" applyAlignment="1"/>
    <xf numFmtId="3" fontId="68" fillId="2" borderId="4" xfId="10" applyNumberFormat="1" applyFont="1" applyFill="1" applyBorder="1" applyAlignment="1"/>
    <xf numFmtId="183" fontId="55" fillId="2" borderId="4" xfId="10" applyNumberFormat="1" applyFont="1" applyFill="1" applyBorder="1" applyAlignment="1">
      <alignment horizontal="right"/>
    </xf>
    <xf numFmtId="183" fontId="55" fillId="4" borderId="4" xfId="10" applyNumberFormat="1" applyFont="1" applyFill="1" applyBorder="1" applyAlignment="1">
      <alignment horizontal="right"/>
    </xf>
    <xf numFmtId="184" fontId="55" fillId="2" borderId="4" xfId="10" applyNumberFormat="1" applyFont="1" applyFill="1" applyBorder="1" applyAlignment="1">
      <alignment horizontal="right"/>
    </xf>
    <xf numFmtId="184" fontId="55" fillId="4" borderId="4" xfId="10" applyNumberFormat="1" applyFont="1" applyFill="1" applyBorder="1" applyAlignment="1">
      <alignment horizontal="right"/>
    </xf>
    <xf numFmtId="3" fontId="71" fillId="2" borderId="4" xfId="10" applyNumberFormat="1" applyFont="1" applyFill="1" applyBorder="1" applyAlignment="1">
      <alignment horizontal="right"/>
    </xf>
    <xf numFmtId="3" fontId="71" fillId="4" borderId="4" xfId="10" applyNumberFormat="1" applyFont="1" applyFill="1" applyBorder="1" applyAlignment="1">
      <alignment horizontal="right"/>
    </xf>
    <xf numFmtId="183" fontId="46" fillId="2" borderId="4" xfId="10" applyNumberFormat="1" applyFill="1" applyBorder="1" applyAlignment="1">
      <alignment horizontal="center"/>
    </xf>
    <xf numFmtId="183" fontId="46" fillId="4" borderId="4" xfId="10" applyNumberFormat="1" applyFill="1" applyBorder="1" applyAlignment="1">
      <alignment horizontal="center"/>
    </xf>
    <xf numFmtId="184" fontId="46" fillId="2" borderId="4" xfId="10" applyNumberFormat="1" applyFill="1" applyBorder="1" applyAlignment="1">
      <alignment horizontal="center"/>
    </xf>
    <xf numFmtId="184" fontId="46" fillId="4" borderId="4" xfId="10" applyNumberFormat="1" applyFill="1" applyBorder="1" applyAlignment="1">
      <alignment horizontal="center"/>
    </xf>
    <xf numFmtId="3" fontId="68" fillId="2" borderId="4" xfId="10" applyNumberFormat="1" applyFont="1" applyFill="1" applyBorder="1" applyAlignment="1">
      <alignment horizontal="center"/>
    </xf>
    <xf numFmtId="3" fontId="68" fillId="4" borderId="4" xfId="10" applyNumberFormat="1" applyFont="1" applyFill="1" applyBorder="1" applyAlignment="1">
      <alignment horizontal="center"/>
    </xf>
    <xf numFmtId="183" fontId="46" fillId="2" borderId="4" xfId="10" applyNumberFormat="1" applyFont="1" applyFill="1" applyBorder="1" applyAlignment="1">
      <alignment horizontal="center"/>
    </xf>
    <xf numFmtId="183" fontId="46" fillId="4" borderId="4" xfId="10" applyNumberFormat="1" applyFont="1" applyFill="1" applyBorder="1" applyAlignment="1">
      <alignment horizontal="center"/>
    </xf>
    <xf numFmtId="184" fontId="46" fillId="2" borderId="4" xfId="10" applyNumberFormat="1" applyFont="1" applyFill="1" applyBorder="1" applyAlignment="1">
      <alignment horizontal="center"/>
    </xf>
    <xf numFmtId="184" fontId="46" fillId="4" borderId="4" xfId="10" applyNumberFormat="1" applyFont="1" applyFill="1" applyBorder="1" applyAlignment="1">
      <alignment horizontal="center"/>
    </xf>
    <xf numFmtId="183" fontId="56" fillId="2" borderId="4" xfId="10" applyNumberFormat="1" applyFont="1" applyFill="1" applyBorder="1" applyAlignment="1">
      <alignment horizontal="right"/>
    </xf>
    <xf numFmtId="183" fontId="56" fillId="4" borderId="4" xfId="10" applyNumberFormat="1" applyFont="1" applyFill="1" applyBorder="1" applyAlignment="1">
      <alignment horizontal="right"/>
    </xf>
    <xf numFmtId="3" fontId="72" fillId="2" borderId="4" xfId="10" applyNumberFormat="1" applyFont="1" applyFill="1" applyBorder="1" applyAlignment="1">
      <alignment horizontal="right"/>
    </xf>
    <xf numFmtId="3" fontId="72" fillId="4" borderId="4" xfId="10" applyNumberFormat="1" applyFont="1" applyFill="1" applyBorder="1" applyAlignment="1">
      <alignment horizontal="right"/>
    </xf>
    <xf numFmtId="184" fontId="56" fillId="2" borderId="4" xfId="10" applyNumberFormat="1" applyFont="1" applyFill="1" applyBorder="1" applyAlignment="1">
      <alignment horizontal="right"/>
    </xf>
    <xf numFmtId="184" fontId="56" fillId="4" borderId="4" xfId="10" applyNumberFormat="1" applyFont="1" applyFill="1" applyBorder="1" applyAlignment="1">
      <alignment horizontal="right"/>
    </xf>
    <xf numFmtId="183" fontId="47" fillId="0" borderId="0" xfId="10" applyNumberFormat="1" applyFont="1"/>
    <xf numFmtId="183" fontId="57" fillId="2" borderId="4" xfId="10" applyNumberFormat="1" applyFont="1" applyFill="1" applyBorder="1" applyAlignment="1">
      <alignment horizontal="right"/>
    </xf>
    <xf numFmtId="183" fontId="57" fillId="4" borderId="4" xfId="10" applyNumberFormat="1" applyFont="1" applyFill="1" applyBorder="1" applyAlignment="1">
      <alignment horizontal="right"/>
    </xf>
    <xf numFmtId="184" fontId="57" fillId="2" borderId="4" xfId="10" applyNumberFormat="1" applyFont="1" applyFill="1" applyBorder="1" applyAlignment="1">
      <alignment horizontal="right"/>
    </xf>
    <xf numFmtId="184" fontId="57" fillId="4" borderId="4" xfId="10" applyNumberFormat="1" applyFont="1" applyFill="1" applyBorder="1" applyAlignment="1">
      <alignment horizontal="right"/>
    </xf>
    <xf numFmtId="3" fontId="73" fillId="4" borderId="4" xfId="10" applyNumberFormat="1" applyFont="1" applyFill="1" applyBorder="1" applyAlignment="1">
      <alignment horizontal="right"/>
    </xf>
    <xf numFmtId="3" fontId="73" fillId="2" borderId="4" xfId="10" applyNumberFormat="1" applyFont="1" applyFill="1" applyBorder="1" applyAlignment="1">
      <alignment horizontal="right"/>
    </xf>
    <xf numFmtId="183" fontId="58" fillId="2" borderId="4" xfId="10" applyNumberFormat="1" applyFont="1" applyFill="1" applyBorder="1" applyAlignment="1">
      <alignment horizontal="left"/>
    </xf>
    <xf numFmtId="183" fontId="58" fillId="4" borderId="4" xfId="10" applyNumberFormat="1" applyFont="1" applyFill="1" applyBorder="1" applyAlignment="1">
      <alignment horizontal="left"/>
    </xf>
    <xf numFmtId="184" fontId="58" fillId="2" borderId="4" xfId="10" applyNumberFormat="1" applyFont="1" applyFill="1" applyBorder="1" applyAlignment="1">
      <alignment horizontal="left"/>
    </xf>
    <xf numFmtId="184" fontId="58" fillId="4" borderId="4" xfId="10" applyNumberFormat="1" applyFont="1" applyFill="1" applyBorder="1" applyAlignment="1">
      <alignment horizontal="left"/>
    </xf>
    <xf numFmtId="3" fontId="74" fillId="2" borderId="4" xfId="10" applyNumberFormat="1" applyFont="1" applyFill="1" applyBorder="1" applyAlignment="1">
      <alignment horizontal="left"/>
    </xf>
    <xf numFmtId="3" fontId="74" fillId="4" borderId="4" xfId="10" applyNumberFormat="1" applyFont="1" applyFill="1" applyBorder="1" applyAlignment="1">
      <alignment horizontal="left"/>
    </xf>
    <xf numFmtId="183" fontId="49" fillId="2" borderId="4" xfId="10" applyNumberFormat="1" applyFont="1" applyFill="1" applyBorder="1"/>
    <xf numFmtId="183" fontId="49" fillId="4" borderId="4" xfId="10" applyNumberFormat="1" applyFont="1" applyFill="1" applyBorder="1"/>
    <xf numFmtId="183" fontId="46" fillId="2" borderId="4" xfId="10" applyNumberFormat="1" applyFont="1" applyFill="1" applyBorder="1"/>
    <xf numFmtId="183" fontId="46" fillId="4" borderId="4" xfId="10" applyNumberFormat="1" applyFont="1" applyFill="1" applyBorder="1"/>
    <xf numFmtId="184" fontId="46" fillId="2" borderId="4" xfId="10" applyNumberFormat="1" applyFont="1" applyFill="1" applyBorder="1"/>
    <xf numFmtId="184" fontId="46" fillId="4" borderId="4" xfId="10" applyNumberFormat="1" applyFont="1" applyFill="1" applyBorder="1"/>
    <xf numFmtId="3" fontId="50" fillId="2" borderId="4" xfId="10" applyNumberFormat="1" applyFont="1" applyFill="1" applyBorder="1"/>
    <xf numFmtId="0" fontId="49" fillId="4" borderId="7" xfId="10" applyFont="1" applyFill="1" applyBorder="1"/>
    <xf numFmtId="0" fontId="47" fillId="4" borderId="7" xfId="10" applyFont="1" applyFill="1" applyBorder="1"/>
    <xf numFmtId="183" fontId="58" fillId="2" borderId="7" xfId="10" applyNumberFormat="1" applyFont="1" applyFill="1" applyBorder="1" applyAlignment="1">
      <alignment horizontal="left"/>
    </xf>
    <xf numFmtId="183" fontId="58" fillId="4" borderId="7" xfId="10" applyNumberFormat="1" applyFont="1" applyFill="1" applyBorder="1" applyAlignment="1">
      <alignment horizontal="left"/>
    </xf>
    <xf numFmtId="184" fontId="58" fillId="2" borderId="7" xfId="10" applyNumberFormat="1" applyFont="1" applyFill="1" applyBorder="1" applyAlignment="1">
      <alignment horizontal="left"/>
    </xf>
    <xf numFmtId="184" fontId="58" fillId="4" borderId="7" xfId="10" applyNumberFormat="1" applyFont="1" applyFill="1" applyBorder="1" applyAlignment="1">
      <alignment horizontal="left"/>
    </xf>
    <xf numFmtId="3" fontId="74" fillId="2" borderId="7" xfId="10" applyNumberFormat="1" applyFont="1" applyFill="1" applyBorder="1" applyAlignment="1">
      <alignment horizontal="left"/>
    </xf>
    <xf numFmtId="3" fontId="74" fillId="4" borderId="7" xfId="10" applyNumberFormat="1" applyFont="1" applyFill="1" applyBorder="1" applyAlignment="1">
      <alignment horizontal="left"/>
    </xf>
    <xf numFmtId="0" fontId="59" fillId="0" borderId="0" xfId="10" applyFont="1" applyBorder="1"/>
    <xf numFmtId="0" fontId="46" fillId="0" borderId="0" xfId="10" applyBorder="1"/>
    <xf numFmtId="0" fontId="45" fillId="0" borderId="0" xfId="10" applyFont="1"/>
    <xf numFmtId="0" fontId="45" fillId="0" borderId="0" xfId="10" applyFont="1" applyBorder="1"/>
    <xf numFmtId="10" fontId="46" fillId="0" borderId="0" xfId="10" applyNumberFormat="1"/>
    <xf numFmtId="0" fontId="76" fillId="0" borderId="0" xfId="10" applyFont="1"/>
    <xf numFmtId="49" fontId="45" fillId="0" borderId="0" xfId="10" applyNumberFormat="1" applyFont="1" applyBorder="1"/>
    <xf numFmtId="0" fontId="59" fillId="0" borderId="0" xfId="10" applyFont="1"/>
    <xf numFmtId="0" fontId="45" fillId="0" borderId="0" xfId="10" applyFont="1" applyFill="1" applyBorder="1"/>
    <xf numFmtId="0" fontId="46" fillId="0" borderId="0" xfId="12"/>
    <xf numFmtId="0" fontId="48" fillId="0" borderId="0" xfId="12" applyFont="1"/>
    <xf numFmtId="0" fontId="46" fillId="0" borderId="13" xfId="12" applyBorder="1"/>
    <xf numFmtId="3" fontId="46" fillId="0" borderId="13" xfId="12" applyNumberFormat="1" applyBorder="1"/>
    <xf numFmtId="0" fontId="46" fillId="4" borderId="5" xfId="12" applyFill="1" applyBorder="1" applyAlignment="1">
      <alignment horizontal="right"/>
    </xf>
    <xf numFmtId="0" fontId="46" fillId="2" borderId="5" xfId="12" applyFill="1" applyBorder="1" applyAlignment="1">
      <alignment horizontal="right"/>
    </xf>
    <xf numFmtId="184" fontId="39" fillId="4" borderId="0" xfId="12" applyNumberFormat="1" applyFont="1" applyFill="1" applyBorder="1" applyAlignment="1">
      <alignment horizontal="center"/>
    </xf>
    <xf numFmtId="184" fontId="39" fillId="2" borderId="0" xfId="12" applyNumberFormat="1" applyFont="1" applyFill="1" applyBorder="1" applyAlignment="1">
      <alignment horizontal="center"/>
    </xf>
    <xf numFmtId="0" fontId="39" fillId="4" borderId="5" xfId="12" applyFont="1" applyFill="1" applyBorder="1" applyAlignment="1">
      <alignment horizontal="center"/>
    </xf>
    <xf numFmtId="0" fontId="50" fillId="2" borderId="5" xfId="12" applyFont="1" applyFill="1" applyBorder="1" applyAlignment="1">
      <alignment horizontal="center"/>
    </xf>
    <xf numFmtId="0" fontId="50" fillId="4" borderId="5" xfId="12" applyFont="1" applyFill="1" applyBorder="1" applyAlignment="1">
      <alignment horizontal="center"/>
    </xf>
    <xf numFmtId="0" fontId="50" fillId="4" borderId="0" xfId="12" applyFont="1" applyFill="1" applyBorder="1" applyAlignment="1">
      <alignment horizontal="left"/>
    </xf>
    <xf numFmtId="0" fontId="46" fillId="4" borderId="0" xfId="12" applyFill="1" applyBorder="1" applyAlignment="1">
      <alignment horizontal="right"/>
    </xf>
    <xf numFmtId="0" fontId="49" fillId="2" borderId="0" xfId="12" applyFont="1" applyFill="1" applyBorder="1" applyAlignment="1">
      <alignment horizontal="center"/>
    </xf>
    <xf numFmtId="0" fontId="49" fillId="4" borderId="0" xfId="12" applyFont="1" applyFill="1" applyBorder="1" applyAlignment="1">
      <alignment horizontal="center"/>
    </xf>
    <xf numFmtId="0" fontId="39" fillId="4" borderId="0" xfId="12" applyFont="1" applyFill="1" applyBorder="1" applyAlignment="1">
      <alignment horizontal="center"/>
    </xf>
    <xf numFmtId="0" fontId="50" fillId="2" borderId="0" xfId="12" applyFont="1" applyFill="1" applyBorder="1" applyAlignment="1">
      <alignment horizontal="center"/>
    </xf>
    <xf numFmtId="0" fontId="50" fillId="4" borderId="0" xfId="12" applyFont="1" applyFill="1" applyBorder="1" applyAlignment="1">
      <alignment horizontal="center"/>
    </xf>
    <xf numFmtId="0" fontId="46" fillId="2" borderId="0" xfId="12" applyFill="1" applyBorder="1" applyAlignment="1">
      <alignment horizontal="center"/>
    </xf>
    <xf numFmtId="0" fontId="46" fillId="4" borderId="0" xfId="12" applyFill="1" applyBorder="1" applyAlignment="1">
      <alignment horizontal="center"/>
    </xf>
    <xf numFmtId="184" fontId="39" fillId="4" borderId="0" xfId="12" applyNumberFormat="1" applyFont="1" applyFill="1" applyBorder="1" applyAlignment="1">
      <alignment horizontal="center" vertical="top"/>
    </xf>
    <xf numFmtId="184" fontId="39" fillId="2" borderId="0" xfId="12" applyNumberFormat="1" applyFont="1" applyFill="1" applyBorder="1" applyAlignment="1">
      <alignment horizontal="center" vertical="top"/>
    </xf>
    <xf numFmtId="0" fontId="50" fillId="4" borderId="2" xfId="12" applyFont="1" applyFill="1" applyBorder="1" applyAlignment="1">
      <alignment horizontal="left"/>
    </xf>
    <xf numFmtId="0" fontId="46" fillId="4" borderId="2" xfId="12" applyFill="1" applyBorder="1"/>
    <xf numFmtId="0" fontId="46" fillId="2" borderId="2" xfId="12" applyFill="1" applyBorder="1" applyAlignment="1">
      <alignment horizontal="center"/>
    </xf>
    <xf numFmtId="0" fontId="46" fillId="4" borderId="2" xfId="12" applyFill="1" applyBorder="1" applyAlignment="1">
      <alignment horizontal="center"/>
    </xf>
    <xf numFmtId="184" fontId="39" fillId="4" borderId="2" xfId="12" applyNumberFormat="1" applyFont="1" applyFill="1" applyBorder="1" applyAlignment="1">
      <alignment horizontal="center" vertical="top"/>
    </xf>
    <xf numFmtId="184" fontId="39" fillId="2" borderId="2" xfId="12" applyNumberFormat="1" applyFont="1" applyFill="1" applyBorder="1" applyAlignment="1">
      <alignment horizontal="center" vertical="top"/>
    </xf>
    <xf numFmtId="0" fontId="39" fillId="4" borderId="2" xfId="12" applyFont="1" applyFill="1" applyBorder="1" applyAlignment="1">
      <alignment horizontal="center"/>
    </xf>
    <xf numFmtId="0" fontId="46" fillId="4" borderId="6" xfId="12" applyFont="1" applyFill="1" applyBorder="1"/>
    <xf numFmtId="0" fontId="46" fillId="4" borderId="6" xfId="12" applyFill="1" applyBorder="1"/>
    <xf numFmtId="183" fontId="53" fillId="2" borderId="6" xfId="12" applyNumberFormat="1" applyFont="1" applyFill="1" applyBorder="1" applyAlignment="1">
      <alignment horizontal="center"/>
    </xf>
    <xf numFmtId="183" fontId="53" fillId="4" borderId="6" xfId="12" applyNumberFormat="1" applyFont="1" applyFill="1" applyBorder="1" applyAlignment="1">
      <alignment horizontal="center"/>
    </xf>
    <xf numFmtId="184" fontId="53" fillId="2" borderId="6" xfId="12" applyNumberFormat="1" applyFont="1" applyFill="1" applyBorder="1" applyAlignment="1">
      <alignment horizontal="center"/>
    </xf>
    <xf numFmtId="184" fontId="53" fillId="4" borderId="6" xfId="12" applyNumberFormat="1" applyFont="1" applyFill="1" applyBorder="1" applyAlignment="1">
      <alignment horizontal="center"/>
    </xf>
    <xf numFmtId="3" fontId="67" fillId="4" borderId="6" xfId="12" applyNumberFormat="1" applyFont="1" applyFill="1" applyBorder="1" applyAlignment="1">
      <alignment horizontal="center"/>
    </xf>
    <xf numFmtId="3" fontId="67" fillId="2" borderId="6" xfId="12" applyNumberFormat="1" applyFont="1" applyFill="1" applyBorder="1" applyAlignment="1">
      <alignment horizontal="center"/>
    </xf>
    <xf numFmtId="0" fontId="46" fillId="4" borderId="4" xfId="12" applyFill="1" applyBorder="1"/>
    <xf numFmtId="0" fontId="47" fillId="4" borderId="4" xfId="12" applyFont="1" applyFill="1" applyBorder="1"/>
    <xf numFmtId="183" fontId="57" fillId="2" borderId="4" xfId="12" applyNumberFormat="1" applyFont="1" applyFill="1" applyBorder="1" applyAlignment="1">
      <alignment horizontal="right"/>
    </xf>
    <xf numFmtId="183" fontId="57" fillId="4" borderId="4" xfId="12" applyNumberFormat="1" applyFont="1" applyFill="1" applyBorder="1" applyAlignment="1">
      <alignment horizontal="right"/>
    </xf>
    <xf numFmtId="184" fontId="57" fillId="2" borderId="4" xfId="12" applyNumberFormat="1" applyFont="1" applyFill="1" applyBorder="1" applyAlignment="1">
      <alignment horizontal="right"/>
    </xf>
    <xf numFmtId="184" fontId="57" fillId="4" borderId="4" xfId="12" applyNumberFormat="1" applyFont="1" applyFill="1" applyBorder="1" applyAlignment="1">
      <alignment horizontal="right"/>
    </xf>
    <xf numFmtId="3" fontId="73" fillId="4" borderId="4" xfId="12" applyNumberFormat="1" applyFont="1" applyFill="1" applyBorder="1" applyAlignment="1">
      <alignment horizontal="right"/>
    </xf>
    <xf numFmtId="3" fontId="73" fillId="2" borderId="4" xfId="12" applyNumberFormat="1" applyFont="1" applyFill="1" applyBorder="1" applyAlignment="1">
      <alignment horizontal="right"/>
    </xf>
    <xf numFmtId="183" fontId="77" fillId="2" borderId="4" xfId="12" applyNumberFormat="1" applyFont="1" applyFill="1" applyBorder="1" applyAlignment="1">
      <alignment horizontal="right"/>
    </xf>
    <xf numFmtId="183" fontId="77" fillId="4" borderId="4" xfId="12" applyNumberFormat="1" applyFont="1" applyFill="1" applyBorder="1" applyAlignment="1">
      <alignment horizontal="right"/>
    </xf>
    <xf numFmtId="184" fontId="77" fillId="2" borderId="4" xfId="12" applyNumberFormat="1" applyFont="1" applyFill="1" applyBorder="1" applyAlignment="1">
      <alignment horizontal="right"/>
    </xf>
    <xf numFmtId="184" fontId="77" fillId="4" borderId="4" xfId="12" applyNumberFormat="1" applyFont="1" applyFill="1" applyBorder="1" applyAlignment="1">
      <alignment horizontal="right"/>
    </xf>
    <xf numFmtId="3" fontId="78" fillId="4" borderId="4" xfId="12" applyNumberFormat="1" applyFont="1" applyFill="1" applyBorder="1" applyAlignment="1">
      <alignment horizontal="right"/>
    </xf>
    <xf numFmtId="3" fontId="78" fillId="2" borderId="4" xfId="12" applyNumberFormat="1" applyFont="1" applyFill="1" applyBorder="1" applyAlignment="1">
      <alignment horizontal="right"/>
    </xf>
    <xf numFmtId="183" fontId="46" fillId="2" borderId="4" xfId="12" applyNumberFormat="1" applyFill="1" applyBorder="1"/>
    <xf numFmtId="183" fontId="46" fillId="4" borderId="4" xfId="12" applyNumberFormat="1" applyFill="1" applyBorder="1"/>
    <xf numFmtId="184" fontId="46" fillId="2" borderId="4" xfId="12" applyNumberFormat="1" applyFill="1" applyBorder="1"/>
    <xf numFmtId="184" fontId="46" fillId="4" borderId="4" xfId="12" applyNumberFormat="1" applyFill="1" applyBorder="1"/>
    <xf numFmtId="3" fontId="68" fillId="2" borderId="4" xfId="12" applyNumberFormat="1" applyFont="1" applyFill="1" applyBorder="1"/>
    <xf numFmtId="3" fontId="68" fillId="4" borderId="4" xfId="12" applyNumberFormat="1" applyFont="1" applyFill="1" applyBorder="1"/>
    <xf numFmtId="0" fontId="46" fillId="4" borderId="4" xfId="12" applyFont="1" applyFill="1" applyBorder="1"/>
    <xf numFmtId="183" fontId="53" fillId="2" borderId="4" xfId="12" applyNumberFormat="1" applyFont="1" applyFill="1" applyBorder="1" applyAlignment="1">
      <alignment horizontal="center"/>
    </xf>
    <xf numFmtId="183" fontId="53" fillId="4" borderId="4" xfId="12" applyNumberFormat="1" applyFont="1" applyFill="1" applyBorder="1" applyAlignment="1">
      <alignment horizontal="center"/>
    </xf>
    <xf numFmtId="184" fontId="53" fillId="2" borderId="4" xfId="12" applyNumberFormat="1" applyFont="1" applyFill="1" applyBorder="1" applyAlignment="1">
      <alignment horizontal="center"/>
    </xf>
    <xf numFmtId="184" fontId="53" fillId="4" borderId="4" xfId="12" applyNumberFormat="1" applyFont="1" applyFill="1" applyBorder="1" applyAlignment="1">
      <alignment horizontal="center"/>
    </xf>
    <xf numFmtId="3" fontId="67" fillId="2" borderId="4" xfId="12" applyNumberFormat="1" applyFont="1" applyFill="1" applyBorder="1" applyAlignment="1">
      <alignment horizontal="center"/>
    </xf>
    <xf numFmtId="3" fontId="67" fillId="4" borderId="4" xfId="12" applyNumberFormat="1" applyFont="1" applyFill="1" applyBorder="1" applyAlignment="1">
      <alignment horizontal="center"/>
    </xf>
    <xf numFmtId="183" fontId="52" fillId="2" borderId="4" xfId="12" applyNumberFormat="1" applyFont="1" applyFill="1" applyBorder="1"/>
    <xf numFmtId="183" fontId="52" fillId="4" borderId="4" xfId="12" applyNumberFormat="1" applyFont="1" applyFill="1" applyBorder="1"/>
    <xf numFmtId="184" fontId="52" fillId="2" borderId="4" xfId="12" applyNumberFormat="1" applyFont="1" applyFill="1" applyBorder="1"/>
    <xf numFmtId="184" fontId="52" fillId="4" borderId="4" xfId="12" applyNumberFormat="1" applyFont="1" applyFill="1" applyBorder="1"/>
    <xf numFmtId="3" fontId="79" fillId="2" borderId="4" xfId="12" applyNumberFormat="1" applyFont="1" applyFill="1" applyBorder="1"/>
    <xf numFmtId="3" fontId="79" fillId="4" borderId="4" xfId="12" applyNumberFormat="1" applyFont="1" applyFill="1" applyBorder="1"/>
    <xf numFmtId="184" fontId="52" fillId="2" borderId="4" xfId="12" applyNumberFormat="1" applyFont="1" applyFill="1" applyBorder="1" applyAlignment="1">
      <alignment horizontal="right"/>
    </xf>
    <xf numFmtId="184" fontId="52" fillId="4" borderId="4" xfId="12" applyNumberFormat="1" applyFont="1" applyFill="1" applyBorder="1" applyAlignment="1">
      <alignment horizontal="right"/>
    </xf>
    <xf numFmtId="0" fontId="46" fillId="5" borderId="0" xfId="12" applyFill="1"/>
    <xf numFmtId="183" fontId="52" fillId="2" borderId="4" xfId="12" applyNumberFormat="1" applyFont="1" applyFill="1" applyBorder="1" applyAlignment="1">
      <alignment horizontal="right"/>
    </xf>
    <xf numFmtId="183" fontId="52" fillId="4" borderId="4" xfId="12" applyNumberFormat="1" applyFont="1" applyFill="1" applyBorder="1" applyAlignment="1">
      <alignment horizontal="right"/>
    </xf>
    <xf numFmtId="3" fontId="79" fillId="2" borderId="4" xfId="12" applyNumberFormat="1" applyFont="1" applyFill="1" applyBorder="1" applyAlignment="1">
      <alignment horizontal="right"/>
    </xf>
    <xf numFmtId="3" fontId="79" fillId="4" borderId="4" xfId="12" applyNumberFormat="1" applyFont="1" applyFill="1" applyBorder="1" applyAlignment="1">
      <alignment horizontal="right"/>
    </xf>
    <xf numFmtId="183" fontId="51" fillId="2" borderId="4" xfId="12" applyNumberFormat="1" applyFont="1" applyFill="1" applyBorder="1"/>
    <xf numFmtId="183" fontId="51" fillId="4" borderId="4" xfId="12" applyNumberFormat="1" applyFont="1" applyFill="1" applyBorder="1"/>
    <xf numFmtId="184" fontId="51" fillId="2" borderId="4" xfId="12" applyNumberFormat="1" applyFont="1" applyFill="1" applyBorder="1"/>
    <xf numFmtId="184" fontId="51" fillId="4" borderId="4" xfId="12" applyNumberFormat="1" applyFont="1" applyFill="1" applyBorder="1"/>
    <xf numFmtId="3" fontId="66" fillId="2" borderId="4" xfId="12" applyNumberFormat="1" applyFont="1" applyFill="1" applyBorder="1"/>
    <xf numFmtId="3" fontId="66" fillId="4" borderId="4" xfId="12" applyNumberFormat="1" applyFont="1" applyFill="1" applyBorder="1"/>
    <xf numFmtId="0" fontId="46" fillId="2" borderId="4" xfId="12" applyFill="1" applyBorder="1"/>
    <xf numFmtId="0" fontId="49" fillId="4" borderId="4" xfId="12" applyFont="1" applyFill="1" applyBorder="1"/>
    <xf numFmtId="183" fontId="51" fillId="2" borderId="4" xfId="12" applyNumberFormat="1" applyFont="1" applyFill="1" applyBorder="1" applyAlignment="1">
      <alignment horizontal="right"/>
    </xf>
    <xf numFmtId="183" fontId="51" fillId="4" borderId="4" xfId="12" applyNumberFormat="1" applyFont="1" applyFill="1" applyBorder="1" applyAlignment="1">
      <alignment horizontal="right"/>
    </xf>
    <xf numFmtId="184" fontId="51" fillId="2" borderId="4" xfId="12" applyNumberFormat="1" applyFont="1" applyFill="1" applyBorder="1" applyAlignment="1">
      <alignment horizontal="right"/>
    </xf>
    <xf numFmtId="184" fontId="51" fillId="4" borderId="4" xfId="12" applyNumberFormat="1" applyFont="1" applyFill="1" applyBorder="1" applyAlignment="1">
      <alignment horizontal="right"/>
    </xf>
    <xf numFmtId="3" fontId="66" fillId="2" borderId="4" xfId="12" applyNumberFormat="1" applyFont="1" applyFill="1" applyBorder="1" applyAlignment="1">
      <alignment horizontal="right"/>
    </xf>
    <xf numFmtId="3" fontId="66" fillId="4" borderId="4" xfId="12" applyNumberFormat="1" applyFont="1" applyFill="1" applyBorder="1" applyAlignment="1">
      <alignment horizontal="right"/>
    </xf>
    <xf numFmtId="183" fontId="58" fillId="2" borderId="4" xfId="12" applyNumberFormat="1" applyFont="1" applyFill="1" applyBorder="1"/>
    <xf numFmtId="183" fontId="58" fillId="4" borderId="4" xfId="12" applyNumberFormat="1" applyFont="1" applyFill="1" applyBorder="1"/>
    <xf numFmtId="184" fontId="58" fillId="2" borderId="4" xfId="12" applyNumberFormat="1" applyFont="1" applyFill="1" applyBorder="1"/>
    <xf numFmtId="184" fontId="58" fillId="4" borderId="4" xfId="12" applyNumberFormat="1" applyFont="1" applyFill="1" applyBorder="1"/>
    <xf numFmtId="3" fontId="74" fillId="2" borderId="4" xfId="12" applyNumberFormat="1" applyFont="1" applyFill="1" applyBorder="1"/>
    <xf numFmtId="3" fontId="74" fillId="4" borderId="4" xfId="12" applyNumberFormat="1" applyFont="1" applyFill="1" applyBorder="1"/>
    <xf numFmtId="183" fontId="80" fillId="2" borderId="4" xfId="12" applyNumberFormat="1" applyFont="1" applyFill="1" applyBorder="1" applyAlignment="1">
      <alignment horizontal="center"/>
    </xf>
    <xf numFmtId="183" fontId="80" fillId="4" borderId="4" xfId="12" applyNumberFormat="1" applyFont="1" applyFill="1" applyBorder="1" applyAlignment="1">
      <alignment horizontal="center"/>
    </xf>
    <xf numFmtId="184" fontId="80" fillId="2" borderId="4" xfId="12" applyNumberFormat="1" applyFont="1" applyFill="1" applyBorder="1" applyAlignment="1">
      <alignment horizontal="center"/>
    </xf>
    <xf numFmtId="184" fontId="80" fillId="4" borderId="4" xfId="12" applyNumberFormat="1" applyFont="1" applyFill="1" applyBorder="1" applyAlignment="1">
      <alignment horizontal="center"/>
    </xf>
    <xf numFmtId="3" fontId="81" fillId="4" borderId="4" xfId="12" applyNumberFormat="1" applyFont="1" applyFill="1" applyBorder="1" applyAlignment="1">
      <alignment horizontal="center"/>
    </xf>
    <xf numFmtId="3" fontId="81" fillId="2" borderId="4" xfId="12" applyNumberFormat="1" applyFont="1" applyFill="1" applyBorder="1" applyAlignment="1">
      <alignment horizontal="center"/>
    </xf>
    <xf numFmtId="183" fontId="82" fillId="2" borderId="4" xfId="12" applyNumberFormat="1" applyFont="1" applyFill="1" applyBorder="1" applyAlignment="1">
      <alignment horizontal="right"/>
    </xf>
    <xf numFmtId="183" fontId="82" fillId="4" borderId="4" xfId="12" applyNumberFormat="1" applyFont="1" applyFill="1" applyBorder="1" applyAlignment="1">
      <alignment horizontal="right"/>
    </xf>
    <xf numFmtId="184" fontId="82" fillId="2" borderId="4" xfId="12" applyNumberFormat="1" applyFont="1" applyFill="1" applyBorder="1" applyAlignment="1">
      <alignment horizontal="right"/>
    </xf>
    <xf numFmtId="184" fontId="82" fillId="4" borderId="4" xfId="12" applyNumberFormat="1" applyFont="1" applyFill="1" applyBorder="1" applyAlignment="1">
      <alignment horizontal="right"/>
    </xf>
    <xf numFmtId="3" fontId="83" fillId="4" borderId="4" xfId="12" applyNumberFormat="1" applyFont="1" applyFill="1" applyBorder="1" applyAlignment="1">
      <alignment horizontal="right"/>
    </xf>
    <xf numFmtId="3" fontId="83" fillId="2" borderId="4" xfId="12" applyNumberFormat="1" applyFont="1" applyFill="1" applyBorder="1" applyAlignment="1">
      <alignment horizontal="right"/>
    </xf>
    <xf numFmtId="183" fontId="84" fillId="2" borderId="4" xfId="12" applyNumberFormat="1" applyFont="1" applyFill="1" applyBorder="1" applyAlignment="1">
      <alignment horizontal="left"/>
    </xf>
    <xf numFmtId="183" fontId="84" fillId="4" borderId="4" xfId="12" applyNumberFormat="1" applyFont="1" applyFill="1" applyBorder="1" applyAlignment="1">
      <alignment horizontal="left"/>
    </xf>
    <xf numFmtId="184" fontId="84" fillId="2" borderId="4" xfId="12" applyNumberFormat="1" applyFont="1" applyFill="1" applyBorder="1" applyAlignment="1">
      <alignment horizontal="left"/>
    </xf>
    <xf numFmtId="184" fontId="84" fillId="4" borderId="4" xfId="12" applyNumberFormat="1" applyFont="1" applyFill="1" applyBorder="1" applyAlignment="1">
      <alignment horizontal="left"/>
    </xf>
    <xf numFmtId="3" fontId="85" fillId="2" borderId="4" xfId="12" applyNumberFormat="1" applyFont="1" applyFill="1" applyBorder="1" applyAlignment="1">
      <alignment horizontal="left"/>
    </xf>
    <xf numFmtId="3" fontId="85" fillId="4" borderId="4" xfId="12" applyNumberFormat="1" applyFont="1" applyFill="1" applyBorder="1" applyAlignment="1">
      <alignment horizontal="left"/>
    </xf>
    <xf numFmtId="183" fontId="86" fillId="2" borderId="4" xfId="12" applyNumberFormat="1" applyFont="1" applyFill="1" applyBorder="1" applyAlignment="1">
      <alignment horizontal="center"/>
    </xf>
    <xf numFmtId="183" fontId="86" fillId="4" borderId="4" xfId="12" applyNumberFormat="1" applyFont="1" applyFill="1" applyBorder="1" applyAlignment="1">
      <alignment horizontal="center"/>
    </xf>
    <xf numFmtId="184" fontId="86" fillId="2" borderId="4" xfId="12" applyNumberFormat="1" applyFont="1" applyFill="1" applyBorder="1" applyAlignment="1">
      <alignment horizontal="center"/>
    </xf>
    <xf numFmtId="184" fontId="86" fillId="4" borderId="4" xfId="12" applyNumberFormat="1" applyFont="1" applyFill="1" applyBorder="1" applyAlignment="1">
      <alignment horizontal="center"/>
    </xf>
    <xf numFmtId="3" fontId="87" fillId="2" borderId="4" xfId="12" applyNumberFormat="1" applyFont="1" applyFill="1" applyBorder="1" applyAlignment="1">
      <alignment horizontal="center"/>
    </xf>
    <xf numFmtId="3" fontId="87" fillId="4" borderId="4" xfId="12" applyNumberFormat="1" applyFont="1" applyFill="1" applyBorder="1" applyAlignment="1">
      <alignment horizontal="center"/>
    </xf>
    <xf numFmtId="0" fontId="46" fillId="4" borderId="8" xfId="12" applyFill="1" applyBorder="1"/>
    <xf numFmtId="0" fontId="47" fillId="4" borderId="8" xfId="12" applyFont="1" applyFill="1" applyBorder="1"/>
    <xf numFmtId="183" fontId="86" fillId="2" borderId="8" xfId="12" applyNumberFormat="1" applyFont="1" applyFill="1" applyBorder="1" applyAlignment="1">
      <alignment horizontal="center"/>
    </xf>
    <xf numFmtId="183" fontId="86" fillId="4" borderId="8" xfId="12" applyNumberFormat="1" applyFont="1" applyFill="1" applyBorder="1" applyAlignment="1">
      <alignment horizontal="center"/>
    </xf>
    <xf numFmtId="184" fontId="86" fillId="2" borderId="8" xfId="12" applyNumberFormat="1" applyFont="1" applyFill="1" applyBorder="1" applyAlignment="1">
      <alignment horizontal="center"/>
    </xf>
    <xf numFmtId="184" fontId="86" fillId="4" borderId="8" xfId="12" applyNumberFormat="1" applyFont="1" applyFill="1" applyBorder="1" applyAlignment="1">
      <alignment horizontal="center"/>
    </xf>
    <xf numFmtId="3" fontId="87" fillId="2" borderId="8" xfId="12" applyNumberFormat="1" applyFont="1" applyFill="1" applyBorder="1" applyAlignment="1">
      <alignment horizontal="center"/>
    </xf>
    <xf numFmtId="3" fontId="87" fillId="4" borderId="8" xfId="12" applyNumberFormat="1" applyFont="1" applyFill="1" applyBorder="1" applyAlignment="1">
      <alignment horizontal="center"/>
    </xf>
    <xf numFmtId="0" fontId="46" fillId="0" borderId="2" xfId="12" applyBorder="1"/>
    <xf numFmtId="0" fontId="47" fillId="0" borderId="2" xfId="12" applyFont="1" applyBorder="1"/>
    <xf numFmtId="183" fontId="52" fillId="0" borderId="2" xfId="12" applyNumberFormat="1" applyFont="1" applyBorder="1" applyAlignment="1">
      <alignment horizontal="right"/>
    </xf>
    <xf numFmtId="183" fontId="52" fillId="0" borderId="2" xfId="12" applyNumberFormat="1" applyFont="1" applyFill="1" applyBorder="1" applyAlignment="1">
      <alignment horizontal="right"/>
    </xf>
    <xf numFmtId="184" fontId="52" fillId="0" borderId="2" xfId="12" applyNumberFormat="1" applyFont="1" applyFill="1" applyBorder="1" applyAlignment="1">
      <alignment horizontal="right"/>
    </xf>
    <xf numFmtId="184" fontId="52" fillId="0" borderId="2" xfId="12" applyNumberFormat="1" applyFont="1" applyBorder="1" applyAlignment="1">
      <alignment horizontal="right"/>
    </xf>
    <xf numFmtId="3" fontId="79" fillId="0" borderId="2" xfId="12" applyNumberFormat="1" applyFont="1" applyBorder="1" applyAlignment="1">
      <alignment horizontal="right"/>
    </xf>
    <xf numFmtId="0" fontId="46" fillId="0" borderId="0" xfId="12" applyBorder="1"/>
    <xf numFmtId="0" fontId="47" fillId="0" borderId="0" xfId="12" applyFont="1" applyBorder="1"/>
    <xf numFmtId="183" fontId="52" fillId="0" borderId="0" xfId="12" applyNumberFormat="1" applyFont="1" applyBorder="1" applyAlignment="1">
      <alignment horizontal="right"/>
    </xf>
    <xf numFmtId="183" fontId="52" fillId="0" borderId="0" xfId="12" applyNumberFormat="1" applyFont="1" applyFill="1" applyBorder="1" applyAlignment="1">
      <alignment horizontal="right"/>
    </xf>
    <xf numFmtId="184" fontId="52" fillId="0" borderId="0" xfId="12" applyNumberFormat="1" applyFont="1" applyFill="1" applyBorder="1" applyAlignment="1">
      <alignment horizontal="right"/>
    </xf>
    <xf numFmtId="184" fontId="52" fillId="0" borderId="0" xfId="12" applyNumberFormat="1" applyFont="1" applyBorder="1" applyAlignment="1">
      <alignment horizontal="right"/>
    </xf>
    <xf numFmtId="3" fontId="79" fillId="0" borderId="0" xfId="12" applyNumberFormat="1" applyFont="1" applyBorder="1" applyAlignment="1">
      <alignment horizontal="right"/>
    </xf>
    <xf numFmtId="0" fontId="49" fillId="4" borderId="6" xfId="12" applyFont="1" applyFill="1" applyBorder="1"/>
    <xf numFmtId="183" fontId="80" fillId="2" borderId="6" xfId="12" applyNumberFormat="1" applyFont="1" applyFill="1" applyBorder="1" applyAlignment="1">
      <alignment horizontal="center"/>
    </xf>
    <xf numFmtId="183" fontId="80" fillId="4" borderId="6" xfId="12" applyNumberFormat="1" applyFont="1" applyFill="1" applyBorder="1" applyAlignment="1">
      <alignment horizontal="center"/>
    </xf>
    <xf numFmtId="184" fontId="80" fillId="2" borderId="6" xfId="12" applyNumberFormat="1" applyFont="1" applyFill="1" applyBorder="1" applyAlignment="1">
      <alignment horizontal="center"/>
    </xf>
    <xf numFmtId="184" fontId="80" fillId="4" borderId="6" xfId="12" applyNumberFormat="1" applyFont="1" applyFill="1" applyBorder="1" applyAlignment="1">
      <alignment horizontal="center"/>
    </xf>
    <xf numFmtId="3" fontId="81" fillId="4" borderId="6" xfId="12" applyNumberFormat="1" applyFont="1" applyFill="1" applyBorder="1" applyAlignment="1">
      <alignment horizontal="center"/>
    </xf>
    <xf numFmtId="3" fontId="81" fillId="2" borderId="6" xfId="12" applyNumberFormat="1" applyFont="1" applyFill="1" applyBorder="1" applyAlignment="1">
      <alignment horizontal="center"/>
    </xf>
    <xf numFmtId="3" fontId="82" fillId="2" borderId="4" xfId="12" applyNumberFormat="1" applyFont="1" applyFill="1" applyBorder="1" applyAlignment="1">
      <alignment horizontal="right"/>
    </xf>
    <xf numFmtId="0" fontId="46" fillId="9" borderId="0" xfId="12" applyFill="1"/>
    <xf numFmtId="3" fontId="46" fillId="2" borderId="4" xfId="12" applyNumberFormat="1" applyFont="1" applyFill="1" applyBorder="1"/>
    <xf numFmtId="183" fontId="53" fillId="2" borderId="4" xfId="12" applyNumberFormat="1" applyFont="1" applyFill="1" applyBorder="1" applyAlignment="1">
      <alignment horizontal="left"/>
    </xf>
    <xf numFmtId="183" fontId="52" fillId="2" borderId="4" xfId="12" applyNumberFormat="1" applyFont="1" applyFill="1" applyBorder="1" applyAlignment="1">
      <alignment horizontal="center"/>
    </xf>
    <xf numFmtId="183" fontId="52" fillId="2" borderId="8" xfId="12" applyNumberFormat="1" applyFont="1" applyFill="1" applyBorder="1" applyAlignment="1">
      <alignment horizontal="center"/>
    </xf>
    <xf numFmtId="0" fontId="46" fillId="0" borderId="0" xfId="12" applyFill="1"/>
    <xf numFmtId="3" fontId="79" fillId="0" borderId="2" xfId="12" applyNumberFormat="1" applyFont="1" applyFill="1" applyBorder="1" applyAlignment="1">
      <alignment horizontal="right"/>
    </xf>
    <xf numFmtId="183" fontId="46" fillId="0" borderId="0" xfId="12" applyNumberFormat="1" applyBorder="1"/>
    <xf numFmtId="183" fontId="46" fillId="0" borderId="0" xfId="12" applyNumberFormat="1" applyFill="1" applyBorder="1"/>
    <xf numFmtId="184" fontId="46" fillId="0" borderId="0" xfId="12" applyNumberFormat="1" applyFill="1" applyBorder="1"/>
    <xf numFmtId="184" fontId="46" fillId="0" borderId="0" xfId="12" applyNumberFormat="1" applyBorder="1"/>
    <xf numFmtId="3" fontId="68" fillId="0" borderId="0" xfId="12" applyNumberFormat="1" applyFont="1" applyBorder="1"/>
    <xf numFmtId="183" fontId="84" fillId="2" borderId="6" xfId="12" applyNumberFormat="1" applyFont="1" applyFill="1" applyBorder="1" applyAlignment="1">
      <alignment horizontal="left"/>
    </xf>
    <xf numFmtId="183" fontId="84" fillId="4" borderId="6" xfId="12" applyNumberFormat="1" applyFont="1" applyFill="1" applyBorder="1" applyAlignment="1">
      <alignment horizontal="left"/>
    </xf>
    <xf numFmtId="184" fontId="84" fillId="2" borderId="6" xfId="12" applyNumberFormat="1" applyFont="1" applyFill="1" applyBorder="1" applyAlignment="1">
      <alignment horizontal="left"/>
    </xf>
    <xf numFmtId="184" fontId="84" fillId="4" borderId="6" xfId="12" applyNumberFormat="1" applyFont="1" applyFill="1" applyBorder="1" applyAlignment="1">
      <alignment horizontal="left"/>
    </xf>
    <xf numFmtId="3" fontId="85" fillId="2" borderId="6" xfId="12" applyNumberFormat="1" applyFont="1" applyFill="1" applyBorder="1" applyAlignment="1">
      <alignment horizontal="left"/>
    </xf>
    <xf numFmtId="3" fontId="85" fillId="4" borderId="6" xfId="12" applyNumberFormat="1" applyFont="1" applyFill="1" applyBorder="1" applyAlignment="1">
      <alignment horizontal="left"/>
    </xf>
    <xf numFmtId="183" fontId="53" fillId="2" borderId="8" xfId="12" applyNumberFormat="1" applyFont="1" applyFill="1" applyBorder="1" applyAlignment="1">
      <alignment horizontal="center"/>
    </xf>
    <xf numFmtId="183" fontId="53" fillId="4" borderId="8" xfId="12" applyNumberFormat="1" applyFont="1" applyFill="1" applyBorder="1" applyAlignment="1">
      <alignment horizontal="center"/>
    </xf>
    <xf numFmtId="184" fontId="53" fillId="2" borderId="8" xfId="12" applyNumberFormat="1" applyFont="1" applyFill="1" applyBorder="1" applyAlignment="1">
      <alignment horizontal="center"/>
    </xf>
    <xf numFmtId="184" fontId="53" fillId="4" borderId="8" xfId="12" applyNumberFormat="1" applyFont="1" applyFill="1" applyBorder="1" applyAlignment="1">
      <alignment horizontal="center"/>
    </xf>
    <xf numFmtId="3" fontId="67" fillId="2" borderId="8" xfId="12" applyNumberFormat="1" applyFont="1" applyFill="1" applyBorder="1" applyAlignment="1">
      <alignment horizontal="center"/>
    </xf>
    <xf numFmtId="3" fontId="67" fillId="4" borderId="8" xfId="12" applyNumberFormat="1" applyFont="1" applyFill="1" applyBorder="1" applyAlignment="1">
      <alignment horizontal="center"/>
    </xf>
    <xf numFmtId="183" fontId="46" fillId="0" borderId="13" xfId="12" applyNumberFormat="1" applyBorder="1"/>
    <xf numFmtId="183" fontId="46" fillId="0" borderId="13" xfId="12" applyNumberFormat="1" applyFill="1" applyBorder="1"/>
    <xf numFmtId="0" fontId="59" fillId="0" borderId="0" xfId="12" applyFont="1" applyBorder="1"/>
    <xf numFmtId="0" fontId="49" fillId="0" borderId="0" xfId="12" applyFont="1"/>
    <xf numFmtId="0" fontId="45" fillId="0" borderId="0" xfId="12" applyFont="1"/>
    <xf numFmtId="49" fontId="45" fillId="0" borderId="0" xfId="12" applyNumberFormat="1" applyFont="1" applyBorder="1"/>
    <xf numFmtId="0" fontId="53" fillId="0" borderId="0" xfId="12" applyFont="1"/>
    <xf numFmtId="0" fontId="62" fillId="0" borderId="0" xfId="12" applyFont="1" applyFill="1"/>
    <xf numFmtId="0" fontId="88" fillId="0" borderId="0" xfId="12" applyFont="1"/>
    <xf numFmtId="0" fontId="80" fillId="0" borderId="0" xfId="12" applyFont="1"/>
    <xf numFmtId="0" fontId="17" fillId="0" borderId="0" xfId="0" applyFont="1" applyFill="1"/>
    <xf numFmtId="0" fontId="25" fillId="0" borderId="0" xfId="9" applyFont="1"/>
    <xf numFmtId="0" fontId="23" fillId="0" borderId="0" xfId="9"/>
    <xf numFmtId="0" fontId="3" fillId="0" borderId="0" xfId="9" applyFont="1"/>
    <xf numFmtId="2" fontId="23" fillId="0" borderId="0" xfId="9" applyNumberFormat="1"/>
    <xf numFmtId="0" fontId="5" fillId="0" borderId="0" xfId="9" applyFont="1" applyAlignment="1"/>
    <xf numFmtId="0" fontId="21" fillId="0" borderId="0" xfId="9" applyFont="1" applyAlignment="1"/>
    <xf numFmtId="3" fontId="6" fillId="4" borderId="0" xfId="0" applyNumberFormat="1" applyFont="1" applyFill="1" applyBorder="1" applyAlignment="1">
      <alignment horizontal="center" vertical="center"/>
    </xf>
    <xf numFmtId="184" fontId="4" fillId="4" borderId="0" xfId="13" applyNumberFormat="1" applyFont="1" applyFill="1" applyBorder="1" applyAlignment="1">
      <alignment horizontal="right" vertical="center"/>
    </xf>
    <xf numFmtId="0" fontId="15" fillId="10" borderId="0" xfId="0" applyFont="1" applyFill="1"/>
    <xf numFmtId="0" fontId="13" fillId="10" borderId="0" xfId="0" applyFont="1" applyFill="1"/>
    <xf numFmtId="0" fontId="6" fillId="2" borderId="3" xfId="0" applyFont="1" applyFill="1" applyBorder="1" applyAlignment="1">
      <alignment horizontal="left"/>
    </xf>
    <xf numFmtId="3" fontId="6" fillId="4" borderId="6" xfId="0" applyNumberFormat="1" applyFont="1" applyFill="1" applyBorder="1" applyAlignment="1">
      <alignment horizontal="left"/>
    </xf>
    <xf numFmtId="0" fontId="34" fillId="2" borderId="4" xfId="0" applyFont="1" applyFill="1" applyBorder="1" applyAlignment="1">
      <alignment horizontal="center" wrapText="1"/>
    </xf>
    <xf numFmtId="0" fontId="34" fillId="2" borderId="4" xfId="0" applyFont="1" applyFill="1" applyBorder="1" applyAlignment="1">
      <alignment horizontal="left" wrapText="1"/>
    </xf>
    <xf numFmtId="0" fontId="34" fillId="2" borderId="4" xfId="0" applyFont="1" applyFill="1" applyBorder="1" applyAlignment="1">
      <alignment horizontal="center"/>
    </xf>
    <xf numFmtId="0" fontId="34" fillId="2" borderId="4" xfId="0" applyFont="1" applyFill="1" applyBorder="1" applyAlignment="1">
      <alignment horizontal="left"/>
    </xf>
    <xf numFmtId="0" fontId="6" fillId="2" borderId="4" xfId="0" applyFont="1" applyFill="1" applyBorder="1" applyAlignment="1">
      <alignment horizontal="left"/>
    </xf>
    <xf numFmtId="3" fontId="6" fillId="4" borderId="6" xfId="0" applyNumberFormat="1" applyFont="1" applyFill="1" applyBorder="1" applyAlignment="1">
      <alignment horizontal="left" vertical="center"/>
    </xf>
    <xf numFmtId="14" fontId="89" fillId="0" borderId="0" xfId="0" quotePrefix="1" applyNumberFormat="1" applyFont="1" applyFill="1"/>
    <xf numFmtId="0" fontId="89" fillId="0" borderId="0" xfId="0" quotePrefix="1" applyFont="1"/>
    <xf numFmtId="14" fontId="89" fillId="0" borderId="0" xfId="0" quotePrefix="1" applyNumberFormat="1" applyFont="1"/>
    <xf numFmtId="2" fontId="90" fillId="0" borderId="0" xfId="0" applyNumberFormat="1" applyFont="1"/>
    <xf numFmtId="0" fontId="91" fillId="0" borderId="0" xfId="0" applyFont="1"/>
    <xf numFmtId="0" fontId="3" fillId="0" borderId="2" xfId="0" applyFont="1" applyBorder="1" applyAlignment="1">
      <alignment vertical="top" wrapText="1"/>
    </xf>
    <xf numFmtId="0" fontId="0" fillId="0" borderId="2" xfId="0" applyBorder="1" applyAlignment="1">
      <alignment wrapText="1"/>
    </xf>
    <xf numFmtId="0" fontId="4" fillId="2" borderId="1" xfId="0" applyFont="1" applyFill="1" applyBorder="1" applyAlignment="1">
      <alignment horizontal="center"/>
    </xf>
    <xf numFmtId="0" fontId="0" fillId="0" borderId="1" xfId="0" applyBorder="1" applyAlignment="1">
      <alignment horizontal="center"/>
    </xf>
    <xf numFmtId="0" fontId="6" fillId="2" borderId="1" xfId="0" applyFont="1" applyFill="1" applyBorder="1" applyAlignment="1">
      <alignment horizontal="center"/>
    </xf>
    <xf numFmtId="0" fontId="15" fillId="0" borderId="1" xfId="0" applyFont="1" applyBorder="1" applyAlignment="1">
      <alignment horizontal="center"/>
    </xf>
    <xf numFmtId="0" fontId="3" fillId="3" borderId="2" xfId="0" applyFont="1" applyFill="1" applyBorder="1" applyAlignment="1">
      <alignment vertical="top" wrapText="1"/>
    </xf>
    <xf numFmtId="0" fontId="4" fillId="4" borderId="1" xfId="0" applyFont="1" applyFill="1" applyBorder="1" applyAlignment="1">
      <alignment horizontal="center"/>
    </xf>
    <xf numFmtId="0" fontId="30" fillId="0" borderId="0" xfId="0" applyFont="1" applyAlignment="1">
      <alignment wrapText="1"/>
    </xf>
    <xf numFmtId="0" fontId="0" fillId="0" borderId="0" xfId="0" applyAlignment="1">
      <alignment wrapText="1"/>
    </xf>
    <xf numFmtId="0" fontId="3" fillId="0" borderId="0" xfId="0" applyFont="1" applyBorder="1" applyAlignment="1">
      <alignment vertical="top" wrapText="1"/>
    </xf>
    <xf numFmtId="0" fontId="49" fillId="5" borderId="0" xfId="12" applyFont="1" applyFill="1" applyAlignment="1">
      <alignment horizontal="center" textRotation="180" wrapText="1"/>
    </xf>
    <xf numFmtId="0" fontId="46" fillId="5" borderId="0" xfId="12" applyFill="1" applyAlignment="1">
      <alignment horizontal="center"/>
    </xf>
    <xf numFmtId="0" fontId="49" fillId="9" borderId="0" xfId="12" applyFont="1" applyFill="1" applyAlignment="1">
      <alignment horizontal="center" textRotation="180" wrapText="1"/>
    </xf>
    <xf numFmtId="0" fontId="46" fillId="9" borderId="0" xfId="12" applyFill="1" applyAlignment="1">
      <alignment horizontal="center"/>
    </xf>
  </cellXfs>
  <cellStyles count="14">
    <cellStyle name="Normal_KV_liste T1" xfId="1" xr:uid="{6462D1C1-2C58-E447-BF44-D156FDCF7449}"/>
    <cellStyle name="Normal_KV_liste T2" xfId="2" xr:uid="{533AC8D2-73EA-7848-9D8E-AEF3D1BB3968}"/>
    <cellStyle name="Normal_KV_liste T3" xfId="3" xr:uid="{EA26B99A-673B-A44F-9FF4-60655447AE61}"/>
    <cellStyle name="Normal_KV_liste T4" xfId="4" xr:uid="{BE2FF83C-C05E-9A44-A761-4089841DD164}"/>
    <cellStyle name="Normal_KV_liste T5" xfId="5" xr:uid="{A4E49BA5-94E2-564D-BDFA-7B474AB8217B}"/>
    <cellStyle name="Normal_KV_liste T6" xfId="6" xr:uid="{0BA50BEB-BDAC-004E-9740-3236B3ECAD34}"/>
    <cellStyle name="Normal_KV_liste T7" xfId="7" xr:uid="{10CEFB0A-BDE6-C94B-A487-A19FFEE5C73F}"/>
    <cellStyle name="Normal_KV_liste T8" xfId="8" xr:uid="{0039D0CB-A3CF-B345-B5C2-E0AC361BBB47}"/>
    <cellStyle name="Normal_KV_liste T9" xfId="9" xr:uid="{14F438AF-F7C7-EC47-B11B-807557BA7F9C}"/>
    <cellStyle name="Normal_KV906" xfId="10" xr:uid="{A17E84CA-4FBC-0249-A69A-75260CA3AF8A}"/>
    <cellStyle name="Normal_KV907" xfId="11" xr:uid="{2F893212-6C91-7E43-9BCA-451B254BC6A0}"/>
    <cellStyle name="Normal_KV908" xfId="12" xr:uid="{73376372-1C99-DF44-BEFA-E1B9B8E776E0}"/>
    <cellStyle name="Prozent" xfId="13" builtinId="5"/>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 G 13 Evolution des primes et 
des prestations dans 
l'assurance-maladie (LAMal + LCA)
en milliards de frs</a:t>
            </a:r>
          </a:p>
        </c:rich>
      </c:tx>
      <c:layout>
        <c:manualLayout>
          <c:xMode val="edge"/>
          <c:yMode val="edge"/>
          <c:x val="0.21305013551223265"/>
          <c:y val="3.4723313168669223E-2"/>
        </c:manualLayout>
      </c:layout>
      <c:overlay val="0"/>
      <c:spPr>
        <a:noFill/>
        <a:ln w="25400">
          <a:noFill/>
        </a:ln>
      </c:spPr>
    </c:title>
    <c:autoTitleDeleted val="0"/>
    <c:plotArea>
      <c:layout>
        <c:manualLayout>
          <c:layoutTarget val="inner"/>
          <c:xMode val="edge"/>
          <c:yMode val="edge"/>
          <c:x val="0.13478682042610637"/>
          <c:y val="0.18750589111081381"/>
          <c:w val="0.76958926501357505"/>
          <c:h val="0.52432202884690526"/>
        </c:manualLayout>
      </c:layout>
      <c:lineChart>
        <c:grouping val="standard"/>
        <c:varyColors val="0"/>
        <c:ser>
          <c:idx val="0"/>
          <c:order val="0"/>
          <c:tx>
            <c:strRef>
              <c:f>'907'!$K$4</c:f>
              <c:strCache>
                <c:ptCount val="1"/>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'907'!$L$2:$O$2</c:f>
              <c:numCache>
                <c:formatCode>General</c:formatCode>
                <c:ptCount val="4"/>
              </c:numCache>
            </c:numRef>
          </c:cat>
          <c:val>
            <c:numRef>
              <c:f>'907'!$L$4:$O$4</c:f>
              <c:numCache>
                <c:formatCode>0.00</c:formatCode>
                <c:ptCount val="4"/>
              </c:numCache>
            </c:numRef>
          </c:val>
          <c:smooth val="0"/>
          <c:extLst>
            <c:ext xmlns:c16="http://schemas.microsoft.com/office/drawing/2014/chart" uri="{C3380CC4-5D6E-409C-BE32-E72D297353CC}">
              <c16:uniqueId val="{00000000-6AC4-1146-A5AA-BDA4B4D4530E}"/>
            </c:ext>
          </c:extLst>
        </c:ser>
        <c:ser>
          <c:idx val="3"/>
          <c:order val="1"/>
          <c:tx>
            <c:strRef>
              <c:f>'907'!$K$7</c:f>
              <c:strCache>
                <c:ptCount val="1"/>
              </c:strCache>
            </c:strRef>
          </c:tx>
          <c:spPr>
            <a:ln w="12700">
              <a:solidFill>
                <a:srgbClr val="DD0806"/>
              </a:solidFill>
              <a:prstDash val="solid"/>
            </a:ln>
          </c:spPr>
          <c:marker>
            <c:symbol val="triangle"/>
            <c:size val="5"/>
            <c:spPr>
              <a:solidFill>
                <a:srgbClr val="DD0806"/>
              </a:solidFill>
              <a:ln>
                <a:solidFill>
                  <a:srgbClr val="DD0806"/>
                </a:solidFill>
                <a:prstDash val="solid"/>
              </a:ln>
            </c:spPr>
          </c:marker>
          <c:val>
            <c:numRef>
              <c:f>'907'!$L$7:$O$7</c:f>
              <c:numCache>
                <c:formatCode>0.00</c:formatCode>
                <c:ptCount val="4"/>
              </c:numCache>
            </c:numRef>
          </c:val>
          <c:smooth val="0"/>
          <c:extLst>
            <c:ext xmlns:c16="http://schemas.microsoft.com/office/drawing/2014/chart" uri="{C3380CC4-5D6E-409C-BE32-E72D297353CC}">
              <c16:uniqueId val="{00000001-6AC4-1146-A5AA-BDA4B4D4530E}"/>
            </c:ext>
          </c:extLst>
        </c:ser>
        <c:dLbls>
          <c:showLegendKey val="0"/>
          <c:showVal val="0"/>
          <c:showCatName val="0"/>
          <c:showSerName val="0"/>
          <c:showPercent val="0"/>
          <c:showBubbleSize val="0"/>
        </c:dLbls>
        <c:marker val="1"/>
        <c:smooth val="0"/>
        <c:axId val="1843902416"/>
        <c:axId val="1"/>
      </c:lineChart>
      <c:catAx>
        <c:axId val="18439024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0"/>
        <c:lblAlgn val="ctr"/>
        <c:lblOffset val="100"/>
        <c:tickLblSkip val="1"/>
        <c:tickMarkSkip val="1"/>
        <c:noMultiLvlLbl val="0"/>
      </c:catAx>
      <c:valAx>
        <c:axId val="1"/>
        <c:scaling>
          <c:orientation val="minMax"/>
          <c:max val="18"/>
          <c:min val="15.5"/>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843902416"/>
        <c:crosses val="autoZero"/>
        <c:crossBetween val="between"/>
        <c:majorUnit val="0.5"/>
      </c:valAx>
      <c:spPr>
        <a:solidFill>
          <a:srgbClr val="FFFFFF"/>
        </a:solidFill>
        <a:ln w="12700">
          <a:solidFill>
            <a:srgbClr val="808080"/>
          </a:solidFill>
          <a:prstDash val="solid"/>
        </a:ln>
      </c:spPr>
    </c:plotArea>
    <c:legend>
      <c:legendPos val="b"/>
      <c:layout>
        <c:manualLayout>
          <c:xMode val="edge"/>
          <c:yMode val="edge"/>
          <c:x val="0.38696861348140216"/>
          <c:y val="0.92711246160346827"/>
          <c:w val="0.24348586915683731"/>
          <c:h val="5.2084969753003835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'909'!$D$8:$D$34</c:f>
              <c:numCache>
                <c:formatCode>#,##0</c:formatCode>
                <c:ptCount val="27"/>
                <c:pt idx="0">
                  <c:v>1889</c:v>
                </c:pt>
                <c:pt idx="1">
                  <c:v>1263</c:v>
                </c:pt>
                <c:pt idx="2">
                  <c:v>309</c:v>
                </c:pt>
                <c:pt idx="3">
                  <c:v>24</c:v>
                </c:pt>
                <c:pt idx="4">
                  <c:v>78</c:v>
                </c:pt>
                <c:pt idx="5">
                  <c:v>14</c:v>
                </c:pt>
                <c:pt idx="6">
                  <c:v>27</c:v>
                </c:pt>
                <c:pt idx="7">
                  <c:v>21</c:v>
                </c:pt>
                <c:pt idx="8">
                  <c:v>104</c:v>
                </c:pt>
                <c:pt idx="9">
                  <c:v>231</c:v>
                </c:pt>
                <c:pt idx="10">
                  <c:v>219</c:v>
                </c:pt>
                <c:pt idx="11">
                  <c:v>540</c:v>
                </c:pt>
                <c:pt idx="12">
                  <c:v>328</c:v>
                </c:pt>
                <c:pt idx="13">
                  <c:v>80</c:v>
                </c:pt>
                <c:pt idx="14">
                  <c:v>38</c:v>
                </c:pt>
                <c:pt idx="15">
                  <c:v>8</c:v>
                </c:pt>
                <c:pt idx="16">
                  <c:v>402</c:v>
                </c:pt>
                <c:pt idx="17">
                  <c:v>172</c:v>
                </c:pt>
                <c:pt idx="18">
                  <c:v>489</c:v>
                </c:pt>
                <c:pt idx="19">
                  <c:v>144</c:v>
                </c:pt>
                <c:pt idx="20">
                  <c:v>424</c:v>
                </c:pt>
                <c:pt idx="21">
                  <c:v>1043</c:v>
                </c:pt>
                <c:pt idx="22">
                  <c:v>283</c:v>
                </c:pt>
                <c:pt idx="23">
                  <c:v>222</c:v>
                </c:pt>
                <c:pt idx="24">
                  <c:v>1120</c:v>
                </c:pt>
                <c:pt idx="25">
                  <c:v>61</c:v>
                </c:pt>
                <c:pt idx="26">
                  <c:v>9533</c:v>
                </c:pt>
              </c:numCache>
            </c:numRef>
          </c:val>
          <c:smooth val="0"/>
          <c:extLst>
            <c:ext xmlns:c16="http://schemas.microsoft.com/office/drawing/2014/chart" uri="{C3380CC4-5D6E-409C-BE32-E72D297353CC}">
              <c16:uniqueId val="{00000000-C56D-6D4B-A8D3-B35F82D6E9F7}"/>
            </c:ext>
          </c:extLst>
        </c:ser>
        <c:dLbls>
          <c:showLegendKey val="0"/>
          <c:showVal val="0"/>
          <c:showCatName val="0"/>
          <c:showSerName val="0"/>
          <c:showPercent val="0"/>
          <c:showBubbleSize val="0"/>
        </c:dLbls>
        <c:marker val="1"/>
        <c:smooth val="0"/>
        <c:axId val="1843797760"/>
        <c:axId val="1"/>
      </c:lineChart>
      <c:lineChart>
        <c:grouping val="standard"/>
        <c:varyColors val="0"/>
        <c:ser>
          <c:idx val="0"/>
          <c:order val="1"/>
          <c:tx>
            <c:strRef>
              <c:f>'909'!$H$5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'909'!$H$8:$H$34</c:f>
              <c:numCache>
                <c:formatCode>#,##0</c:formatCode>
                <c:ptCount val="27"/>
                <c:pt idx="0">
                  <c:v>222</c:v>
                </c:pt>
                <c:pt idx="1">
                  <c:v>174</c:v>
                </c:pt>
                <c:pt idx="2">
                  <c:v>33</c:v>
                </c:pt>
                <c:pt idx="3">
                  <c:v>2</c:v>
                </c:pt>
                <c:pt idx="4">
                  <c:v>11</c:v>
                </c:pt>
                <c:pt idx="5">
                  <c:v>2</c:v>
                </c:pt>
                <c:pt idx="6">
                  <c:v>2</c:v>
                </c:pt>
                <c:pt idx="7">
                  <c:v>2</c:v>
                </c:pt>
                <c:pt idx="8">
                  <c:v>13</c:v>
                </c:pt>
                <c:pt idx="9">
                  <c:v>69</c:v>
                </c:pt>
                <c:pt idx="10">
                  <c:v>26</c:v>
                </c:pt>
                <c:pt idx="11">
                  <c:v>69</c:v>
                </c:pt>
                <c:pt idx="12">
                  <c:v>36</c:v>
                </c:pt>
                <c:pt idx="13">
                  <c:v>13</c:v>
                </c:pt>
                <c:pt idx="14">
                  <c:v>4</c:v>
                </c:pt>
                <c:pt idx="15">
                  <c:v>1</c:v>
                </c:pt>
                <c:pt idx="16">
                  <c:v>47</c:v>
                </c:pt>
                <c:pt idx="17">
                  <c:v>36</c:v>
                </c:pt>
                <c:pt idx="18">
                  <c:v>108</c:v>
                </c:pt>
                <c:pt idx="19">
                  <c:v>22</c:v>
                </c:pt>
                <c:pt idx="20">
                  <c:v>173</c:v>
                </c:pt>
                <c:pt idx="21">
                  <c:v>237</c:v>
                </c:pt>
                <c:pt idx="22">
                  <c:v>106</c:v>
                </c:pt>
                <c:pt idx="23">
                  <c:v>55</c:v>
                </c:pt>
                <c:pt idx="24">
                  <c:v>167</c:v>
                </c:pt>
                <c:pt idx="25">
                  <c:v>18</c:v>
                </c:pt>
                <c:pt idx="26">
                  <c:v>1648</c:v>
                </c:pt>
              </c:numCache>
            </c:numRef>
          </c:val>
          <c:smooth val="0"/>
          <c:extLst>
            <c:ext xmlns:c16="http://schemas.microsoft.com/office/drawing/2014/chart" uri="{C3380CC4-5D6E-409C-BE32-E72D297353CC}">
              <c16:uniqueId val="{00000001-C56D-6D4B-A8D3-B35F82D6E9F7}"/>
            </c:ext>
          </c:extLst>
        </c:ser>
        <c:dLbls>
          <c:showLegendKey val="0"/>
          <c:showVal val="0"/>
          <c:showCatName val="0"/>
          <c:showSerName val="0"/>
          <c:showPercent val="0"/>
          <c:showBubbleSize val="0"/>
        </c:dLbls>
        <c:marker val="1"/>
        <c:smooth val="0"/>
        <c:axId val="3"/>
        <c:axId val="4"/>
      </c:lineChart>
      <c:catAx>
        <c:axId val="18437977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84379776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'909'!$D$8:$D$34</c:f>
              <c:numCache>
                <c:formatCode>#,##0</c:formatCode>
                <c:ptCount val="27"/>
                <c:pt idx="0">
                  <c:v>1889</c:v>
                </c:pt>
                <c:pt idx="1">
                  <c:v>1263</c:v>
                </c:pt>
                <c:pt idx="2">
                  <c:v>309</c:v>
                </c:pt>
                <c:pt idx="3">
                  <c:v>24</c:v>
                </c:pt>
                <c:pt idx="4">
                  <c:v>78</c:v>
                </c:pt>
                <c:pt idx="5">
                  <c:v>14</c:v>
                </c:pt>
                <c:pt idx="6">
                  <c:v>27</c:v>
                </c:pt>
                <c:pt idx="7">
                  <c:v>21</c:v>
                </c:pt>
                <c:pt idx="8">
                  <c:v>104</c:v>
                </c:pt>
                <c:pt idx="9">
                  <c:v>231</c:v>
                </c:pt>
                <c:pt idx="10">
                  <c:v>219</c:v>
                </c:pt>
                <c:pt idx="11">
                  <c:v>540</c:v>
                </c:pt>
                <c:pt idx="12">
                  <c:v>328</c:v>
                </c:pt>
                <c:pt idx="13">
                  <c:v>80</c:v>
                </c:pt>
                <c:pt idx="14">
                  <c:v>38</c:v>
                </c:pt>
                <c:pt idx="15">
                  <c:v>8</c:v>
                </c:pt>
                <c:pt idx="16">
                  <c:v>402</c:v>
                </c:pt>
                <c:pt idx="17">
                  <c:v>172</c:v>
                </c:pt>
                <c:pt idx="18">
                  <c:v>489</c:v>
                </c:pt>
                <c:pt idx="19">
                  <c:v>144</c:v>
                </c:pt>
                <c:pt idx="20">
                  <c:v>424</c:v>
                </c:pt>
                <c:pt idx="21">
                  <c:v>1043</c:v>
                </c:pt>
                <c:pt idx="22">
                  <c:v>283</c:v>
                </c:pt>
                <c:pt idx="23">
                  <c:v>222</c:v>
                </c:pt>
                <c:pt idx="24">
                  <c:v>1120</c:v>
                </c:pt>
                <c:pt idx="25">
                  <c:v>61</c:v>
                </c:pt>
                <c:pt idx="26">
                  <c:v>9533</c:v>
                </c:pt>
              </c:numCache>
            </c:numRef>
          </c:val>
          <c:smooth val="0"/>
          <c:extLst>
            <c:ext xmlns:c16="http://schemas.microsoft.com/office/drawing/2014/chart" uri="{C3380CC4-5D6E-409C-BE32-E72D297353CC}">
              <c16:uniqueId val="{00000000-FF31-6B49-9022-D6F47B640657}"/>
            </c:ext>
          </c:extLst>
        </c:ser>
        <c:dLbls>
          <c:showLegendKey val="0"/>
          <c:showVal val="0"/>
          <c:showCatName val="0"/>
          <c:showSerName val="0"/>
          <c:showPercent val="0"/>
          <c:showBubbleSize val="0"/>
        </c:dLbls>
        <c:marker val="1"/>
        <c:smooth val="0"/>
        <c:axId val="1843704880"/>
        <c:axId val="1"/>
      </c:lineChart>
      <c:lineChart>
        <c:grouping val="standard"/>
        <c:varyColors val="0"/>
        <c:ser>
          <c:idx val="0"/>
          <c:order val="1"/>
          <c:tx>
            <c:strRef>
              <c:f>'909'!$H$5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'909'!$H$8:$H$34</c:f>
              <c:numCache>
                <c:formatCode>#,##0</c:formatCode>
                <c:ptCount val="27"/>
                <c:pt idx="0">
                  <c:v>222</c:v>
                </c:pt>
                <c:pt idx="1">
                  <c:v>174</c:v>
                </c:pt>
                <c:pt idx="2">
                  <c:v>33</c:v>
                </c:pt>
                <c:pt idx="3">
                  <c:v>2</c:v>
                </c:pt>
                <c:pt idx="4">
                  <c:v>11</c:v>
                </c:pt>
                <c:pt idx="5">
                  <c:v>2</c:v>
                </c:pt>
                <c:pt idx="6">
                  <c:v>2</c:v>
                </c:pt>
                <c:pt idx="7">
                  <c:v>2</c:v>
                </c:pt>
                <c:pt idx="8">
                  <c:v>13</c:v>
                </c:pt>
                <c:pt idx="9">
                  <c:v>69</c:v>
                </c:pt>
                <c:pt idx="10">
                  <c:v>26</c:v>
                </c:pt>
                <c:pt idx="11">
                  <c:v>69</c:v>
                </c:pt>
                <c:pt idx="12">
                  <c:v>36</c:v>
                </c:pt>
                <c:pt idx="13">
                  <c:v>13</c:v>
                </c:pt>
                <c:pt idx="14">
                  <c:v>4</c:v>
                </c:pt>
                <c:pt idx="15">
                  <c:v>1</c:v>
                </c:pt>
                <c:pt idx="16">
                  <c:v>47</c:v>
                </c:pt>
                <c:pt idx="17">
                  <c:v>36</c:v>
                </c:pt>
                <c:pt idx="18">
                  <c:v>108</c:v>
                </c:pt>
                <c:pt idx="19">
                  <c:v>22</c:v>
                </c:pt>
                <c:pt idx="20">
                  <c:v>173</c:v>
                </c:pt>
                <c:pt idx="21">
                  <c:v>237</c:v>
                </c:pt>
                <c:pt idx="22">
                  <c:v>106</c:v>
                </c:pt>
                <c:pt idx="23">
                  <c:v>55</c:v>
                </c:pt>
                <c:pt idx="24">
                  <c:v>167</c:v>
                </c:pt>
                <c:pt idx="25">
                  <c:v>18</c:v>
                </c:pt>
                <c:pt idx="26">
                  <c:v>1648</c:v>
                </c:pt>
              </c:numCache>
            </c:numRef>
          </c:val>
          <c:smooth val="0"/>
          <c:extLst>
            <c:ext xmlns:c16="http://schemas.microsoft.com/office/drawing/2014/chart" uri="{C3380CC4-5D6E-409C-BE32-E72D297353CC}">
              <c16:uniqueId val="{00000001-FF31-6B49-9022-D6F47B640657}"/>
            </c:ext>
          </c:extLst>
        </c:ser>
        <c:dLbls>
          <c:showLegendKey val="0"/>
          <c:showVal val="0"/>
          <c:showCatName val="0"/>
          <c:showSerName val="0"/>
          <c:showPercent val="0"/>
          <c:showBubbleSize val="0"/>
        </c:dLbls>
        <c:marker val="1"/>
        <c:smooth val="0"/>
        <c:axId val="3"/>
        <c:axId val="4"/>
      </c:lineChart>
      <c:catAx>
        <c:axId val="184370488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84370488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27</xdr:col>
      <xdr:colOff>393700</xdr:colOff>
      <xdr:row>19</xdr:row>
      <xdr:rowOff>152400</xdr:rowOff>
    </xdr:from>
    <xdr:to>
      <xdr:col>32</xdr:col>
      <xdr:colOff>76200</xdr:colOff>
      <xdr:row>40</xdr:row>
      <xdr:rowOff>139700</xdr:rowOff>
    </xdr:to>
    <xdr:graphicFrame macro="">
      <xdr:nvGraphicFramePr>
        <xdr:cNvPr id="4097" name="Diagramm 1">
          <a:extLst>
            <a:ext uri="{FF2B5EF4-FFF2-40B4-BE49-F238E27FC236}">
              <a16:creationId xmlns:a16="http://schemas.microsoft.com/office/drawing/2014/main" id="{A1667D99-8378-0B4C-BCDF-1965D3C1B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45</xdr:row>
      <xdr:rowOff>0</xdr:rowOff>
    </xdr:from>
    <xdr:to>
      <xdr:col>10</xdr:col>
      <xdr:colOff>0</xdr:colOff>
      <xdr:row>45</xdr:row>
      <xdr:rowOff>0</xdr:rowOff>
    </xdr:to>
    <xdr:graphicFrame macro="">
      <xdr:nvGraphicFramePr>
        <xdr:cNvPr id="2049" name="Diagramm 1">
          <a:extLst>
            <a:ext uri="{FF2B5EF4-FFF2-40B4-BE49-F238E27FC236}">
              <a16:creationId xmlns:a16="http://schemas.microsoft.com/office/drawing/2014/main" id="{FDD32721-36C1-7705-3054-C74025144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12700</xdr:colOff>
      <xdr:row>45</xdr:row>
      <xdr:rowOff>0</xdr:rowOff>
    </xdr:from>
    <xdr:to>
      <xdr:col>21</xdr:col>
      <xdr:colOff>0</xdr:colOff>
      <xdr:row>45</xdr:row>
      <xdr:rowOff>0</xdr:rowOff>
    </xdr:to>
    <xdr:graphicFrame macro="">
      <xdr:nvGraphicFramePr>
        <xdr:cNvPr id="2050" name="Diagramm 2">
          <a:extLst>
            <a:ext uri="{FF2B5EF4-FFF2-40B4-BE49-F238E27FC236}">
              <a16:creationId xmlns:a16="http://schemas.microsoft.com/office/drawing/2014/main" id="{346D416B-5F10-499E-29B5-88397C8CE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13F0B-991A-BA43-B2DF-D0803E37279F}">
  <dimension ref="A1:M53"/>
  <sheetViews>
    <sheetView tabSelected="1" zoomScale="75" workbookViewId="0">
      <selection activeCell="A2" sqref="A2"/>
    </sheetView>
  </sheetViews>
  <sheetFormatPr baseColWidth="10" defaultColWidth="11.3984375" defaultRowHeight="13"/>
  <cols>
    <col min="1" max="1" width="12.796875" style="3" customWidth="1"/>
    <col min="2" max="9" width="11.796875" style="3" customWidth="1"/>
    <col min="10" max="16384" width="11.3984375" style="3"/>
  </cols>
  <sheetData>
    <row r="1" spans="1:13" s="1" customFormat="1" ht="18" customHeight="1">
      <c r="A1"/>
      <c r="B1"/>
      <c r="C1"/>
      <c r="D1"/>
      <c r="E1"/>
      <c r="F1"/>
      <c r="G1"/>
      <c r="H1"/>
      <c r="I1"/>
    </row>
    <row r="2" spans="1:13" ht="36.75" customHeight="1">
      <c r="A2" s="40" t="s">
        <v>1263</v>
      </c>
      <c r="B2"/>
      <c r="C2"/>
      <c r="D2"/>
      <c r="E2"/>
      <c r="F2"/>
      <c r="G2"/>
      <c r="H2"/>
      <c r="I2"/>
    </row>
    <row r="3" spans="1:13" ht="27" customHeight="1">
      <c r="A3" s="41"/>
      <c r="B3"/>
      <c r="C3"/>
      <c r="D3"/>
      <c r="E3"/>
      <c r="F3"/>
      <c r="G3"/>
      <c r="H3"/>
      <c r="I3"/>
    </row>
    <row r="4" spans="1:13" ht="15" customHeight="1">
      <c r="A4" s="42" t="s">
        <v>637</v>
      </c>
      <c r="B4"/>
      <c r="C4"/>
      <c r="D4"/>
      <c r="E4"/>
      <c r="F4"/>
      <c r="G4"/>
      <c r="H4"/>
      <c r="I4"/>
    </row>
    <row r="5" spans="1:13" ht="17.25" customHeight="1">
      <c r="A5"/>
      <c r="B5"/>
      <c r="C5"/>
      <c r="D5"/>
      <c r="E5"/>
      <c r="F5"/>
      <c r="G5"/>
      <c r="H5"/>
      <c r="I5"/>
    </row>
    <row r="6" spans="1:13" ht="15.75" customHeight="1">
      <c r="B6"/>
      <c r="C6"/>
      <c r="D6"/>
      <c r="E6"/>
      <c r="F6"/>
      <c r="G6"/>
      <c r="H6"/>
      <c r="I6"/>
      <c r="J6" s="43"/>
    </row>
    <row r="7" spans="1:13" ht="9.75" customHeight="1">
      <c r="A7"/>
      <c r="B7"/>
      <c r="C7"/>
      <c r="D7"/>
      <c r="E7"/>
      <c r="F7"/>
      <c r="G7"/>
      <c r="H7"/>
      <c r="I7"/>
      <c r="J7" s="43"/>
    </row>
    <row r="8" spans="1:13" ht="20" customHeight="1">
      <c r="A8" s="44" t="s">
        <v>665</v>
      </c>
      <c r="B8"/>
      <c r="C8"/>
      <c r="D8"/>
      <c r="E8"/>
      <c r="F8"/>
      <c r="G8"/>
      <c r="H8"/>
      <c r="I8"/>
    </row>
    <row r="9" spans="1:13" ht="20" customHeight="1">
      <c r="B9"/>
      <c r="C9"/>
      <c r="D9"/>
      <c r="E9"/>
      <c r="F9"/>
      <c r="G9"/>
      <c r="H9"/>
      <c r="I9"/>
      <c r="K9" s="45"/>
      <c r="L9" s="45"/>
      <c r="M9" s="45"/>
    </row>
    <row r="10" spans="1:13" ht="20" customHeight="1">
      <c r="A10"/>
      <c r="B10"/>
      <c r="C10"/>
      <c r="D10"/>
      <c r="E10"/>
      <c r="F10"/>
      <c r="G10"/>
      <c r="H10"/>
      <c r="I10"/>
    </row>
    <row r="11" spans="1:13" ht="20" customHeight="1">
      <c r="A11" s="42" t="s">
        <v>666</v>
      </c>
      <c r="B11"/>
      <c r="C11"/>
      <c r="D11"/>
      <c r="E11"/>
      <c r="F11" s="1287" t="s">
        <v>638</v>
      </c>
      <c r="G11" s="1288"/>
      <c r="H11"/>
      <c r="I11"/>
    </row>
    <row r="12" spans="1:13" ht="20" customHeight="1">
      <c r="A12"/>
      <c r="B12"/>
      <c r="C12"/>
      <c r="D12"/>
      <c r="E12"/>
      <c r="F12"/>
      <c r="G12"/>
      <c r="H12"/>
      <c r="I12"/>
    </row>
    <row r="13" spans="1:13" ht="30" customHeight="1">
      <c r="A13"/>
      <c r="B13"/>
      <c r="C13"/>
      <c r="D13"/>
      <c r="E13"/>
      <c r="H13"/>
      <c r="I13"/>
    </row>
    <row r="14" spans="1:13" ht="26.25" customHeight="1">
      <c r="A14" s="46" t="s">
        <v>639</v>
      </c>
      <c r="B14" s="47"/>
      <c r="C14" s="47"/>
      <c r="D14" s="48"/>
      <c r="E14" s="39"/>
      <c r="F14" s="49" t="s">
        <v>765</v>
      </c>
      <c r="G14" s="47"/>
      <c r="H14"/>
      <c r="I14"/>
    </row>
    <row r="15" spans="1:13" ht="12" customHeight="1">
      <c r="A15"/>
      <c r="B15"/>
      <c r="C15"/>
      <c r="D15"/>
      <c r="E15"/>
      <c r="F15"/>
      <c r="G15"/>
      <c r="H15"/>
      <c r="I15"/>
    </row>
    <row r="16" spans="1:13" ht="12" customHeight="1">
      <c r="A16"/>
      <c r="B16"/>
      <c r="C16"/>
      <c r="D16"/>
      <c r="E16"/>
      <c r="F16"/>
      <c r="G16"/>
      <c r="H16"/>
      <c r="I16"/>
    </row>
    <row r="17" spans="1:10" ht="14.25" customHeight="1">
      <c r="A17" s="50"/>
      <c r="B17"/>
      <c r="C17"/>
      <c r="D17"/>
      <c r="E17"/>
      <c r="F17"/>
      <c r="G17"/>
      <c r="H17"/>
      <c r="I17"/>
    </row>
    <row r="18" spans="1:10" ht="17.25" customHeight="1">
      <c r="A18" s="1301" t="s">
        <v>1283</v>
      </c>
      <c r="B18"/>
      <c r="C18"/>
      <c r="D18"/>
      <c r="E18"/>
      <c r="F18"/>
      <c r="G18"/>
      <c r="H18"/>
      <c r="I18"/>
    </row>
    <row r="19" spans="1:10" ht="16">
      <c r="A19" s="51"/>
      <c r="B19" s="50"/>
      <c r="C19" s="50"/>
    </row>
    <row r="20" spans="1:10">
      <c r="D20" s="1278"/>
      <c r="E20" s="1278"/>
      <c r="F20" s="1278"/>
      <c r="G20" s="39"/>
      <c r="H20" s="39"/>
      <c r="I20" s="39"/>
      <c r="J20" s="39"/>
    </row>
    <row r="21" spans="1:10" ht="16">
      <c r="A21" s="1300" t="s">
        <v>1281</v>
      </c>
      <c r="B21" s="50"/>
      <c r="C21" s="1298" t="s">
        <v>1280</v>
      </c>
    </row>
    <row r="22" spans="1:10" ht="16">
      <c r="A22" s="1300" t="s">
        <v>1278</v>
      </c>
      <c r="B22" s="50"/>
      <c r="C22" s="1299" t="s">
        <v>1279</v>
      </c>
    </row>
    <row r="23" spans="1:10" ht="16">
      <c r="A23" s="1300" t="s">
        <v>1284</v>
      </c>
      <c r="B23" s="944"/>
      <c r="C23" s="1297" t="s">
        <v>1277</v>
      </c>
    </row>
    <row r="24" spans="1:10" ht="16">
      <c r="A24" s="51"/>
      <c r="B24" s="50"/>
      <c r="C24" s="50"/>
    </row>
    <row r="25" spans="1:10" ht="16">
      <c r="A25" s="51"/>
    </row>
    <row r="26" spans="1:10" ht="16">
      <c r="A26" s="51"/>
      <c r="B26" s="50" t="s">
        <v>640</v>
      </c>
      <c r="C26" s="50"/>
    </row>
    <row r="27" spans="1:10" ht="16">
      <c r="A27" s="52"/>
      <c r="B27" s="50"/>
      <c r="C27" s="50"/>
    </row>
    <row r="28" spans="1:10" ht="16">
      <c r="A28" s="53" t="s">
        <v>641</v>
      </c>
      <c r="B28" s="54" t="s">
        <v>475</v>
      </c>
      <c r="C28" s="55" t="s">
        <v>642</v>
      </c>
      <c r="D28" s="48"/>
      <c r="E28" s="48"/>
      <c r="F28" s="48"/>
      <c r="G28" s="48"/>
      <c r="H28" s="48"/>
      <c r="I28" s="48"/>
      <c r="J28" s="48"/>
    </row>
    <row r="29" spans="1:10" ht="16">
      <c r="A29" s="53" t="s">
        <v>643</v>
      </c>
      <c r="B29" s="54" t="s">
        <v>644</v>
      </c>
      <c r="C29" s="55" t="s">
        <v>645</v>
      </c>
      <c r="D29" s="48"/>
      <c r="E29" s="48"/>
      <c r="F29" s="48"/>
      <c r="G29" s="48"/>
      <c r="H29" s="48"/>
      <c r="I29" s="48"/>
      <c r="J29" s="48"/>
    </row>
    <row r="30" spans="1:10" ht="16">
      <c r="A30" s="53" t="s">
        <v>646</v>
      </c>
      <c r="B30" s="54" t="s">
        <v>271</v>
      </c>
      <c r="C30" s="55" t="s">
        <v>647</v>
      </c>
      <c r="D30" s="48"/>
      <c r="E30" s="48"/>
      <c r="F30" s="48"/>
      <c r="G30" s="48"/>
      <c r="H30" s="48"/>
      <c r="I30" s="48"/>
      <c r="J30" s="48"/>
    </row>
    <row r="31" spans="1:10" ht="16">
      <c r="A31" s="53" t="s">
        <v>648</v>
      </c>
      <c r="B31" s="54" t="s">
        <v>1292</v>
      </c>
      <c r="C31" s="55" t="s">
        <v>649</v>
      </c>
      <c r="D31" s="48"/>
      <c r="E31" s="48"/>
      <c r="F31" s="48"/>
      <c r="G31" s="48"/>
      <c r="H31" s="48"/>
      <c r="I31" s="48"/>
      <c r="J31" s="48"/>
    </row>
    <row r="32" spans="1:10" ht="16">
      <c r="A32" s="53" t="s">
        <v>650</v>
      </c>
      <c r="B32" s="424" t="s">
        <v>1656</v>
      </c>
      <c r="C32" s="55" t="s">
        <v>651</v>
      </c>
      <c r="D32" s="48"/>
      <c r="E32" s="48"/>
      <c r="F32" s="48"/>
      <c r="G32" s="48"/>
      <c r="H32" s="48"/>
      <c r="I32" s="48"/>
      <c r="J32" s="48"/>
    </row>
    <row r="33" spans="1:10" s="39" customFormat="1" ht="16">
      <c r="A33" s="53" t="s">
        <v>652</v>
      </c>
      <c r="B33" s="54" t="s">
        <v>653</v>
      </c>
      <c r="C33" s="55" t="s">
        <v>654</v>
      </c>
      <c r="D33" s="48"/>
      <c r="E33" s="48"/>
      <c r="F33" s="48"/>
      <c r="G33" s="48"/>
      <c r="H33" s="48"/>
      <c r="I33" s="48"/>
      <c r="J33" s="48"/>
    </row>
    <row r="34" spans="1:10" ht="16">
      <c r="A34" s="53" t="s">
        <v>655</v>
      </c>
      <c r="B34" s="54" t="s">
        <v>559</v>
      </c>
      <c r="C34" s="55" t="s">
        <v>681</v>
      </c>
      <c r="D34" s="48"/>
      <c r="E34" s="48"/>
      <c r="F34" s="48"/>
      <c r="G34" s="48"/>
      <c r="H34" s="48"/>
      <c r="I34" s="48"/>
      <c r="J34" s="48"/>
    </row>
    <row r="35" spans="1:10" ht="16">
      <c r="A35" s="53" t="s">
        <v>656</v>
      </c>
      <c r="B35" s="54" t="s">
        <v>657</v>
      </c>
      <c r="C35" s="55" t="s">
        <v>658</v>
      </c>
      <c r="D35" s="48"/>
      <c r="E35" s="48"/>
      <c r="F35" s="48"/>
      <c r="G35" s="48"/>
      <c r="H35" s="48"/>
      <c r="I35" s="48"/>
      <c r="J35" s="48"/>
    </row>
    <row r="36" spans="1:10" ht="16">
      <c r="A36" s="53" t="s">
        <v>659</v>
      </c>
      <c r="B36" s="54" t="s">
        <v>660</v>
      </c>
      <c r="C36" s="55" t="s">
        <v>661</v>
      </c>
      <c r="D36" s="48"/>
      <c r="E36" s="48"/>
      <c r="F36" s="48"/>
      <c r="G36" s="48"/>
      <c r="H36" s="48"/>
      <c r="I36" s="48"/>
      <c r="J36" s="48"/>
    </row>
    <row r="41" spans="1:10">
      <c r="A41" s="56"/>
      <c r="B41" s="56"/>
      <c r="C41" s="56"/>
      <c r="D41" s="56"/>
      <c r="E41" s="56"/>
      <c r="F41" s="56"/>
      <c r="G41" s="56"/>
      <c r="H41" s="56"/>
      <c r="I41" s="56"/>
      <c r="J41" s="56"/>
    </row>
    <row r="43" spans="1:10" ht="14.25" customHeight="1">
      <c r="A43" s="50" t="s">
        <v>662</v>
      </c>
      <c r="B43"/>
      <c r="C43"/>
      <c r="D43"/>
      <c r="E43"/>
      <c r="F43"/>
      <c r="G43"/>
      <c r="H43"/>
      <c r="I43"/>
    </row>
    <row r="44" spans="1:10" ht="14.25" customHeight="1">
      <c r="A44" s="50"/>
      <c r="B44"/>
      <c r="C44"/>
      <c r="D44"/>
      <c r="E44"/>
      <c r="F44"/>
      <c r="G44"/>
      <c r="H44"/>
      <c r="I44"/>
    </row>
    <row r="45" spans="1:10" ht="18" customHeight="1">
      <c r="A45" s="1" t="s">
        <v>664</v>
      </c>
      <c r="B45"/>
      <c r="C45"/>
      <c r="D45"/>
      <c r="E45"/>
      <c r="F45"/>
      <c r="G45"/>
      <c r="H45"/>
      <c r="I45"/>
    </row>
    <row r="46" spans="1:10" ht="12.75" customHeight="1">
      <c r="A46" s="1"/>
      <c r="B46"/>
      <c r="C46"/>
      <c r="D46"/>
      <c r="E46"/>
      <c r="F46"/>
      <c r="G46"/>
      <c r="H46"/>
      <c r="I46"/>
    </row>
    <row r="47" spans="1:10">
      <c r="A47" s="56"/>
      <c r="B47" s="56"/>
      <c r="C47" s="56"/>
      <c r="D47" s="56"/>
      <c r="E47" s="56"/>
      <c r="F47" s="56"/>
      <c r="G47" s="56"/>
      <c r="H47" s="56"/>
      <c r="I47" s="56"/>
      <c r="J47" s="56"/>
    </row>
    <row r="50" spans="1:1" ht="16">
      <c r="A50" s="63" t="s">
        <v>1259</v>
      </c>
    </row>
    <row r="51" spans="1:1" ht="16">
      <c r="A51" s="63" t="s">
        <v>1260</v>
      </c>
    </row>
    <row r="52" spans="1:1" ht="16">
      <c r="A52" s="63" t="s">
        <v>1261</v>
      </c>
    </row>
    <row r="53" spans="1:1" ht="16">
      <c r="A53" s="63" t="s">
        <v>1262</v>
      </c>
    </row>
  </sheetData>
  <phoneticPr fontId="0" type="noConversion"/>
  <pageMargins left="0.43" right="0.47" top="0.83" bottom="0.49" header="0.55000000000000004" footer="0.4921259845"/>
  <pageSetup paperSize="9" scale="80" orientation="portrait" horizontalDpi="1200" verticalDpi="1200"/>
  <headerFooter alignWithMargins="0">
    <oddFooter>&amp;L&amp;"Arial,Regular"Statistik über die Krankenversicherung, Bundesamt für Sozialversicherung</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7626-7FB8-1A40-B429-8D7BC505E958}">
  <dimension ref="A1:B46"/>
  <sheetViews>
    <sheetView topLeftCell="A24" workbookViewId="0">
      <selection activeCell="A46" sqref="A46:B46"/>
    </sheetView>
  </sheetViews>
  <sheetFormatPr baseColWidth="10" defaultColWidth="11.3984375" defaultRowHeight="13"/>
  <cols>
    <col min="1" max="1" width="5.59765625" style="433" customWidth="1"/>
    <col min="2" max="16384" width="11.3984375" style="433"/>
  </cols>
  <sheetData>
    <row r="1" spans="1:2" ht="16">
      <c r="A1" s="432" t="s">
        <v>388</v>
      </c>
    </row>
    <row r="3" spans="1:2">
      <c r="A3" s="434">
        <v>1.01</v>
      </c>
      <c r="B3" s="433" t="s">
        <v>389</v>
      </c>
    </row>
    <row r="4" spans="1:2">
      <c r="A4" s="434">
        <v>1.02</v>
      </c>
      <c r="B4" s="433" t="s">
        <v>390</v>
      </c>
    </row>
    <row r="5" spans="1:2">
      <c r="A5" s="434">
        <v>1.03</v>
      </c>
      <c r="B5" s="433" t="s">
        <v>391</v>
      </c>
    </row>
    <row r="6" spans="1:2">
      <c r="A6" s="434">
        <v>1.04</v>
      </c>
      <c r="B6" s="433" t="s">
        <v>392</v>
      </c>
    </row>
    <row r="7" spans="1:2">
      <c r="A7" s="434">
        <v>1.05</v>
      </c>
      <c r="B7" s="433" t="s">
        <v>393</v>
      </c>
    </row>
    <row r="8" spans="1:2">
      <c r="A8" s="434">
        <v>1.06</v>
      </c>
      <c r="B8" s="433" t="s">
        <v>394</v>
      </c>
    </row>
    <row r="9" spans="1:2">
      <c r="A9" s="434">
        <v>1.07</v>
      </c>
      <c r="B9" s="433" t="s">
        <v>395</v>
      </c>
    </row>
    <row r="10" spans="1:2">
      <c r="A10" s="434">
        <v>1.08</v>
      </c>
      <c r="B10" s="433" t="s">
        <v>396</v>
      </c>
    </row>
    <row r="11" spans="1:2">
      <c r="A11" s="434">
        <v>1.0900000000000001</v>
      </c>
      <c r="B11" s="433" t="s">
        <v>397</v>
      </c>
    </row>
    <row r="12" spans="1:2">
      <c r="A12" s="434">
        <v>1.1000000000000001</v>
      </c>
      <c r="B12" s="433" t="s">
        <v>398</v>
      </c>
    </row>
    <row r="13" spans="1:2">
      <c r="A13" s="434">
        <v>1.1100000000000001</v>
      </c>
      <c r="B13" s="433" t="s">
        <v>927</v>
      </c>
    </row>
    <row r="14" spans="1:2">
      <c r="A14" s="434">
        <v>1.1200000000000001</v>
      </c>
      <c r="B14" s="433" t="s">
        <v>928</v>
      </c>
    </row>
    <row r="15" spans="1:2">
      <c r="A15" s="434">
        <v>1.1299999999999999</v>
      </c>
      <c r="B15" s="433" t="s">
        <v>929</v>
      </c>
    </row>
    <row r="16" spans="1:2">
      <c r="A16" s="434">
        <v>1.1399999999999999</v>
      </c>
      <c r="B16" s="433" t="s">
        <v>930</v>
      </c>
    </row>
    <row r="17" spans="1:2">
      <c r="A17" s="434">
        <v>1.1499999999999999</v>
      </c>
      <c r="B17" s="433" t="s">
        <v>931</v>
      </c>
    </row>
    <row r="18" spans="1:2">
      <c r="A18" s="434">
        <v>1.1599999999999999</v>
      </c>
      <c r="B18" s="433" t="s">
        <v>932</v>
      </c>
    </row>
    <row r="19" spans="1:2">
      <c r="A19" s="434">
        <v>1.17</v>
      </c>
      <c r="B19" s="433" t="s">
        <v>933</v>
      </c>
    </row>
    <row r="20" spans="1:2">
      <c r="A20" s="434">
        <v>1.18</v>
      </c>
      <c r="B20" s="433" t="s">
        <v>934</v>
      </c>
    </row>
    <row r="21" spans="1:2">
      <c r="A21" s="434">
        <v>1.19</v>
      </c>
      <c r="B21" s="433" t="s">
        <v>935</v>
      </c>
    </row>
    <row r="22" spans="1:2">
      <c r="A22" s="434">
        <v>1.2</v>
      </c>
      <c r="B22" s="433" t="s">
        <v>936</v>
      </c>
    </row>
    <row r="23" spans="1:2">
      <c r="A23" s="434">
        <v>1.21</v>
      </c>
      <c r="B23" s="433" t="s">
        <v>937</v>
      </c>
    </row>
    <row r="24" spans="1:2">
      <c r="A24" s="434">
        <v>1.22</v>
      </c>
      <c r="B24" s="433" t="s">
        <v>938</v>
      </c>
    </row>
    <row r="25" spans="1:2">
      <c r="A25" s="434">
        <v>1.23</v>
      </c>
      <c r="B25" s="433" t="s">
        <v>939</v>
      </c>
    </row>
    <row r="26" spans="1:2">
      <c r="A26" s="434">
        <v>1.24</v>
      </c>
      <c r="B26" s="433" t="s">
        <v>940</v>
      </c>
    </row>
    <row r="27" spans="1:2">
      <c r="A27" s="434">
        <v>1.25</v>
      </c>
      <c r="B27" s="433" t="s">
        <v>941</v>
      </c>
    </row>
    <row r="28" spans="1:2">
      <c r="A28" s="434">
        <v>1.26</v>
      </c>
      <c r="B28" s="433" t="s">
        <v>942</v>
      </c>
    </row>
    <row r="29" spans="1:2">
      <c r="A29" s="434">
        <v>1.27</v>
      </c>
      <c r="B29" s="433" t="s">
        <v>943</v>
      </c>
    </row>
    <row r="30" spans="1:2">
      <c r="A30" s="434">
        <v>1.28</v>
      </c>
      <c r="B30" s="433" t="s">
        <v>944</v>
      </c>
    </row>
    <row r="31" spans="1:2">
      <c r="A31" s="434">
        <v>1.29</v>
      </c>
      <c r="B31" s="433" t="s">
        <v>945</v>
      </c>
    </row>
    <row r="32" spans="1:2">
      <c r="A32" s="434">
        <v>1.3</v>
      </c>
      <c r="B32" s="433" t="s">
        <v>946</v>
      </c>
    </row>
    <row r="33" spans="1:2">
      <c r="A33" s="434">
        <v>1.31</v>
      </c>
      <c r="B33" s="433" t="s">
        <v>947</v>
      </c>
    </row>
    <row r="34" spans="1:2">
      <c r="A34" s="434">
        <v>1.32</v>
      </c>
      <c r="B34" s="433" t="s">
        <v>948</v>
      </c>
    </row>
    <row r="35" spans="1:2">
      <c r="A35" s="434">
        <v>1.33</v>
      </c>
      <c r="B35" s="433" t="s">
        <v>949</v>
      </c>
    </row>
    <row r="36" spans="1:2">
      <c r="A36" s="434">
        <v>1.34</v>
      </c>
      <c r="B36" s="433" t="s">
        <v>950</v>
      </c>
    </row>
    <row r="37" spans="1:2">
      <c r="A37" s="434">
        <v>1.35</v>
      </c>
      <c r="B37" s="433" t="s">
        <v>951</v>
      </c>
    </row>
    <row r="38" spans="1:2">
      <c r="A38" s="434">
        <v>1.36</v>
      </c>
      <c r="B38" s="433" t="s">
        <v>952</v>
      </c>
    </row>
    <row r="39" spans="1:2">
      <c r="A39" s="434">
        <v>1.37</v>
      </c>
      <c r="B39" s="433" t="s">
        <v>1523</v>
      </c>
    </row>
    <row r="40" spans="1:2">
      <c r="A40" s="434">
        <v>1.38</v>
      </c>
      <c r="B40" s="433" t="s">
        <v>1524</v>
      </c>
    </row>
    <row r="41" spans="1:2">
      <c r="A41" s="434">
        <v>1.39</v>
      </c>
      <c r="B41" s="433" t="s">
        <v>1441</v>
      </c>
    </row>
    <row r="42" spans="1:2">
      <c r="A42" s="434">
        <v>1.4</v>
      </c>
      <c r="B42" s="433" t="s">
        <v>1442</v>
      </c>
    </row>
    <row r="43" spans="1:2">
      <c r="A43" s="434">
        <v>1.41</v>
      </c>
      <c r="B43" s="433" t="s">
        <v>1443</v>
      </c>
    </row>
    <row r="44" spans="1:2">
      <c r="A44" s="434">
        <v>1.42</v>
      </c>
      <c r="B44" s="433" t="s">
        <v>1444</v>
      </c>
    </row>
    <row r="45" spans="1:2">
      <c r="A45" s="434">
        <v>1.43</v>
      </c>
      <c r="B45" s="433" t="s">
        <v>1445</v>
      </c>
    </row>
    <row r="46" spans="1:2">
      <c r="A46" s="721">
        <v>1.44</v>
      </c>
      <c r="B46" t="s">
        <v>474</v>
      </c>
    </row>
  </sheetData>
  <phoneticPr fontId="23" type="noConversion"/>
  <pageMargins left="0.46" right="0.35" top="0.79" bottom="0.984251969" header="0.38" footer="0.4921259845"/>
  <pageSetup paperSize="9" orientation="portrait"/>
  <headerFooter alignWithMargins="0">
    <oddHeader>&amp;LVersicherte und Finanzen in der OKP</oddHeader>
    <oddFooter>&amp;LStaistik der Krankenversicherung, Bundesamt für Sozialversicherung</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206A4-0AEF-6147-A86A-21F3396EB9B1}">
  <dimension ref="A1:M21"/>
  <sheetViews>
    <sheetView topLeftCell="A2" zoomScale="75" workbookViewId="0">
      <selection activeCell="E19" sqref="E19"/>
    </sheetView>
  </sheetViews>
  <sheetFormatPr baseColWidth="10" defaultColWidth="11.3984375" defaultRowHeight="13"/>
  <cols>
    <col min="1" max="1" width="12.796875" style="3" customWidth="1"/>
    <col min="2" max="9" width="11.796875" style="3" customWidth="1"/>
    <col min="10" max="16384" width="11.3984375" style="3"/>
  </cols>
  <sheetData>
    <row r="1" spans="1:13" s="1" customFormat="1" ht="14" customHeight="1"/>
    <row r="2" spans="1:13" s="1" customFormat="1" ht="28" customHeight="1">
      <c r="A2" s="64" t="s">
        <v>958</v>
      </c>
    </row>
    <row r="3" spans="1:13" ht="24" customHeight="1">
      <c r="A3" s="483" t="s">
        <v>959</v>
      </c>
      <c r="B3" s="484" t="s">
        <v>456</v>
      </c>
      <c r="C3" s="485" t="s">
        <v>457</v>
      </c>
      <c r="D3" s="74" t="s">
        <v>458</v>
      </c>
      <c r="E3" s="485" t="s">
        <v>953</v>
      </c>
      <c r="F3" s="74" t="s">
        <v>954</v>
      </c>
      <c r="G3" s="485" t="s">
        <v>1375</v>
      </c>
      <c r="H3" s="74" t="s">
        <v>607</v>
      </c>
      <c r="I3" s="485" t="s">
        <v>609</v>
      </c>
    </row>
    <row r="4" spans="1:13" ht="15" customHeight="1">
      <c r="A4" s="486"/>
      <c r="B4" s="487"/>
      <c r="C4" s="488">
        <v>10000</v>
      </c>
      <c r="D4" s="15">
        <v>50000</v>
      </c>
      <c r="E4" s="488">
        <v>100000</v>
      </c>
      <c r="F4" s="15">
        <v>500000</v>
      </c>
      <c r="G4" s="488">
        <v>500000</v>
      </c>
      <c r="H4" s="75"/>
      <c r="I4" s="489" t="s">
        <v>610</v>
      </c>
    </row>
    <row r="5" spans="1:13" ht="15" customHeight="1">
      <c r="A5" s="486"/>
      <c r="B5" s="487"/>
      <c r="C5" s="489"/>
      <c r="D5" s="75"/>
      <c r="E5" s="489"/>
      <c r="F5" s="75"/>
      <c r="G5" s="489"/>
      <c r="H5" s="75"/>
      <c r="I5" s="489" t="s">
        <v>611</v>
      </c>
    </row>
    <row r="6" spans="1:13" ht="24" customHeight="1">
      <c r="A6" s="490"/>
      <c r="B6" s="491"/>
      <c r="C6" s="492"/>
      <c r="D6" s="78"/>
      <c r="E6" s="492"/>
      <c r="F6" s="78"/>
      <c r="G6" s="492"/>
      <c r="H6" s="78"/>
      <c r="I6" s="492"/>
    </row>
    <row r="7" spans="1:13" ht="30" customHeight="1" thickBot="1">
      <c r="A7" s="493">
        <v>1994</v>
      </c>
      <c r="B7" s="494">
        <v>118</v>
      </c>
      <c r="C7" s="495">
        <v>15</v>
      </c>
      <c r="D7" s="20">
        <v>22</v>
      </c>
      <c r="E7" s="495">
        <v>8</v>
      </c>
      <c r="F7" s="20">
        <v>13</v>
      </c>
      <c r="G7" s="495">
        <v>2</v>
      </c>
      <c r="H7" s="92">
        <v>178</v>
      </c>
      <c r="I7" s="496">
        <v>-2.7E-2</v>
      </c>
      <c r="J7" s="43"/>
    </row>
    <row r="8" spans="1:13" ht="20" customHeight="1" thickBot="1">
      <c r="A8" s="497">
        <v>1995</v>
      </c>
      <c r="B8" s="498">
        <v>106</v>
      </c>
      <c r="C8" s="499">
        <v>15</v>
      </c>
      <c r="D8" s="30">
        <v>20</v>
      </c>
      <c r="E8" s="499">
        <v>8</v>
      </c>
      <c r="F8" s="30">
        <v>15</v>
      </c>
      <c r="G8" s="499">
        <v>2</v>
      </c>
      <c r="H8" s="30">
        <v>166</v>
      </c>
      <c r="I8" s="500">
        <v>-6.741573033707865E-2</v>
      </c>
      <c r="J8" s="43"/>
    </row>
    <row r="9" spans="1:13" ht="20" customHeight="1" thickBot="1">
      <c r="A9" s="497">
        <v>1996</v>
      </c>
      <c r="B9" s="498">
        <v>90</v>
      </c>
      <c r="C9" s="499">
        <v>14</v>
      </c>
      <c r="D9" s="30">
        <v>20</v>
      </c>
      <c r="E9" s="499">
        <v>6</v>
      </c>
      <c r="F9" s="30">
        <v>12</v>
      </c>
      <c r="G9" s="499">
        <v>3</v>
      </c>
      <c r="H9" s="30">
        <v>145</v>
      </c>
      <c r="I9" s="500">
        <v>-0.12650602409638553</v>
      </c>
    </row>
    <row r="10" spans="1:13" ht="20" customHeight="1" thickBot="1">
      <c r="A10" s="497">
        <v>1997</v>
      </c>
      <c r="B10" s="498">
        <v>76</v>
      </c>
      <c r="C10" s="499">
        <v>14</v>
      </c>
      <c r="D10" s="30">
        <v>20</v>
      </c>
      <c r="E10" s="499">
        <v>4</v>
      </c>
      <c r="F10" s="30">
        <v>11</v>
      </c>
      <c r="G10" s="499">
        <v>4</v>
      </c>
      <c r="H10" s="30">
        <v>129</v>
      </c>
      <c r="I10" s="500">
        <v>-0.1103448275862069</v>
      </c>
      <c r="K10" s="45"/>
      <c r="L10" s="45"/>
      <c r="M10" s="45"/>
    </row>
    <row r="11" spans="1:13" ht="20" customHeight="1" thickBot="1">
      <c r="A11" s="497">
        <v>1998</v>
      </c>
      <c r="B11" s="498">
        <v>64</v>
      </c>
      <c r="C11" s="499">
        <v>13</v>
      </c>
      <c r="D11" s="30">
        <v>21</v>
      </c>
      <c r="E11" s="499">
        <v>6</v>
      </c>
      <c r="F11" s="30">
        <v>10</v>
      </c>
      <c r="G11" s="499">
        <v>4</v>
      </c>
      <c r="H11" s="30">
        <v>118</v>
      </c>
      <c r="I11" s="500">
        <v>-8.5271317829457363E-2</v>
      </c>
    </row>
    <row r="12" spans="1:13" ht="20" customHeight="1" thickBot="1">
      <c r="A12" s="497">
        <v>1999</v>
      </c>
      <c r="B12" s="498">
        <v>56</v>
      </c>
      <c r="C12" s="499">
        <v>12</v>
      </c>
      <c r="D12" s="30">
        <v>19</v>
      </c>
      <c r="E12" s="499">
        <v>8</v>
      </c>
      <c r="F12" s="30">
        <v>10</v>
      </c>
      <c r="G12" s="499">
        <v>4</v>
      </c>
      <c r="H12" s="30">
        <v>109</v>
      </c>
      <c r="I12" s="500">
        <v>-7.6271186440677971E-2</v>
      </c>
    </row>
    <row r="13" spans="1:13" ht="20" customHeight="1" thickBot="1">
      <c r="A13" s="497">
        <v>2000</v>
      </c>
      <c r="B13" s="498">
        <v>48</v>
      </c>
      <c r="C13" s="499">
        <v>11</v>
      </c>
      <c r="D13" s="30">
        <v>19</v>
      </c>
      <c r="E13" s="499">
        <v>9</v>
      </c>
      <c r="F13" s="30">
        <v>10</v>
      </c>
      <c r="G13" s="499">
        <v>4</v>
      </c>
      <c r="H13" s="30">
        <v>101</v>
      </c>
      <c r="I13" s="500">
        <v>-7.3394495412844041E-2</v>
      </c>
    </row>
    <row r="14" spans="1:13" ht="20" customHeight="1" thickBot="1">
      <c r="A14" s="497">
        <v>2001</v>
      </c>
      <c r="B14" s="498">
        <v>43</v>
      </c>
      <c r="C14" s="499">
        <v>9</v>
      </c>
      <c r="D14" s="30">
        <v>23</v>
      </c>
      <c r="E14" s="499">
        <v>9</v>
      </c>
      <c r="F14" s="30">
        <v>11</v>
      </c>
      <c r="G14" s="499">
        <v>4</v>
      </c>
      <c r="H14" s="30">
        <v>99</v>
      </c>
      <c r="I14" s="500">
        <v>-1.9801980198019802E-2</v>
      </c>
    </row>
    <row r="15" spans="1:13" ht="30" customHeight="1" thickBot="1">
      <c r="A15" s="501">
        <v>2002</v>
      </c>
      <c r="B15" s="502">
        <v>33</v>
      </c>
      <c r="C15" s="503">
        <v>10</v>
      </c>
      <c r="D15" s="136">
        <v>25</v>
      </c>
      <c r="E15" s="503">
        <v>9</v>
      </c>
      <c r="F15" s="136">
        <v>13</v>
      </c>
      <c r="G15" s="503">
        <v>3</v>
      </c>
      <c r="H15" s="136">
        <v>93</v>
      </c>
      <c r="I15" s="504">
        <v>-6.0606060606060608E-2</v>
      </c>
    </row>
    <row r="16" spans="1:13" ht="20" customHeight="1">
      <c r="A16" s="9" t="s">
        <v>1525</v>
      </c>
      <c r="B16" s="151"/>
      <c r="C16" s="151"/>
      <c r="D16" s="151"/>
      <c r="E16" s="151"/>
      <c r="F16" s="151"/>
      <c r="G16" s="151"/>
      <c r="H16" s="151"/>
      <c r="I16" s="271"/>
    </row>
    <row r="17" spans="1:9" ht="20" customHeight="1">
      <c r="A17" s="38"/>
      <c r="B17" s="152"/>
      <c r="C17" s="152"/>
      <c r="D17" s="152"/>
      <c r="E17" s="152"/>
      <c r="F17" s="152"/>
      <c r="G17" s="152"/>
      <c r="H17" s="152"/>
      <c r="I17" s="272"/>
    </row>
    <row r="18" spans="1:9" ht="12" customHeight="1">
      <c r="A18" s="38" t="s">
        <v>955</v>
      </c>
      <c r="B18" s="152"/>
      <c r="C18" s="152"/>
      <c r="D18" s="152"/>
      <c r="E18" s="152"/>
      <c r="F18" s="152"/>
      <c r="G18" s="152"/>
      <c r="H18" s="152"/>
      <c r="I18" s="272"/>
    </row>
    <row r="19" spans="1:9">
      <c r="A19" s="3" t="s">
        <v>956</v>
      </c>
    </row>
    <row r="21" spans="1:9">
      <c r="A21" s="3" t="s">
        <v>957</v>
      </c>
    </row>
  </sheetData>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2E40-4857-5142-9CBB-9FF78730D51B}">
  <dimension ref="A1:K24"/>
  <sheetViews>
    <sheetView topLeftCell="A6" zoomScale="75" workbookViewId="0">
      <selection activeCell="A22" sqref="A22"/>
    </sheetView>
  </sheetViews>
  <sheetFormatPr baseColWidth="10" defaultColWidth="11.3984375" defaultRowHeight="13"/>
  <cols>
    <col min="1" max="1" width="20.796875" style="3" customWidth="1"/>
    <col min="2" max="3" width="14" style="3" customWidth="1"/>
    <col min="4" max="4" width="15.3984375" style="3" customWidth="1"/>
    <col min="5" max="5" width="14" style="3" customWidth="1"/>
    <col min="6" max="6" width="14.796875" style="3" customWidth="1"/>
    <col min="7" max="7" width="13.796875" style="3" customWidth="1"/>
    <col min="8" max="16384" width="11.3984375" style="3"/>
  </cols>
  <sheetData>
    <row r="1" spans="1:11" s="1" customFormat="1" ht="14" customHeight="1"/>
    <row r="2" spans="1:11" s="1" customFormat="1" ht="28" customHeight="1">
      <c r="A2" s="64" t="s">
        <v>448</v>
      </c>
    </row>
    <row r="3" spans="1:11" ht="24" customHeight="1">
      <c r="A3" s="2" t="s">
        <v>1308</v>
      </c>
      <c r="B3" s="74" t="s">
        <v>1665</v>
      </c>
      <c r="C3" s="17" t="s">
        <v>1666</v>
      </c>
      <c r="D3" s="74" t="s">
        <v>1670</v>
      </c>
      <c r="E3" s="17" t="s">
        <v>455</v>
      </c>
      <c r="F3" s="74" t="s">
        <v>607</v>
      </c>
      <c r="G3" s="17" t="s">
        <v>609</v>
      </c>
    </row>
    <row r="4" spans="1:11" ht="15" customHeight="1">
      <c r="A4" s="82"/>
      <c r="B4" s="75"/>
      <c r="C4" s="18"/>
      <c r="D4" s="75"/>
      <c r="E4" s="66"/>
      <c r="F4" s="75"/>
      <c r="G4" s="18" t="s">
        <v>610</v>
      </c>
    </row>
    <row r="5" spans="1:11" ht="15" customHeight="1">
      <c r="A5" s="82"/>
      <c r="B5" s="75"/>
      <c r="C5" s="18"/>
      <c r="D5" s="75"/>
      <c r="E5" s="66"/>
      <c r="F5" s="75"/>
      <c r="G5" s="18" t="s">
        <v>611</v>
      </c>
    </row>
    <row r="6" spans="1:11" ht="24" customHeight="1">
      <c r="A6" s="83"/>
      <c r="B6" s="78"/>
      <c r="C6" s="19"/>
      <c r="D6" s="78"/>
      <c r="E6" s="67"/>
      <c r="F6" s="78"/>
      <c r="G6" s="19"/>
    </row>
    <row r="7" spans="1:11" ht="30" customHeight="1" thickBot="1">
      <c r="A7" s="84">
        <v>1994</v>
      </c>
      <c r="B7" s="92">
        <v>2823406</v>
      </c>
      <c r="C7" s="91">
        <v>2989156</v>
      </c>
      <c r="D7" s="20">
        <v>5812562</v>
      </c>
      <c r="E7" s="91">
        <v>1318941</v>
      </c>
      <c r="F7" s="92">
        <v>7131503</v>
      </c>
      <c r="G7" s="126">
        <v>1.06143763063733E-2</v>
      </c>
      <c r="H7" s="43"/>
    </row>
    <row r="8" spans="1:11" ht="20" customHeight="1" thickBot="1">
      <c r="A8" s="85">
        <v>1995</v>
      </c>
      <c r="B8" s="80">
        <v>2833617</v>
      </c>
      <c r="C8" s="122">
        <v>3003950</v>
      </c>
      <c r="D8" s="30">
        <v>5837567</v>
      </c>
      <c r="E8" s="122">
        <v>1325772</v>
      </c>
      <c r="F8" s="30">
        <v>7163339</v>
      </c>
      <c r="G8" s="26">
        <v>4.4641361014641657E-3</v>
      </c>
      <c r="H8" s="43"/>
    </row>
    <row r="9" spans="1:11" ht="20" customHeight="1" thickBot="1">
      <c r="A9" s="85">
        <v>1996</v>
      </c>
      <c r="B9" s="30">
        <v>2760146</v>
      </c>
      <c r="C9" s="122">
        <v>2938608</v>
      </c>
      <c r="D9" s="30">
        <v>5698754</v>
      </c>
      <c r="E9" s="122">
        <v>1496000</v>
      </c>
      <c r="F9" s="30">
        <v>7194754</v>
      </c>
      <c r="G9" s="26">
        <v>4.3855246833913626E-3</v>
      </c>
    </row>
    <row r="10" spans="1:11" ht="20" customHeight="1" thickBot="1">
      <c r="A10" s="85">
        <v>1997</v>
      </c>
      <c r="B10" s="30">
        <v>2725064</v>
      </c>
      <c r="C10" s="122">
        <v>2902973</v>
      </c>
      <c r="D10" s="30">
        <v>5628037</v>
      </c>
      <c r="E10" s="122">
        <v>1586768</v>
      </c>
      <c r="F10" s="30">
        <v>7214805</v>
      </c>
      <c r="G10" s="26">
        <v>2.7868916713483186E-3</v>
      </c>
      <c r="I10" s="45"/>
      <c r="J10" s="45"/>
      <c r="K10" s="45"/>
    </row>
    <row r="11" spans="1:11" ht="20" customHeight="1" thickBot="1">
      <c r="A11" s="85">
        <v>1998</v>
      </c>
      <c r="B11" s="30">
        <v>2736949</v>
      </c>
      <c r="C11" s="122">
        <v>2915969</v>
      </c>
      <c r="D11" s="30">
        <v>5652918</v>
      </c>
      <c r="E11" s="122">
        <v>1595685</v>
      </c>
      <c r="F11" s="30">
        <v>7248603</v>
      </c>
      <c r="G11" s="26">
        <v>4.6845340934370365E-3</v>
      </c>
    </row>
    <row r="12" spans="1:11" ht="20" customHeight="1" thickBot="1">
      <c r="A12" s="85">
        <v>1999</v>
      </c>
      <c r="B12" s="30">
        <v>2741177</v>
      </c>
      <c r="C12" s="122">
        <v>2926032</v>
      </c>
      <c r="D12" s="30">
        <v>5667209</v>
      </c>
      <c r="E12" s="122">
        <v>1599325</v>
      </c>
      <c r="F12" s="30">
        <v>7266534</v>
      </c>
      <c r="G12" s="26">
        <v>2.4737180391863093E-3</v>
      </c>
    </row>
    <row r="13" spans="1:11" ht="20" customHeight="1" thickBot="1">
      <c r="A13" s="85">
        <v>2000</v>
      </c>
      <c r="B13" s="30">
        <v>2746615</v>
      </c>
      <c r="C13" s="122">
        <v>2936748</v>
      </c>
      <c r="D13" s="30">
        <v>5683363</v>
      </c>
      <c r="E13" s="122">
        <v>1584748</v>
      </c>
      <c r="F13" s="30">
        <v>7268111</v>
      </c>
      <c r="G13" s="26">
        <v>2.1702231077429761E-4</v>
      </c>
    </row>
    <row r="14" spans="1:11" ht="20" customHeight="1" thickBot="1">
      <c r="A14" s="85">
        <v>2001</v>
      </c>
      <c r="B14" s="30">
        <v>2775829</v>
      </c>
      <c r="C14" s="122">
        <v>2962533</v>
      </c>
      <c r="D14" s="30">
        <v>5738362</v>
      </c>
      <c r="E14" s="122">
        <v>1582925</v>
      </c>
      <c r="F14" s="30">
        <v>7321287</v>
      </c>
      <c r="G14" s="26">
        <v>7.3163439578729601E-3</v>
      </c>
    </row>
    <row r="15" spans="1:11" ht="30" customHeight="1" thickBot="1">
      <c r="A15" s="135">
        <v>2002</v>
      </c>
      <c r="B15" s="136">
        <v>2798041</v>
      </c>
      <c r="C15" s="138">
        <v>2982916</v>
      </c>
      <c r="D15" s="136">
        <v>5780957</v>
      </c>
      <c r="E15" s="138">
        <v>1578408</v>
      </c>
      <c r="F15" s="136">
        <v>7359365</v>
      </c>
      <c r="G15" s="35">
        <v>5.2009981305199482E-3</v>
      </c>
    </row>
    <row r="16" spans="1:11" ht="20" customHeight="1">
      <c r="A16" s="9" t="s">
        <v>1525</v>
      </c>
      <c r="B16" s="151"/>
      <c r="C16" s="151"/>
      <c r="D16" s="151"/>
      <c r="E16" s="151"/>
      <c r="F16" s="151"/>
      <c r="G16" s="271"/>
    </row>
    <row r="17" spans="1:7" ht="13.5" customHeight="1">
      <c r="A17" s="38"/>
      <c r="B17" s="152"/>
      <c r="C17" s="152"/>
      <c r="D17" s="152"/>
      <c r="E17" s="152"/>
      <c r="F17" s="152"/>
      <c r="G17" s="272"/>
    </row>
    <row r="18" spans="1:7" ht="12.75" customHeight="1">
      <c r="A18" s="38" t="s">
        <v>449</v>
      </c>
      <c r="B18" s="152"/>
      <c r="C18" s="152"/>
      <c r="D18" s="152"/>
      <c r="E18" s="152"/>
      <c r="F18" s="152"/>
      <c r="G18" s="272"/>
    </row>
    <row r="19" spans="1:7" ht="12.75" customHeight="1">
      <c r="A19" s="3" t="s">
        <v>450</v>
      </c>
    </row>
    <row r="20" spans="1:7" ht="12.75" customHeight="1">
      <c r="A20" s="438" t="s">
        <v>451</v>
      </c>
    </row>
    <row r="21" spans="1:7" ht="12.75" customHeight="1">
      <c r="A21" s="482" t="s">
        <v>452</v>
      </c>
    </row>
    <row r="22" spans="1:7">
      <c r="A22" s="482" t="s">
        <v>453</v>
      </c>
    </row>
    <row r="23" spans="1:7">
      <c r="A23" s="482"/>
    </row>
    <row r="24" spans="1:7">
      <c r="A24" s="3" t="s">
        <v>454</v>
      </c>
    </row>
  </sheetData>
  <phoneticPr fontId="0" type="noConversion"/>
  <pageMargins left="0.33" right="0.37" top="1.46" bottom="0.49" header="0.95"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D0FDB-9CAB-FC43-AE22-DC9EC8CB145A}">
  <dimension ref="A1:F40"/>
  <sheetViews>
    <sheetView topLeftCell="A20" zoomScale="75" workbookViewId="0">
      <selection activeCell="F48" sqref="F48"/>
    </sheetView>
  </sheetViews>
  <sheetFormatPr baseColWidth="10" defaultColWidth="11.3984375" defaultRowHeight="13"/>
  <cols>
    <col min="1" max="1" width="16.19921875" style="3" customWidth="1"/>
    <col min="2" max="5" width="17.3984375" style="3" customWidth="1"/>
    <col min="6" max="6" width="17.3984375" style="184" customWidth="1"/>
    <col min="7" max="8" width="11.3984375" style="3"/>
    <col min="9" max="9" width="14.796875" style="3" customWidth="1"/>
    <col min="10" max="16384" width="11.3984375" style="3"/>
  </cols>
  <sheetData>
    <row r="1" spans="1:6" s="1" customFormat="1" ht="14" customHeight="1">
      <c r="F1" s="164"/>
    </row>
    <row r="2" spans="1:6" s="1" customFormat="1" ht="28" customHeight="1">
      <c r="A2" s="64" t="s">
        <v>1529</v>
      </c>
      <c r="F2" s="164"/>
    </row>
    <row r="3" spans="1:6" ht="27" customHeight="1">
      <c r="A3" s="2" t="s">
        <v>1663</v>
      </c>
      <c r="B3" s="74" t="s">
        <v>1665</v>
      </c>
      <c r="C3" s="17" t="s">
        <v>1666</v>
      </c>
      <c r="D3" s="74" t="s">
        <v>1664</v>
      </c>
      <c r="E3" s="17" t="s">
        <v>607</v>
      </c>
      <c r="F3" s="165" t="s">
        <v>441</v>
      </c>
    </row>
    <row r="4" spans="1:6" ht="12" customHeight="1">
      <c r="A4" s="4"/>
      <c r="B4" s="76"/>
      <c r="C4" s="4"/>
      <c r="D4" s="76"/>
      <c r="E4" s="4"/>
      <c r="F4" s="166" t="s">
        <v>442</v>
      </c>
    </row>
    <row r="5" spans="1:6" ht="30.75" customHeight="1">
      <c r="A5" s="5"/>
      <c r="B5" s="77"/>
      <c r="C5" s="5"/>
      <c r="D5" s="77"/>
      <c r="E5" s="5"/>
      <c r="F5" s="167" t="s">
        <v>611</v>
      </c>
    </row>
    <row r="6" spans="1:6" ht="30" customHeight="1" thickBot="1">
      <c r="A6" s="6" t="s">
        <v>1671</v>
      </c>
      <c r="B6" s="92">
        <v>487185</v>
      </c>
      <c r="C6" s="98">
        <v>520071</v>
      </c>
      <c r="D6" s="92">
        <v>246490</v>
      </c>
      <c r="E6" s="98">
        <v>1253746</v>
      </c>
      <c r="F6" s="218">
        <v>9.576817868137466E-3</v>
      </c>
    </row>
    <row r="7" spans="1:6" ht="20" customHeight="1" thickBot="1">
      <c r="A7" s="7" t="s">
        <v>1672</v>
      </c>
      <c r="B7" s="80">
        <v>364414</v>
      </c>
      <c r="C7" s="119">
        <v>395245</v>
      </c>
      <c r="D7" s="80">
        <v>196167</v>
      </c>
      <c r="E7" s="119">
        <v>955826</v>
      </c>
      <c r="F7" s="475">
        <v>2.1104765818875659E-3</v>
      </c>
    </row>
    <row r="8" spans="1:6" ht="20" customHeight="1" thickBot="1">
      <c r="A8" s="7" t="s">
        <v>1673</v>
      </c>
      <c r="B8" s="80">
        <v>133554</v>
      </c>
      <c r="C8" s="119">
        <v>140472</v>
      </c>
      <c r="D8" s="80">
        <v>82681</v>
      </c>
      <c r="E8" s="119">
        <v>356707</v>
      </c>
      <c r="F8" s="475">
        <v>4.6980754226999544E-3</v>
      </c>
    </row>
    <row r="9" spans="1:6" ht="20" customHeight="1" thickBot="1">
      <c r="A9" s="7" t="s">
        <v>1674</v>
      </c>
      <c r="B9" s="80">
        <v>13623</v>
      </c>
      <c r="C9" s="119">
        <v>13696</v>
      </c>
      <c r="D9" s="80">
        <v>8170</v>
      </c>
      <c r="E9" s="119">
        <v>35489</v>
      </c>
      <c r="F9" s="475">
        <v>-1.4911935175285773E-3</v>
      </c>
    </row>
    <row r="10" spans="1:6" ht="20" customHeight="1" thickBot="1">
      <c r="A10" s="7" t="s">
        <v>1675</v>
      </c>
      <c r="B10" s="80">
        <v>51439</v>
      </c>
      <c r="C10" s="119">
        <v>50847</v>
      </c>
      <c r="D10" s="80">
        <v>31519</v>
      </c>
      <c r="E10" s="119">
        <v>133805</v>
      </c>
      <c r="F10" s="475">
        <v>1.5659394877867383E-2</v>
      </c>
    </row>
    <row r="11" spans="1:6" ht="20" customHeight="1" thickBot="1">
      <c r="A11" s="7" t="s">
        <v>1676</v>
      </c>
      <c r="B11" s="80">
        <v>12733</v>
      </c>
      <c r="C11" s="119">
        <v>12806</v>
      </c>
      <c r="D11" s="80">
        <v>8144</v>
      </c>
      <c r="E11" s="119">
        <v>33683</v>
      </c>
      <c r="F11" s="475">
        <v>3.3661006851355424E-3</v>
      </c>
    </row>
    <row r="12" spans="1:6" ht="20" customHeight="1" thickBot="1">
      <c r="A12" s="7" t="s">
        <v>1677</v>
      </c>
      <c r="B12" s="80">
        <v>15046</v>
      </c>
      <c r="C12" s="119">
        <v>14928</v>
      </c>
      <c r="D12" s="80">
        <v>8608</v>
      </c>
      <c r="E12" s="119">
        <v>38582</v>
      </c>
      <c r="F12" s="475">
        <v>1.0793817133874839E-2</v>
      </c>
    </row>
    <row r="13" spans="1:6" ht="20" customHeight="1" thickBot="1">
      <c r="A13" s="7" t="s">
        <v>1678</v>
      </c>
      <c r="B13" s="80">
        <v>14640</v>
      </c>
      <c r="C13" s="119">
        <v>15251</v>
      </c>
      <c r="D13" s="80">
        <v>8835</v>
      </c>
      <c r="E13" s="119">
        <v>38726</v>
      </c>
      <c r="F13" s="475">
        <v>2.7706569305263606E-3</v>
      </c>
    </row>
    <row r="14" spans="1:6" ht="20" customHeight="1" thickBot="1">
      <c r="A14" s="7" t="s">
        <v>1679</v>
      </c>
      <c r="B14" s="80">
        <v>39876</v>
      </c>
      <c r="C14" s="119">
        <v>40341</v>
      </c>
      <c r="D14" s="80">
        <v>21700</v>
      </c>
      <c r="E14" s="119">
        <v>101917</v>
      </c>
      <c r="F14" s="475">
        <v>1.4059141924699592E-2</v>
      </c>
    </row>
    <row r="15" spans="1:6" ht="20" customHeight="1" thickBot="1">
      <c r="A15" s="7" t="s">
        <v>1680</v>
      </c>
      <c r="B15" s="80">
        <v>91166</v>
      </c>
      <c r="C15" s="119">
        <v>94286</v>
      </c>
      <c r="D15" s="80">
        <v>59777</v>
      </c>
      <c r="E15" s="119">
        <v>245229</v>
      </c>
      <c r="F15" s="475">
        <v>1.4991287504087181E-2</v>
      </c>
    </row>
    <row r="16" spans="1:6" ht="20" customHeight="1" thickBot="1">
      <c r="A16" s="7" t="s">
        <v>1681</v>
      </c>
      <c r="B16" s="80">
        <v>94784</v>
      </c>
      <c r="C16" s="119">
        <v>99676</v>
      </c>
      <c r="D16" s="80">
        <v>53777</v>
      </c>
      <c r="E16" s="119">
        <v>248237</v>
      </c>
      <c r="F16" s="475">
        <v>3.5210982916002997E-3</v>
      </c>
    </row>
    <row r="17" spans="1:6" ht="20" customHeight="1" thickBot="1">
      <c r="A17" s="7" t="s">
        <v>1682</v>
      </c>
      <c r="B17" s="80">
        <v>70365</v>
      </c>
      <c r="C17" s="119">
        <v>81286</v>
      </c>
      <c r="D17" s="80">
        <v>30221</v>
      </c>
      <c r="E17" s="119">
        <v>181872</v>
      </c>
      <c r="F17" s="475">
        <v>-2.6432104587780225E-3</v>
      </c>
    </row>
    <row r="18" spans="1:6" ht="20" customHeight="1" thickBot="1">
      <c r="A18" s="7" t="s">
        <v>1683</v>
      </c>
      <c r="B18" s="80">
        <v>102098</v>
      </c>
      <c r="C18" s="119">
        <v>108224</v>
      </c>
      <c r="D18" s="80">
        <v>53508</v>
      </c>
      <c r="E18" s="119">
        <v>263830</v>
      </c>
      <c r="F18" s="475">
        <v>5.5186712503143553E-3</v>
      </c>
    </row>
    <row r="19" spans="1:6" ht="20" customHeight="1" thickBot="1">
      <c r="A19" s="7" t="s">
        <v>1684</v>
      </c>
      <c r="B19" s="80">
        <v>28296</v>
      </c>
      <c r="C19" s="119">
        <v>30647</v>
      </c>
      <c r="D19" s="80">
        <v>15677</v>
      </c>
      <c r="E19" s="119">
        <v>74620</v>
      </c>
      <c r="F19" s="475">
        <v>4.2392840320302216E-3</v>
      </c>
    </row>
    <row r="20" spans="1:6" ht="20" customHeight="1" thickBot="1">
      <c r="A20" s="7" t="s">
        <v>1685</v>
      </c>
      <c r="B20" s="80">
        <v>20034</v>
      </c>
      <c r="C20" s="119">
        <v>20988</v>
      </c>
      <c r="D20" s="80">
        <v>12770</v>
      </c>
      <c r="E20" s="119">
        <v>53792</v>
      </c>
      <c r="F20" s="475">
        <v>-3.3535286161598954E-3</v>
      </c>
    </row>
    <row r="21" spans="1:6" ht="20" customHeight="1" thickBot="1">
      <c r="A21" s="7" t="s">
        <v>1686</v>
      </c>
      <c r="B21" s="80">
        <v>5536</v>
      </c>
      <c r="C21" s="119">
        <v>5422</v>
      </c>
      <c r="D21" s="80">
        <v>3987</v>
      </c>
      <c r="E21" s="119">
        <v>14945</v>
      </c>
      <c r="F21" s="475">
        <v>1.138799571275495E-3</v>
      </c>
    </row>
    <row r="22" spans="1:6" ht="20" customHeight="1" thickBot="1">
      <c r="A22" s="7" t="s">
        <v>1687</v>
      </c>
      <c r="B22" s="80">
        <v>171073</v>
      </c>
      <c r="C22" s="119">
        <v>179399</v>
      </c>
      <c r="D22" s="80">
        <v>109112</v>
      </c>
      <c r="E22" s="119">
        <v>459584</v>
      </c>
      <c r="F22" s="475">
        <v>5.3968677603326576E-3</v>
      </c>
    </row>
    <row r="23" spans="1:6" ht="20" customHeight="1" thickBot="1">
      <c r="A23" s="7" t="s">
        <v>1688</v>
      </c>
      <c r="B23" s="80">
        <v>76306</v>
      </c>
      <c r="C23" s="119">
        <v>77700</v>
      </c>
      <c r="D23" s="80">
        <v>40241</v>
      </c>
      <c r="E23" s="119">
        <v>194247</v>
      </c>
      <c r="F23" s="475">
        <v>1.6810969415379517E-3</v>
      </c>
    </row>
    <row r="24" spans="1:6" ht="20" customHeight="1" thickBot="1">
      <c r="A24" s="7" t="s">
        <v>1689</v>
      </c>
      <c r="B24" s="80">
        <v>215510</v>
      </c>
      <c r="C24" s="119">
        <v>221617</v>
      </c>
      <c r="D24" s="80">
        <v>126045</v>
      </c>
      <c r="E24" s="119">
        <v>563172</v>
      </c>
      <c r="F24" s="475">
        <v>9.0445850742846279E-3</v>
      </c>
    </row>
    <row r="25" spans="1:6" ht="20" customHeight="1" thickBot="1">
      <c r="A25" s="7" t="s">
        <v>1690</v>
      </c>
      <c r="B25" s="80">
        <v>85599</v>
      </c>
      <c r="C25" s="119">
        <v>88848</v>
      </c>
      <c r="D25" s="80">
        <v>56391</v>
      </c>
      <c r="E25" s="119">
        <v>230838</v>
      </c>
      <c r="F25" s="475">
        <v>4.2766091666486261E-3</v>
      </c>
    </row>
    <row r="26" spans="1:6" ht="20" customHeight="1" thickBot="1">
      <c r="A26" s="7" t="s">
        <v>1691</v>
      </c>
      <c r="B26" s="80">
        <v>119928</v>
      </c>
      <c r="C26" s="119">
        <v>135072</v>
      </c>
      <c r="D26" s="80">
        <v>58704</v>
      </c>
      <c r="E26" s="119">
        <v>313704</v>
      </c>
      <c r="F26" s="475">
        <v>4.1002102918159533E-3</v>
      </c>
    </row>
    <row r="27" spans="1:6" ht="20" customHeight="1" thickBot="1">
      <c r="A27" s="7" t="s">
        <v>1692</v>
      </c>
      <c r="B27" s="80">
        <v>233458</v>
      </c>
      <c r="C27" s="119">
        <v>256569</v>
      </c>
      <c r="D27" s="80">
        <v>141063</v>
      </c>
      <c r="E27" s="119">
        <v>631090</v>
      </c>
      <c r="F27" s="475">
        <v>4.2119969511953403E-3</v>
      </c>
    </row>
    <row r="28" spans="1:6" ht="20" customHeight="1" thickBot="1">
      <c r="A28" s="7" t="s">
        <v>1693</v>
      </c>
      <c r="B28" s="80">
        <v>109534</v>
      </c>
      <c r="C28" s="119">
        <v>114744</v>
      </c>
      <c r="D28" s="80">
        <v>63630</v>
      </c>
      <c r="E28" s="119">
        <v>287908</v>
      </c>
      <c r="F28" s="475">
        <v>1.2199495144811889E-2</v>
      </c>
    </row>
    <row r="29" spans="1:6" ht="20" customHeight="1" thickBot="1">
      <c r="A29" s="7" t="s">
        <v>1694</v>
      </c>
      <c r="B29" s="80">
        <v>62990</v>
      </c>
      <c r="C29" s="119">
        <v>68927</v>
      </c>
      <c r="D29" s="80">
        <v>36864</v>
      </c>
      <c r="E29" s="119">
        <v>168781</v>
      </c>
      <c r="F29" s="475">
        <v>3.4900174798149219E-3</v>
      </c>
    </row>
    <row r="30" spans="1:6" ht="20" customHeight="1" thickBot="1">
      <c r="A30" s="7" t="s">
        <v>1695</v>
      </c>
      <c r="B30" s="80">
        <v>146243</v>
      </c>
      <c r="C30" s="119">
        <v>163453</v>
      </c>
      <c r="D30" s="80">
        <v>85466</v>
      </c>
      <c r="E30" s="119">
        <v>395162</v>
      </c>
      <c r="F30" s="475">
        <v>1.2241824054838535E-2</v>
      </c>
    </row>
    <row r="31" spans="1:6" ht="22" customHeight="1" thickBot="1">
      <c r="A31" s="70" t="s">
        <v>1696</v>
      </c>
      <c r="B31" s="472">
        <v>25965</v>
      </c>
      <c r="C31" s="304">
        <v>27609</v>
      </c>
      <c r="D31" s="472">
        <v>16478</v>
      </c>
      <c r="E31" s="304">
        <v>70052</v>
      </c>
      <c r="F31" s="476">
        <v>3.1360531553850102E-3</v>
      </c>
    </row>
    <row r="32" spans="1:6" ht="21.75" customHeight="1" thickBot="1">
      <c r="A32" s="70" t="s">
        <v>443</v>
      </c>
      <c r="B32" s="472">
        <v>2791395</v>
      </c>
      <c r="C32" s="304">
        <v>2978124</v>
      </c>
      <c r="D32" s="472">
        <v>1576025</v>
      </c>
      <c r="E32" s="304">
        <v>7345544</v>
      </c>
      <c r="F32" s="476">
        <v>6.4459838174923956E-3</v>
      </c>
    </row>
    <row r="33" spans="1:6" ht="18.75" customHeight="1" thickBot="1">
      <c r="A33" s="477" t="s">
        <v>447</v>
      </c>
      <c r="B33" s="472">
        <v>6618</v>
      </c>
      <c r="C33" s="304">
        <v>4766</v>
      </c>
      <c r="D33" s="472">
        <v>2369</v>
      </c>
      <c r="E33" s="304">
        <v>13753</v>
      </c>
      <c r="F33" s="476">
        <v>-0.39328568907711314</v>
      </c>
    </row>
    <row r="34" spans="1:6" ht="22" customHeight="1" thickBot="1">
      <c r="A34" s="70" t="s">
        <v>438</v>
      </c>
      <c r="B34" s="472">
        <v>28</v>
      </c>
      <c r="C34" s="304">
        <v>26</v>
      </c>
      <c r="D34" s="472">
        <v>14</v>
      </c>
      <c r="E34" s="304">
        <v>68</v>
      </c>
      <c r="F34" s="132">
        <v>-0.43801652892561982</v>
      </c>
    </row>
    <row r="35" spans="1:6" s="36" customFormat="1" ht="30" customHeight="1" thickBot="1">
      <c r="A35" s="478" t="s">
        <v>444</v>
      </c>
      <c r="B35" s="270">
        <v>2798041</v>
      </c>
      <c r="C35" s="479">
        <v>2982916</v>
      </c>
      <c r="D35" s="270">
        <v>1578408</v>
      </c>
      <c r="E35" s="480">
        <v>7359365</v>
      </c>
      <c r="F35" s="481">
        <v>8.3229443816699167E-3</v>
      </c>
    </row>
    <row r="36" spans="1:6">
      <c r="A36" s="38" t="s">
        <v>1525</v>
      </c>
    </row>
    <row r="38" spans="1:6">
      <c r="A38" s="38" t="s">
        <v>445</v>
      </c>
    </row>
    <row r="40" spans="1:6">
      <c r="A40" s="3" t="s">
        <v>446</v>
      </c>
    </row>
  </sheetData>
  <phoneticPr fontId="0" type="noConversion"/>
  <pageMargins left="0.55118110236220474" right="0.42" top="0.74803149606299213" bottom="0.47244094488188981" header="0.43307086614173229" footer="0.31496062992125984"/>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751DB-6824-5C40-8EBA-D92F6C86AD71}">
  <dimension ref="A1:G38"/>
  <sheetViews>
    <sheetView topLeftCell="A20" zoomScale="75" workbookViewId="0">
      <selection activeCell="A37" sqref="A37"/>
    </sheetView>
  </sheetViews>
  <sheetFormatPr baseColWidth="10" defaultColWidth="11.3984375" defaultRowHeight="13"/>
  <cols>
    <col min="1" max="1" width="18.3984375" style="3" customWidth="1"/>
    <col min="2" max="7" width="14.3984375" style="3" customWidth="1"/>
    <col min="8" max="16384" width="11.3984375" style="3"/>
  </cols>
  <sheetData>
    <row r="1" spans="1:7" ht="14" customHeight="1">
      <c r="A1" s="1"/>
      <c r="B1" s="38"/>
      <c r="C1" s="38"/>
      <c r="D1" s="38"/>
      <c r="E1" s="38"/>
      <c r="F1" s="38"/>
      <c r="G1" s="38"/>
    </row>
    <row r="2" spans="1:7" ht="28" customHeight="1">
      <c r="A2" s="64" t="s">
        <v>1528</v>
      </c>
    </row>
    <row r="3" spans="1:7" ht="36" customHeight="1">
      <c r="A3" s="466" t="s">
        <v>629</v>
      </c>
      <c r="B3" s="467" t="s">
        <v>1322</v>
      </c>
      <c r="C3" s="468"/>
      <c r="D3" s="467" t="s">
        <v>1323</v>
      </c>
      <c r="E3" s="468"/>
      <c r="F3" s="467" t="s">
        <v>607</v>
      </c>
      <c r="G3" s="468"/>
    </row>
    <row r="4" spans="1:7" ht="15" customHeight="1">
      <c r="A4" s="276"/>
      <c r="B4" s="469" t="s">
        <v>1294</v>
      </c>
      <c r="C4" s="470" t="s">
        <v>1324</v>
      </c>
      <c r="D4" s="469" t="s">
        <v>1294</v>
      </c>
      <c r="E4" s="470" t="s">
        <v>1324</v>
      </c>
      <c r="F4" s="469" t="s">
        <v>1294</v>
      </c>
      <c r="G4" s="470" t="s">
        <v>1324</v>
      </c>
    </row>
    <row r="5" spans="1:7" ht="15" customHeight="1">
      <c r="A5" s="82"/>
      <c r="B5" s="75" t="s">
        <v>1714</v>
      </c>
      <c r="C5" s="18" t="s">
        <v>1325</v>
      </c>
      <c r="D5" s="75" t="s">
        <v>1714</v>
      </c>
      <c r="E5" s="18" t="s">
        <v>1325</v>
      </c>
      <c r="F5" s="15" t="s">
        <v>1714</v>
      </c>
      <c r="G5" s="18" t="s">
        <v>1325</v>
      </c>
    </row>
    <row r="6" spans="1:7" ht="21" customHeight="1">
      <c r="A6" s="83"/>
      <c r="B6" s="78"/>
      <c r="C6" s="19" t="s">
        <v>416</v>
      </c>
      <c r="D6" s="78"/>
      <c r="E6" s="19" t="s">
        <v>416</v>
      </c>
      <c r="F6" s="78"/>
      <c r="G6" s="19" t="s">
        <v>416</v>
      </c>
    </row>
    <row r="7" spans="1:7" ht="30" customHeight="1" thickBot="1">
      <c r="A7" s="6" t="s">
        <v>426</v>
      </c>
      <c r="B7" s="92">
        <v>234606</v>
      </c>
      <c r="C7" s="147">
        <v>3.1878565609940533E-2</v>
      </c>
      <c r="D7" s="92">
        <v>222766</v>
      </c>
      <c r="E7" s="147">
        <v>3.0269731152076301E-2</v>
      </c>
      <c r="F7" s="92">
        <v>457372</v>
      </c>
      <c r="G7" s="147">
        <v>6.214829676201683E-2</v>
      </c>
    </row>
    <row r="8" spans="1:7" ht="20" customHeight="1" thickBot="1">
      <c r="A8" s="471" t="s">
        <v>427</v>
      </c>
      <c r="B8" s="80">
        <v>217945</v>
      </c>
      <c r="C8" s="147">
        <v>2.9614647459393576E-2</v>
      </c>
      <c r="D8" s="80">
        <v>207715</v>
      </c>
      <c r="E8" s="147">
        <v>2.8224581876289598E-2</v>
      </c>
      <c r="F8" s="80">
        <v>425660</v>
      </c>
      <c r="G8" s="147">
        <v>5.7839229335683175E-2</v>
      </c>
    </row>
    <row r="9" spans="1:7" ht="20" customHeight="1" thickBot="1">
      <c r="A9" s="7" t="s">
        <v>428</v>
      </c>
      <c r="B9" s="80">
        <v>224795</v>
      </c>
      <c r="C9" s="147">
        <v>3.0545434286789689E-2</v>
      </c>
      <c r="D9" s="80">
        <v>214523</v>
      </c>
      <c r="E9" s="147">
        <v>2.9149661689561533E-2</v>
      </c>
      <c r="F9" s="80">
        <v>439318</v>
      </c>
      <c r="G9" s="147">
        <v>5.9695095976351219E-2</v>
      </c>
    </row>
    <row r="10" spans="1:7" ht="20" customHeight="1" thickBot="1">
      <c r="A10" s="7" t="s">
        <v>429</v>
      </c>
      <c r="B10" s="80">
        <v>131693</v>
      </c>
      <c r="C10" s="147">
        <v>1.7894614548945458E-2</v>
      </c>
      <c r="D10" s="80">
        <v>124365</v>
      </c>
      <c r="E10" s="147">
        <v>1.6898876465564625E-2</v>
      </c>
      <c r="F10" s="80">
        <v>256058</v>
      </c>
      <c r="G10" s="147">
        <v>3.4793491014510083E-2</v>
      </c>
    </row>
    <row r="11" spans="1:7" ht="31" customHeight="1" thickBot="1">
      <c r="A11" s="70" t="s">
        <v>430</v>
      </c>
      <c r="B11" s="472">
        <v>809039</v>
      </c>
      <c r="C11" s="454">
        <v>0.10993326190506926</v>
      </c>
      <c r="D11" s="472">
        <v>769369</v>
      </c>
      <c r="E11" s="454">
        <v>0.10454285118349205</v>
      </c>
      <c r="F11" s="472">
        <v>1578408</v>
      </c>
      <c r="G11" s="454">
        <v>0.21447611308856132</v>
      </c>
    </row>
    <row r="12" spans="1:7" ht="19" customHeight="1" thickBot="1">
      <c r="A12" s="7" t="s">
        <v>431</v>
      </c>
      <c r="B12" s="80">
        <v>88527</v>
      </c>
      <c r="C12" s="147">
        <v>1.2029162842174562E-2</v>
      </c>
      <c r="D12" s="80">
        <v>84271</v>
      </c>
      <c r="E12" s="147">
        <v>1.1450852077590933E-2</v>
      </c>
      <c r="F12" s="80">
        <v>172798</v>
      </c>
      <c r="G12" s="147">
        <v>2.3480014919765497E-2</v>
      </c>
    </row>
    <row r="13" spans="1:7" ht="19" customHeight="1" thickBot="1">
      <c r="A13" s="7" t="s">
        <v>432</v>
      </c>
      <c r="B13" s="80">
        <v>225620</v>
      </c>
      <c r="C13" s="147">
        <v>3.0657536349943237E-2</v>
      </c>
      <c r="D13" s="80">
        <v>219195</v>
      </c>
      <c r="E13" s="147">
        <v>2.9784499070232281E-2</v>
      </c>
      <c r="F13" s="80">
        <v>444815</v>
      </c>
      <c r="G13" s="147">
        <v>6.0442035420175518E-2</v>
      </c>
    </row>
    <row r="14" spans="1:7" ht="19" customHeight="1" thickBot="1">
      <c r="A14" s="7" t="s">
        <v>614</v>
      </c>
      <c r="B14" s="80">
        <v>243262</v>
      </c>
      <c r="C14" s="147">
        <v>3.3054754044676407E-2</v>
      </c>
      <c r="D14" s="80">
        <v>243112</v>
      </c>
      <c r="E14" s="147">
        <v>3.3034371851375761E-2</v>
      </c>
      <c r="F14" s="80">
        <v>486374</v>
      </c>
      <c r="G14" s="147">
        <v>6.6089125896052175E-2</v>
      </c>
    </row>
    <row r="15" spans="1:7" ht="19" customHeight="1" thickBot="1">
      <c r="A15" s="7" t="s">
        <v>615</v>
      </c>
      <c r="B15" s="80">
        <v>290502</v>
      </c>
      <c r="C15" s="147">
        <v>3.947378612149282E-2</v>
      </c>
      <c r="D15" s="80">
        <v>292361</v>
      </c>
      <c r="E15" s="147">
        <v>3.9726389437132144E-2</v>
      </c>
      <c r="F15" s="80">
        <v>582863</v>
      </c>
      <c r="G15" s="147">
        <v>7.9200175558624963E-2</v>
      </c>
    </row>
    <row r="16" spans="1:7" ht="19" customHeight="1" thickBot="1">
      <c r="A16" s="7" t="s">
        <v>616</v>
      </c>
      <c r="B16" s="80">
        <v>322421</v>
      </c>
      <c r="C16" s="147">
        <v>4.3810980974581366E-2</v>
      </c>
      <c r="D16" s="80">
        <v>316237</v>
      </c>
      <c r="E16" s="147">
        <v>4.2970691085440119E-2</v>
      </c>
      <c r="F16" s="80">
        <v>638658</v>
      </c>
      <c r="G16" s="147">
        <v>8.6781672060021478E-2</v>
      </c>
    </row>
    <row r="17" spans="1:7" ht="19" customHeight="1" thickBot="1">
      <c r="A17" s="7" t="s">
        <v>617</v>
      </c>
      <c r="B17" s="80">
        <v>291973</v>
      </c>
      <c r="C17" s="147">
        <v>3.9673667497127807E-2</v>
      </c>
      <c r="D17" s="80">
        <v>285284</v>
      </c>
      <c r="E17" s="147">
        <v>3.8764757557207721E-2</v>
      </c>
      <c r="F17" s="80">
        <v>577257</v>
      </c>
      <c r="G17" s="147">
        <v>7.8438425054335528E-2</v>
      </c>
    </row>
    <row r="18" spans="1:7" ht="19" customHeight="1" thickBot="1">
      <c r="A18" s="7" t="s">
        <v>618</v>
      </c>
      <c r="B18" s="80">
        <v>258631</v>
      </c>
      <c r="C18" s="147">
        <v>3.5143113570260474E-2</v>
      </c>
      <c r="D18" s="80">
        <v>254106</v>
      </c>
      <c r="E18" s="147">
        <v>3.4528250739024359E-2</v>
      </c>
      <c r="F18" s="80">
        <v>512737</v>
      </c>
      <c r="G18" s="147">
        <v>6.9671364309284833E-2</v>
      </c>
    </row>
    <row r="19" spans="1:7" ht="19" customHeight="1" thickBot="1">
      <c r="A19" s="7" t="s">
        <v>619</v>
      </c>
      <c r="B19" s="80">
        <v>244392</v>
      </c>
      <c r="C19" s="147">
        <v>3.3208299900874601E-2</v>
      </c>
      <c r="D19" s="80">
        <v>242732</v>
      </c>
      <c r="E19" s="147">
        <v>3.2982736961680796E-2</v>
      </c>
      <c r="F19" s="80">
        <v>487124</v>
      </c>
      <c r="G19" s="147">
        <v>6.6191036862555397E-2</v>
      </c>
    </row>
    <row r="20" spans="1:7" ht="19" customHeight="1" thickBot="1">
      <c r="A20" s="7" t="s">
        <v>620</v>
      </c>
      <c r="B20" s="80">
        <v>226161</v>
      </c>
      <c r="C20" s="147">
        <v>3.0731048127114229E-2</v>
      </c>
      <c r="D20" s="80">
        <v>226396</v>
      </c>
      <c r="E20" s="147">
        <v>3.0762980229951904E-2</v>
      </c>
      <c r="F20" s="80">
        <v>452557</v>
      </c>
      <c r="G20" s="147">
        <v>6.1494028357066133E-2</v>
      </c>
    </row>
    <row r="21" spans="1:7" ht="19" customHeight="1" thickBot="1">
      <c r="A21" s="7" t="s">
        <v>621</v>
      </c>
      <c r="B21" s="80">
        <v>170528</v>
      </c>
      <c r="C21" s="147">
        <v>2.3171564394482404E-2</v>
      </c>
      <c r="D21" s="80">
        <v>182885</v>
      </c>
      <c r="E21" s="147">
        <v>2.4850649478589525E-2</v>
      </c>
      <c r="F21" s="80">
        <v>353413</v>
      </c>
      <c r="G21" s="147">
        <v>4.8022213873071928E-2</v>
      </c>
    </row>
    <row r="22" spans="1:7" ht="30" customHeight="1" thickBot="1">
      <c r="A22" s="70" t="s">
        <v>433</v>
      </c>
      <c r="B22" s="472">
        <v>2362017</v>
      </c>
      <c r="C22" s="454">
        <v>0.32095391382272792</v>
      </c>
      <c r="D22" s="472">
        <v>2346579</v>
      </c>
      <c r="E22" s="454">
        <v>0.31885617848822556</v>
      </c>
      <c r="F22" s="472">
        <v>4708596</v>
      </c>
      <c r="G22" s="454">
        <v>0.63981009231095343</v>
      </c>
    </row>
    <row r="23" spans="1:7" ht="20" customHeight="1" thickBot="1">
      <c r="A23" s="7" t="s">
        <v>622</v>
      </c>
      <c r="B23" s="80">
        <v>143718</v>
      </c>
      <c r="C23" s="147">
        <v>1.9528587045213819E-2</v>
      </c>
      <c r="D23" s="80">
        <v>167224</v>
      </c>
      <c r="E23" s="147">
        <v>2.2722612616713534E-2</v>
      </c>
      <c r="F23" s="80">
        <v>310942</v>
      </c>
      <c r="G23" s="147">
        <v>4.2251199661927356E-2</v>
      </c>
    </row>
    <row r="24" spans="1:7" ht="20" customHeight="1" thickBot="1">
      <c r="A24" s="7" t="s">
        <v>623</v>
      </c>
      <c r="B24" s="80">
        <v>116534</v>
      </c>
      <c r="C24" s="147">
        <v>1.5834790093982292E-2</v>
      </c>
      <c r="D24" s="80">
        <v>153270</v>
      </c>
      <c r="E24" s="147">
        <v>2.0826525114598881E-2</v>
      </c>
      <c r="F24" s="80">
        <v>269804</v>
      </c>
      <c r="G24" s="147">
        <v>3.6661315208581173E-2</v>
      </c>
    </row>
    <row r="25" spans="1:7" ht="20" customHeight="1" thickBot="1">
      <c r="A25" s="7" t="s">
        <v>624</v>
      </c>
      <c r="B25" s="80">
        <v>87495</v>
      </c>
      <c r="C25" s="147">
        <v>1.1888933352266127E-2</v>
      </c>
      <c r="D25" s="80">
        <v>133906</v>
      </c>
      <c r="E25" s="147">
        <v>1.8195319840774306E-2</v>
      </c>
      <c r="F25" s="80">
        <v>221401</v>
      </c>
      <c r="G25" s="147">
        <v>3.0084253193040433E-2</v>
      </c>
    </row>
    <row r="26" spans="1:7" ht="20" customHeight="1" thickBot="1">
      <c r="A26" s="7" t="s">
        <v>625</v>
      </c>
      <c r="B26" s="80">
        <v>53578</v>
      </c>
      <c r="C26" s="147">
        <v>7.2802476844129891E-3</v>
      </c>
      <c r="D26" s="80">
        <v>94893</v>
      </c>
      <c r="E26" s="147">
        <v>1.289418312585393E-2</v>
      </c>
      <c r="F26" s="80">
        <v>148471</v>
      </c>
      <c r="G26" s="147">
        <v>2.017443081026692E-2</v>
      </c>
    </row>
    <row r="27" spans="1:7" ht="20" customHeight="1" thickBot="1">
      <c r="A27" s="7" t="s">
        <v>626</v>
      </c>
      <c r="B27" s="80">
        <v>25575</v>
      </c>
      <c r="C27" s="147">
        <v>3.4751639577599424E-3</v>
      </c>
      <c r="D27" s="80">
        <v>57754</v>
      </c>
      <c r="E27" s="147">
        <v>7.8476879459029418E-3</v>
      </c>
      <c r="F27" s="80">
        <v>83329</v>
      </c>
      <c r="G27" s="147">
        <v>1.1322851903662884E-2</v>
      </c>
    </row>
    <row r="28" spans="1:7" ht="20" customHeight="1" thickBot="1">
      <c r="A28" s="7" t="s">
        <v>434</v>
      </c>
      <c r="B28" s="80">
        <v>7953</v>
      </c>
      <c r="C28" s="147">
        <v>1.0806638888001885E-3</v>
      </c>
      <c r="D28" s="80">
        <v>24250</v>
      </c>
      <c r="E28" s="147">
        <v>3.2951212502709132E-3</v>
      </c>
      <c r="F28" s="80">
        <v>32203</v>
      </c>
      <c r="G28" s="147">
        <v>4.3757851390711019E-3</v>
      </c>
    </row>
    <row r="29" spans="1:7" ht="20" customHeight="1" thickBot="1">
      <c r="A29" s="7" t="s">
        <v>435</v>
      </c>
      <c r="B29" s="80">
        <v>1091</v>
      </c>
      <c r="C29" s="147">
        <v>1.4824648594002334E-4</v>
      </c>
      <c r="D29" s="80">
        <v>4608</v>
      </c>
      <c r="E29" s="147">
        <v>6.2614097819580904E-4</v>
      </c>
      <c r="F29" s="80">
        <v>5699</v>
      </c>
      <c r="G29" s="147">
        <v>7.7438746413583239E-4</v>
      </c>
    </row>
    <row r="30" spans="1:7" ht="20" customHeight="1" thickBot="1">
      <c r="A30" s="7" t="s">
        <v>436</v>
      </c>
      <c r="B30" s="80">
        <v>80</v>
      </c>
      <c r="C30" s="147">
        <v>1.087050309367724E-5</v>
      </c>
      <c r="D30" s="80">
        <v>429</v>
      </c>
      <c r="E30" s="147">
        <v>5.8293072839844202E-5</v>
      </c>
      <c r="F30" s="80">
        <v>509</v>
      </c>
      <c r="G30" s="147">
        <v>6.9163575933521443E-5</v>
      </c>
    </row>
    <row r="31" spans="1:7" ht="30" customHeight="1" thickBot="1">
      <c r="A31" s="70" t="s">
        <v>437</v>
      </c>
      <c r="B31" s="472">
        <v>436024</v>
      </c>
      <c r="C31" s="454">
        <v>5.9247503011469062E-2</v>
      </c>
      <c r="D31" s="472">
        <v>636334</v>
      </c>
      <c r="E31" s="454">
        <v>8.646588394515016E-2</v>
      </c>
      <c r="F31" s="472">
        <v>1072358</v>
      </c>
      <c r="G31" s="454">
        <v>0.14571338695661923</v>
      </c>
    </row>
    <row r="32" spans="1:7" ht="30" customHeight="1" thickBot="1">
      <c r="A32" s="70" t="s">
        <v>438</v>
      </c>
      <c r="B32" s="472">
        <v>0</v>
      </c>
      <c r="C32" s="454">
        <v>0</v>
      </c>
      <c r="D32" s="472">
        <v>3</v>
      </c>
      <c r="E32" s="454">
        <v>4.0764386601289651E-7</v>
      </c>
      <c r="F32" s="472">
        <v>3</v>
      </c>
      <c r="G32" s="454">
        <v>4.0764386601289651E-7</v>
      </c>
    </row>
    <row r="33" spans="1:7" s="36" customFormat="1" ht="30" customHeight="1" thickBot="1">
      <c r="A33" s="473" t="s">
        <v>607</v>
      </c>
      <c r="B33" s="225">
        <v>3607080</v>
      </c>
      <c r="C33" s="474">
        <v>0.49013467873926625</v>
      </c>
      <c r="D33" s="225">
        <v>3752285</v>
      </c>
      <c r="E33" s="474">
        <v>0.50986532126073381</v>
      </c>
      <c r="F33" s="225">
        <v>7359365</v>
      </c>
      <c r="G33" s="474">
        <v>1</v>
      </c>
    </row>
    <row r="34" spans="1:7" ht="19.5" customHeight="1">
      <c r="A34" s="9" t="s">
        <v>1525</v>
      </c>
    </row>
    <row r="35" spans="1:7" ht="10.5" customHeight="1"/>
    <row r="36" spans="1:7">
      <c r="A36" s="438" t="s">
        <v>439</v>
      </c>
    </row>
    <row r="38" spans="1:7">
      <c r="A38" s="3" t="s">
        <v>440</v>
      </c>
    </row>
  </sheetData>
  <phoneticPr fontId="0" type="noConversion"/>
  <pageMargins left="0.38" right="0.32" top="1.46" bottom="0.49" header="0.95"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0985-23F4-2644-AA59-2CBC97122EA9}">
  <dimension ref="A1:H18"/>
  <sheetViews>
    <sheetView topLeftCell="A2" zoomScale="75" workbookViewId="0">
      <selection activeCell="A19" sqref="A19"/>
    </sheetView>
  </sheetViews>
  <sheetFormatPr baseColWidth="10" defaultColWidth="11.3984375" defaultRowHeight="13"/>
  <cols>
    <col min="1" max="1" width="18.19921875" style="3" customWidth="1"/>
    <col min="2" max="7" width="14.796875" style="3" customWidth="1"/>
    <col min="8" max="16384" width="11.3984375" style="3"/>
  </cols>
  <sheetData>
    <row r="1" spans="1:8" s="1" customFormat="1" ht="14" customHeight="1"/>
    <row r="2" spans="1:8" s="1" customFormat="1" ht="28" customHeight="1">
      <c r="A2" s="64" t="s">
        <v>422</v>
      </c>
    </row>
    <row r="3" spans="1:8" ht="24" customHeight="1">
      <c r="A3" s="2" t="s">
        <v>423</v>
      </c>
      <c r="B3" s="74" t="s">
        <v>424</v>
      </c>
      <c r="C3" s="17" t="s">
        <v>1448</v>
      </c>
      <c r="D3" s="74" t="s">
        <v>1449</v>
      </c>
      <c r="E3" s="65" t="s">
        <v>1450</v>
      </c>
      <c r="F3" s="74" t="s">
        <v>607</v>
      </c>
      <c r="G3" s="17" t="s">
        <v>609</v>
      </c>
    </row>
    <row r="4" spans="1:8" ht="15" customHeight="1">
      <c r="A4" s="82"/>
      <c r="B4" s="75" t="s">
        <v>1451</v>
      </c>
      <c r="C4" s="18" t="s">
        <v>1452</v>
      </c>
      <c r="D4" s="75" t="s">
        <v>1453</v>
      </c>
      <c r="E4" s="66" t="s">
        <v>1454</v>
      </c>
      <c r="F4" s="75"/>
      <c r="G4" s="18" t="s">
        <v>610</v>
      </c>
    </row>
    <row r="5" spans="1:8" ht="15" customHeight="1">
      <c r="A5" s="82"/>
      <c r="B5" s="75" t="s">
        <v>1455</v>
      </c>
      <c r="C5" s="18" t="s">
        <v>1456</v>
      </c>
      <c r="D5" s="75" t="s">
        <v>969</v>
      </c>
      <c r="E5" s="66" t="s">
        <v>1457</v>
      </c>
      <c r="F5" s="75"/>
      <c r="G5" s="18" t="s">
        <v>611</v>
      </c>
    </row>
    <row r="6" spans="1:8" ht="24" customHeight="1">
      <c r="A6" s="83"/>
      <c r="B6" s="78"/>
      <c r="C6" s="19"/>
      <c r="D6" s="78"/>
      <c r="E6" s="67" t="s">
        <v>1458</v>
      </c>
      <c r="F6" s="78"/>
      <c r="G6" s="19"/>
    </row>
    <row r="7" spans="1:8" ht="30" customHeight="1" thickBot="1">
      <c r="A7" s="84">
        <v>1994</v>
      </c>
      <c r="B7" s="20">
        <v>6447562</v>
      </c>
      <c r="C7" s="98">
        <v>643991</v>
      </c>
      <c r="D7" s="20">
        <v>15298</v>
      </c>
      <c r="E7" s="91">
        <v>24802</v>
      </c>
      <c r="F7" s="92">
        <v>7131653</v>
      </c>
      <c r="G7" s="126">
        <v>1.06143763063733E-2</v>
      </c>
      <c r="H7" s="43"/>
    </row>
    <row r="8" spans="1:8" ht="20" customHeight="1" thickBot="1">
      <c r="A8" s="85">
        <v>1995</v>
      </c>
      <c r="B8" s="30">
        <v>6399482</v>
      </c>
      <c r="C8" s="119">
        <v>698747</v>
      </c>
      <c r="D8" s="30">
        <v>32705</v>
      </c>
      <c r="E8" s="122">
        <v>35383</v>
      </c>
      <c r="F8" s="80">
        <v>7166317</v>
      </c>
      <c r="G8" s="26">
        <v>4.8605842151882598E-3</v>
      </c>
      <c r="H8" s="43"/>
    </row>
    <row r="9" spans="1:8" ht="20" customHeight="1" thickBot="1">
      <c r="A9" s="85">
        <v>1996</v>
      </c>
      <c r="B9" s="30">
        <v>4739640</v>
      </c>
      <c r="C9" s="122">
        <v>2305688</v>
      </c>
      <c r="D9" s="30">
        <v>27828</v>
      </c>
      <c r="E9" s="122">
        <v>121598</v>
      </c>
      <c r="F9" s="80">
        <v>7194754</v>
      </c>
      <c r="G9" s="26">
        <v>3.9681470970374319E-3</v>
      </c>
    </row>
    <row r="10" spans="1:8" ht="20" customHeight="1" thickBot="1">
      <c r="A10" s="85">
        <v>1997</v>
      </c>
      <c r="B10" s="30">
        <v>4083854</v>
      </c>
      <c r="C10" s="122">
        <v>2736364</v>
      </c>
      <c r="D10" s="30">
        <v>11494</v>
      </c>
      <c r="E10" s="122">
        <v>383093</v>
      </c>
      <c r="F10" s="30">
        <v>7214805</v>
      </c>
      <c r="G10" s="26">
        <v>2.7868916713483186E-3</v>
      </c>
    </row>
    <row r="11" spans="1:8" ht="20" customHeight="1" thickBot="1">
      <c r="A11" s="85">
        <v>1998</v>
      </c>
      <c r="B11" s="30">
        <v>4016267</v>
      </c>
      <c r="C11" s="122">
        <v>2726468</v>
      </c>
      <c r="D11" s="30">
        <v>11828</v>
      </c>
      <c r="E11" s="122">
        <v>494040</v>
      </c>
      <c r="F11" s="30">
        <v>7248603</v>
      </c>
      <c r="G11" s="26">
        <v>4.6845340934370365E-3</v>
      </c>
    </row>
    <row r="12" spans="1:8" ht="20" customHeight="1" thickBot="1">
      <c r="A12" s="85">
        <v>1999</v>
      </c>
      <c r="B12" s="30">
        <v>3998744</v>
      </c>
      <c r="C12" s="122">
        <v>2715642</v>
      </c>
      <c r="D12" s="30">
        <v>10258</v>
      </c>
      <c r="E12" s="122">
        <v>541890</v>
      </c>
      <c r="F12" s="30">
        <v>7266534</v>
      </c>
      <c r="G12" s="26">
        <v>2.4737180391863093E-3</v>
      </c>
    </row>
    <row r="13" spans="1:8" ht="20" customHeight="1" thickBot="1">
      <c r="A13" s="85">
        <v>2000</v>
      </c>
      <c r="B13" s="30">
        <v>3921920</v>
      </c>
      <c r="C13" s="122">
        <v>2758539</v>
      </c>
      <c r="D13" s="30">
        <v>9811</v>
      </c>
      <c r="E13" s="122">
        <v>577841</v>
      </c>
      <c r="F13" s="30">
        <v>7268111</v>
      </c>
      <c r="G13" s="26">
        <v>2.1702231077429761E-4</v>
      </c>
    </row>
    <row r="14" spans="1:8" ht="20" customHeight="1" thickBot="1">
      <c r="A14" s="85">
        <v>2001</v>
      </c>
      <c r="B14" s="30">
        <v>3882191</v>
      </c>
      <c r="C14" s="122">
        <v>2833816</v>
      </c>
      <c r="D14" s="30">
        <v>9341</v>
      </c>
      <c r="E14" s="122">
        <v>595939</v>
      </c>
      <c r="F14" s="30">
        <v>7321287</v>
      </c>
      <c r="G14" s="26">
        <v>7.3163439578729601E-3</v>
      </c>
    </row>
    <row r="15" spans="1:8" ht="30" customHeight="1" thickBot="1">
      <c r="A15" s="135">
        <v>2002</v>
      </c>
      <c r="B15" s="136">
        <v>3812675</v>
      </c>
      <c r="C15" s="138">
        <v>2980820</v>
      </c>
      <c r="D15" s="136">
        <v>8835</v>
      </c>
      <c r="E15" s="138">
        <v>557035</v>
      </c>
      <c r="F15" s="136">
        <v>7359365</v>
      </c>
      <c r="G15" s="35">
        <v>5.2009981305199482E-3</v>
      </c>
    </row>
    <row r="16" spans="1:8" ht="19.5" customHeight="1">
      <c r="A16" s="9" t="s">
        <v>1525</v>
      </c>
      <c r="B16" s="9"/>
      <c r="C16" s="9"/>
      <c r="D16" s="9"/>
      <c r="E16" s="9"/>
      <c r="F16" s="9"/>
      <c r="G16" s="9"/>
    </row>
    <row r="18" spans="1:1">
      <c r="A18" s="3" t="s">
        <v>425</v>
      </c>
    </row>
  </sheetData>
  <phoneticPr fontId="0" type="noConversion"/>
  <pageMargins left="0.42" right="0.42" top="1.46" bottom="0.49" header="0.92"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3740E-4100-F241-96F2-DCFD7B85B1E6}">
  <dimension ref="A1:G15"/>
  <sheetViews>
    <sheetView zoomScale="75" workbookViewId="0">
      <selection activeCell="K12" sqref="K12"/>
    </sheetView>
  </sheetViews>
  <sheetFormatPr baseColWidth="10" defaultColWidth="11.3984375" defaultRowHeight="13"/>
  <cols>
    <col min="1" max="1" width="19.3984375" style="3" customWidth="1"/>
    <col min="2" max="7" width="14.3984375" style="3" customWidth="1"/>
    <col min="8" max="16384" width="11.3984375" style="3"/>
  </cols>
  <sheetData>
    <row r="1" spans="1:7" ht="14" customHeight="1">
      <c r="A1" s="439"/>
      <c r="B1" s="38"/>
      <c r="C1" s="38"/>
      <c r="D1" s="38"/>
      <c r="E1" s="38"/>
      <c r="F1" s="38"/>
      <c r="G1" s="38"/>
    </row>
    <row r="2" spans="1:7" ht="39.75" customHeight="1">
      <c r="A2" s="1302" t="s">
        <v>1527</v>
      </c>
      <c r="B2" s="1303"/>
      <c r="C2" s="1303"/>
      <c r="D2" s="1303"/>
      <c r="E2" s="1303"/>
      <c r="F2" s="1303"/>
      <c r="G2" s="1303"/>
    </row>
    <row r="3" spans="1:7" ht="24" customHeight="1">
      <c r="A3" s="2" t="s">
        <v>415</v>
      </c>
      <c r="B3" s="74" t="s">
        <v>1665</v>
      </c>
      <c r="C3" s="17" t="s">
        <v>1666</v>
      </c>
      <c r="D3" s="74" t="s">
        <v>1664</v>
      </c>
      <c r="E3" s="17" t="s">
        <v>607</v>
      </c>
      <c r="F3" s="74" t="s">
        <v>1324</v>
      </c>
      <c r="G3" s="17" t="s">
        <v>609</v>
      </c>
    </row>
    <row r="4" spans="1:7" ht="15" customHeight="1">
      <c r="A4" s="82"/>
      <c r="B4" s="75"/>
      <c r="C4" s="18"/>
      <c r="D4" s="75"/>
      <c r="E4" s="66"/>
      <c r="F4" s="75" t="s">
        <v>1325</v>
      </c>
      <c r="G4" s="18" t="s">
        <v>610</v>
      </c>
    </row>
    <row r="5" spans="1:7" ht="15" customHeight="1">
      <c r="A5" s="4"/>
      <c r="B5" s="75"/>
      <c r="C5" s="18"/>
      <c r="D5" s="75"/>
      <c r="E5" s="18"/>
      <c r="F5" s="75" t="s">
        <v>416</v>
      </c>
      <c r="G5" s="18" t="s">
        <v>611</v>
      </c>
    </row>
    <row r="6" spans="1:7" ht="24" customHeight="1">
      <c r="A6" s="284"/>
      <c r="B6" s="445"/>
      <c r="C6" s="455"/>
      <c r="D6" s="445"/>
      <c r="E6" s="455"/>
      <c r="F6" s="445"/>
      <c r="G6" s="19"/>
    </row>
    <row r="7" spans="1:7" ht="37.5" customHeight="1" thickBot="1">
      <c r="A7" s="456" t="s">
        <v>417</v>
      </c>
      <c r="B7" s="79">
        <v>1133147</v>
      </c>
      <c r="C7" s="112">
        <v>1391495</v>
      </c>
      <c r="D7" s="79">
        <v>1288033</v>
      </c>
      <c r="E7" s="112">
        <v>3812675</v>
      </c>
      <c r="F7" s="457">
        <v>0.51807119228357335</v>
      </c>
      <c r="G7" s="458">
        <v>-1.790638327686608E-2</v>
      </c>
    </row>
    <row r="8" spans="1:7" ht="34.5" customHeight="1" thickBot="1">
      <c r="A8" s="456" t="s">
        <v>418</v>
      </c>
      <c r="B8" s="79">
        <v>1434973</v>
      </c>
      <c r="C8" s="112">
        <v>1370271</v>
      </c>
      <c r="D8" s="79">
        <v>175576</v>
      </c>
      <c r="E8" s="112">
        <v>2980820</v>
      </c>
      <c r="F8" s="457">
        <v>0.40503766289618737</v>
      </c>
      <c r="G8" s="458">
        <v>5.1874927659382258E-2</v>
      </c>
    </row>
    <row r="9" spans="1:7" ht="31.5" customHeight="1" thickBot="1">
      <c r="A9" s="456" t="s">
        <v>419</v>
      </c>
      <c r="B9" s="79">
        <v>5454</v>
      </c>
      <c r="C9" s="112">
        <v>2964</v>
      </c>
      <c r="D9" s="79">
        <v>417</v>
      </c>
      <c r="E9" s="112">
        <v>8835</v>
      </c>
      <c r="F9" s="457">
        <v>1.2005111854079802E-3</v>
      </c>
      <c r="G9" s="458">
        <v>-5.4169789101809231E-2</v>
      </c>
    </row>
    <row r="10" spans="1:7" ht="33" customHeight="1" thickBot="1">
      <c r="A10" s="456" t="s">
        <v>420</v>
      </c>
      <c r="B10" s="79">
        <v>224467</v>
      </c>
      <c r="C10" s="112">
        <v>218186</v>
      </c>
      <c r="D10" s="79">
        <v>114382</v>
      </c>
      <c r="E10" s="112">
        <v>557035</v>
      </c>
      <c r="F10" s="457">
        <v>7.5690633634831264E-2</v>
      </c>
      <c r="G10" s="458">
        <v>-6.5281849316792484E-2</v>
      </c>
    </row>
    <row r="11" spans="1:7" ht="15" customHeight="1">
      <c r="A11" s="459"/>
      <c r="B11" s="460"/>
      <c r="C11" s="461"/>
      <c r="D11" s="460"/>
      <c r="E11" s="461"/>
      <c r="F11" s="462"/>
      <c r="G11" s="463" t="s">
        <v>488</v>
      </c>
    </row>
    <row r="12" spans="1:7" ht="23.25" customHeight="1" thickBot="1">
      <c r="A12" s="452" t="s">
        <v>607</v>
      </c>
      <c r="B12" s="155">
        <v>2798041</v>
      </c>
      <c r="C12" s="154">
        <v>2982916</v>
      </c>
      <c r="D12" s="155">
        <v>1578408</v>
      </c>
      <c r="E12" s="154">
        <v>7359365</v>
      </c>
      <c r="F12" s="464">
        <v>1</v>
      </c>
      <c r="G12" s="465">
        <v>5.2009981305199482E-3</v>
      </c>
    </row>
    <row r="13" spans="1:7" ht="19.5" customHeight="1">
      <c r="A13" s="9" t="s">
        <v>1525</v>
      </c>
      <c r="B13" s="9"/>
      <c r="C13" s="9"/>
      <c r="D13" s="9"/>
      <c r="E13" s="9"/>
      <c r="F13" s="9"/>
      <c r="G13" s="9"/>
    </row>
    <row r="15" spans="1:7">
      <c r="A15" s="3" t="s">
        <v>421</v>
      </c>
    </row>
  </sheetData>
  <mergeCells count="1">
    <mergeCell ref="A2:G2"/>
  </mergeCells>
  <phoneticPr fontId="0" type="noConversion"/>
  <pageMargins left="0.45" right="0.32"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F6FF-8785-9C4E-B768-555C18FBED8F}">
  <dimension ref="A1:K25"/>
  <sheetViews>
    <sheetView topLeftCell="A10" zoomScale="75" workbookViewId="0">
      <selection activeCell="A26" sqref="A26"/>
    </sheetView>
  </sheetViews>
  <sheetFormatPr baseColWidth="10" defaultColWidth="11.3984375" defaultRowHeight="13"/>
  <cols>
    <col min="1" max="1" width="20.796875" style="3" customWidth="1"/>
    <col min="2" max="7" width="14.19921875" style="3" customWidth="1"/>
    <col min="8" max="16384" width="11.3984375" style="3"/>
  </cols>
  <sheetData>
    <row r="1" spans="1:11" s="1" customFormat="1" ht="14" customHeight="1"/>
    <row r="2" spans="1:11" s="1" customFormat="1" ht="28" customHeight="1">
      <c r="A2" s="81" t="s">
        <v>404</v>
      </c>
    </row>
    <row r="3" spans="1:11" ht="24" customHeight="1">
      <c r="A3" s="2" t="s">
        <v>335</v>
      </c>
      <c r="B3" s="74" t="s">
        <v>412</v>
      </c>
      <c r="C3" s="17" t="s">
        <v>609</v>
      </c>
      <c r="D3" s="74" t="s">
        <v>405</v>
      </c>
      <c r="E3" s="17" t="s">
        <v>609</v>
      </c>
      <c r="F3" s="74" t="s">
        <v>413</v>
      </c>
      <c r="G3" s="17" t="s">
        <v>609</v>
      </c>
    </row>
    <row r="4" spans="1:11" ht="15" customHeight="1">
      <c r="A4" s="82"/>
      <c r="B4" s="75"/>
      <c r="C4" s="18" t="s">
        <v>610</v>
      </c>
      <c r="D4" s="75" t="s">
        <v>414</v>
      </c>
      <c r="E4" s="18" t="s">
        <v>610</v>
      </c>
      <c r="F4" s="75"/>
      <c r="G4" s="18" t="s">
        <v>610</v>
      </c>
    </row>
    <row r="5" spans="1:11" ht="15" customHeight="1">
      <c r="A5" s="82"/>
      <c r="B5" s="75"/>
      <c r="C5" s="18" t="s">
        <v>611</v>
      </c>
      <c r="D5" s="75"/>
      <c r="E5" s="18" t="s">
        <v>611</v>
      </c>
      <c r="F5" s="75"/>
      <c r="G5" s="18" t="s">
        <v>611</v>
      </c>
    </row>
    <row r="6" spans="1:11" ht="24" customHeight="1">
      <c r="A6" s="83"/>
      <c r="B6" s="78"/>
      <c r="C6" s="19"/>
      <c r="D6" s="78"/>
      <c r="E6" s="19"/>
      <c r="F6" s="78"/>
      <c r="G6" s="19"/>
    </row>
    <row r="7" spans="1:11" ht="30" customHeight="1" thickBot="1">
      <c r="A7" s="84">
        <v>1994</v>
      </c>
      <c r="B7" s="92">
        <v>5454599</v>
      </c>
      <c r="C7" s="126" t="s">
        <v>487</v>
      </c>
      <c r="D7" s="20">
        <v>1155023</v>
      </c>
      <c r="E7" s="126" t="s">
        <v>487</v>
      </c>
      <c r="F7" s="92">
        <v>20875408</v>
      </c>
      <c r="G7" s="126" t="s">
        <v>487</v>
      </c>
      <c r="H7" s="43"/>
    </row>
    <row r="8" spans="1:11" ht="20" customHeight="1" thickBot="1">
      <c r="A8" s="85">
        <v>1995</v>
      </c>
      <c r="B8" s="80">
        <v>5702352</v>
      </c>
      <c r="C8" s="26">
        <v>4.542093745113069E-2</v>
      </c>
      <c r="D8" s="30">
        <v>1201676</v>
      </c>
      <c r="E8" s="26">
        <v>4.0391403461229776E-2</v>
      </c>
      <c r="F8" s="30">
        <v>22276549</v>
      </c>
      <c r="G8" s="26">
        <v>6.711921510707719E-2</v>
      </c>
      <c r="H8" s="43"/>
    </row>
    <row r="9" spans="1:11" ht="20" customHeight="1" thickBot="1">
      <c r="A9" s="85">
        <v>1996</v>
      </c>
      <c r="B9" s="30">
        <v>5599991</v>
      </c>
      <c r="C9" s="26">
        <v>-1.7950663164953688E-2</v>
      </c>
      <c r="D9" s="30">
        <v>1117084</v>
      </c>
      <c r="E9" s="26">
        <v>-7.0395014962435803E-2</v>
      </c>
      <c r="F9" s="30">
        <v>18812841</v>
      </c>
      <c r="G9" s="26">
        <v>-0.15548674078736344</v>
      </c>
    </row>
    <row r="10" spans="1:11" ht="20" customHeight="1" thickBot="1">
      <c r="A10" s="85">
        <v>1997</v>
      </c>
      <c r="B10" s="30">
        <v>5669325</v>
      </c>
      <c r="C10" s="26">
        <v>1.2381091326753918E-2</v>
      </c>
      <c r="D10" s="30">
        <v>1150122</v>
      </c>
      <c r="E10" s="26">
        <v>2.9575215471710273E-2</v>
      </c>
      <c r="F10" s="30">
        <v>18987651</v>
      </c>
      <c r="G10" s="26">
        <v>9.2920574835028899E-3</v>
      </c>
      <c r="I10" s="45"/>
      <c r="J10" s="45"/>
      <c r="K10" s="45"/>
    </row>
    <row r="11" spans="1:11" ht="20" customHeight="1" thickBot="1">
      <c r="A11" s="85">
        <v>1998</v>
      </c>
      <c r="B11" s="30">
        <v>5768621</v>
      </c>
      <c r="C11" s="26">
        <v>1.7514607118131346E-2</v>
      </c>
      <c r="D11" s="30">
        <v>1154759</v>
      </c>
      <c r="E11" s="26">
        <v>4.0317461973599323E-3</v>
      </c>
      <c r="F11" s="30">
        <v>17067058</v>
      </c>
      <c r="G11" s="26">
        <v>-0.10114958401120813</v>
      </c>
    </row>
    <row r="12" spans="1:11" ht="20" customHeight="1" thickBot="1">
      <c r="A12" s="85">
        <v>1999</v>
      </c>
      <c r="B12" s="30">
        <v>5833167</v>
      </c>
      <c r="C12" s="26">
        <v>1.1189155952523141E-2</v>
      </c>
      <c r="D12" s="30">
        <v>1096033</v>
      </c>
      <c r="E12" s="26">
        <v>-5.085563308014919E-2</v>
      </c>
      <c r="F12" s="30">
        <v>12747160</v>
      </c>
      <c r="G12" s="26">
        <v>-0.25311321963047173</v>
      </c>
    </row>
    <row r="13" spans="1:11" ht="19.5" customHeight="1" thickBot="1">
      <c r="A13" s="85">
        <v>2000</v>
      </c>
      <c r="B13" s="30">
        <v>5947035</v>
      </c>
      <c r="C13" s="26">
        <v>1.9520785192674923E-2</v>
      </c>
      <c r="D13" s="30">
        <v>1097932</v>
      </c>
      <c r="E13" s="26">
        <v>1.7326120655126261E-3</v>
      </c>
      <c r="F13" s="30">
        <v>12447351</v>
      </c>
      <c r="G13" s="26">
        <v>-2.3519670263807781E-2</v>
      </c>
    </row>
    <row r="14" spans="1:11" ht="19.5" customHeight="1" thickBot="1">
      <c r="A14" s="85">
        <v>2001</v>
      </c>
      <c r="B14" s="30">
        <v>6043905</v>
      </c>
      <c r="C14" s="26">
        <v>1.6288789287434831E-2</v>
      </c>
      <c r="D14" s="30">
        <v>1193315</v>
      </c>
      <c r="E14" s="26">
        <v>8.6875143451507014E-2</v>
      </c>
      <c r="F14" s="30">
        <v>12514126</v>
      </c>
      <c r="G14" s="26">
        <v>5.3645952460085683E-3</v>
      </c>
    </row>
    <row r="15" spans="1:11" ht="30" customHeight="1" thickBot="1">
      <c r="A15" s="135">
        <v>2002</v>
      </c>
      <c r="B15" s="136">
        <v>6170788</v>
      </c>
      <c r="C15" s="35">
        <v>2.0993546390950885E-2</v>
      </c>
      <c r="D15" s="136">
        <v>1207239</v>
      </c>
      <c r="E15" s="35">
        <v>1.1668335686721444E-2</v>
      </c>
      <c r="F15" s="136">
        <v>12391461</v>
      </c>
      <c r="G15" s="35">
        <v>-9.8021228170469109E-3</v>
      </c>
    </row>
    <row r="16" spans="1:11" ht="19.5" customHeight="1">
      <c r="A16" s="9" t="s">
        <v>1525</v>
      </c>
      <c r="B16" s="9"/>
      <c r="C16" s="9"/>
      <c r="D16" s="9"/>
      <c r="E16" s="9"/>
      <c r="F16" s="9"/>
      <c r="G16" s="9"/>
    </row>
    <row r="17" spans="1:7" ht="12.75" customHeight="1">
      <c r="A17" s="38"/>
      <c r="B17" s="38"/>
      <c r="C17" s="38"/>
      <c r="D17" s="38"/>
      <c r="E17" s="38"/>
      <c r="F17" s="38"/>
      <c r="G17" s="38"/>
    </row>
    <row r="18" spans="1:7" ht="12.75" customHeight="1">
      <c r="A18" s="38" t="s">
        <v>1472</v>
      </c>
      <c r="B18" s="38"/>
      <c r="C18" s="38"/>
      <c r="D18" s="38"/>
      <c r="E18" s="38"/>
      <c r="F18" s="38"/>
      <c r="G18" s="38"/>
    </row>
    <row r="19" spans="1:7" ht="12.75" customHeight="1">
      <c r="A19" s="38" t="s">
        <v>406</v>
      </c>
      <c r="B19" s="38"/>
      <c r="C19" s="38"/>
      <c r="D19" s="38"/>
      <c r="E19" s="38"/>
      <c r="F19" s="38"/>
      <c r="G19" s="38"/>
    </row>
    <row r="20" spans="1:7" ht="12.75" customHeight="1">
      <c r="A20" s="3" t="s">
        <v>407</v>
      </c>
    </row>
    <row r="21" spans="1:7" ht="12.75" customHeight="1">
      <c r="A21" s="3" t="s">
        <v>408</v>
      </c>
    </row>
    <row r="22" spans="1:7" ht="12.75" customHeight="1">
      <c r="A22" s="3" t="s">
        <v>409</v>
      </c>
    </row>
    <row r="23" spans="1:7" ht="12.75" customHeight="1">
      <c r="A23" s="3" t="s">
        <v>410</v>
      </c>
    </row>
    <row r="25" spans="1:7">
      <c r="A25" s="3" t="s">
        <v>411</v>
      </c>
    </row>
  </sheetData>
  <phoneticPr fontId="0" type="noConversion"/>
  <pageMargins left="0.38" right="0.25"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F662-FD6B-DD44-95D3-46FA815419D0}">
  <dimension ref="A1:G22"/>
  <sheetViews>
    <sheetView zoomScale="75" workbookViewId="0"/>
  </sheetViews>
  <sheetFormatPr baseColWidth="10" defaultColWidth="10.796875" defaultRowHeight="13"/>
  <cols>
    <col min="1" max="1" width="35.796875" style="3" customWidth="1"/>
    <col min="2" max="3" width="12.796875" style="43" customWidth="1"/>
    <col min="4" max="4" width="14.19921875" style="43" customWidth="1"/>
    <col min="5" max="5" width="12.796875" style="43" customWidth="1"/>
    <col min="6" max="6" width="14.19921875" style="43" customWidth="1"/>
    <col min="7" max="7" width="12.796875" style="3" customWidth="1"/>
    <col min="8" max="16384" width="10.796875" style="3"/>
  </cols>
  <sheetData>
    <row r="1" spans="1:7" ht="14" customHeight="1">
      <c r="A1" s="439"/>
    </row>
    <row r="2" spans="1:7" ht="28" customHeight="1">
      <c r="A2" s="81" t="s">
        <v>1526</v>
      </c>
    </row>
    <row r="3" spans="1:7" s="105" customFormat="1" ht="25" customHeight="1">
      <c r="A3" s="440" t="s">
        <v>1467</v>
      </c>
      <c r="B3" s="14" t="s">
        <v>1665</v>
      </c>
      <c r="C3" s="65" t="s">
        <v>1666</v>
      </c>
      <c r="D3" s="14" t="s">
        <v>1670</v>
      </c>
      <c r="E3" s="17" t="s">
        <v>1664</v>
      </c>
      <c r="F3" s="74" t="s">
        <v>607</v>
      </c>
      <c r="G3" s="17" t="s">
        <v>609</v>
      </c>
    </row>
    <row r="4" spans="1:7" s="105" customFormat="1" ht="15" customHeight="1">
      <c r="A4" s="441"/>
      <c r="B4" s="15"/>
      <c r="C4" s="66"/>
      <c r="D4" s="15"/>
      <c r="E4" s="66"/>
      <c r="F4" s="75"/>
      <c r="G4" s="18" t="s">
        <v>610</v>
      </c>
    </row>
    <row r="5" spans="1:7" s="105" customFormat="1" ht="15" customHeight="1">
      <c r="A5" s="441"/>
      <c r="B5" s="15"/>
      <c r="C5" s="66"/>
      <c r="D5" s="15"/>
      <c r="E5" s="66"/>
      <c r="F5" s="75"/>
      <c r="G5" s="18" t="s">
        <v>611</v>
      </c>
    </row>
    <row r="6" spans="1:7" s="105" customFormat="1" ht="24" customHeight="1">
      <c r="A6" s="442"/>
      <c r="B6" s="443"/>
      <c r="C6" s="444"/>
      <c r="D6" s="443"/>
      <c r="E6" s="444"/>
      <c r="F6" s="445"/>
      <c r="G6" s="19"/>
    </row>
    <row r="7" spans="1:7" ht="30" customHeight="1" thickBot="1">
      <c r="A7" s="446" t="s">
        <v>1714</v>
      </c>
      <c r="B7" s="20">
        <v>2798041</v>
      </c>
      <c r="C7" s="91">
        <v>2982916</v>
      </c>
      <c r="D7" s="20">
        <v>5780957</v>
      </c>
      <c r="E7" s="91">
        <v>1578408</v>
      </c>
      <c r="F7" s="447">
        <v>7359365</v>
      </c>
      <c r="G7" s="147">
        <v>5.2009981305199482E-3</v>
      </c>
    </row>
    <row r="8" spans="1:7" ht="24" customHeight="1" thickBot="1">
      <c r="A8" s="448" t="s">
        <v>401</v>
      </c>
      <c r="B8" s="30">
        <v>2061140</v>
      </c>
      <c r="C8" s="122">
        <v>2736171</v>
      </c>
      <c r="D8" s="30">
        <v>4797311</v>
      </c>
      <c r="E8" s="122">
        <v>1373477</v>
      </c>
      <c r="F8" s="89">
        <v>6170788</v>
      </c>
      <c r="G8" s="147">
        <v>2.0993546390950885E-2</v>
      </c>
    </row>
    <row r="9" spans="1:7" ht="20" customHeight="1" thickBot="1">
      <c r="A9" s="448" t="s">
        <v>1468</v>
      </c>
      <c r="B9" s="449">
        <v>73.7</v>
      </c>
      <c r="C9" s="93">
        <v>91.7</v>
      </c>
      <c r="D9" s="449">
        <v>82.984720349935131</v>
      </c>
      <c r="E9" s="93">
        <v>87</v>
      </c>
      <c r="F9" s="450">
        <v>83.8</v>
      </c>
      <c r="G9" s="147">
        <v>1.4527845036319648E-2</v>
      </c>
    </row>
    <row r="10" spans="1:7" ht="24" customHeight="1" thickBot="1">
      <c r="A10" s="448" t="s">
        <v>402</v>
      </c>
      <c r="B10" s="30">
        <v>470706</v>
      </c>
      <c r="C10" s="122">
        <v>661408</v>
      </c>
      <c r="D10" s="30">
        <v>1132114</v>
      </c>
      <c r="E10" s="122">
        <v>75125</v>
      </c>
      <c r="F10" s="89">
        <v>1207239</v>
      </c>
      <c r="G10" s="147">
        <v>1.1668335686721444E-2</v>
      </c>
    </row>
    <row r="11" spans="1:7" ht="20" customHeight="1" thickBot="1">
      <c r="A11" s="448" t="s">
        <v>977</v>
      </c>
      <c r="B11" s="30" t="s">
        <v>490</v>
      </c>
      <c r="C11" s="122">
        <v>83911</v>
      </c>
      <c r="D11" s="30">
        <v>83911</v>
      </c>
      <c r="E11" s="122">
        <v>706</v>
      </c>
      <c r="F11" s="89">
        <v>84617</v>
      </c>
      <c r="G11" s="147">
        <v>-3.4625564733263357E-2</v>
      </c>
    </row>
    <row r="12" spans="1:7" ht="20" customHeight="1" thickBot="1">
      <c r="A12" s="451" t="s">
        <v>1469</v>
      </c>
      <c r="B12" s="449">
        <v>16.8</v>
      </c>
      <c r="C12" s="93">
        <v>22.2</v>
      </c>
      <c r="D12" s="449">
        <v>19.583504945634434</v>
      </c>
      <c r="E12" s="93">
        <v>4.8</v>
      </c>
      <c r="F12" s="450">
        <v>16.399999999999999</v>
      </c>
      <c r="G12" s="147">
        <v>6.1349693251532434E-3</v>
      </c>
    </row>
    <row r="13" spans="1:7" ht="24" customHeight="1" thickBot="1">
      <c r="A13" s="448" t="s">
        <v>403</v>
      </c>
      <c r="B13" s="30">
        <v>5006421</v>
      </c>
      <c r="C13" s="122">
        <v>6953115</v>
      </c>
      <c r="D13" s="30">
        <v>11959536</v>
      </c>
      <c r="E13" s="122">
        <v>431925</v>
      </c>
      <c r="F13" s="89">
        <v>12391461</v>
      </c>
      <c r="G13" s="147">
        <v>-9.8021228170469109E-3</v>
      </c>
    </row>
    <row r="14" spans="1:7" ht="20" customHeight="1" thickBot="1">
      <c r="A14" s="448" t="s">
        <v>977</v>
      </c>
      <c r="B14" s="253" t="s">
        <v>490</v>
      </c>
      <c r="C14" s="122">
        <v>507974</v>
      </c>
      <c r="D14" s="30">
        <v>507974</v>
      </c>
      <c r="E14" s="122">
        <v>3545</v>
      </c>
      <c r="F14" s="89">
        <v>511519</v>
      </c>
      <c r="G14" s="147">
        <v>-4.71845021886933E-2</v>
      </c>
    </row>
    <row r="15" spans="1:7" ht="20" customHeight="1" thickBot="1">
      <c r="A15" s="448" t="s">
        <v>1470</v>
      </c>
      <c r="B15" s="449">
        <v>178.9</v>
      </c>
      <c r="C15" s="93">
        <v>233.1</v>
      </c>
      <c r="D15" s="449">
        <v>206.87813453724013</v>
      </c>
      <c r="E15" s="93">
        <v>27.4</v>
      </c>
      <c r="F15" s="450">
        <v>168.4</v>
      </c>
      <c r="G15" s="147">
        <v>-1.4628437682855471E-2</v>
      </c>
    </row>
    <row r="16" spans="1:7" ht="30" customHeight="1" thickBot="1">
      <c r="A16" s="452" t="s">
        <v>1471</v>
      </c>
      <c r="B16" s="179">
        <v>10.635982970261692</v>
      </c>
      <c r="C16" s="178">
        <v>10.51259585611302</v>
      </c>
      <c r="D16" s="179">
        <v>10.563897275362729</v>
      </c>
      <c r="E16" s="178">
        <v>5.7494176372712147</v>
      </c>
      <c r="F16" s="453">
        <v>10.264298121581559</v>
      </c>
      <c r="G16" s="454">
        <v>-2.122282347523919E-2</v>
      </c>
    </row>
    <row r="17" spans="1:7" ht="20" customHeight="1">
      <c r="A17" s="9" t="s">
        <v>1525</v>
      </c>
      <c r="B17" s="117"/>
      <c r="C17" s="117"/>
      <c r="D17" s="117"/>
      <c r="E17" s="117"/>
      <c r="F17" s="117"/>
      <c r="G17" s="9"/>
    </row>
    <row r="18" spans="1:7" ht="13.5" customHeight="1">
      <c r="A18" s="38"/>
      <c r="B18" s="118"/>
      <c r="C18" s="118"/>
      <c r="D18" s="118"/>
      <c r="E18" s="118"/>
      <c r="F18" s="118"/>
      <c r="G18" s="38"/>
    </row>
    <row r="19" spans="1:7" ht="12.75" customHeight="1">
      <c r="A19" s="38" t="s">
        <v>1472</v>
      </c>
      <c r="B19" s="118"/>
      <c r="C19" s="118"/>
      <c r="D19" s="118"/>
      <c r="E19" s="118"/>
      <c r="F19" s="118"/>
      <c r="G19" s="38"/>
    </row>
    <row r="20" spans="1:7" ht="12.75" customHeight="1">
      <c r="A20" s="3" t="s">
        <v>399</v>
      </c>
    </row>
    <row r="22" spans="1:7">
      <c r="A22" s="3" t="s">
        <v>400</v>
      </c>
    </row>
  </sheetData>
  <phoneticPr fontId="0" type="noConversion"/>
  <pageMargins left="0.4" right="0.51" top="1.4566929133858268" bottom="0.47244094488188981" header="0.94488188976377963" footer="0.51181102362204722"/>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48E1-E4A9-FE44-B8FA-A7A8D5DF8AE8}">
  <dimension ref="A1:K22"/>
  <sheetViews>
    <sheetView topLeftCell="A4" zoomScale="75" workbookViewId="0">
      <selection activeCell="A21" sqref="A21"/>
    </sheetView>
  </sheetViews>
  <sheetFormatPr baseColWidth="10" defaultColWidth="11.3984375" defaultRowHeight="13"/>
  <cols>
    <col min="1" max="1" width="14.3984375" style="3" customWidth="1"/>
    <col min="2" max="2" width="17" style="3" customWidth="1"/>
    <col min="3" max="3" width="16.3984375" style="3" customWidth="1"/>
    <col min="4" max="4" width="15.796875" style="3" customWidth="1"/>
    <col min="5" max="5" width="17" style="3" customWidth="1"/>
    <col min="6" max="6" width="18" style="3" customWidth="1"/>
    <col min="7" max="7" width="13.19921875" style="3" customWidth="1"/>
    <col min="8" max="16384" width="11.3984375" style="3"/>
  </cols>
  <sheetData>
    <row r="1" spans="1:11" s="1" customFormat="1" ht="14" customHeight="1"/>
    <row r="2" spans="1:11" s="1" customFormat="1" ht="28" customHeight="1">
      <c r="A2" s="64" t="s">
        <v>1461</v>
      </c>
    </row>
    <row r="3" spans="1:11" ht="24" customHeight="1">
      <c r="A3" s="2" t="s">
        <v>1466</v>
      </c>
      <c r="B3" s="74" t="s">
        <v>1447</v>
      </c>
      <c r="C3" s="17" t="s">
        <v>1448</v>
      </c>
      <c r="D3" s="74" t="s">
        <v>1449</v>
      </c>
      <c r="E3" s="17" t="s">
        <v>1450</v>
      </c>
      <c r="F3" s="74" t="s">
        <v>607</v>
      </c>
      <c r="G3" s="17" t="s">
        <v>609</v>
      </c>
    </row>
    <row r="4" spans="1:11" ht="15" customHeight="1">
      <c r="A4" s="82"/>
      <c r="B4" s="75" t="s">
        <v>1451</v>
      </c>
      <c r="C4" s="18" t="s">
        <v>1452</v>
      </c>
      <c r="D4" s="75" t="s">
        <v>1453</v>
      </c>
      <c r="E4" s="66" t="s">
        <v>1454</v>
      </c>
      <c r="F4" s="75"/>
      <c r="G4" s="18" t="s">
        <v>610</v>
      </c>
    </row>
    <row r="5" spans="1:11" ht="15" customHeight="1">
      <c r="A5" s="82"/>
      <c r="B5" s="75" t="s">
        <v>1455</v>
      </c>
      <c r="C5" s="18" t="s">
        <v>1456</v>
      </c>
      <c r="D5" s="75" t="s">
        <v>969</v>
      </c>
      <c r="E5" s="66" t="s">
        <v>1457</v>
      </c>
      <c r="F5" s="75"/>
      <c r="G5" s="18" t="s">
        <v>611</v>
      </c>
    </row>
    <row r="6" spans="1:11" ht="24" customHeight="1">
      <c r="A6" s="83"/>
      <c r="B6" s="78"/>
      <c r="C6" s="19"/>
      <c r="D6" s="78"/>
      <c r="E6" s="67" t="s">
        <v>1458</v>
      </c>
      <c r="F6" s="78"/>
      <c r="G6" s="19"/>
    </row>
    <row r="7" spans="1:11" ht="30" customHeight="1" thickBot="1">
      <c r="A7" s="84">
        <v>1994</v>
      </c>
      <c r="B7" s="92">
        <v>8110345000</v>
      </c>
      <c r="C7" s="91">
        <v>912525000</v>
      </c>
      <c r="D7" s="20">
        <v>17591000</v>
      </c>
      <c r="E7" s="91">
        <v>28416000</v>
      </c>
      <c r="F7" s="92">
        <v>9068877000</v>
      </c>
      <c r="G7" s="126" t="s">
        <v>487</v>
      </c>
      <c r="H7" s="43"/>
    </row>
    <row r="8" spans="1:11" ht="20" customHeight="1" thickBot="1">
      <c r="A8" s="85">
        <v>1995</v>
      </c>
      <c r="B8" s="80">
        <v>8101065000</v>
      </c>
      <c r="C8" s="122">
        <v>984026000</v>
      </c>
      <c r="D8" s="30">
        <v>36207000</v>
      </c>
      <c r="E8" s="122">
        <v>38742000</v>
      </c>
      <c r="F8" s="30">
        <v>9160047000</v>
      </c>
      <c r="G8" s="26">
        <v>1.0053063901958313E-2</v>
      </c>
      <c r="H8" s="43"/>
    </row>
    <row r="9" spans="1:11" ht="20" customHeight="1" thickBot="1">
      <c r="A9" s="85">
        <v>1996</v>
      </c>
      <c r="B9" s="30">
        <v>7263879193.6000004</v>
      </c>
      <c r="C9" s="122">
        <v>3689716942.5</v>
      </c>
      <c r="D9" s="30">
        <v>38020066.050000004</v>
      </c>
      <c r="E9" s="122">
        <v>139019617.94999999</v>
      </c>
      <c r="F9" s="30">
        <v>11130635820.099998</v>
      </c>
      <c r="G9" s="26">
        <v>0.21512868002751498</v>
      </c>
    </row>
    <row r="10" spans="1:11" ht="20" customHeight="1" thickBot="1">
      <c r="A10" s="85">
        <v>1997</v>
      </c>
      <c r="B10" s="30">
        <v>6540588878</v>
      </c>
      <c r="C10" s="122">
        <v>4995296573</v>
      </c>
      <c r="D10" s="30">
        <v>16474356</v>
      </c>
      <c r="E10" s="122">
        <v>488324321</v>
      </c>
      <c r="F10" s="30">
        <v>12040684128</v>
      </c>
      <c r="G10" s="26">
        <v>8.1760675904660546E-2</v>
      </c>
      <c r="I10" s="45"/>
      <c r="J10" s="45"/>
      <c r="K10" s="45"/>
    </row>
    <row r="11" spans="1:11" ht="20" customHeight="1" thickBot="1">
      <c r="A11" s="85">
        <v>1998</v>
      </c>
      <c r="B11" s="30">
        <v>6687491385</v>
      </c>
      <c r="C11" s="122">
        <v>5281034163</v>
      </c>
      <c r="D11" s="30">
        <v>17124804</v>
      </c>
      <c r="E11" s="122">
        <v>722619796</v>
      </c>
      <c r="F11" s="30">
        <v>12708270148</v>
      </c>
      <c r="G11" s="26">
        <v>5.5444193444753077E-2</v>
      </c>
    </row>
    <row r="12" spans="1:11" ht="20" customHeight="1" thickBot="1">
      <c r="A12" s="85">
        <v>1999</v>
      </c>
      <c r="B12" s="30">
        <v>6794064715</v>
      </c>
      <c r="C12" s="122">
        <v>5396193285</v>
      </c>
      <c r="D12" s="30">
        <v>15330070</v>
      </c>
      <c r="E12" s="122">
        <v>828254703</v>
      </c>
      <c r="F12" s="30">
        <v>13033842773</v>
      </c>
      <c r="G12" s="26">
        <v>2.5618956884642392E-2</v>
      </c>
    </row>
    <row r="13" spans="1:11" ht="20" customHeight="1" thickBot="1">
      <c r="A13" s="85">
        <v>2000</v>
      </c>
      <c r="B13" s="30">
        <v>6892066397</v>
      </c>
      <c r="C13" s="122">
        <v>5620040093</v>
      </c>
      <c r="D13" s="30">
        <v>15057027</v>
      </c>
      <c r="E13" s="122">
        <v>914491167</v>
      </c>
      <c r="F13" s="30">
        <v>13441654684</v>
      </c>
      <c r="G13" s="26">
        <v>3.1288693450008058E-2</v>
      </c>
    </row>
    <row r="14" spans="1:11" ht="20" customHeight="1" thickBot="1">
      <c r="A14" s="85">
        <v>2001</v>
      </c>
      <c r="B14" s="30">
        <v>7135000924</v>
      </c>
      <c r="C14" s="122">
        <v>5862096902</v>
      </c>
      <c r="D14" s="30">
        <v>14859371</v>
      </c>
      <c r="E14" s="122">
        <v>985355210</v>
      </c>
      <c r="F14" s="30">
        <v>13997312407</v>
      </c>
      <c r="G14" s="26">
        <v>4.133849113542664E-2</v>
      </c>
    </row>
    <row r="15" spans="1:11" ht="30" customHeight="1" thickBot="1">
      <c r="A15" s="435">
        <v>2002</v>
      </c>
      <c r="B15" s="436">
        <v>7607493462</v>
      </c>
      <c r="C15" s="437">
        <v>6653772458</v>
      </c>
      <c r="D15" s="436">
        <v>15940357</v>
      </c>
      <c r="E15" s="437">
        <v>1077838954</v>
      </c>
      <c r="F15" s="436">
        <v>15355045231</v>
      </c>
      <c r="G15" s="35">
        <v>9.69995370912064E-2</v>
      </c>
    </row>
    <row r="16" spans="1:11" ht="20" customHeight="1">
      <c r="A16" s="9" t="s">
        <v>1525</v>
      </c>
      <c r="B16" s="151"/>
      <c r="C16" s="151"/>
      <c r="D16" s="151"/>
      <c r="E16" s="151"/>
      <c r="F16" s="151"/>
      <c r="G16" s="271"/>
    </row>
    <row r="17" spans="1:7" ht="14.25" customHeight="1">
      <c r="A17" s="38"/>
      <c r="B17" s="152"/>
      <c r="C17" s="152"/>
      <c r="D17" s="152"/>
      <c r="E17" s="152"/>
      <c r="F17" s="152"/>
      <c r="G17" s="272"/>
    </row>
    <row r="18" spans="1:7" ht="12.75" customHeight="1">
      <c r="A18" s="38" t="s">
        <v>1462</v>
      </c>
      <c r="B18" s="152"/>
      <c r="C18" s="152"/>
      <c r="D18" s="152"/>
      <c r="E18" s="152"/>
      <c r="F18" s="152"/>
      <c r="G18" s="272"/>
    </row>
    <row r="19" spans="1:7" ht="12.75" customHeight="1">
      <c r="A19" s="3" t="s">
        <v>1463</v>
      </c>
    </row>
    <row r="20" spans="1:7" ht="12.75" customHeight="1">
      <c r="A20" s="438" t="s">
        <v>1464</v>
      </c>
    </row>
    <row r="22" spans="1:7">
      <c r="A22" s="3" t="s">
        <v>1465</v>
      </c>
    </row>
  </sheetData>
  <phoneticPr fontId="0" type="noConversion"/>
  <pageMargins left="0.4" right="0.42" top="1.46" bottom="0.49" header="0.93"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14E34-628E-A14A-9401-B2D92F355542}">
  <dimension ref="A1:K20"/>
  <sheetViews>
    <sheetView zoomScale="75" workbookViewId="0">
      <selection activeCell="G15" sqref="G15"/>
    </sheetView>
  </sheetViews>
  <sheetFormatPr baseColWidth="10" defaultColWidth="11.3984375" defaultRowHeight="13"/>
  <cols>
    <col min="1" max="1" width="20.796875" style="3" customWidth="1"/>
    <col min="2" max="7" width="14.3984375" style="3" customWidth="1"/>
    <col min="8" max="16384" width="11.3984375" style="3"/>
  </cols>
  <sheetData>
    <row r="1" spans="1:11" s="1" customFormat="1" ht="14" customHeight="1"/>
    <row r="2" spans="1:11" s="1" customFormat="1" ht="28" customHeight="1">
      <c r="A2" s="64" t="s">
        <v>1446</v>
      </c>
    </row>
    <row r="3" spans="1:11" ht="24" customHeight="1">
      <c r="A3" s="2" t="s">
        <v>1308</v>
      </c>
      <c r="B3" s="74" t="s">
        <v>1447</v>
      </c>
      <c r="C3" s="17" t="s">
        <v>1448</v>
      </c>
      <c r="D3" s="74" t="s">
        <v>1449</v>
      </c>
      <c r="E3" s="17" t="s">
        <v>1450</v>
      </c>
      <c r="F3" s="74" t="s">
        <v>607</v>
      </c>
      <c r="G3" s="17" t="s">
        <v>609</v>
      </c>
    </row>
    <row r="4" spans="1:11" ht="15" customHeight="1">
      <c r="A4" s="82"/>
      <c r="B4" s="75" t="s">
        <v>1451</v>
      </c>
      <c r="C4" s="18" t="s">
        <v>1452</v>
      </c>
      <c r="D4" s="75" t="s">
        <v>1453</v>
      </c>
      <c r="E4" s="66" t="s">
        <v>1454</v>
      </c>
      <c r="F4" s="75"/>
      <c r="G4" s="18" t="s">
        <v>610</v>
      </c>
    </row>
    <row r="5" spans="1:11" ht="15" customHeight="1">
      <c r="A5" s="82"/>
      <c r="B5" s="75" t="s">
        <v>1455</v>
      </c>
      <c r="C5" s="18" t="s">
        <v>1456</v>
      </c>
      <c r="D5" s="75" t="s">
        <v>969</v>
      </c>
      <c r="E5" s="66" t="s">
        <v>1457</v>
      </c>
      <c r="F5" s="75"/>
      <c r="G5" s="18" t="s">
        <v>611</v>
      </c>
    </row>
    <row r="6" spans="1:11" ht="24" customHeight="1">
      <c r="A6" s="83"/>
      <c r="B6" s="78"/>
      <c r="C6" s="19"/>
      <c r="D6" s="78"/>
      <c r="E6" s="67" t="s">
        <v>1458</v>
      </c>
      <c r="F6" s="78"/>
      <c r="G6" s="19"/>
    </row>
    <row r="7" spans="1:11" ht="30" customHeight="1" thickBot="1">
      <c r="A7" s="84">
        <v>1994</v>
      </c>
      <c r="B7" s="92">
        <v>1257.8932936201311</v>
      </c>
      <c r="C7" s="91">
        <v>1416.984088286948</v>
      </c>
      <c r="D7" s="20">
        <v>1149.8888743626617</v>
      </c>
      <c r="E7" s="91">
        <v>1145.7140553181196</v>
      </c>
      <c r="F7" s="92">
        <v>1271.6374450635778</v>
      </c>
      <c r="G7" s="126" t="s">
        <v>487</v>
      </c>
      <c r="H7" s="43"/>
    </row>
    <row r="8" spans="1:11" ht="20" customHeight="1" thickBot="1">
      <c r="A8" s="85">
        <v>1995</v>
      </c>
      <c r="B8" s="80">
        <v>1265.8938645346607</v>
      </c>
      <c r="C8" s="122">
        <v>1408.2722358736423</v>
      </c>
      <c r="D8" s="30">
        <v>1107.0784283748662</v>
      </c>
      <c r="E8" s="122">
        <v>1094.9325947488908</v>
      </c>
      <c r="F8" s="30">
        <v>1278.2084577056805</v>
      </c>
      <c r="G8" s="26">
        <v>5.1673632823655627E-3</v>
      </c>
      <c r="H8" s="43"/>
    </row>
    <row r="9" spans="1:11" ht="20" customHeight="1" thickBot="1">
      <c r="A9" s="85">
        <v>1996</v>
      </c>
      <c r="B9" s="30">
        <v>1532.58</v>
      </c>
      <c r="C9" s="122">
        <v>1600.27</v>
      </c>
      <c r="D9" s="30">
        <v>1366.25</v>
      </c>
      <c r="E9" s="122">
        <v>1143.27</v>
      </c>
      <c r="F9" s="30">
        <v>1547.05</v>
      </c>
      <c r="G9" s="26">
        <v>0.21032683728042012</v>
      </c>
    </row>
    <row r="10" spans="1:11" ht="20" customHeight="1" thickBot="1">
      <c r="A10" s="85">
        <v>1997</v>
      </c>
      <c r="B10" s="30">
        <v>1601.57</v>
      </c>
      <c r="C10" s="122">
        <v>1825.52</v>
      </c>
      <c r="D10" s="30">
        <v>1433.3</v>
      </c>
      <c r="E10" s="122">
        <v>1274.69</v>
      </c>
      <c r="F10" s="30">
        <v>1668.89</v>
      </c>
      <c r="G10" s="26">
        <v>7.8756342716783653E-2</v>
      </c>
      <c r="I10" s="45"/>
      <c r="J10" s="45"/>
      <c r="K10" s="45"/>
    </row>
    <row r="11" spans="1:11" ht="20" customHeight="1" thickBot="1">
      <c r="A11" s="85">
        <v>1998</v>
      </c>
      <c r="B11" s="30">
        <v>1665.1</v>
      </c>
      <c r="C11" s="122">
        <v>1936.95</v>
      </c>
      <c r="D11" s="30">
        <v>1447.82</v>
      </c>
      <c r="E11" s="122">
        <v>1462.67</v>
      </c>
      <c r="F11" s="30">
        <v>1753.2</v>
      </c>
      <c r="G11" s="26">
        <v>5.0518608176692258E-2</v>
      </c>
    </row>
    <row r="12" spans="1:11" ht="20" customHeight="1" thickBot="1">
      <c r="A12" s="85">
        <v>1999</v>
      </c>
      <c r="B12" s="30">
        <v>1699.05</v>
      </c>
      <c r="C12" s="122">
        <v>1987.08</v>
      </c>
      <c r="D12" s="30">
        <v>1494.45</v>
      </c>
      <c r="E12" s="122">
        <v>1528.46</v>
      </c>
      <c r="F12" s="30">
        <v>1793.68</v>
      </c>
      <c r="G12" s="26">
        <v>2.3089208304814063E-2</v>
      </c>
    </row>
    <row r="13" spans="1:11" ht="20" customHeight="1" thickBot="1">
      <c r="A13" s="85">
        <v>2000</v>
      </c>
      <c r="B13" s="30">
        <v>1757.32</v>
      </c>
      <c r="C13" s="122">
        <v>2037.32</v>
      </c>
      <c r="D13" s="30">
        <v>1534.71</v>
      </c>
      <c r="E13" s="122">
        <v>1582.6</v>
      </c>
      <c r="F13" s="30">
        <v>1849.4</v>
      </c>
      <c r="G13" s="26">
        <v>3.1064626912269761E-2</v>
      </c>
    </row>
    <row r="14" spans="1:11" ht="20" customHeight="1" thickBot="1">
      <c r="A14" s="85">
        <v>2001</v>
      </c>
      <c r="B14" s="30">
        <v>1837.88</v>
      </c>
      <c r="C14" s="122">
        <v>2068.62</v>
      </c>
      <c r="D14" s="30">
        <v>1590.77</v>
      </c>
      <c r="E14" s="122">
        <v>1653.45</v>
      </c>
      <c r="F14" s="30">
        <v>1911.87</v>
      </c>
      <c r="G14" s="26">
        <v>3.3778522764139611E-2</v>
      </c>
    </row>
    <row r="15" spans="1:11" ht="30" customHeight="1" thickBot="1">
      <c r="A15" s="135">
        <v>2002</v>
      </c>
      <c r="B15" s="136">
        <v>1995.32</v>
      </c>
      <c r="C15" s="138">
        <v>2232.1999999999998</v>
      </c>
      <c r="D15" s="136">
        <v>1804.23</v>
      </c>
      <c r="E15" s="138">
        <v>1934.96</v>
      </c>
      <c r="F15" s="136">
        <v>2086.46</v>
      </c>
      <c r="G15" s="35">
        <v>9.1318970432090127E-2</v>
      </c>
    </row>
    <row r="16" spans="1:11" ht="20" customHeight="1">
      <c r="A16" s="9" t="s">
        <v>1525</v>
      </c>
      <c r="B16" s="151"/>
      <c r="C16" s="151"/>
      <c r="D16" s="151"/>
      <c r="E16" s="151"/>
      <c r="F16" s="151"/>
      <c r="G16" s="271"/>
    </row>
    <row r="17" spans="1:7" ht="13.5" customHeight="1">
      <c r="A17" s="38"/>
      <c r="B17" s="152"/>
      <c r="C17" s="152"/>
      <c r="D17" s="152"/>
      <c r="E17" s="152"/>
      <c r="F17" s="152"/>
      <c r="G17" s="272"/>
    </row>
    <row r="18" spans="1:7">
      <c r="A18" s="38" t="s">
        <v>1459</v>
      </c>
    </row>
    <row r="20" spans="1:7">
      <c r="A20" s="3" t="s">
        <v>1460</v>
      </c>
    </row>
  </sheetData>
  <phoneticPr fontId="0" type="noConversion"/>
  <pageMargins left="0.38" right="0.34"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802A-7BB2-C14B-AE09-417161ED35E9}">
  <dimension ref="A1:I14"/>
  <sheetViews>
    <sheetView zoomScale="75" workbookViewId="0">
      <selection activeCell="J11" sqref="J11"/>
    </sheetView>
  </sheetViews>
  <sheetFormatPr baseColWidth="10" defaultColWidth="11.3984375" defaultRowHeight="13"/>
  <cols>
    <col min="1" max="1" width="19.3984375" style="3" customWidth="1"/>
    <col min="2" max="3" width="17.19921875" style="3" customWidth="1"/>
    <col min="4" max="4" width="16.796875" style="3" customWidth="1"/>
    <col min="5" max="5" width="18.19921875" style="3" customWidth="1"/>
    <col min="6" max="7" width="13.3984375" style="3" customWidth="1"/>
    <col min="8" max="8" width="11.3984375" style="3"/>
    <col min="9" max="9" width="15.796875" style="3" hidden="1" customWidth="1"/>
    <col min="10" max="16384" width="11.3984375" style="3"/>
  </cols>
  <sheetData>
    <row r="1" spans="1:9" ht="14" customHeight="1">
      <c r="A1" s="439"/>
      <c r="B1" s="38"/>
      <c r="C1" s="38"/>
      <c r="D1" s="38"/>
      <c r="E1" s="38"/>
      <c r="F1" s="38"/>
      <c r="G1" s="38"/>
      <c r="I1" s="38"/>
    </row>
    <row r="2" spans="1:9" ht="28" customHeight="1">
      <c r="A2" s="81" t="s">
        <v>856</v>
      </c>
      <c r="B2" s="38"/>
      <c r="C2" s="38"/>
      <c r="D2" s="38"/>
      <c r="E2" s="38"/>
      <c r="F2" s="38"/>
      <c r="G2" s="38"/>
      <c r="I2" s="38"/>
    </row>
    <row r="3" spans="1:9" ht="24" customHeight="1">
      <c r="A3" s="2" t="s">
        <v>415</v>
      </c>
      <c r="B3" s="74" t="s">
        <v>1665</v>
      </c>
      <c r="C3" s="17" t="s">
        <v>1666</v>
      </c>
      <c r="D3" s="74" t="s">
        <v>1664</v>
      </c>
      <c r="E3" s="17" t="s">
        <v>607</v>
      </c>
      <c r="F3" s="74" t="s">
        <v>1324</v>
      </c>
      <c r="G3" s="17" t="s">
        <v>609</v>
      </c>
      <c r="I3" s="17" t="s">
        <v>607</v>
      </c>
    </row>
    <row r="4" spans="1:9" ht="15" customHeight="1">
      <c r="A4" s="82"/>
      <c r="B4" s="75"/>
      <c r="C4" s="18"/>
      <c r="D4" s="75"/>
      <c r="E4" s="66"/>
      <c r="F4" s="75" t="s">
        <v>1325</v>
      </c>
      <c r="G4" s="18" t="s">
        <v>610</v>
      </c>
      <c r="I4" s="66">
        <v>1999</v>
      </c>
    </row>
    <row r="5" spans="1:9" ht="15" customHeight="1">
      <c r="A5" s="4"/>
      <c r="B5" s="75"/>
      <c r="C5" s="18"/>
      <c r="D5" s="75"/>
      <c r="E5" s="18"/>
      <c r="F5" s="75" t="s">
        <v>416</v>
      </c>
      <c r="G5" s="18" t="s">
        <v>611</v>
      </c>
      <c r="I5" s="18"/>
    </row>
    <row r="6" spans="1:9" ht="24" customHeight="1">
      <c r="A6" s="284"/>
      <c r="B6" s="445"/>
      <c r="C6" s="455"/>
      <c r="D6" s="445"/>
      <c r="E6" s="455"/>
      <c r="F6" s="78"/>
      <c r="G6" s="19"/>
      <c r="I6" s="455"/>
    </row>
    <row r="7" spans="1:9" ht="36" customHeight="1" thickBot="1">
      <c r="A7" s="456" t="s">
        <v>417</v>
      </c>
      <c r="B7" s="79">
        <v>2956437276</v>
      </c>
      <c r="C7" s="112">
        <v>3738518863</v>
      </c>
      <c r="D7" s="79">
        <v>912537323</v>
      </c>
      <c r="E7" s="112">
        <v>7607493462</v>
      </c>
      <c r="F7" s="457">
        <v>0.49543933915879196</v>
      </c>
      <c r="G7" s="458">
        <v>6.6221790723344831E-2</v>
      </c>
      <c r="I7" s="549">
        <v>6794064715</v>
      </c>
    </row>
    <row r="8" spans="1:9" ht="28.5" customHeight="1" thickBot="1">
      <c r="A8" s="456" t="s">
        <v>418</v>
      </c>
      <c r="B8" s="79">
        <v>3217754080</v>
      </c>
      <c r="C8" s="112">
        <v>3324285240</v>
      </c>
      <c r="D8" s="79">
        <v>111733138</v>
      </c>
      <c r="E8" s="112">
        <v>6653772458</v>
      </c>
      <c r="F8" s="457">
        <v>0.43332809235669517</v>
      </c>
      <c r="G8" s="458">
        <v>0.1350498924249956</v>
      </c>
      <c r="I8" s="549">
        <v>5396193285</v>
      </c>
    </row>
    <row r="9" spans="1:9" ht="30.75" customHeight="1" thickBot="1">
      <c r="A9" s="456" t="s">
        <v>419</v>
      </c>
      <c r="B9" s="79">
        <v>9865806</v>
      </c>
      <c r="C9" s="112">
        <v>5801644</v>
      </c>
      <c r="D9" s="79">
        <v>272907</v>
      </c>
      <c r="E9" s="112">
        <v>15940357</v>
      </c>
      <c r="F9" s="457">
        <v>1.0381185310882918E-3</v>
      </c>
      <c r="G9" s="458">
        <v>7.2747763010964597E-2</v>
      </c>
      <c r="I9" s="549">
        <v>15330070</v>
      </c>
    </row>
    <row r="10" spans="1:9" ht="34.5" customHeight="1" thickBot="1">
      <c r="A10" s="456" t="s">
        <v>420</v>
      </c>
      <c r="B10" s="79">
        <v>490814612</v>
      </c>
      <c r="C10" s="112">
        <v>514031374</v>
      </c>
      <c r="D10" s="79">
        <v>72992968</v>
      </c>
      <c r="E10" s="112">
        <v>1077838954</v>
      </c>
      <c r="F10" s="457">
        <v>7.0194449953424568E-2</v>
      </c>
      <c r="G10" s="458">
        <v>9.3858278782531626E-2</v>
      </c>
      <c r="I10" s="549">
        <v>828254703</v>
      </c>
    </row>
    <row r="11" spans="1:9" s="134" customFormat="1" ht="38.25" customHeight="1" thickBot="1">
      <c r="A11" s="547" t="s">
        <v>607</v>
      </c>
      <c r="B11" s="155">
        <v>6674871777</v>
      </c>
      <c r="C11" s="154">
        <v>7582637121</v>
      </c>
      <c r="D11" s="155">
        <v>1097536334</v>
      </c>
      <c r="E11" s="154">
        <v>15355045231</v>
      </c>
      <c r="F11" s="550">
        <v>1</v>
      </c>
      <c r="G11" s="548">
        <v>9.69995370912064E-2</v>
      </c>
      <c r="I11" s="194">
        <v>13033842773</v>
      </c>
    </row>
    <row r="12" spans="1:9" ht="19.5" customHeight="1">
      <c r="A12" s="9" t="s">
        <v>1525</v>
      </c>
      <c r="B12" s="9"/>
      <c r="C12" s="9"/>
      <c r="D12" s="9"/>
      <c r="E12" s="9"/>
      <c r="F12" s="9"/>
      <c r="G12" s="9"/>
      <c r="I12" s="9"/>
    </row>
    <row r="14" spans="1:9">
      <c r="A14" s="3" t="s">
        <v>1545</v>
      </c>
    </row>
  </sheetData>
  <phoneticPr fontId="0" type="noConversion"/>
  <pageMargins left="0.35" right="0.32" top="1.46" bottom="0.49" header="0.93"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9D3D-4ACC-D14A-96D7-56F1CC707796}">
  <dimension ref="A1:G14"/>
  <sheetViews>
    <sheetView zoomScale="75" workbookViewId="0">
      <selection activeCell="F17" sqref="F17"/>
    </sheetView>
  </sheetViews>
  <sheetFormatPr baseColWidth="10" defaultColWidth="11.3984375" defaultRowHeight="13"/>
  <cols>
    <col min="1" max="1" width="19.796875" style="3" customWidth="1"/>
    <col min="2" max="7" width="14.796875" style="3" customWidth="1"/>
    <col min="8" max="16384" width="11.3984375" style="3"/>
  </cols>
  <sheetData>
    <row r="1" spans="1:7" ht="14" customHeight="1">
      <c r="A1" s="439"/>
      <c r="B1" s="38"/>
      <c r="C1" s="38"/>
      <c r="D1" s="38"/>
      <c r="E1" s="38"/>
      <c r="F1" s="38"/>
      <c r="G1" s="38"/>
    </row>
    <row r="2" spans="1:7" ht="36" customHeight="1">
      <c r="A2" s="1302" t="s">
        <v>496</v>
      </c>
      <c r="B2" s="1303"/>
      <c r="C2" s="1303"/>
      <c r="D2" s="1303"/>
      <c r="E2" s="1303"/>
      <c r="F2" s="1303"/>
      <c r="G2" s="1303"/>
    </row>
    <row r="3" spans="1:7" ht="24" customHeight="1">
      <c r="A3" s="2" t="s">
        <v>415</v>
      </c>
      <c r="B3" s="74" t="s">
        <v>1665</v>
      </c>
      <c r="C3" s="17" t="s">
        <v>1666</v>
      </c>
      <c r="D3" s="74" t="s">
        <v>1664</v>
      </c>
      <c r="E3" s="17" t="s">
        <v>607</v>
      </c>
      <c r="F3" s="74" t="s">
        <v>1541</v>
      </c>
      <c r="G3" s="17" t="s">
        <v>609</v>
      </c>
    </row>
    <row r="4" spans="1:7" ht="15" customHeight="1">
      <c r="A4" s="82"/>
      <c r="B4" s="75"/>
      <c r="C4" s="18"/>
      <c r="D4" s="75"/>
      <c r="E4" s="66"/>
      <c r="F4" s="75" t="s">
        <v>1542</v>
      </c>
      <c r="G4" s="18" t="s">
        <v>610</v>
      </c>
    </row>
    <row r="5" spans="1:7" ht="15" customHeight="1">
      <c r="A5" s="4"/>
      <c r="B5" s="75"/>
      <c r="C5" s="18"/>
      <c r="D5" s="75"/>
      <c r="E5" s="18"/>
      <c r="F5" s="75" t="s">
        <v>1543</v>
      </c>
      <c r="G5" s="18" t="s">
        <v>611</v>
      </c>
    </row>
    <row r="6" spans="1:7" ht="24" customHeight="1">
      <c r="A6" s="284"/>
      <c r="B6" s="445"/>
      <c r="C6" s="455"/>
      <c r="D6" s="445"/>
      <c r="E6" s="455"/>
      <c r="F6" s="78"/>
      <c r="G6" s="19"/>
    </row>
    <row r="7" spans="1:7" ht="35.25" customHeight="1" thickBot="1">
      <c r="A7" s="456" t="s">
        <v>417</v>
      </c>
      <c r="B7" s="79">
        <v>2609.0500000000002</v>
      </c>
      <c r="C7" s="112">
        <v>2686.69</v>
      </c>
      <c r="D7" s="79">
        <v>708.47</v>
      </c>
      <c r="E7" s="112">
        <v>1995.32</v>
      </c>
      <c r="F7" s="79">
        <v>-91.15</v>
      </c>
      <c r="G7" s="458">
        <v>8.5663917121901217E-2</v>
      </c>
    </row>
    <row r="8" spans="1:7" ht="30.75" customHeight="1" thickBot="1">
      <c r="A8" s="456" t="s">
        <v>418</v>
      </c>
      <c r="B8" s="79">
        <v>2242.38</v>
      </c>
      <c r="C8" s="112">
        <v>2426.0100000000002</v>
      </c>
      <c r="D8" s="79">
        <v>636.38</v>
      </c>
      <c r="E8" s="112">
        <v>2232.1999999999998</v>
      </c>
      <c r="F8" s="79">
        <v>145.72999999999999</v>
      </c>
      <c r="G8" s="458">
        <v>7.9076872504374868E-2</v>
      </c>
    </row>
    <row r="9" spans="1:7" ht="35.25" customHeight="1" thickBot="1">
      <c r="A9" s="456" t="s">
        <v>419</v>
      </c>
      <c r="B9" s="79">
        <v>1808.91</v>
      </c>
      <c r="C9" s="112">
        <v>1957.37</v>
      </c>
      <c r="D9" s="79">
        <v>654.45000000000005</v>
      </c>
      <c r="E9" s="112">
        <v>1804.23</v>
      </c>
      <c r="F9" s="79">
        <v>-282.24</v>
      </c>
      <c r="G9" s="458">
        <v>0.13418658888462823</v>
      </c>
    </row>
    <row r="10" spans="1:7" ht="34.5" customHeight="1" thickBot="1">
      <c r="A10" s="456" t="s">
        <v>420</v>
      </c>
      <c r="B10" s="79">
        <v>2186.58</v>
      </c>
      <c r="C10" s="112">
        <v>2355.9299999999998</v>
      </c>
      <c r="D10" s="79">
        <v>638.15</v>
      </c>
      <c r="E10" s="112">
        <v>1934.96</v>
      </c>
      <c r="F10" s="79">
        <v>-151.51</v>
      </c>
      <c r="G10" s="458">
        <v>0.17025613111977986</v>
      </c>
    </row>
    <row r="11" spans="1:7" ht="36" customHeight="1" thickBot="1">
      <c r="A11" s="547" t="s">
        <v>607</v>
      </c>
      <c r="B11" s="155">
        <v>2385.5500000000002</v>
      </c>
      <c r="C11" s="154">
        <v>2542.02</v>
      </c>
      <c r="D11" s="155">
        <v>695.34</v>
      </c>
      <c r="E11" s="154">
        <v>2086.46</v>
      </c>
      <c r="F11" s="155">
        <v>0</v>
      </c>
      <c r="G11" s="548">
        <v>9.1318970432090127E-2</v>
      </c>
    </row>
    <row r="12" spans="1:7" ht="19.5" customHeight="1">
      <c r="A12" s="9" t="s">
        <v>1525</v>
      </c>
      <c r="B12" s="9"/>
      <c r="C12" s="9"/>
      <c r="D12" s="9"/>
      <c r="E12" s="9"/>
      <c r="F12" s="9"/>
      <c r="G12" s="9"/>
    </row>
    <row r="14" spans="1:7">
      <c r="A14" s="3" t="s">
        <v>1544</v>
      </c>
    </row>
  </sheetData>
  <mergeCells count="1">
    <mergeCell ref="A2:G2"/>
  </mergeCells>
  <phoneticPr fontId="0" type="noConversion"/>
  <pageMargins left="0.42" right="0.28999999999999998"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54DD-DDF8-074A-853C-B6454895A8D2}">
  <dimension ref="A1:K23"/>
  <sheetViews>
    <sheetView topLeftCell="C1" zoomScale="75" workbookViewId="0">
      <selection activeCell="I15" sqref="I15:J15"/>
    </sheetView>
  </sheetViews>
  <sheetFormatPr baseColWidth="10" defaultColWidth="11.3984375" defaultRowHeight="13"/>
  <cols>
    <col min="1" max="1" width="15.796875" style="3" customWidth="1"/>
    <col min="2" max="2" width="17.19921875" style="3" customWidth="1"/>
    <col min="3" max="4" width="16.19921875" style="3" customWidth="1"/>
    <col min="5" max="5" width="16.796875" style="3" customWidth="1"/>
    <col min="6" max="6" width="17.796875" style="3" customWidth="1"/>
    <col min="7" max="7" width="15.19921875" style="3" customWidth="1"/>
    <col min="8" max="16384" width="11.3984375" style="3"/>
  </cols>
  <sheetData>
    <row r="1" spans="1:11" s="1" customFormat="1" ht="14" customHeight="1"/>
    <row r="2" spans="1:11" s="1" customFormat="1" ht="28" customHeight="1">
      <c r="A2" s="64" t="s">
        <v>1538</v>
      </c>
    </row>
    <row r="3" spans="1:11" ht="24" customHeight="1">
      <c r="A3" s="2" t="s">
        <v>1308</v>
      </c>
      <c r="B3" s="74" t="s">
        <v>1447</v>
      </c>
      <c r="C3" s="17" t="s">
        <v>1448</v>
      </c>
      <c r="D3" s="74" t="s">
        <v>1449</v>
      </c>
      <c r="E3" s="17" t="s">
        <v>1450</v>
      </c>
      <c r="F3" s="74" t="s">
        <v>607</v>
      </c>
      <c r="G3" s="17" t="s">
        <v>609</v>
      </c>
    </row>
    <row r="4" spans="1:11" ht="15" customHeight="1">
      <c r="A4" s="82"/>
      <c r="B4" s="75" t="s">
        <v>1451</v>
      </c>
      <c r="C4" s="18" t="s">
        <v>1452</v>
      </c>
      <c r="D4" s="75" t="s">
        <v>1453</v>
      </c>
      <c r="E4" s="66" t="s">
        <v>1454</v>
      </c>
      <c r="F4" s="75"/>
      <c r="G4" s="18" t="s">
        <v>610</v>
      </c>
    </row>
    <row r="5" spans="1:11" ht="15" customHeight="1">
      <c r="A5" s="82"/>
      <c r="B5" s="75" t="s">
        <v>1455</v>
      </c>
      <c r="C5" s="18" t="s">
        <v>1456</v>
      </c>
      <c r="D5" s="75" t="s">
        <v>969</v>
      </c>
      <c r="E5" s="66" t="s">
        <v>1457</v>
      </c>
      <c r="F5" s="75"/>
      <c r="G5" s="18" t="s">
        <v>611</v>
      </c>
    </row>
    <row r="6" spans="1:11" ht="24" customHeight="1">
      <c r="A6" s="83"/>
      <c r="B6" s="78"/>
      <c r="C6" s="19"/>
      <c r="D6" s="78"/>
      <c r="E6" s="67" t="s">
        <v>1458</v>
      </c>
      <c r="F6" s="78"/>
      <c r="G6" s="19"/>
    </row>
    <row r="7" spans="1:11" ht="30" customHeight="1" thickBot="1">
      <c r="A7" s="84">
        <v>1994</v>
      </c>
      <c r="B7" s="92">
        <v>9991876000</v>
      </c>
      <c r="C7" s="91">
        <v>779608000</v>
      </c>
      <c r="D7" s="20">
        <v>8990000</v>
      </c>
      <c r="E7" s="91">
        <v>27812000</v>
      </c>
      <c r="F7" s="92">
        <v>10808399000</v>
      </c>
      <c r="G7" s="126" t="s">
        <v>487</v>
      </c>
      <c r="H7" s="43"/>
    </row>
    <row r="8" spans="1:11" ht="20" customHeight="1" thickBot="1">
      <c r="A8" s="85">
        <v>1995</v>
      </c>
      <c r="B8" s="80">
        <v>10363923000</v>
      </c>
      <c r="C8" s="122">
        <v>874297000</v>
      </c>
      <c r="D8" s="30">
        <v>25543000</v>
      </c>
      <c r="E8" s="122">
        <v>43635000</v>
      </c>
      <c r="F8" s="30">
        <v>11307398000</v>
      </c>
      <c r="G8" s="26">
        <v>4.6167707169211647E-2</v>
      </c>
      <c r="H8" s="43"/>
    </row>
    <row r="9" spans="1:11" ht="20" customHeight="1" thickBot="1">
      <c r="A9" s="85">
        <v>1996</v>
      </c>
      <c r="B9" s="30">
        <v>9158012632.5</v>
      </c>
      <c r="C9" s="122">
        <v>3158899160.8000002</v>
      </c>
      <c r="D9" s="30">
        <v>29792276.350000001</v>
      </c>
      <c r="E9" s="122">
        <v>112313176.95</v>
      </c>
      <c r="F9" s="30">
        <v>12459017246.6</v>
      </c>
      <c r="G9" s="26">
        <v>0.10184652973212761</v>
      </c>
    </row>
    <row r="10" spans="1:11" ht="20" customHeight="1" thickBot="1">
      <c r="A10" s="85">
        <v>1997</v>
      </c>
      <c r="B10" s="30">
        <v>8010294124</v>
      </c>
      <c r="C10" s="122">
        <v>4715093593</v>
      </c>
      <c r="D10" s="30">
        <v>15300134</v>
      </c>
      <c r="E10" s="122">
        <v>397789684</v>
      </c>
      <c r="F10" s="30">
        <v>13138477535</v>
      </c>
      <c r="G10" s="26">
        <v>5.453562467661089E-2</v>
      </c>
      <c r="I10" s="45"/>
      <c r="J10" s="45"/>
      <c r="K10" s="45"/>
    </row>
    <row r="11" spans="1:11" ht="20" customHeight="1" thickBot="1">
      <c r="A11" s="85">
        <v>1998</v>
      </c>
      <c r="B11" s="30">
        <v>8034922538</v>
      </c>
      <c r="C11" s="122">
        <v>5294474912</v>
      </c>
      <c r="D11" s="30">
        <v>7713370</v>
      </c>
      <c r="E11" s="122">
        <v>686981832</v>
      </c>
      <c r="F11" s="30">
        <v>14024092652</v>
      </c>
      <c r="G11" s="26">
        <v>6.7406220746717593E-2</v>
      </c>
    </row>
    <row r="12" spans="1:11" ht="20" customHeight="1" thickBot="1">
      <c r="A12" s="85">
        <v>1999</v>
      </c>
      <c r="B12" s="30">
        <v>8789075476</v>
      </c>
      <c r="C12" s="122">
        <v>4984750851</v>
      </c>
      <c r="D12" s="30">
        <v>7272495</v>
      </c>
      <c r="E12" s="122">
        <v>839411696</v>
      </c>
      <c r="F12" s="30">
        <v>14620510518</v>
      </c>
      <c r="G12" s="26">
        <v>4.252808939585434E-2</v>
      </c>
    </row>
    <row r="13" spans="1:11" ht="20" customHeight="1" thickBot="1">
      <c r="A13" s="85">
        <v>2000</v>
      </c>
      <c r="B13" s="30">
        <v>9137162156</v>
      </c>
      <c r="C13" s="122">
        <v>5390943298</v>
      </c>
      <c r="D13" s="30">
        <v>7536068</v>
      </c>
      <c r="E13" s="122">
        <v>942685920</v>
      </c>
      <c r="F13" s="30">
        <v>15478327442</v>
      </c>
      <c r="G13" s="26">
        <v>5.8672159425890165E-2</v>
      </c>
    </row>
    <row r="14" spans="1:11" ht="20" customHeight="1" thickBot="1">
      <c r="A14" s="85">
        <v>2001</v>
      </c>
      <c r="B14" s="30">
        <v>9659774603</v>
      </c>
      <c r="C14" s="122">
        <v>5684101991</v>
      </c>
      <c r="D14" s="30">
        <v>8361556</v>
      </c>
      <c r="E14" s="122">
        <v>1034222666</v>
      </c>
      <c r="F14" s="30">
        <v>16386460817</v>
      </c>
      <c r="G14" s="26">
        <v>5.8671285925623075E-2</v>
      </c>
    </row>
    <row r="15" spans="1:11" ht="30" customHeight="1" thickBot="1">
      <c r="A15" s="135">
        <v>2002</v>
      </c>
      <c r="B15" s="136">
        <v>9980493100</v>
      </c>
      <c r="C15" s="138">
        <v>6029919077</v>
      </c>
      <c r="D15" s="136">
        <v>7960241</v>
      </c>
      <c r="E15" s="138">
        <v>1077214987</v>
      </c>
      <c r="F15" s="136">
        <v>17095587410</v>
      </c>
      <c r="G15" s="35">
        <v>4.3275152634809487E-2</v>
      </c>
      <c r="I15" s="39"/>
      <c r="J15" s="39"/>
    </row>
    <row r="16" spans="1:11" ht="19.5" customHeight="1">
      <c r="A16" s="9" t="s">
        <v>1525</v>
      </c>
      <c r="B16" s="9"/>
      <c r="C16" s="9"/>
      <c r="D16" s="9"/>
      <c r="E16" s="9"/>
      <c r="F16" s="9"/>
      <c r="G16" s="9"/>
    </row>
    <row r="17" spans="1:7" ht="14.25" customHeight="1">
      <c r="A17" s="38"/>
      <c r="B17" s="38"/>
      <c r="C17" s="38"/>
      <c r="D17" s="38"/>
      <c r="E17" s="38"/>
      <c r="F17" s="38"/>
      <c r="G17" s="38"/>
    </row>
    <row r="18" spans="1:7" ht="13.5" customHeight="1">
      <c r="A18" s="438" t="s">
        <v>439</v>
      </c>
      <c r="B18" s="38"/>
      <c r="C18" s="38"/>
      <c r="D18" s="38"/>
      <c r="E18" s="38"/>
      <c r="F18" s="38"/>
      <c r="G18" s="38"/>
    </row>
    <row r="20" spans="1:7">
      <c r="A20" s="3" t="s">
        <v>1539</v>
      </c>
    </row>
    <row r="23" spans="1:7">
      <c r="G23" s="546" t="s">
        <v>1540</v>
      </c>
    </row>
  </sheetData>
  <phoneticPr fontId="0" type="noConversion"/>
  <pageMargins left="0.4" right="0.32" top="1.46" bottom="0.49" header="0.94"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AE98-F958-9A40-8B8B-E100260B2AB6}">
  <dimension ref="A1:K30"/>
  <sheetViews>
    <sheetView zoomScale="75" workbookViewId="0"/>
  </sheetViews>
  <sheetFormatPr baseColWidth="10" defaultColWidth="11.3984375" defaultRowHeight="13"/>
  <cols>
    <col min="1" max="1" width="20.796875" style="3" customWidth="1"/>
    <col min="2" max="7" width="14.3984375" style="3" customWidth="1"/>
    <col min="8" max="16384" width="11.3984375" style="3"/>
  </cols>
  <sheetData>
    <row r="1" spans="1:11" s="1" customFormat="1" ht="14" customHeight="1"/>
    <row r="2" spans="1:11" s="1" customFormat="1" ht="36.75" customHeight="1">
      <c r="A2" s="1302" t="s">
        <v>1536</v>
      </c>
      <c r="B2" s="1303"/>
      <c r="C2" s="1303"/>
      <c r="D2" s="1303"/>
      <c r="E2" s="1303"/>
      <c r="F2" s="1303"/>
      <c r="G2" s="1303"/>
    </row>
    <row r="3" spans="1:11" ht="24" customHeight="1">
      <c r="A3" s="2" t="s">
        <v>335</v>
      </c>
      <c r="B3" s="74" t="s">
        <v>1447</v>
      </c>
      <c r="C3" s="17" t="s">
        <v>1448</v>
      </c>
      <c r="D3" s="74" t="s">
        <v>1449</v>
      </c>
      <c r="E3" s="17" t="s">
        <v>1450</v>
      </c>
      <c r="F3" s="74" t="s">
        <v>607</v>
      </c>
      <c r="G3" s="17" t="s">
        <v>609</v>
      </c>
    </row>
    <row r="4" spans="1:11" ht="15" customHeight="1">
      <c r="A4" s="82"/>
      <c r="B4" s="75" t="s">
        <v>1451</v>
      </c>
      <c r="C4" s="18" t="s">
        <v>1452</v>
      </c>
      <c r="D4" s="75" t="s">
        <v>1453</v>
      </c>
      <c r="E4" s="66" t="s">
        <v>1454</v>
      </c>
      <c r="F4" s="75"/>
      <c r="G4" s="18" t="s">
        <v>610</v>
      </c>
    </row>
    <row r="5" spans="1:11" ht="15" customHeight="1">
      <c r="A5" s="82"/>
      <c r="B5" s="75" t="s">
        <v>1455</v>
      </c>
      <c r="C5" s="18" t="s">
        <v>1456</v>
      </c>
      <c r="D5" s="75" t="s">
        <v>969</v>
      </c>
      <c r="E5" s="66" t="s">
        <v>1457</v>
      </c>
      <c r="F5" s="75"/>
      <c r="G5" s="18" t="s">
        <v>611</v>
      </c>
    </row>
    <row r="6" spans="1:11" ht="24" customHeight="1">
      <c r="A6" s="83"/>
      <c r="B6" s="78"/>
      <c r="C6" s="19"/>
      <c r="D6" s="78"/>
      <c r="E6" s="67" t="s">
        <v>1458</v>
      </c>
      <c r="F6" s="78"/>
      <c r="G6" s="19"/>
    </row>
    <row r="7" spans="1:11" ht="30" customHeight="1" thickBot="1">
      <c r="A7" s="84">
        <v>1994</v>
      </c>
      <c r="B7" s="92">
        <v>1549.7138298166035</v>
      </c>
      <c r="C7" s="91">
        <v>1210.5883467315537</v>
      </c>
      <c r="D7" s="20">
        <v>587.65851745326188</v>
      </c>
      <c r="E7" s="91">
        <v>1121.3611805499556</v>
      </c>
      <c r="F7" s="92">
        <v>1515.5531263228875</v>
      </c>
      <c r="G7" s="126" t="s">
        <v>487</v>
      </c>
      <c r="H7" s="43"/>
    </row>
    <row r="8" spans="1:11" ht="20" customHeight="1" thickBot="1">
      <c r="A8" s="85">
        <v>1995</v>
      </c>
      <c r="B8" s="80">
        <v>1619.4940465493926</v>
      </c>
      <c r="C8" s="122">
        <v>1251.2354256977133</v>
      </c>
      <c r="D8" s="30">
        <v>781.01207766396578</v>
      </c>
      <c r="E8" s="122">
        <v>1233.2193426221631</v>
      </c>
      <c r="F8" s="30">
        <v>1577.8534496869172</v>
      </c>
      <c r="G8" s="26">
        <v>4.11073173760566E-2</v>
      </c>
      <c r="H8" s="43"/>
    </row>
    <row r="9" spans="1:11" ht="20" customHeight="1" thickBot="1">
      <c r="A9" s="85">
        <v>1996</v>
      </c>
      <c r="B9" s="30">
        <v>1932.22</v>
      </c>
      <c r="C9" s="122">
        <v>1370.05</v>
      </c>
      <c r="D9" s="30">
        <v>1070.5899999999999</v>
      </c>
      <c r="E9" s="122">
        <v>923.64</v>
      </c>
      <c r="F9" s="30">
        <v>1731.68</v>
      </c>
      <c r="G9" s="26">
        <v>9.7491025128858211E-2</v>
      </c>
    </row>
    <row r="10" spans="1:11" ht="20" customHeight="1" thickBot="1">
      <c r="A10" s="85">
        <v>1997</v>
      </c>
      <c r="B10" s="30">
        <v>1961.45</v>
      </c>
      <c r="C10" s="122">
        <v>1723.12</v>
      </c>
      <c r="D10" s="30">
        <v>1331.14</v>
      </c>
      <c r="E10" s="122">
        <v>1038.3599999999999</v>
      </c>
      <c r="F10" s="30">
        <v>1821.04</v>
      </c>
      <c r="G10" s="26">
        <v>5.1603067541347074E-2</v>
      </c>
      <c r="I10" s="45"/>
      <c r="J10" s="45"/>
      <c r="K10" s="45"/>
    </row>
    <row r="11" spans="1:11" ht="20" customHeight="1" thickBot="1">
      <c r="A11" s="85">
        <v>1998</v>
      </c>
      <c r="B11" s="30">
        <v>2000.59</v>
      </c>
      <c r="C11" s="122">
        <v>1941.88</v>
      </c>
      <c r="D11" s="30">
        <v>652.13</v>
      </c>
      <c r="E11" s="122">
        <v>1390.54</v>
      </c>
      <c r="F11" s="30">
        <v>1934.73</v>
      </c>
      <c r="G11" s="26">
        <v>6.2431357905372784E-2</v>
      </c>
    </row>
    <row r="12" spans="1:11" ht="20" customHeight="1" thickBot="1">
      <c r="A12" s="85">
        <v>1999</v>
      </c>
      <c r="B12" s="30">
        <v>2197.96</v>
      </c>
      <c r="C12" s="122">
        <v>1835.57</v>
      </c>
      <c r="D12" s="30">
        <v>708.96</v>
      </c>
      <c r="E12" s="122">
        <v>1549.04</v>
      </c>
      <c r="F12" s="30">
        <v>2012.03</v>
      </c>
      <c r="G12" s="26">
        <v>3.9953895375582096E-2</v>
      </c>
    </row>
    <row r="13" spans="1:11" ht="20" customHeight="1" thickBot="1">
      <c r="A13" s="85">
        <v>2000</v>
      </c>
      <c r="B13" s="30">
        <v>2329.77</v>
      </c>
      <c r="C13" s="122">
        <v>1954.27</v>
      </c>
      <c r="D13" s="30">
        <v>768.12</v>
      </c>
      <c r="E13" s="122">
        <v>1631.39</v>
      </c>
      <c r="F13" s="30">
        <v>2129.62</v>
      </c>
      <c r="G13" s="26">
        <v>5.8443462572625615E-2</v>
      </c>
    </row>
    <row r="14" spans="1:11" ht="20" customHeight="1" thickBot="1">
      <c r="A14" s="85">
        <v>2001</v>
      </c>
      <c r="B14" s="30">
        <v>2488.227550627983</v>
      </c>
      <c r="C14" s="122">
        <v>2005.8119479175782</v>
      </c>
      <c r="D14" s="30">
        <v>895.14570174499522</v>
      </c>
      <c r="E14" s="122">
        <v>1735.4505511470134</v>
      </c>
      <c r="F14" s="30">
        <v>2238.1940247664106</v>
      </c>
      <c r="G14" s="26">
        <v>5.0982816073482935E-2</v>
      </c>
    </row>
    <row r="15" spans="1:11" ht="30" customHeight="1" thickBot="1">
      <c r="A15" s="135">
        <v>2002</v>
      </c>
      <c r="B15" s="136">
        <v>2617.71</v>
      </c>
      <c r="C15" s="138">
        <v>2022.91</v>
      </c>
      <c r="D15" s="136">
        <v>900.99</v>
      </c>
      <c r="E15" s="138">
        <v>1933.84</v>
      </c>
      <c r="F15" s="136">
        <v>2322.9699999999998</v>
      </c>
      <c r="G15" s="35">
        <v>3.7876955391495534E-2</v>
      </c>
    </row>
    <row r="16" spans="1:11" ht="19.5" customHeight="1">
      <c r="A16" s="9" t="s">
        <v>1525</v>
      </c>
      <c r="B16" s="9"/>
      <c r="C16" s="9"/>
      <c r="D16" s="9"/>
      <c r="E16" s="9"/>
      <c r="F16" s="9"/>
      <c r="G16" s="9"/>
    </row>
    <row r="18" spans="1:8">
      <c r="A18" s="3" t="s">
        <v>1537</v>
      </c>
    </row>
    <row r="19" spans="1:8">
      <c r="E19" s="39"/>
      <c r="F19" s="39"/>
      <c r="G19" s="39"/>
      <c r="H19" s="39"/>
    </row>
    <row r="20" spans="1:8">
      <c r="E20" s="39"/>
      <c r="F20" s="39"/>
      <c r="G20" s="543"/>
      <c r="H20" s="39"/>
    </row>
    <row r="21" spans="1:8">
      <c r="E21" s="39"/>
      <c r="F21" s="544"/>
      <c r="G21" s="545"/>
      <c r="H21" s="39"/>
    </row>
    <row r="22" spans="1:8">
      <c r="E22" s="39"/>
      <c r="F22" s="544"/>
      <c r="G22" s="545"/>
      <c r="H22" s="545"/>
    </row>
    <row r="23" spans="1:8">
      <c r="F23" s="43"/>
      <c r="G23" s="142"/>
      <c r="H23" s="142"/>
    </row>
    <row r="24" spans="1:8">
      <c r="F24" s="43"/>
      <c r="G24" s="142"/>
      <c r="H24" s="142"/>
    </row>
    <row r="25" spans="1:8">
      <c r="F25" s="43"/>
      <c r="G25" s="142"/>
      <c r="H25" s="142"/>
    </row>
    <row r="26" spans="1:8">
      <c r="F26" s="43"/>
      <c r="G26" s="142"/>
      <c r="H26" s="142"/>
    </row>
    <row r="27" spans="1:8">
      <c r="F27" s="43"/>
      <c r="G27" s="142"/>
      <c r="H27" s="142"/>
    </row>
    <row r="28" spans="1:8">
      <c r="F28" s="43"/>
      <c r="G28" s="142"/>
      <c r="H28" s="142"/>
    </row>
    <row r="29" spans="1:8">
      <c r="F29" s="43"/>
    </row>
    <row r="30" spans="1:8">
      <c r="F30" s="43"/>
    </row>
  </sheetData>
  <mergeCells count="1">
    <mergeCell ref="A2:G2"/>
  </mergeCells>
  <phoneticPr fontId="0" type="noConversion"/>
  <pageMargins left="0.38" right="0.28999999999999998" top="1.46" bottom="0.49" header="0.92"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A9A6-D07B-D648-A86F-5661D725B75A}">
  <dimension ref="A1:K22"/>
  <sheetViews>
    <sheetView zoomScale="75" workbookViewId="0"/>
  </sheetViews>
  <sheetFormatPr baseColWidth="10" defaultColWidth="11.3984375" defaultRowHeight="13"/>
  <cols>
    <col min="1" max="1" width="16.796875" style="3" customWidth="1"/>
    <col min="2" max="2" width="18.19921875" style="3" customWidth="1"/>
    <col min="3" max="3" width="14.796875" style="3" customWidth="1"/>
    <col min="4" max="4" width="16.796875" style="3" customWidth="1"/>
    <col min="5" max="5" width="15" style="3" customWidth="1"/>
    <col min="6" max="6" width="18.19921875" style="3" customWidth="1"/>
    <col min="7" max="7" width="15" style="3" customWidth="1"/>
    <col min="8" max="16384" width="11.3984375" style="3"/>
  </cols>
  <sheetData>
    <row r="1" spans="1:11" s="1" customFormat="1" ht="14" customHeight="1"/>
    <row r="2" spans="1:11" s="1" customFormat="1" ht="28" customHeight="1">
      <c r="A2" s="64" t="s">
        <v>1534</v>
      </c>
    </row>
    <row r="3" spans="1:11" ht="24" customHeight="1">
      <c r="A3" s="2" t="s">
        <v>1535</v>
      </c>
      <c r="B3" s="74" t="s">
        <v>28</v>
      </c>
      <c r="C3" s="17" t="s">
        <v>609</v>
      </c>
      <c r="D3" s="74" t="s">
        <v>29</v>
      </c>
      <c r="E3" s="17" t="s">
        <v>609</v>
      </c>
      <c r="F3" s="74" t="s">
        <v>1316</v>
      </c>
      <c r="G3" s="17" t="s">
        <v>609</v>
      </c>
    </row>
    <row r="4" spans="1:11" ht="15" customHeight="1">
      <c r="A4" s="82"/>
      <c r="B4" s="75" t="s">
        <v>33</v>
      </c>
      <c r="C4" s="18" t="s">
        <v>610</v>
      </c>
      <c r="D4" s="75" t="s">
        <v>33</v>
      </c>
      <c r="E4" s="66" t="s">
        <v>610</v>
      </c>
      <c r="F4" s="75"/>
      <c r="G4" s="18" t="s">
        <v>610</v>
      </c>
    </row>
    <row r="5" spans="1:11" ht="15" customHeight="1">
      <c r="A5" s="82"/>
      <c r="B5" s="75"/>
      <c r="C5" s="18" t="s">
        <v>611</v>
      </c>
      <c r="D5" s="75"/>
      <c r="E5" s="66" t="s">
        <v>611</v>
      </c>
      <c r="F5" s="75"/>
      <c r="G5" s="18" t="s">
        <v>611</v>
      </c>
    </row>
    <row r="6" spans="1:11" ht="24" customHeight="1">
      <c r="A6" s="83"/>
      <c r="B6" s="78"/>
      <c r="C6" s="19"/>
      <c r="D6" s="78"/>
      <c r="E6" s="67"/>
      <c r="F6" s="78"/>
      <c r="G6" s="19"/>
    </row>
    <row r="7" spans="1:11" ht="30" customHeight="1" thickBot="1">
      <c r="A7" s="84">
        <v>1994</v>
      </c>
      <c r="B7" s="92">
        <v>7196786000</v>
      </c>
      <c r="C7" s="126" t="s">
        <v>487</v>
      </c>
      <c r="D7" s="20">
        <v>3611586000</v>
      </c>
      <c r="E7" s="126" t="s">
        <v>487</v>
      </c>
      <c r="F7" s="92">
        <v>10808372000</v>
      </c>
      <c r="G7" s="126" t="s">
        <v>487</v>
      </c>
      <c r="H7" s="43"/>
    </row>
    <row r="8" spans="1:11" ht="20" customHeight="1" thickBot="1">
      <c r="A8" s="85">
        <v>1995</v>
      </c>
      <c r="B8" s="80">
        <v>7392432000</v>
      </c>
      <c r="C8" s="26">
        <v>2.7185190722636466E-2</v>
      </c>
      <c r="D8" s="30">
        <v>3914937000</v>
      </c>
      <c r="E8" s="26">
        <v>8.3993846470774888E-2</v>
      </c>
      <c r="F8" s="30">
        <v>11307369000</v>
      </c>
      <c r="G8" s="26">
        <v>4.6167637457334001E-2</v>
      </c>
      <c r="H8" s="43"/>
    </row>
    <row r="9" spans="1:11" ht="20" customHeight="1" thickBot="1">
      <c r="A9" s="85">
        <v>1996</v>
      </c>
      <c r="B9" s="30">
        <v>8214622179.9674435</v>
      </c>
      <c r="C9" s="26">
        <v>0.11122052660984146</v>
      </c>
      <c r="D9" s="30">
        <v>4244395068.032557</v>
      </c>
      <c r="E9" s="26">
        <v>8.415411743089532E-2</v>
      </c>
      <c r="F9" s="30">
        <v>12459017248</v>
      </c>
      <c r="G9" s="26">
        <v>0.10184935576083172</v>
      </c>
    </row>
    <row r="10" spans="1:11" ht="20" customHeight="1" thickBot="1">
      <c r="A10" s="85">
        <v>1997</v>
      </c>
      <c r="B10" s="30">
        <v>8735654789.936554</v>
      </c>
      <c r="C10" s="26">
        <v>6.3427458811158063E-2</v>
      </c>
      <c r="D10" s="30">
        <v>4402822745.063446</v>
      </c>
      <c r="E10" s="26">
        <v>3.7326326718291676E-2</v>
      </c>
      <c r="F10" s="30">
        <v>13138477535</v>
      </c>
      <c r="G10" s="26">
        <v>5.4535624558114427E-2</v>
      </c>
      <c r="I10" s="45"/>
      <c r="J10" s="45"/>
      <c r="K10" s="45"/>
    </row>
    <row r="11" spans="1:11" ht="20" customHeight="1" thickBot="1">
      <c r="A11" s="85">
        <v>1998</v>
      </c>
      <c r="B11" s="30">
        <v>9332686808</v>
      </c>
      <c r="C11" s="26">
        <v>6.8344277838362499E-2</v>
      </c>
      <c r="D11" s="30">
        <v>4691405844</v>
      </c>
      <c r="E11" s="26">
        <v>6.5545018649710685E-2</v>
      </c>
      <c r="F11" s="30">
        <v>14024092652</v>
      </c>
      <c r="G11" s="26">
        <v>6.7406220746717593E-2</v>
      </c>
    </row>
    <row r="12" spans="1:11" ht="20" customHeight="1" thickBot="1">
      <c r="A12" s="85">
        <v>1999</v>
      </c>
      <c r="B12" s="30">
        <v>9826707555</v>
      </c>
      <c r="C12" s="26">
        <v>5.293446112179874E-2</v>
      </c>
      <c r="D12" s="30">
        <v>4793802963</v>
      </c>
      <c r="E12" s="26">
        <v>2.1826531833940392E-2</v>
      </c>
      <c r="F12" s="30">
        <v>14620510518</v>
      </c>
      <c r="G12" s="26">
        <v>4.252808939585434E-2</v>
      </c>
    </row>
    <row r="13" spans="1:11" ht="20" customHeight="1" thickBot="1">
      <c r="A13" s="85">
        <v>2000</v>
      </c>
      <c r="B13" s="30">
        <v>10542816856</v>
      </c>
      <c r="C13" s="26">
        <v>7.2873777609839541E-2</v>
      </c>
      <c r="D13" s="30">
        <v>4935510586</v>
      </c>
      <c r="E13" s="26">
        <v>2.9560585633940668E-2</v>
      </c>
      <c r="F13" s="30">
        <v>15478327442</v>
      </c>
      <c r="G13" s="26">
        <v>5.8672159425890165E-2</v>
      </c>
    </row>
    <row r="14" spans="1:11" ht="20" customHeight="1" thickBot="1">
      <c r="A14" s="85">
        <v>2001</v>
      </c>
      <c r="B14" s="30">
        <v>11308048632</v>
      </c>
      <c r="C14" s="26">
        <v>7.2583237141646884E-2</v>
      </c>
      <c r="D14" s="30">
        <v>5078412185</v>
      </c>
      <c r="E14" s="26">
        <v>2.8953762029272648E-2</v>
      </c>
      <c r="F14" s="30">
        <v>16386460817</v>
      </c>
      <c r="G14" s="26">
        <v>5.8671285925623075E-2</v>
      </c>
    </row>
    <row r="15" spans="1:11" ht="30" customHeight="1" thickBot="1">
      <c r="A15" s="135">
        <v>2002</v>
      </c>
      <c r="B15" s="136">
        <v>11864756499</v>
      </c>
      <c r="C15" s="35">
        <v>4.9231117155315751E-2</v>
      </c>
      <c r="D15" s="136">
        <v>5230830910</v>
      </c>
      <c r="E15" s="35">
        <v>3.0013066968096053E-2</v>
      </c>
      <c r="F15" s="136">
        <v>17095587409</v>
      </c>
      <c r="G15" s="35">
        <v>4.3275152573783497E-2</v>
      </c>
    </row>
    <row r="16" spans="1:11" ht="20" customHeight="1">
      <c r="A16" s="9" t="s">
        <v>1525</v>
      </c>
      <c r="B16" s="151"/>
      <c r="C16" s="151"/>
      <c r="D16" s="151"/>
      <c r="E16" s="151"/>
      <c r="F16" s="151"/>
      <c r="G16" s="271"/>
    </row>
    <row r="17" spans="1:7" ht="14.25" customHeight="1">
      <c r="A17" s="38"/>
      <c r="B17" s="152"/>
      <c r="C17" s="152"/>
      <c r="D17" s="152"/>
      <c r="E17" s="152"/>
      <c r="F17" s="152"/>
      <c r="G17" s="272"/>
    </row>
    <row r="18" spans="1:7" ht="14.25" customHeight="1">
      <c r="A18" s="38" t="s">
        <v>38</v>
      </c>
      <c r="B18" s="152"/>
      <c r="C18" s="152"/>
      <c r="D18" s="152"/>
      <c r="E18" s="152"/>
      <c r="F18" s="152"/>
      <c r="G18" s="272"/>
    </row>
    <row r="19" spans="1:7" ht="12" customHeight="1">
      <c r="A19" s="3" t="s">
        <v>39</v>
      </c>
    </row>
    <row r="20" spans="1:7" ht="12" customHeight="1">
      <c r="A20" s="3" t="s">
        <v>1532</v>
      </c>
    </row>
    <row r="22" spans="1:7">
      <c r="A22" s="3" t="s">
        <v>1533</v>
      </c>
    </row>
  </sheetData>
  <phoneticPr fontId="0" type="noConversion"/>
  <pageMargins left="0.35" right="0.27" top="1.4566929133858268" bottom="0.47244094488188981" header="0.94488188976377963" footer="0.51181102362204722"/>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02F2-80B4-C74B-A3C8-4C5A85ABCFF2}">
  <dimension ref="A1:I35"/>
  <sheetViews>
    <sheetView zoomScale="75" workbookViewId="0">
      <selection activeCell="A25" sqref="A25"/>
    </sheetView>
  </sheetViews>
  <sheetFormatPr baseColWidth="10" defaultColWidth="11.3984375" defaultRowHeight="13"/>
  <cols>
    <col min="1" max="1" width="32" style="3" customWidth="1"/>
    <col min="2" max="4" width="16" style="3" customWidth="1"/>
    <col min="5" max="5" width="18.19921875" style="3" customWidth="1"/>
    <col min="6" max="6" width="15.19921875" style="3" customWidth="1"/>
    <col min="7" max="7" width="14.19921875" style="3" customWidth="1"/>
    <col min="8" max="9" width="12.796875" style="541" customWidth="1"/>
    <col min="10" max="16384" width="11.3984375" style="3"/>
  </cols>
  <sheetData>
    <row r="1" spans="1:9" s="1" customFormat="1" ht="14" customHeight="1">
      <c r="H1" s="527"/>
      <c r="I1" s="527"/>
    </row>
    <row r="2" spans="1:9" s="1" customFormat="1" ht="28" customHeight="1">
      <c r="A2" s="64" t="s">
        <v>1531</v>
      </c>
      <c r="H2" s="527"/>
      <c r="I2" s="527"/>
    </row>
    <row r="3" spans="1:9" ht="24" customHeight="1">
      <c r="A3" s="2" t="s">
        <v>4</v>
      </c>
      <c r="B3" s="74" t="s">
        <v>1665</v>
      </c>
      <c r="C3" s="17" t="s">
        <v>1666</v>
      </c>
      <c r="D3" s="74" t="s">
        <v>1664</v>
      </c>
      <c r="E3" s="202" t="s">
        <v>607</v>
      </c>
      <c r="F3" s="74" t="s">
        <v>1324</v>
      </c>
      <c r="G3" s="17" t="s">
        <v>609</v>
      </c>
      <c r="H3" s="528" t="s">
        <v>36</v>
      </c>
      <c r="I3" s="529" t="s">
        <v>37</v>
      </c>
    </row>
    <row r="4" spans="1:9" ht="15" customHeight="1">
      <c r="A4" s="82"/>
      <c r="B4" s="75"/>
      <c r="C4" s="18"/>
      <c r="D4" s="75"/>
      <c r="E4" s="66"/>
      <c r="F4" s="75" t="s">
        <v>1325</v>
      </c>
      <c r="G4" s="18" t="s">
        <v>610</v>
      </c>
      <c r="H4" s="530" t="s">
        <v>5</v>
      </c>
      <c r="I4" s="531" t="s">
        <v>5</v>
      </c>
    </row>
    <row r="5" spans="1:9" ht="15" customHeight="1">
      <c r="A5" s="82"/>
      <c r="B5" s="75"/>
      <c r="C5" s="18"/>
      <c r="D5" s="75"/>
      <c r="E5" s="66"/>
      <c r="F5" s="75" t="s">
        <v>416</v>
      </c>
      <c r="G5" s="18" t="s">
        <v>611</v>
      </c>
      <c r="H5" s="530">
        <v>2003</v>
      </c>
      <c r="I5" s="532">
        <v>2004</v>
      </c>
    </row>
    <row r="6" spans="1:9" ht="24" customHeight="1">
      <c r="A6" s="83"/>
      <c r="B6" s="78"/>
      <c r="C6" s="19"/>
      <c r="D6" s="78"/>
      <c r="E6" s="67"/>
      <c r="F6" s="78"/>
      <c r="G6" s="19" t="s">
        <v>34</v>
      </c>
      <c r="H6" s="533" t="s">
        <v>1282</v>
      </c>
      <c r="I6" s="534" t="s">
        <v>1282</v>
      </c>
    </row>
    <row r="7" spans="1:9" ht="30" customHeight="1" thickBot="1">
      <c r="A7" s="84" t="s">
        <v>6</v>
      </c>
      <c r="B7" s="92">
        <v>1409055443.3</v>
      </c>
      <c r="C7" s="91">
        <v>2252170550.5999999</v>
      </c>
      <c r="D7" s="20">
        <v>447597476.13</v>
      </c>
      <c r="E7" s="516">
        <v>4108823466</v>
      </c>
      <c r="F7" s="127">
        <v>0.24034409392899264</v>
      </c>
      <c r="G7" s="91">
        <v>97267.096000000005</v>
      </c>
      <c r="H7" s="535">
        <v>4318.0950047700007</v>
      </c>
      <c r="I7" s="517">
        <v>4599.2188474199993</v>
      </c>
    </row>
    <row r="8" spans="1:9" ht="20" customHeight="1" thickBot="1">
      <c r="A8" s="85" t="s">
        <v>24</v>
      </c>
      <c r="B8" s="80">
        <v>1587335957.3</v>
      </c>
      <c r="C8" s="122">
        <v>2031947029.5</v>
      </c>
      <c r="D8" s="30">
        <v>164652843.36000001</v>
      </c>
      <c r="E8" s="208">
        <v>3783935827</v>
      </c>
      <c r="F8" s="127">
        <v>0.22133991283668561</v>
      </c>
      <c r="G8" s="122">
        <v>-14278.162</v>
      </c>
      <c r="H8" s="536">
        <v>4015.5913748200005</v>
      </c>
      <c r="I8" s="519">
        <v>4334.1649224699995</v>
      </c>
    </row>
    <row r="9" spans="1:9" ht="20" customHeight="1" thickBot="1">
      <c r="A9" s="85" t="s">
        <v>7</v>
      </c>
      <c r="B9" s="30">
        <v>801963753.98000002</v>
      </c>
      <c r="C9" s="122">
        <v>986260882.75999999</v>
      </c>
      <c r="D9" s="30">
        <v>183834410.69</v>
      </c>
      <c r="E9" s="208">
        <v>1972059045</v>
      </c>
      <c r="F9" s="127">
        <v>0.11535485724005051</v>
      </c>
      <c r="G9" s="122">
        <v>46535.909</v>
      </c>
      <c r="H9" s="536">
        <v>2181.9412260200006</v>
      </c>
      <c r="I9" s="519">
        <v>2355.8384654000001</v>
      </c>
    </row>
    <row r="10" spans="1:9" ht="20" customHeight="1" thickBot="1">
      <c r="A10" s="85" t="s">
        <v>8</v>
      </c>
      <c r="B10" s="30">
        <v>512352711.94999999</v>
      </c>
      <c r="C10" s="122">
        <v>679283697.28999996</v>
      </c>
      <c r="D10" s="30">
        <v>69152815.540000007</v>
      </c>
      <c r="E10" s="208">
        <v>1260789229</v>
      </c>
      <c r="F10" s="127">
        <v>7.3749395024370765E-2</v>
      </c>
      <c r="G10" s="122">
        <v>-10661.494000000001</v>
      </c>
      <c r="H10" s="536">
        <v>1324.5646002999999</v>
      </c>
      <c r="I10" s="519">
        <v>1413.6237303800003</v>
      </c>
    </row>
    <row r="11" spans="1:9" ht="20" customHeight="1" thickBot="1">
      <c r="A11" s="85" t="s">
        <v>9</v>
      </c>
      <c r="B11" s="30">
        <v>1015296268.5</v>
      </c>
      <c r="C11" s="122">
        <v>1405730929.0999999</v>
      </c>
      <c r="D11" s="30">
        <v>103657063.15000001</v>
      </c>
      <c r="E11" s="208">
        <v>2524684260</v>
      </c>
      <c r="F11" s="127">
        <v>0.14768046277666222</v>
      </c>
      <c r="G11" s="122">
        <v>282244.40399999998</v>
      </c>
      <c r="H11" s="536">
        <v>2669.000856090001</v>
      </c>
      <c r="I11" s="519">
        <v>2866.02408496</v>
      </c>
    </row>
    <row r="12" spans="1:9" ht="20" customHeight="1" thickBot="1">
      <c r="A12" s="85" t="s">
        <v>25</v>
      </c>
      <c r="B12" s="30">
        <v>347218582.98000002</v>
      </c>
      <c r="C12" s="122">
        <v>1044384385.4</v>
      </c>
      <c r="D12" s="30">
        <v>753648.89</v>
      </c>
      <c r="E12" s="208">
        <v>1392356614</v>
      </c>
      <c r="F12" s="127">
        <v>8.1445380067314416E-2</v>
      </c>
      <c r="G12" s="122">
        <v>134503.84700000001</v>
      </c>
      <c r="H12" s="536">
        <v>1471.8621297899999</v>
      </c>
      <c r="I12" s="519">
        <v>1601.02125125</v>
      </c>
    </row>
    <row r="13" spans="1:9" ht="20" customHeight="1" thickBot="1">
      <c r="A13" s="85" t="s">
        <v>10</v>
      </c>
      <c r="B13" s="30">
        <v>92080303.760000005</v>
      </c>
      <c r="C13" s="122">
        <v>196543294.75</v>
      </c>
      <c r="D13" s="30">
        <v>1441978.36</v>
      </c>
      <c r="E13" s="208">
        <v>290065575</v>
      </c>
      <c r="F13" s="127">
        <v>1.6967277465253665E-2</v>
      </c>
      <c r="G13" s="122">
        <v>19743.956999999999</v>
      </c>
      <c r="H13" s="536">
        <v>310.97777827000004</v>
      </c>
      <c r="I13" s="519">
        <v>332.59616580000005</v>
      </c>
    </row>
    <row r="14" spans="1:9" ht="20" customHeight="1" thickBot="1">
      <c r="A14" s="85" t="s">
        <v>11</v>
      </c>
      <c r="B14" s="30">
        <v>169307693.84999999</v>
      </c>
      <c r="C14" s="122">
        <v>310510192.05000001</v>
      </c>
      <c r="D14" s="30">
        <v>26428135.52</v>
      </c>
      <c r="E14" s="208">
        <v>506246020</v>
      </c>
      <c r="F14" s="127">
        <v>2.9612671848496176E-2</v>
      </c>
      <c r="G14" s="122">
        <v>26116.737000000001</v>
      </c>
      <c r="H14" s="536">
        <v>531.54985979000014</v>
      </c>
      <c r="I14" s="519">
        <v>561.78395574000001</v>
      </c>
    </row>
    <row r="15" spans="1:9" ht="20" customHeight="1" thickBot="1">
      <c r="A15" s="85" t="s">
        <v>12</v>
      </c>
      <c r="B15" s="30">
        <v>160566007.68000001</v>
      </c>
      <c r="C15" s="122">
        <v>295142600.19999999</v>
      </c>
      <c r="D15" s="30">
        <v>29843145.98</v>
      </c>
      <c r="E15" s="208">
        <v>485551746</v>
      </c>
      <c r="F15" s="127">
        <v>2.8402168020525607E-2</v>
      </c>
      <c r="G15" s="122">
        <v>22841.991000000002</v>
      </c>
      <c r="H15" s="536">
        <v>510.33468491000008</v>
      </c>
      <c r="I15" s="519">
        <v>542.34782923</v>
      </c>
    </row>
    <row r="16" spans="1:9" ht="20" customHeight="1" thickBot="1">
      <c r="A16" s="85" t="s">
        <v>13</v>
      </c>
      <c r="B16" s="30">
        <v>25310922.309999999</v>
      </c>
      <c r="C16" s="122">
        <v>37152212.049999997</v>
      </c>
      <c r="D16" s="30">
        <v>2748133.74</v>
      </c>
      <c r="E16" s="208">
        <v>65211266</v>
      </c>
      <c r="F16" s="127">
        <v>3.8145086471652575E-3</v>
      </c>
      <c r="G16" s="122">
        <v>-25.535</v>
      </c>
      <c r="H16" s="536">
        <v>68.449917359999986</v>
      </c>
      <c r="I16" s="519">
        <v>72.895692549999978</v>
      </c>
    </row>
    <row r="17" spans="1:9" ht="20" customHeight="1" thickBot="1">
      <c r="A17" s="85" t="s">
        <v>14</v>
      </c>
      <c r="B17" s="30">
        <v>85143503.189999998</v>
      </c>
      <c r="C17" s="122">
        <v>96171100.420000002</v>
      </c>
      <c r="D17" s="30">
        <v>21560987.670000002</v>
      </c>
      <c r="E17" s="208">
        <v>202875588</v>
      </c>
      <c r="F17" s="127">
        <v>1.1867131742615396E-2</v>
      </c>
      <c r="G17" s="122">
        <v>29851.896000000001</v>
      </c>
      <c r="H17" s="536" t="s">
        <v>490</v>
      </c>
      <c r="I17" s="519" t="s">
        <v>490</v>
      </c>
    </row>
    <row r="18" spans="1:9" ht="20" customHeight="1" thickBot="1">
      <c r="A18" s="85" t="s">
        <v>26</v>
      </c>
      <c r="B18" s="30">
        <v>44535732.670000002</v>
      </c>
      <c r="C18" s="122">
        <v>62187604.229999997</v>
      </c>
      <c r="D18" s="30">
        <v>6103673.4500000002</v>
      </c>
      <c r="E18" s="208">
        <v>112827008</v>
      </c>
      <c r="F18" s="127">
        <v>6.5997736901746958E-3</v>
      </c>
      <c r="G18" s="122">
        <v>6497.174</v>
      </c>
      <c r="H18" s="536" t="s">
        <v>490</v>
      </c>
      <c r="I18" s="519" t="s">
        <v>490</v>
      </c>
    </row>
    <row r="19" spans="1:9" ht="20" customHeight="1" thickBot="1">
      <c r="A19" s="7" t="s">
        <v>15</v>
      </c>
      <c r="B19" s="30">
        <v>5132924.92</v>
      </c>
      <c r="C19" s="122">
        <v>13796281.49</v>
      </c>
      <c r="D19" s="30">
        <v>3354096.33</v>
      </c>
      <c r="E19" s="208">
        <v>22283301</v>
      </c>
      <c r="F19" s="127">
        <v>1.3034533688072584E-3</v>
      </c>
      <c r="G19" s="122">
        <v>2117.1439999999998</v>
      </c>
      <c r="H19" s="536">
        <v>23.95262782</v>
      </c>
      <c r="I19" s="519">
        <v>26.127793260000008</v>
      </c>
    </row>
    <row r="20" spans="1:9" ht="20" customHeight="1" thickBot="1">
      <c r="A20" s="85" t="s">
        <v>16</v>
      </c>
      <c r="B20" s="30">
        <v>100868988.79000001</v>
      </c>
      <c r="C20" s="122">
        <v>160009959.72</v>
      </c>
      <c r="D20" s="30">
        <v>52461062.460000001</v>
      </c>
      <c r="E20" s="208">
        <v>313340009</v>
      </c>
      <c r="F20" s="127">
        <v>1.8328706788691078E-2</v>
      </c>
      <c r="G20" s="122">
        <v>34178.601999999999</v>
      </c>
      <c r="H20" s="536" t="s">
        <v>490</v>
      </c>
      <c r="I20" s="519" t="s">
        <v>490</v>
      </c>
    </row>
    <row r="21" spans="1:9" ht="20" customHeight="1" thickBot="1">
      <c r="A21" s="85" t="s">
        <v>27</v>
      </c>
      <c r="B21" s="30">
        <v>22730174.82</v>
      </c>
      <c r="C21" s="122">
        <v>27152295.32</v>
      </c>
      <c r="D21" s="30">
        <v>4656002.7300000004</v>
      </c>
      <c r="E21" s="208">
        <v>54538469</v>
      </c>
      <c r="F21" s="127">
        <v>3.1902073731194598E-3</v>
      </c>
      <c r="G21" s="122">
        <v>32193.040000000001</v>
      </c>
      <c r="H21" s="536" t="s">
        <v>490</v>
      </c>
      <c r="I21" s="519" t="s">
        <v>490</v>
      </c>
    </row>
    <row r="22" spans="1:9" ht="30" customHeight="1" thickBot="1">
      <c r="A22" s="129" t="s">
        <v>17</v>
      </c>
      <c r="B22" s="130">
        <v>6378898950</v>
      </c>
      <c r="C22" s="133">
        <v>9598442997</v>
      </c>
      <c r="D22" s="130">
        <v>1118245464</v>
      </c>
      <c r="E22" s="123">
        <v>17095587409</v>
      </c>
      <c r="F22" s="537">
        <v>1</v>
      </c>
      <c r="G22" s="133">
        <v>709126.59199999995</v>
      </c>
      <c r="H22" s="538">
        <v>18047.667153900005</v>
      </c>
      <c r="I22" s="520">
        <v>19373.1820506</v>
      </c>
    </row>
    <row r="23" spans="1:9" ht="30" customHeight="1" thickBot="1">
      <c r="A23" s="539" t="s">
        <v>18</v>
      </c>
      <c r="B23" s="522" t="s">
        <v>490</v>
      </c>
      <c r="C23" s="523">
        <v>376988920</v>
      </c>
      <c r="D23" s="522">
        <v>2068684</v>
      </c>
      <c r="E23" s="524">
        <v>379057603</v>
      </c>
      <c r="F23" s="540">
        <v>2.2172832903094311E-2</v>
      </c>
      <c r="G23" s="525">
        <v>-1789.7550000000001</v>
      </c>
      <c r="H23" s="526" t="s">
        <v>490</v>
      </c>
      <c r="I23" s="525" t="s">
        <v>490</v>
      </c>
    </row>
    <row r="24" spans="1:9" ht="20" customHeight="1">
      <c r="A24" s="9" t="s">
        <v>1264</v>
      </c>
      <c r="B24" s="151"/>
      <c r="C24" s="151"/>
      <c r="D24" s="151"/>
      <c r="E24" s="151"/>
      <c r="F24" s="151"/>
    </row>
    <row r="25" spans="1:9" ht="9.75" customHeight="1">
      <c r="A25" s="38"/>
      <c r="B25" s="152"/>
      <c r="C25" s="152"/>
      <c r="D25" s="152"/>
      <c r="E25" s="152"/>
      <c r="F25" s="152"/>
    </row>
    <row r="26" spans="1:9">
      <c r="A26" s="38" t="s">
        <v>19</v>
      </c>
    </row>
    <row r="27" spans="1:9">
      <c r="A27" s="38" t="s">
        <v>20</v>
      </c>
    </row>
    <row r="28" spans="1:9">
      <c r="A28" s="38" t="s">
        <v>21</v>
      </c>
    </row>
    <row r="30" spans="1:9">
      <c r="A30" s="38" t="s">
        <v>35</v>
      </c>
      <c r="B30" s="38"/>
    </row>
    <row r="31" spans="1:9" ht="14">
      <c r="A31" s="542"/>
      <c r="B31" s="38"/>
    </row>
    <row r="32" spans="1:9">
      <c r="A32" s="38"/>
      <c r="B32" s="38"/>
    </row>
    <row r="33" spans="1:2">
      <c r="A33" s="38"/>
      <c r="B33" s="38"/>
    </row>
    <row r="34" spans="1:2">
      <c r="A34" s="38"/>
      <c r="B34" s="38"/>
    </row>
    <row r="35" spans="1:2">
      <c r="A35" s="38"/>
      <c r="B35" s="38"/>
    </row>
  </sheetData>
  <phoneticPr fontId="0" type="noConversion"/>
  <pageMargins left="0.45" right="0.42" top="0.9" bottom="0.46" header="0.51" footer="0.2"/>
  <pageSetup paperSize="9" scale="75" orientation="landscape"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C4AD-75B8-884B-BB4C-AC769B50921C}">
  <dimension ref="A1:K20"/>
  <sheetViews>
    <sheetView zoomScale="75" workbookViewId="0">
      <selection activeCell="D19" sqref="D19"/>
    </sheetView>
  </sheetViews>
  <sheetFormatPr baseColWidth="10" defaultColWidth="11.3984375" defaultRowHeight="13"/>
  <cols>
    <col min="1" max="1" width="16.796875" style="3" customWidth="1"/>
    <col min="2" max="7" width="14.796875" style="3" customWidth="1"/>
    <col min="8" max="16384" width="11.3984375" style="3"/>
  </cols>
  <sheetData>
    <row r="1" spans="1:11" s="1" customFormat="1" ht="14" customHeight="1"/>
    <row r="2" spans="1:11" s="1" customFormat="1" ht="28" customHeight="1">
      <c r="A2" s="64" t="s">
        <v>32</v>
      </c>
    </row>
    <row r="3" spans="1:11" ht="24" customHeight="1">
      <c r="A3" s="2" t="s">
        <v>335</v>
      </c>
      <c r="B3" s="74" t="s">
        <v>28</v>
      </c>
      <c r="C3" s="17" t="s">
        <v>609</v>
      </c>
      <c r="D3" s="74" t="s">
        <v>29</v>
      </c>
      <c r="E3" s="17" t="s">
        <v>609</v>
      </c>
      <c r="F3" s="74" t="s">
        <v>1316</v>
      </c>
      <c r="G3" s="17" t="s">
        <v>609</v>
      </c>
    </row>
    <row r="4" spans="1:11" ht="15" customHeight="1">
      <c r="A4" s="82"/>
      <c r="B4" s="75" t="s">
        <v>33</v>
      </c>
      <c r="C4" s="18" t="s">
        <v>610</v>
      </c>
      <c r="D4" s="75" t="s">
        <v>33</v>
      </c>
      <c r="E4" s="66" t="s">
        <v>610</v>
      </c>
      <c r="F4" s="75"/>
      <c r="G4" s="18" t="s">
        <v>610</v>
      </c>
    </row>
    <row r="5" spans="1:11" ht="15" customHeight="1">
      <c r="A5" s="82"/>
      <c r="B5" s="75"/>
      <c r="C5" s="18" t="s">
        <v>611</v>
      </c>
      <c r="D5" s="75"/>
      <c r="E5" s="66" t="s">
        <v>611</v>
      </c>
      <c r="F5" s="75"/>
      <c r="G5" s="18" t="s">
        <v>611</v>
      </c>
    </row>
    <row r="6" spans="1:11" ht="24" customHeight="1">
      <c r="A6" s="83"/>
      <c r="B6" s="78"/>
      <c r="C6" s="19"/>
      <c r="D6" s="78"/>
      <c r="E6" s="67"/>
      <c r="F6" s="78"/>
      <c r="G6" s="19"/>
    </row>
    <row r="7" spans="1:11" ht="30" customHeight="1" thickBot="1">
      <c r="A7" s="84">
        <v>1994</v>
      </c>
      <c r="B7" s="92">
        <v>1009.132945756054</v>
      </c>
      <c r="C7" s="126" t="s">
        <v>487</v>
      </c>
      <c r="D7" s="20">
        <v>506.41639462828601</v>
      </c>
      <c r="E7" s="126" t="s">
        <v>487</v>
      </c>
      <c r="F7" s="92">
        <v>1515.54934038434</v>
      </c>
      <c r="G7" s="126" t="s">
        <v>487</v>
      </c>
      <c r="H7" s="43"/>
    </row>
    <row r="8" spans="1:11" ht="20" customHeight="1" thickBot="1">
      <c r="A8" s="85">
        <v>1995</v>
      </c>
      <c r="B8" s="80">
        <v>1031.5524696995681</v>
      </c>
      <c r="C8" s="26">
        <v>2.2216620751309504E-2</v>
      </c>
      <c r="D8" s="30">
        <v>546.29693327827954</v>
      </c>
      <c r="E8" s="26">
        <v>7.8750488872435076E-2</v>
      </c>
      <c r="F8" s="30">
        <v>1577.8494029778476</v>
      </c>
      <c r="G8" s="26">
        <v>4.110724800138045E-2</v>
      </c>
      <c r="H8" s="43"/>
    </row>
    <row r="9" spans="1:11" ht="20" customHeight="1" thickBot="1">
      <c r="A9" s="85">
        <v>1996</v>
      </c>
      <c r="B9" s="30">
        <v>1141.7516401488422</v>
      </c>
      <c r="C9" s="26">
        <v>0.10682846843589913</v>
      </c>
      <c r="D9" s="30">
        <v>589.92914393356</v>
      </c>
      <c r="E9" s="26">
        <v>7.9869038241616008E-2</v>
      </c>
      <c r="F9" s="30">
        <v>1731.6807840824022</v>
      </c>
      <c r="G9" s="26">
        <v>9.7494336794266487E-2</v>
      </c>
    </row>
    <row r="10" spans="1:11" ht="20" customHeight="1" thickBot="1">
      <c r="A10" s="85">
        <v>1997</v>
      </c>
      <c r="B10" s="30">
        <v>1210.7956888559779</v>
      </c>
      <c r="C10" s="26">
        <v>6.0472038120422539E-2</v>
      </c>
      <c r="D10" s="30">
        <v>610.24833589590401</v>
      </c>
      <c r="E10" s="26">
        <v>3.4443444897227234E-2</v>
      </c>
      <c r="F10" s="30">
        <v>1821.0440247518818</v>
      </c>
      <c r="G10" s="26">
        <v>5.1604915577343084E-2</v>
      </c>
      <c r="I10" s="45"/>
      <c r="J10" s="45"/>
      <c r="K10" s="45"/>
    </row>
    <row r="11" spans="1:11" ht="20" customHeight="1" thickBot="1">
      <c r="A11" s="85">
        <v>1998</v>
      </c>
      <c r="B11" s="30">
        <v>1287.51</v>
      </c>
      <c r="C11" s="26">
        <v>6.335859290720279E-2</v>
      </c>
      <c r="D11" s="30">
        <v>647.22</v>
      </c>
      <c r="E11" s="26">
        <v>6.0584620931113262E-2</v>
      </c>
      <c r="F11" s="30">
        <v>1934.73</v>
      </c>
      <c r="G11" s="26">
        <v>6.2429009789375073E-2</v>
      </c>
    </row>
    <row r="12" spans="1:11" ht="20" customHeight="1" thickBot="1">
      <c r="A12" s="85">
        <v>1999</v>
      </c>
      <c r="B12" s="30">
        <v>1352.3238940325607</v>
      </c>
      <c r="C12" s="26">
        <v>5.034049757482327E-2</v>
      </c>
      <c r="D12" s="30">
        <v>659.70969970002204</v>
      </c>
      <c r="E12" s="26">
        <v>1.9297456351815481E-2</v>
      </c>
      <c r="F12" s="30">
        <v>2012.03</v>
      </c>
      <c r="G12" s="26">
        <v>3.9953895375582096E-2</v>
      </c>
    </row>
    <row r="13" spans="1:11" ht="20" customHeight="1" thickBot="1">
      <c r="A13" s="85">
        <v>2000</v>
      </c>
      <c r="B13" s="30">
        <v>1450.5580412847301</v>
      </c>
      <c r="C13" s="26">
        <v>7.2640990583432014E-2</v>
      </c>
      <c r="D13" s="30">
        <v>679.06373279109243</v>
      </c>
      <c r="E13" s="26">
        <v>2.9337196496990878E-2</v>
      </c>
      <c r="F13" s="30">
        <v>2129.6217740758225</v>
      </c>
      <c r="G13" s="26">
        <v>5.8444344306905226E-2</v>
      </c>
    </row>
    <row r="14" spans="1:11" ht="20" customHeight="1" thickBot="1">
      <c r="A14" s="85">
        <v>2001</v>
      </c>
      <c r="B14" s="30">
        <v>1544.5438256962198</v>
      </c>
      <c r="C14" s="26">
        <v>6.4792846433258458E-2</v>
      </c>
      <c r="D14" s="30">
        <v>693.65019907019075</v>
      </c>
      <c r="E14" s="26">
        <v>2.1480261092938838E-2</v>
      </c>
      <c r="F14" s="30">
        <v>2238.1940247664106</v>
      </c>
      <c r="G14" s="26">
        <v>5.0981940555009819E-2</v>
      </c>
    </row>
    <row r="15" spans="1:11" ht="30" customHeight="1" thickBot="1">
      <c r="A15" s="135">
        <v>2002</v>
      </c>
      <c r="B15" s="136">
        <v>1612.198402851333</v>
      </c>
      <c r="C15" s="35">
        <v>4.3802303327079226E-2</v>
      </c>
      <c r="D15" s="136">
        <v>710.77204487071913</v>
      </c>
      <c r="E15" s="35">
        <v>2.4683689017143653E-2</v>
      </c>
      <c r="F15" s="136">
        <v>2322.9704477220521</v>
      </c>
      <c r="G15" s="35">
        <v>3.7877155428689503E-2</v>
      </c>
    </row>
    <row r="16" spans="1:11" ht="20" customHeight="1">
      <c r="A16" s="9" t="s">
        <v>1525</v>
      </c>
      <c r="B16" s="151"/>
      <c r="C16" s="151"/>
      <c r="D16" s="151"/>
      <c r="E16" s="151"/>
      <c r="F16" s="151"/>
      <c r="G16" s="271"/>
    </row>
    <row r="17" spans="1:7" ht="14.25" customHeight="1">
      <c r="A17" s="38"/>
      <c r="B17" s="152"/>
      <c r="C17" s="152"/>
      <c r="D17" s="152"/>
      <c r="E17" s="152"/>
      <c r="F17" s="152"/>
      <c r="G17" s="272"/>
    </row>
    <row r="18" spans="1:7">
      <c r="A18" s="38" t="s">
        <v>30</v>
      </c>
    </row>
    <row r="20" spans="1:7">
      <c r="A20" s="3" t="s">
        <v>31</v>
      </c>
    </row>
  </sheetData>
  <phoneticPr fontId="0" type="noConversion"/>
  <pageMargins left="0.42" right="0.28999999999999998" top="1.46" bottom="0.49" header="0.92"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AF362-B546-9948-8A86-74A314655C34}">
  <dimension ref="A1:J30"/>
  <sheetViews>
    <sheetView topLeftCell="A20" zoomScale="75" workbookViewId="0">
      <selection activeCell="A31" sqref="A31"/>
    </sheetView>
  </sheetViews>
  <sheetFormatPr baseColWidth="10" defaultColWidth="11.3984375" defaultRowHeight="13"/>
  <cols>
    <col min="1" max="1" width="36" style="3" customWidth="1"/>
    <col min="2" max="4" width="15.19921875" style="3" customWidth="1"/>
    <col min="5" max="5" width="15.19921875" style="36" customWidth="1"/>
    <col min="6" max="6" width="15.19921875" style="3" customWidth="1"/>
    <col min="7" max="7" width="13.59765625" style="3" customWidth="1"/>
    <col min="8" max="8" width="11.3984375" style="3"/>
    <col min="9" max="9" width="13.796875" style="3" customWidth="1"/>
    <col min="10" max="10" width="13.19921875" style="3" customWidth="1"/>
    <col min="11" max="16384" width="11.3984375" style="3"/>
  </cols>
  <sheetData>
    <row r="1" spans="1:10" s="1" customFormat="1" ht="14" customHeight="1">
      <c r="E1" s="63"/>
    </row>
    <row r="2" spans="1:10" s="1" customFormat="1" ht="30.75" customHeight="1">
      <c r="A2" s="507" t="s">
        <v>1530</v>
      </c>
      <c r="B2" s="508"/>
      <c r="C2" s="508"/>
      <c r="D2" s="508"/>
      <c r="E2" s="508"/>
      <c r="F2" s="508"/>
    </row>
    <row r="3" spans="1:10" ht="24" customHeight="1">
      <c r="A3" s="2" t="s">
        <v>4</v>
      </c>
      <c r="B3" s="74" t="s">
        <v>1665</v>
      </c>
      <c r="C3" s="17" t="s">
        <v>1666</v>
      </c>
      <c r="D3" s="74" t="s">
        <v>1664</v>
      </c>
      <c r="E3" s="202" t="s">
        <v>607</v>
      </c>
      <c r="F3" s="74" t="s">
        <v>609</v>
      </c>
      <c r="G3" s="509" t="s">
        <v>23</v>
      </c>
      <c r="H3" s="510" t="s">
        <v>609</v>
      </c>
      <c r="I3" s="509" t="s">
        <v>23</v>
      </c>
      <c r="J3" s="510" t="s">
        <v>609</v>
      </c>
    </row>
    <row r="4" spans="1:10" ht="15" customHeight="1">
      <c r="A4" s="82"/>
      <c r="B4" s="75"/>
      <c r="C4" s="18"/>
      <c r="D4" s="75"/>
      <c r="E4" s="203"/>
      <c r="F4" s="75" t="s">
        <v>610</v>
      </c>
      <c r="G4" s="511" t="s">
        <v>5</v>
      </c>
      <c r="H4" s="512" t="s">
        <v>610</v>
      </c>
      <c r="I4" s="511" t="s">
        <v>5</v>
      </c>
      <c r="J4" s="512" t="s">
        <v>610</v>
      </c>
    </row>
    <row r="5" spans="1:10" ht="15" customHeight="1">
      <c r="A5" s="82"/>
      <c r="B5" s="75"/>
      <c r="C5" s="18"/>
      <c r="D5" s="75"/>
      <c r="E5" s="203"/>
      <c r="F5" s="75" t="s">
        <v>611</v>
      </c>
      <c r="G5" s="511">
        <v>2003</v>
      </c>
      <c r="H5" s="512" t="s">
        <v>611</v>
      </c>
      <c r="I5" s="511">
        <v>2004</v>
      </c>
      <c r="J5" s="512" t="s">
        <v>611</v>
      </c>
    </row>
    <row r="6" spans="1:10" ht="24" customHeight="1">
      <c r="A6" s="83"/>
      <c r="B6" s="78"/>
      <c r="C6" s="19"/>
      <c r="D6" s="78"/>
      <c r="E6" s="204"/>
      <c r="F6" s="78"/>
      <c r="G6" s="513"/>
      <c r="H6" s="514"/>
      <c r="I6" s="515"/>
      <c r="J6" s="514"/>
    </row>
    <row r="7" spans="1:10" ht="30" customHeight="1" thickBot="1">
      <c r="A7" s="84" t="s">
        <v>6</v>
      </c>
      <c r="B7" s="92">
        <v>503.59</v>
      </c>
      <c r="C7" s="91">
        <v>755.02</v>
      </c>
      <c r="D7" s="20">
        <v>283.58</v>
      </c>
      <c r="E7" s="516">
        <v>558.30999999999995</v>
      </c>
      <c r="F7" s="127">
        <v>1.8944025696713052E-2</v>
      </c>
      <c r="G7" s="517">
        <v>584.96596113123542</v>
      </c>
      <c r="H7" s="518">
        <v>4.7744015208818436E-2</v>
      </c>
      <c r="I7" s="517">
        <v>624.65410320359365</v>
      </c>
      <c r="J7" s="518">
        <v>6.7846925649498235E-2</v>
      </c>
    </row>
    <row r="8" spans="1:10" ht="20" customHeight="1" thickBot="1">
      <c r="A8" s="85" t="s">
        <v>24</v>
      </c>
      <c r="B8" s="80">
        <v>567.29999999999995</v>
      </c>
      <c r="C8" s="122">
        <v>681.19</v>
      </c>
      <c r="D8" s="30">
        <v>104.32</v>
      </c>
      <c r="E8" s="208">
        <v>514.16999999999996</v>
      </c>
      <c r="F8" s="127">
        <v>-8.9053374197651802E-3</v>
      </c>
      <c r="G8" s="519">
        <v>543.98624057299946</v>
      </c>
      <c r="H8" s="518">
        <v>5.7989070877335402E-2</v>
      </c>
      <c r="I8" s="519">
        <v>588.65515919093548</v>
      </c>
      <c r="J8" s="518">
        <v>8.2114059669753159E-2</v>
      </c>
    </row>
    <row r="9" spans="1:10" ht="20" customHeight="1" thickBot="1">
      <c r="A9" s="85" t="s">
        <v>7</v>
      </c>
      <c r="B9" s="30">
        <v>286.62</v>
      </c>
      <c r="C9" s="122">
        <v>330.64</v>
      </c>
      <c r="D9" s="30">
        <v>116.47</v>
      </c>
      <c r="E9" s="208">
        <v>267.97000000000003</v>
      </c>
      <c r="F9" s="127">
        <v>1.8897338403041974E-2</v>
      </c>
      <c r="G9" s="519">
        <v>295.58435953834231</v>
      </c>
      <c r="H9" s="518">
        <v>0.10305019046289621</v>
      </c>
      <c r="I9" s="519">
        <v>319.96393577193538</v>
      </c>
      <c r="J9" s="518">
        <v>8.247924982116861E-2</v>
      </c>
    </row>
    <row r="10" spans="1:10" ht="20" customHeight="1" thickBot="1">
      <c r="A10" s="85" t="s">
        <v>8</v>
      </c>
      <c r="B10" s="30">
        <v>183.11</v>
      </c>
      <c r="C10" s="122">
        <v>227.72</v>
      </c>
      <c r="D10" s="30">
        <v>43.81</v>
      </c>
      <c r="E10" s="208">
        <v>171.32</v>
      </c>
      <c r="F10" s="127">
        <v>-1.3474605551076824E-2</v>
      </c>
      <c r="G10" s="519">
        <v>179.43681267757808</v>
      </c>
      <c r="H10" s="518">
        <v>4.7378080069916395E-2</v>
      </c>
      <c r="I10" s="519">
        <v>191.99474799142996</v>
      </c>
      <c r="J10" s="518">
        <v>6.9985278530424466E-2</v>
      </c>
    </row>
    <row r="11" spans="1:10" ht="20" customHeight="1" thickBot="1">
      <c r="A11" s="85" t="s">
        <v>9</v>
      </c>
      <c r="B11" s="30">
        <v>362.86</v>
      </c>
      <c r="C11" s="122">
        <v>471.26</v>
      </c>
      <c r="D11" s="30">
        <v>65.67</v>
      </c>
      <c r="E11" s="208">
        <v>343.06</v>
      </c>
      <c r="F11" s="127">
        <v>0.12004962617127557</v>
      </c>
      <c r="G11" s="519">
        <v>361.56560921381055</v>
      </c>
      <c r="H11" s="518">
        <v>5.3942777396987607E-2</v>
      </c>
      <c r="I11" s="519">
        <v>389.25603758883312</v>
      </c>
      <c r="J11" s="518">
        <v>7.6584795869365729E-2</v>
      </c>
    </row>
    <row r="12" spans="1:10" ht="20" customHeight="1" thickBot="1">
      <c r="A12" s="85" t="s">
        <v>25</v>
      </c>
      <c r="B12" s="30">
        <v>124.09</v>
      </c>
      <c r="C12" s="122">
        <v>350.12</v>
      </c>
      <c r="D12" s="30">
        <v>0.48</v>
      </c>
      <c r="E12" s="208">
        <v>189.2</v>
      </c>
      <c r="F12" s="127">
        <v>0.10121646004307072</v>
      </c>
      <c r="G12" s="519">
        <v>199.39099173459115</v>
      </c>
      <c r="H12" s="518">
        <v>5.3863592677543259E-2</v>
      </c>
      <c r="I12" s="519">
        <v>217.44659845236035</v>
      </c>
      <c r="J12" s="518">
        <v>9.0553773571691476E-2</v>
      </c>
    </row>
    <row r="13" spans="1:10" ht="20" customHeight="1" thickBot="1">
      <c r="A13" s="85" t="s">
        <v>10</v>
      </c>
      <c r="B13" s="30">
        <v>32.909999999999997</v>
      </c>
      <c r="C13" s="122">
        <v>65.89</v>
      </c>
      <c r="D13" s="30">
        <v>0.91</v>
      </c>
      <c r="E13" s="208">
        <v>39.409999999999997</v>
      </c>
      <c r="F13" s="127">
        <v>6.7443120260021416E-2</v>
      </c>
      <c r="G13" s="519">
        <v>42.127700931827029</v>
      </c>
      <c r="H13" s="518">
        <v>6.8959678554352477E-2</v>
      </c>
      <c r="I13" s="519">
        <v>45.172357865357398</v>
      </c>
      <c r="J13" s="518">
        <v>7.2272088582697069E-2</v>
      </c>
    </row>
    <row r="14" spans="1:10" ht="20" customHeight="1" thickBot="1">
      <c r="A14" s="85" t="s">
        <v>11</v>
      </c>
      <c r="B14" s="30">
        <v>60.51</v>
      </c>
      <c r="C14" s="122">
        <v>104.1</v>
      </c>
      <c r="D14" s="30">
        <v>16.739999999999998</v>
      </c>
      <c r="E14" s="208">
        <v>68.790000000000006</v>
      </c>
      <c r="F14" s="127">
        <v>4.8947849954254385E-2</v>
      </c>
      <c r="G14" s="519">
        <v>72.008275472807185</v>
      </c>
      <c r="H14" s="518">
        <v>4.6784059787864152E-2</v>
      </c>
      <c r="I14" s="519">
        <v>76.30005544610934</v>
      </c>
      <c r="J14" s="518">
        <v>5.9601204793786167E-2</v>
      </c>
    </row>
    <row r="15" spans="1:10" ht="20" customHeight="1" thickBot="1">
      <c r="A15" s="85" t="s">
        <v>12</v>
      </c>
      <c r="B15" s="30">
        <v>57.39</v>
      </c>
      <c r="C15" s="122">
        <v>98.94</v>
      </c>
      <c r="D15" s="30">
        <v>18.91</v>
      </c>
      <c r="E15" s="208">
        <v>65.98</v>
      </c>
      <c r="F15" s="127">
        <v>4.3987341772151911E-2</v>
      </c>
      <c r="G15" s="519">
        <v>69.134287024072833</v>
      </c>
      <c r="H15" s="518">
        <v>4.7806714520655103E-2</v>
      </c>
      <c r="I15" s="519">
        <v>73.660290612638491</v>
      </c>
      <c r="J15" s="518">
        <v>6.546684407101333E-2</v>
      </c>
    </row>
    <row r="16" spans="1:10" ht="20" customHeight="1" thickBot="1">
      <c r="A16" s="85" t="s">
        <v>13</v>
      </c>
      <c r="B16" s="30">
        <v>9.0500000000000007</v>
      </c>
      <c r="C16" s="122">
        <v>12.45</v>
      </c>
      <c r="D16" s="30">
        <v>1.74</v>
      </c>
      <c r="E16" s="208">
        <v>8.86</v>
      </c>
      <c r="F16" s="127">
        <v>-5.6116722783390305E-3</v>
      </c>
      <c r="G16" s="519">
        <v>9.2728093415301718</v>
      </c>
      <c r="H16" s="518">
        <v>4.6592476470673994E-2</v>
      </c>
      <c r="I16" s="519">
        <v>9.9005059267332829</v>
      </c>
      <c r="J16" s="518">
        <v>6.769216987907245E-2</v>
      </c>
    </row>
    <row r="17" spans="1:10" ht="20" customHeight="1" thickBot="1">
      <c r="A17" s="85" t="s">
        <v>14</v>
      </c>
      <c r="B17" s="30">
        <v>30.43</v>
      </c>
      <c r="C17" s="122">
        <v>32.24</v>
      </c>
      <c r="D17" s="30">
        <v>13.66</v>
      </c>
      <c r="E17" s="208">
        <v>27.57</v>
      </c>
      <c r="F17" s="127">
        <v>0.16673719847651292</v>
      </c>
      <c r="G17" s="519" t="s">
        <v>490</v>
      </c>
      <c r="H17" s="518" t="s">
        <v>490</v>
      </c>
      <c r="I17" s="519" t="s">
        <v>490</v>
      </c>
      <c r="J17" s="518" t="s">
        <v>490</v>
      </c>
    </row>
    <row r="18" spans="1:10" ht="20" customHeight="1" thickBot="1">
      <c r="A18" s="85" t="s">
        <v>26</v>
      </c>
      <c r="B18" s="30">
        <v>15.92</v>
      </c>
      <c r="C18" s="122">
        <v>20.85</v>
      </c>
      <c r="D18" s="30">
        <v>3.87</v>
      </c>
      <c r="E18" s="208">
        <v>15.33</v>
      </c>
      <c r="F18" s="127">
        <v>5.5785123966942241E-2</v>
      </c>
      <c r="G18" s="519" t="s">
        <v>490</v>
      </c>
      <c r="H18" s="518" t="s">
        <v>490</v>
      </c>
      <c r="I18" s="519" t="s">
        <v>490</v>
      </c>
      <c r="J18" s="518" t="s">
        <v>490</v>
      </c>
    </row>
    <row r="19" spans="1:10" ht="20" customHeight="1" thickBot="1">
      <c r="A19" s="7" t="s">
        <v>15</v>
      </c>
      <c r="B19" s="30">
        <v>1.83</v>
      </c>
      <c r="C19" s="122">
        <v>4.63</v>
      </c>
      <c r="D19" s="30">
        <v>2.12</v>
      </c>
      <c r="E19" s="208">
        <v>3.03</v>
      </c>
      <c r="F19" s="127">
        <v>0.10181818181818181</v>
      </c>
      <c r="G19" s="519">
        <v>3</v>
      </c>
      <c r="H19" s="518">
        <v>-9.9009900990097988E-3</v>
      </c>
      <c r="I19" s="519">
        <v>4</v>
      </c>
      <c r="J19" s="518">
        <v>0.33333333333333326</v>
      </c>
    </row>
    <row r="20" spans="1:10" ht="20" customHeight="1" thickBot="1">
      <c r="A20" s="85" t="s">
        <v>16</v>
      </c>
      <c r="B20" s="30">
        <v>36.049999999999997</v>
      </c>
      <c r="C20" s="122">
        <v>53.64</v>
      </c>
      <c r="D20" s="30">
        <v>33.24</v>
      </c>
      <c r="E20" s="208">
        <v>42.58</v>
      </c>
      <c r="F20" s="127">
        <v>0.11670600576973489</v>
      </c>
      <c r="G20" s="519" t="s">
        <v>490</v>
      </c>
      <c r="H20" s="518" t="s">
        <v>490</v>
      </c>
      <c r="I20" s="519">
        <v>0</v>
      </c>
      <c r="J20" s="518" t="s">
        <v>490</v>
      </c>
    </row>
    <row r="21" spans="1:10" ht="20" customHeight="1" thickBot="1">
      <c r="A21" s="85" t="s">
        <v>27</v>
      </c>
      <c r="B21" s="30">
        <v>8.1199999999999992</v>
      </c>
      <c r="C21" s="122">
        <v>9.1</v>
      </c>
      <c r="D21" s="30">
        <v>2.95</v>
      </c>
      <c r="E21" s="208">
        <v>7.41</v>
      </c>
      <c r="F21" s="127">
        <v>1.4295081967213115</v>
      </c>
      <c r="G21" s="519" t="s">
        <v>490</v>
      </c>
      <c r="H21" s="518" t="s">
        <v>490</v>
      </c>
      <c r="I21" s="519">
        <v>0</v>
      </c>
      <c r="J21" s="518" t="s">
        <v>490</v>
      </c>
    </row>
    <row r="22" spans="1:10" ht="30" customHeight="1" thickBot="1">
      <c r="A22" s="129" t="s">
        <v>17</v>
      </c>
      <c r="B22" s="130">
        <v>2279.77</v>
      </c>
      <c r="C22" s="133">
        <v>3217.81</v>
      </c>
      <c r="D22" s="130">
        <v>708.46</v>
      </c>
      <c r="E22" s="123">
        <v>2322.9699999999998</v>
      </c>
      <c r="F22" s="127">
        <v>3.7878821726484269E-2</v>
      </c>
      <c r="G22" s="520">
        <v>2444.8908491350039</v>
      </c>
      <c r="H22" s="518">
        <v>5.2484900422736569E-2</v>
      </c>
      <c r="I22" s="520">
        <v>2631.2158784977232</v>
      </c>
      <c r="J22" s="518">
        <v>7.6209958178149684E-2</v>
      </c>
    </row>
    <row r="23" spans="1:10" ht="30" customHeight="1" thickBot="1">
      <c r="A23" s="521" t="s">
        <v>18</v>
      </c>
      <c r="B23" s="522" t="s">
        <v>490</v>
      </c>
      <c r="C23" s="523">
        <v>126.38</v>
      </c>
      <c r="D23" s="522">
        <v>1.31</v>
      </c>
      <c r="E23" s="524" t="s">
        <v>490</v>
      </c>
      <c r="F23" s="522" t="s">
        <v>490</v>
      </c>
      <c r="G23" s="525" t="s">
        <v>490</v>
      </c>
      <c r="H23" s="526" t="s">
        <v>490</v>
      </c>
      <c r="I23" s="525" t="s">
        <v>490</v>
      </c>
      <c r="J23" s="526" t="s">
        <v>490</v>
      </c>
    </row>
    <row r="24" spans="1:10" ht="20" customHeight="1">
      <c r="A24" s="9" t="s">
        <v>1525</v>
      </c>
      <c r="B24" s="151"/>
      <c r="C24" s="151"/>
      <c r="D24" s="151"/>
      <c r="E24" s="198"/>
      <c r="F24" s="151"/>
    </row>
    <row r="25" spans="1:10" ht="12.75" customHeight="1">
      <c r="A25" s="38"/>
      <c r="B25" s="152"/>
      <c r="C25" s="152"/>
      <c r="D25" s="152"/>
      <c r="E25" s="200"/>
      <c r="F25" s="152"/>
    </row>
    <row r="26" spans="1:10">
      <c r="A26" s="38" t="s">
        <v>19</v>
      </c>
    </row>
    <row r="27" spans="1:10">
      <c r="A27" s="38" t="s">
        <v>20</v>
      </c>
    </row>
    <row r="28" spans="1:10">
      <c r="A28" s="38" t="s">
        <v>21</v>
      </c>
    </row>
    <row r="30" spans="1:10">
      <c r="A30" s="3" t="s">
        <v>22</v>
      </c>
    </row>
  </sheetData>
  <phoneticPr fontId="0" type="noConversion"/>
  <pageMargins left="0.47" right="0.42" top="0.93" bottom="0.49" header="0.53" footer="0.4921259845"/>
  <pageSetup paperSize="9" scale="75" orientation="landscape"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93F7-1C6F-DE47-90E5-00F6F35B44CD}">
  <dimension ref="A1:J18"/>
  <sheetViews>
    <sheetView topLeftCell="A2" zoomScale="75" workbookViewId="0">
      <selection activeCell="A17" sqref="A17"/>
    </sheetView>
  </sheetViews>
  <sheetFormatPr baseColWidth="10" defaultColWidth="11.3984375" defaultRowHeight="13"/>
  <cols>
    <col min="1" max="1" width="12.796875" style="3" customWidth="1"/>
    <col min="2" max="3" width="17" style="3" customWidth="1"/>
    <col min="4" max="5" width="15.796875" style="3" customWidth="1"/>
    <col min="6" max="6" width="17" style="3" customWidth="1"/>
    <col min="7" max="7" width="13.3984375" style="3" customWidth="1"/>
    <col min="8" max="16384" width="11.3984375" style="3"/>
  </cols>
  <sheetData>
    <row r="1" spans="1:10" s="1" customFormat="1" ht="14" customHeight="1">
      <c r="A1" s="62"/>
      <c r="B1" s="62"/>
      <c r="C1" s="62"/>
      <c r="D1" s="62"/>
      <c r="E1" s="62"/>
      <c r="F1" s="62"/>
      <c r="G1" s="62"/>
    </row>
    <row r="2" spans="1:10" s="1" customFormat="1" ht="28" customHeight="1">
      <c r="A2" s="240" t="s">
        <v>2</v>
      </c>
      <c r="B2" s="62"/>
      <c r="C2" s="62"/>
      <c r="D2" s="62"/>
      <c r="E2" s="62"/>
      <c r="F2" s="62"/>
      <c r="G2" s="62"/>
    </row>
    <row r="3" spans="1:10" ht="24" customHeight="1">
      <c r="A3" s="2" t="s">
        <v>335</v>
      </c>
      <c r="B3" s="74" t="s">
        <v>1447</v>
      </c>
      <c r="C3" s="17" t="s">
        <v>1448</v>
      </c>
      <c r="D3" s="74" t="s">
        <v>1449</v>
      </c>
      <c r="E3" s="17" t="s">
        <v>1450</v>
      </c>
      <c r="F3" s="74" t="s">
        <v>607</v>
      </c>
      <c r="G3" s="17" t="s">
        <v>609</v>
      </c>
    </row>
    <row r="4" spans="1:10" ht="15" customHeight="1">
      <c r="A4" s="82"/>
      <c r="B4" s="75" t="s">
        <v>1451</v>
      </c>
      <c r="C4" s="18" t="s">
        <v>1452</v>
      </c>
      <c r="D4" s="75" t="s">
        <v>1453</v>
      </c>
      <c r="E4" s="66" t="s">
        <v>1454</v>
      </c>
      <c r="F4" s="75"/>
      <c r="G4" s="18" t="s">
        <v>610</v>
      </c>
    </row>
    <row r="5" spans="1:10" ht="15" customHeight="1">
      <c r="A5" s="82"/>
      <c r="B5" s="75" t="s">
        <v>1455</v>
      </c>
      <c r="C5" s="18" t="s">
        <v>1456</v>
      </c>
      <c r="D5" s="75" t="s">
        <v>969</v>
      </c>
      <c r="E5" s="66" t="s">
        <v>1457</v>
      </c>
      <c r="F5" s="75"/>
      <c r="G5" s="18" t="s">
        <v>611</v>
      </c>
    </row>
    <row r="6" spans="1:10" ht="24" customHeight="1">
      <c r="A6" s="83"/>
      <c r="B6" s="78"/>
      <c r="C6" s="19"/>
      <c r="D6" s="78"/>
      <c r="E6" s="67" t="s">
        <v>1458</v>
      </c>
      <c r="F6" s="78"/>
      <c r="G6" s="19"/>
    </row>
    <row r="7" spans="1:10" ht="30" customHeight="1" thickBot="1">
      <c r="A7" s="84">
        <v>1994</v>
      </c>
      <c r="B7" s="92">
        <v>1094583000</v>
      </c>
      <c r="C7" s="91">
        <v>161563000</v>
      </c>
      <c r="D7" s="20">
        <v>2653000</v>
      </c>
      <c r="E7" s="91">
        <v>552000</v>
      </c>
      <c r="F7" s="92">
        <v>1259274000</v>
      </c>
      <c r="G7" s="505" t="s">
        <v>487</v>
      </c>
    </row>
    <row r="8" spans="1:10" ht="20" customHeight="1" thickBot="1">
      <c r="A8" s="85">
        <v>1995</v>
      </c>
      <c r="B8" s="80">
        <v>1104144000</v>
      </c>
      <c r="C8" s="122">
        <v>182947000</v>
      </c>
      <c r="D8" s="30">
        <v>2520000</v>
      </c>
      <c r="E8" s="122">
        <v>560000</v>
      </c>
      <c r="F8" s="30">
        <v>1290196000</v>
      </c>
      <c r="G8" s="26">
        <v>2.4555418439513588E-2</v>
      </c>
    </row>
    <row r="9" spans="1:10" ht="20" customHeight="1" thickBot="1">
      <c r="A9" s="85">
        <v>1996</v>
      </c>
      <c r="B9" s="30">
        <v>1089264800.5</v>
      </c>
      <c r="C9" s="122">
        <v>580101661.80000019</v>
      </c>
      <c r="D9" s="30">
        <v>4375346.3499999996</v>
      </c>
      <c r="E9" s="122">
        <v>4789928.95</v>
      </c>
      <c r="F9" s="30">
        <v>1678531737.6000004</v>
      </c>
      <c r="G9" s="26">
        <v>0.30098972373189836</v>
      </c>
    </row>
    <row r="10" spans="1:10" ht="20" customHeight="1" thickBot="1">
      <c r="A10" s="85">
        <v>1997</v>
      </c>
      <c r="B10" s="30">
        <v>879950459</v>
      </c>
      <c r="C10" s="122">
        <v>850703379</v>
      </c>
      <c r="D10" s="30">
        <v>1704020</v>
      </c>
      <c r="E10" s="122">
        <v>45624484</v>
      </c>
      <c r="F10" s="30">
        <v>1777982343</v>
      </c>
      <c r="G10" s="26">
        <v>5.9248570147500512E-2</v>
      </c>
      <c r="H10" s="45"/>
      <c r="I10" s="45"/>
      <c r="J10" s="45"/>
    </row>
    <row r="11" spans="1:10" ht="20" customHeight="1" thickBot="1">
      <c r="A11" s="85">
        <v>1998</v>
      </c>
      <c r="B11" s="30">
        <v>1013899968</v>
      </c>
      <c r="C11" s="122">
        <v>981741080</v>
      </c>
      <c r="D11" s="30">
        <v>1294283</v>
      </c>
      <c r="E11" s="122">
        <v>100297469</v>
      </c>
      <c r="F11" s="30">
        <v>2097232800</v>
      </c>
      <c r="G11" s="26">
        <v>0.17955772072591381</v>
      </c>
    </row>
    <row r="12" spans="1:10" ht="20" customHeight="1" thickBot="1">
      <c r="A12" s="85">
        <v>1999</v>
      </c>
      <c r="B12" s="30">
        <v>1011361150</v>
      </c>
      <c r="C12" s="122">
        <v>1055568640</v>
      </c>
      <c r="D12" s="30">
        <v>792455</v>
      </c>
      <c r="E12" s="122">
        <v>122178940</v>
      </c>
      <c r="F12" s="30">
        <v>2189901184</v>
      </c>
      <c r="G12" s="26">
        <v>4.4186026463061134E-2</v>
      </c>
    </row>
    <row r="13" spans="1:10" ht="20" customHeight="1" thickBot="1">
      <c r="A13" s="85">
        <v>2000</v>
      </c>
      <c r="B13" s="30">
        <v>1054450601</v>
      </c>
      <c r="C13" s="122">
        <v>1090720983</v>
      </c>
      <c r="D13" s="30">
        <v>1251221</v>
      </c>
      <c r="E13" s="122">
        <v>141594740</v>
      </c>
      <c r="F13" s="30">
        <v>2288017545</v>
      </c>
      <c r="G13" s="26">
        <v>4.4804012946732197E-2</v>
      </c>
    </row>
    <row r="14" spans="1:10" ht="20" customHeight="1" thickBot="1">
      <c r="A14" s="85">
        <v>2001</v>
      </c>
      <c r="B14" s="30">
        <v>1083514122</v>
      </c>
      <c r="C14" s="122">
        <v>1158413361</v>
      </c>
      <c r="D14" s="30">
        <v>1268100.93</v>
      </c>
      <c r="E14" s="122">
        <v>156993944.90000001</v>
      </c>
      <c r="F14" s="30">
        <v>2400189528.8299999</v>
      </c>
      <c r="G14" s="26">
        <v>4.9025840765569706E-2</v>
      </c>
    </row>
    <row r="15" spans="1:10" ht="30" customHeight="1" thickBot="1">
      <c r="A15" s="135">
        <v>2002</v>
      </c>
      <c r="B15" s="136">
        <v>1089828946</v>
      </c>
      <c r="C15" s="138">
        <v>1244155033</v>
      </c>
      <c r="D15" s="136">
        <v>1260300.6499999999</v>
      </c>
      <c r="E15" s="138">
        <v>167586086.80000001</v>
      </c>
      <c r="F15" s="136">
        <v>2502830366.4500003</v>
      </c>
      <c r="G15" s="35">
        <v>4.2763638615669564E-2</v>
      </c>
    </row>
    <row r="16" spans="1:10" ht="20" customHeight="1">
      <c r="A16" s="506" t="s">
        <v>1264</v>
      </c>
      <c r="B16" s="506"/>
      <c r="C16" s="506"/>
      <c r="D16" s="506"/>
      <c r="E16" s="506"/>
      <c r="F16" s="506"/>
      <c r="G16" s="506"/>
    </row>
    <row r="18" spans="1:1">
      <c r="A18" s="3" t="s">
        <v>3</v>
      </c>
    </row>
  </sheetData>
  <phoneticPr fontId="0" type="noConversion"/>
  <pageMargins left="0.53" right="0.78740157480314965"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EE13-6BB8-164F-9B96-BF6AAC2FC49D}">
  <dimension ref="A1:J18"/>
  <sheetViews>
    <sheetView zoomScale="75" workbookViewId="0">
      <selection activeCell="A14" sqref="A14:IV14"/>
    </sheetView>
  </sheetViews>
  <sheetFormatPr baseColWidth="10" defaultColWidth="11.3984375" defaultRowHeight="13"/>
  <cols>
    <col min="1" max="1" width="12.796875" style="3" customWidth="1"/>
    <col min="2" max="6" width="15.796875" style="3" customWidth="1"/>
    <col min="7" max="7" width="13.3984375" style="3" customWidth="1"/>
    <col min="8" max="16384" width="11.3984375" style="3"/>
  </cols>
  <sheetData>
    <row r="1" spans="1:10" s="1" customFormat="1" ht="14" customHeight="1"/>
    <row r="2" spans="1:10" s="1" customFormat="1" ht="28" customHeight="1">
      <c r="A2" s="64" t="s">
        <v>0</v>
      </c>
    </row>
    <row r="3" spans="1:10" ht="24" customHeight="1">
      <c r="A3" s="2" t="s">
        <v>335</v>
      </c>
      <c r="B3" s="74" t="s">
        <v>1447</v>
      </c>
      <c r="C3" s="17" t="s">
        <v>1448</v>
      </c>
      <c r="D3" s="74" t="s">
        <v>1449</v>
      </c>
      <c r="E3" s="17" t="s">
        <v>1450</v>
      </c>
      <c r="F3" s="74" t="s">
        <v>607</v>
      </c>
      <c r="G3" s="17" t="s">
        <v>609</v>
      </c>
    </row>
    <row r="4" spans="1:10" ht="15" customHeight="1">
      <c r="A4" s="82"/>
      <c r="B4" s="75" t="s">
        <v>1451</v>
      </c>
      <c r="C4" s="18" t="s">
        <v>1452</v>
      </c>
      <c r="D4" s="75" t="s">
        <v>1453</v>
      </c>
      <c r="E4" s="66" t="s">
        <v>1454</v>
      </c>
      <c r="F4" s="75"/>
      <c r="G4" s="18" t="s">
        <v>610</v>
      </c>
    </row>
    <row r="5" spans="1:10" ht="15" customHeight="1">
      <c r="A5" s="82"/>
      <c r="B5" s="75" t="s">
        <v>1455</v>
      </c>
      <c r="C5" s="18" t="s">
        <v>1456</v>
      </c>
      <c r="D5" s="75" t="s">
        <v>969</v>
      </c>
      <c r="E5" s="66" t="s">
        <v>1457</v>
      </c>
      <c r="F5" s="75"/>
      <c r="G5" s="18" t="s">
        <v>611</v>
      </c>
    </row>
    <row r="6" spans="1:10" ht="24" customHeight="1">
      <c r="A6" s="83"/>
      <c r="B6" s="78"/>
      <c r="C6" s="19"/>
      <c r="D6" s="78"/>
      <c r="E6" s="67" t="s">
        <v>1458</v>
      </c>
      <c r="F6" s="78"/>
      <c r="G6" s="19"/>
    </row>
    <row r="7" spans="1:10" ht="30" customHeight="1" thickBot="1">
      <c r="A7" s="84">
        <v>1994</v>
      </c>
      <c r="B7" s="92">
        <v>169.76695997649949</v>
      </c>
      <c r="C7" s="91">
        <v>250.87772965771251</v>
      </c>
      <c r="D7" s="20">
        <v>173.42136226957774</v>
      </c>
      <c r="E7" s="91">
        <v>22.256269655672895</v>
      </c>
      <c r="F7" s="92">
        <v>176.57533253510792</v>
      </c>
      <c r="G7" s="126" t="s">
        <v>487</v>
      </c>
    </row>
    <row r="8" spans="1:10" ht="20" customHeight="1" thickBot="1">
      <c r="A8" s="85">
        <v>1995</v>
      </c>
      <c r="B8" s="80">
        <v>172.53646467010913</v>
      </c>
      <c r="C8" s="122">
        <v>261.82151765946764</v>
      </c>
      <c r="D8" s="30">
        <v>77.05243846506653</v>
      </c>
      <c r="E8" s="122">
        <v>15.826809484780824</v>
      </c>
      <c r="F8" s="30">
        <v>179.45502124453856</v>
      </c>
      <c r="G8" s="26">
        <v>1.6308556059822621E-2</v>
      </c>
    </row>
    <row r="9" spans="1:10" ht="20" customHeight="1" thickBot="1">
      <c r="A9" s="85">
        <v>1996</v>
      </c>
      <c r="B9" s="30">
        <v>229.8232289372188</v>
      </c>
      <c r="C9" s="122">
        <v>251.5996723754472</v>
      </c>
      <c r="D9" s="30">
        <v>157.23187149633452</v>
      </c>
      <c r="E9" s="122">
        <v>39.388219543084574</v>
      </c>
      <c r="F9" s="30">
        <v>233.29860864179659</v>
      </c>
      <c r="G9" s="26">
        <v>0.30003945848852465</v>
      </c>
    </row>
    <row r="10" spans="1:10" ht="20" customHeight="1" thickBot="1">
      <c r="A10" s="85">
        <v>1997</v>
      </c>
      <c r="B10" s="30">
        <v>215.46601893701404</v>
      </c>
      <c r="C10" s="122">
        <v>310.88456129374595</v>
      </c>
      <c r="D10" s="30">
        <v>148.25205846528638</v>
      </c>
      <c r="E10" s="122">
        <v>119.09183274035274</v>
      </c>
      <c r="F10" s="30">
        <v>246.43123482893861</v>
      </c>
      <c r="G10" s="26">
        <v>5.629106090086311E-2</v>
      </c>
      <c r="H10" s="45"/>
      <c r="I10" s="45"/>
      <c r="J10" s="45"/>
    </row>
    <row r="11" spans="1:10" ht="20" customHeight="1" thickBot="1">
      <c r="A11" s="85">
        <v>1998</v>
      </c>
      <c r="B11" s="30">
        <v>252.44363174310865</v>
      </c>
      <c r="C11" s="122">
        <v>360.0775244162046</v>
      </c>
      <c r="D11" s="30">
        <v>109.42734528238077</v>
      </c>
      <c r="E11" s="122">
        <v>203.01598777426921</v>
      </c>
      <c r="F11" s="30">
        <v>289.32883069882564</v>
      </c>
      <c r="G11" s="26">
        <v>0.1740753192251161</v>
      </c>
    </row>
    <row r="12" spans="1:10" ht="20" customHeight="1" thickBot="1">
      <c r="A12" s="85">
        <v>1999</v>
      </c>
      <c r="B12" s="30">
        <v>252.9206761523119</v>
      </c>
      <c r="C12" s="122">
        <v>388.69953216955696</v>
      </c>
      <c r="D12" s="30">
        <v>77.254014427763764</v>
      </c>
      <c r="E12" s="122">
        <v>225.46370960896115</v>
      </c>
      <c r="F12" s="30">
        <v>301.36445656484921</v>
      </c>
      <c r="G12" s="26">
        <v>4.1598432610236324E-2</v>
      </c>
    </row>
    <row r="13" spans="1:10" ht="20" customHeight="1" thickBot="1">
      <c r="A13" s="85">
        <v>2000</v>
      </c>
      <c r="B13" s="30">
        <v>268.86321064682579</v>
      </c>
      <c r="C13" s="122">
        <v>395.3932486834517</v>
      </c>
      <c r="D13" s="30">
        <v>127.52815615125883</v>
      </c>
      <c r="E13" s="122">
        <v>245.03773318265758</v>
      </c>
      <c r="F13" s="30">
        <v>314.8004551705385</v>
      </c>
      <c r="G13" s="26">
        <v>4.4583886098717995E-2</v>
      </c>
    </row>
    <row r="14" spans="1:10" ht="20" customHeight="1" thickBot="1">
      <c r="A14" s="85">
        <v>2001</v>
      </c>
      <c r="B14" s="30">
        <v>279.09861261334129</v>
      </c>
      <c r="C14" s="122">
        <v>408.78213723121047</v>
      </c>
      <c r="D14" s="30">
        <v>135.75644256503585</v>
      </c>
      <c r="E14" s="122">
        <v>263.43962200829282</v>
      </c>
      <c r="F14" s="30">
        <v>327.83710416351659</v>
      </c>
      <c r="G14" s="26">
        <v>4.1412421039593639E-2</v>
      </c>
    </row>
    <row r="15" spans="1:10" ht="30" customHeight="1" thickBot="1">
      <c r="A15" s="135">
        <v>2002</v>
      </c>
      <c r="B15" s="136">
        <v>285.8436520290872</v>
      </c>
      <c r="C15" s="138">
        <v>417.38683751450941</v>
      </c>
      <c r="D15" s="136">
        <v>142.64863044708545</v>
      </c>
      <c r="E15" s="138">
        <v>300.85378261689124</v>
      </c>
      <c r="F15" s="136">
        <v>340.08781551805083</v>
      </c>
      <c r="G15" s="35">
        <v>3.7368288088659662E-2</v>
      </c>
    </row>
    <row r="16" spans="1:10" ht="20" customHeight="1">
      <c r="A16" s="9" t="s">
        <v>1525</v>
      </c>
      <c r="B16" s="9"/>
      <c r="C16" s="9"/>
      <c r="D16" s="9"/>
      <c r="E16" s="9"/>
      <c r="F16" s="9"/>
      <c r="G16" s="9"/>
    </row>
    <row r="18" spans="1:1">
      <c r="A18" s="3" t="s">
        <v>1</v>
      </c>
    </row>
  </sheetData>
  <phoneticPr fontId="0" type="noConversion"/>
  <pageMargins left="0.78740157480314965" right="0.78740157480314965" top="1.46" bottom="0.49" header="0.92"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3AD3-BD85-BC49-ABBB-7CF66AE94769}">
  <dimension ref="A1:J26"/>
  <sheetViews>
    <sheetView zoomScale="75" workbookViewId="0">
      <selection activeCell="A17" sqref="A17"/>
    </sheetView>
  </sheetViews>
  <sheetFormatPr baseColWidth="10" defaultColWidth="11.3984375" defaultRowHeight="13"/>
  <cols>
    <col min="1" max="1" width="15.19921875" style="3" customWidth="1"/>
    <col min="2" max="2" width="16.796875" style="3" customWidth="1"/>
    <col min="3" max="3" width="17.19921875" style="3" customWidth="1"/>
    <col min="4" max="5" width="15.19921875" style="3" customWidth="1"/>
    <col min="6" max="6" width="18" style="3" customWidth="1"/>
    <col min="7" max="7" width="15.19921875" style="3" customWidth="1"/>
    <col min="8" max="16384" width="11.3984375" style="3"/>
  </cols>
  <sheetData>
    <row r="1" spans="1:10" s="1" customFormat="1" ht="14" customHeight="1"/>
    <row r="2" spans="1:10" s="1" customFormat="1" ht="28" customHeight="1">
      <c r="A2" s="64" t="s">
        <v>86</v>
      </c>
    </row>
    <row r="3" spans="1:10" ht="24" customHeight="1">
      <c r="A3" s="2" t="s">
        <v>335</v>
      </c>
      <c r="B3" s="74" t="s">
        <v>1447</v>
      </c>
      <c r="C3" s="17" t="s">
        <v>1448</v>
      </c>
      <c r="D3" s="74" t="s">
        <v>1449</v>
      </c>
      <c r="E3" s="17" t="s">
        <v>1450</v>
      </c>
      <c r="F3" s="74" t="s">
        <v>607</v>
      </c>
      <c r="G3" s="17" t="s">
        <v>609</v>
      </c>
    </row>
    <row r="4" spans="1:10" ht="15" customHeight="1">
      <c r="A4" s="82"/>
      <c r="B4" s="75" t="s">
        <v>1451</v>
      </c>
      <c r="C4" s="18" t="s">
        <v>1452</v>
      </c>
      <c r="D4" s="75" t="s">
        <v>1453</v>
      </c>
      <c r="E4" s="66" t="s">
        <v>1454</v>
      </c>
      <c r="F4" s="75"/>
      <c r="G4" s="18" t="s">
        <v>610</v>
      </c>
    </row>
    <row r="5" spans="1:10" ht="15" customHeight="1">
      <c r="A5" s="82"/>
      <c r="B5" s="75" t="s">
        <v>1455</v>
      </c>
      <c r="C5" s="18" t="s">
        <v>1456</v>
      </c>
      <c r="D5" s="75" t="s">
        <v>969</v>
      </c>
      <c r="E5" s="66" t="s">
        <v>1457</v>
      </c>
      <c r="F5" s="75"/>
      <c r="G5" s="18" t="s">
        <v>611</v>
      </c>
    </row>
    <row r="6" spans="1:10" ht="24" customHeight="1">
      <c r="A6" s="83"/>
      <c r="B6" s="78"/>
      <c r="C6" s="19"/>
      <c r="D6" s="78"/>
      <c r="E6" s="67" t="s">
        <v>1458</v>
      </c>
      <c r="F6" s="78"/>
      <c r="G6" s="19"/>
    </row>
    <row r="7" spans="1:10" ht="30" customHeight="1" thickBot="1">
      <c r="A7" s="84">
        <v>1994</v>
      </c>
      <c r="B7" s="92">
        <v>8897293000</v>
      </c>
      <c r="C7" s="91">
        <v>618045000</v>
      </c>
      <c r="D7" s="20">
        <v>6337000</v>
      </c>
      <c r="E7" s="91">
        <v>27260000</v>
      </c>
      <c r="F7" s="92">
        <v>9549125000</v>
      </c>
      <c r="G7" s="126" t="s">
        <v>487</v>
      </c>
    </row>
    <row r="8" spans="1:10" ht="20" customHeight="1" thickBot="1">
      <c r="A8" s="85">
        <v>1995</v>
      </c>
      <c r="B8" s="80">
        <v>9259779000</v>
      </c>
      <c r="C8" s="122">
        <v>691350000</v>
      </c>
      <c r="D8" s="30">
        <v>23023000</v>
      </c>
      <c r="E8" s="122">
        <v>43075000</v>
      </c>
      <c r="F8" s="30">
        <v>10017202000</v>
      </c>
      <c r="G8" s="26">
        <v>4.901778958805126E-2</v>
      </c>
    </row>
    <row r="9" spans="1:10" ht="20" customHeight="1" thickBot="1">
      <c r="A9" s="85">
        <v>1996</v>
      </c>
      <c r="B9" s="30">
        <v>8068747832</v>
      </c>
      <c r="C9" s="122">
        <v>2578797499</v>
      </c>
      <c r="D9" s="30">
        <v>25416930</v>
      </c>
      <c r="E9" s="122">
        <v>107523248</v>
      </c>
      <c r="F9" s="30">
        <v>10780485509</v>
      </c>
      <c r="G9" s="26">
        <v>7.6197276345230935E-2</v>
      </c>
    </row>
    <row r="10" spans="1:10" ht="20" customHeight="1" thickBot="1">
      <c r="A10" s="85">
        <v>1997</v>
      </c>
      <c r="B10" s="30">
        <v>7130343665</v>
      </c>
      <c r="C10" s="122">
        <v>3864390214</v>
      </c>
      <c r="D10" s="30">
        <v>13596114</v>
      </c>
      <c r="E10" s="122">
        <v>352165200</v>
      </c>
      <c r="F10" s="30">
        <v>11360495192</v>
      </c>
      <c r="G10" s="26">
        <v>5.3801814632168807E-2</v>
      </c>
      <c r="H10" s="45"/>
      <c r="I10" s="45"/>
      <c r="J10" s="45"/>
    </row>
    <row r="11" spans="1:10" ht="20" customHeight="1" thickBot="1">
      <c r="A11" s="85">
        <v>1998</v>
      </c>
      <c r="B11" s="30">
        <v>7021022570</v>
      </c>
      <c r="C11" s="122">
        <v>4312733832</v>
      </c>
      <c r="D11" s="30">
        <v>6419087</v>
      </c>
      <c r="E11" s="122">
        <v>586684363</v>
      </c>
      <c r="F11" s="30">
        <v>11926859852</v>
      </c>
      <c r="G11" s="26">
        <v>4.9853870841724483E-2</v>
      </c>
    </row>
    <row r="12" spans="1:10" ht="20" customHeight="1" thickBot="1">
      <c r="A12" s="85">
        <v>1999</v>
      </c>
      <c r="B12" s="30">
        <v>7777714326</v>
      </c>
      <c r="C12" s="122">
        <v>3929182211</v>
      </c>
      <c r="D12" s="30">
        <v>6480040</v>
      </c>
      <c r="E12" s="122">
        <v>717232756</v>
      </c>
      <c r="F12" s="30">
        <v>12430609334</v>
      </c>
      <c r="G12" s="26">
        <v>4.2236555828693408E-2</v>
      </c>
    </row>
    <row r="13" spans="1:10" ht="20" customHeight="1" thickBot="1">
      <c r="A13" s="85">
        <v>2000</v>
      </c>
      <c r="B13" s="30">
        <v>8082711555.3000002</v>
      </c>
      <c r="C13" s="122">
        <v>4300222314.6999998</v>
      </c>
      <c r="D13" s="30">
        <v>6284846.5800000001</v>
      </c>
      <c r="E13" s="122">
        <v>801091180.21000004</v>
      </c>
      <c r="F13" s="30">
        <v>13190309896.790001</v>
      </c>
      <c r="G13" s="26">
        <v>6.1115311597162041E-2</v>
      </c>
    </row>
    <row r="14" spans="1:10" ht="20" customHeight="1" thickBot="1">
      <c r="A14" s="85">
        <v>2001</v>
      </c>
      <c r="B14" s="30">
        <v>8576260475.6000004</v>
      </c>
      <c r="C14" s="122">
        <v>4525688630.3999996</v>
      </c>
      <c r="D14" s="30">
        <v>7093455.9400000004</v>
      </c>
      <c r="E14" s="122">
        <v>877228721.29999995</v>
      </c>
      <c r="F14" s="30">
        <v>13986271283.24</v>
      </c>
      <c r="G14" s="26">
        <v>6.0344403784152512E-2</v>
      </c>
    </row>
    <row r="15" spans="1:10" ht="30" customHeight="1" thickBot="1">
      <c r="A15" s="135">
        <v>2002</v>
      </c>
      <c r="B15" s="136">
        <v>8890664234.7999992</v>
      </c>
      <c r="C15" s="138">
        <v>4785763972.1999998</v>
      </c>
      <c r="D15" s="136">
        <v>6699940.54</v>
      </c>
      <c r="E15" s="138">
        <v>909628896.40999997</v>
      </c>
      <c r="F15" s="136">
        <v>14592757043.950001</v>
      </c>
      <c r="G15" s="35">
        <v>4.3362934153634201E-2</v>
      </c>
    </row>
    <row r="16" spans="1:10" ht="20" customHeight="1">
      <c r="A16" s="9" t="s">
        <v>1264</v>
      </c>
      <c r="B16" s="9"/>
      <c r="C16" s="9"/>
      <c r="D16" s="9"/>
      <c r="E16" s="9"/>
      <c r="F16" s="9"/>
      <c r="G16" s="9"/>
    </row>
    <row r="17" spans="1:7" ht="16.5" customHeight="1">
      <c r="A17" s="38"/>
      <c r="B17" s="38"/>
      <c r="C17" s="38"/>
      <c r="D17" s="38"/>
      <c r="E17" s="38"/>
      <c r="F17" s="38"/>
      <c r="G17" s="38"/>
    </row>
    <row r="18" spans="1:7">
      <c r="A18" s="38" t="s">
        <v>82</v>
      </c>
    </row>
    <row r="20" spans="1:7">
      <c r="A20" s="3" t="s">
        <v>85</v>
      </c>
    </row>
    <row r="25" spans="1:7" ht="14">
      <c r="F25" s="565"/>
    </row>
    <row r="26" spans="1:7" ht="14">
      <c r="F26" s="566"/>
    </row>
  </sheetData>
  <phoneticPr fontId="0" type="noConversion"/>
  <pageMargins left="0.49" right="0.61"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7995-9070-9C46-B28A-2D49A907F0E8}">
  <dimension ref="A1:K20"/>
  <sheetViews>
    <sheetView zoomScale="75" workbookViewId="0"/>
  </sheetViews>
  <sheetFormatPr baseColWidth="10" defaultColWidth="11.3984375" defaultRowHeight="13"/>
  <cols>
    <col min="1" max="1" width="14.3984375" style="3" customWidth="1"/>
    <col min="2" max="7" width="15.3984375" style="3" customWidth="1"/>
    <col min="8" max="16384" width="11.3984375" style="3"/>
  </cols>
  <sheetData>
    <row r="1" spans="1:11" s="1" customFormat="1" ht="14" customHeight="1"/>
    <row r="2" spans="1:11" s="1" customFormat="1" ht="28" customHeight="1">
      <c r="A2" s="64" t="s">
        <v>84</v>
      </c>
    </row>
    <row r="3" spans="1:11" ht="24" customHeight="1">
      <c r="A3" s="2" t="s">
        <v>335</v>
      </c>
      <c r="B3" s="74" t="s">
        <v>1447</v>
      </c>
      <c r="C3" s="17" t="s">
        <v>1448</v>
      </c>
      <c r="D3" s="74" t="s">
        <v>1449</v>
      </c>
      <c r="E3" s="17" t="s">
        <v>1450</v>
      </c>
      <c r="F3" s="74" t="s">
        <v>607</v>
      </c>
      <c r="G3" s="17" t="s">
        <v>609</v>
      </c>
    </row>
    <row r="4" spans="1:11" ht="15" customHeight="1">
      <c r="A4" s="82"/>
      <c r="B4" s="75" t="s">
        <v>1451</v>
      </c>
      <c r="C4" s="18" t="s">
        <v>1452</v>
      </c>
      <c r="D4" s="75" t="s">
        <v>1453</v>
      </c>
      <c r="E4" s="66" t="s">
        <v>1454</v>
      </c>
      <c r="F4" s="75"/>
      <c r="G4" s="18" t="s">
        <v>610</v>
      </c>
    </row>
    <row r="5" spans="1:11" ht="15" customHeight="1">
      <c r="A5" s="82"/>
      <c r="B5" s="75" t="s">
        <v>1455</v>
      </c>
      <c r="C5" s="18" t="s">
        <v>1456</v>
      </c>
      <c r="D5" s="75" t="s">
        <v>969</v>
      </c>
      <c r="E5" s="66" t="s">
        <v>1457</v>
      </c>
      <c r="F5" s="75"/>
      <c r="G5" s="18" t="s">
        <v>611</v>
      </c>
    </row>
    <row r="6" spans="1:11" ht="24" customHeight="1">
      <c r="A6" s="83"/>
      <c r="B6" s="78"/>
      <c r="C6" s="19"/>
      <c r="D6" s="78"/>
      <c r="E6" s="67" t="s">
        <v>1458</v>
      </c>
      <c r="F6" s="78"/>
      <c r="G6" s="19"/>
    </row>
    <row r="7" spans="1:11" ht="30" customHeight="1" thickBot="1">
      <c r="A7" s="84">
        <v>1994</v>
      </c>
      <c r="B7" s="92">
        <v>1379.946869840104</v>
      </c>
      <c r="C7" s="91">
        <v>959.71061707384115</v>
      </c>
      <c r="D7" s="20">
        <v>414.23715518368414</v>
      </c>
      <c r="E7" s="91">
        <v>1099.1049108942827</v>
      </c>
      <c r="F7" s="92">
        <v>1338.9777937877795</v>
      </c>
      <c r="G7" s="126" t="s">
        <v>487</v>
      </c>
      <c r="H7" s="43"/>
    </row>
    <row r="8" spans="1:11" ht="20" customHeight="1" thickBot="1">
      <c r="A8" s="85">
        <v>1995</v>
      </c>
      <c r="B8" s="80">
        <v>1446.9575818792835</v>
      </c>
      <c r="C8" s="122">
        <v>989.41390803824561</v>
      </c>
      <c r="D8" s="30">
        <v>703.95963919889925</v>
      </c>
      <c r="E8" s="122">
        <v>1217.3925331373823</v>
      </c>
      <c r="F8" s="30">
        <v>1398.3984284423786</v>
      </c>
      <c r="G8" s="26">
        <v>4.4377610241396533E-2</v>
      </c>
      <c r="H8" s="43"/>
    </row>
    <row r="9" spans="1:11" ht="20" customHeight="1" thickBot="1">
      <c r="A9" s="85">
        <v>1996</v>
      </c>
      <c r="B9" s="30">
        <v>1702.3967710627812</v>
      </c>
      <c r="C9" s="122">
        <v>1118.4503276245528</v>
      </c>
      <c r="D9" s="30">
        <v>913.3581285036654</v>
      </c>
      <c r="E9" s="122">
        <v>884.25178045691541</v>
      </c>
      <c r="F9" s="30">
        <v>1498.3813913582035</v>
      </c>
      <c r="G9" s="26">
        <v>7.1498194564757866E-2</v>
      </c>
    </row>
    <row r="10" spans="1:11" ht="20" customHeight="1" thickBot="1">
      <c r="A10" s="85">
        <v>1997</v>
      </c>
      <c r="B10" s="30">
        <v>1745.983981062986</v>
      </c>
      <c r="C10" s="122">
        <v>1412.2354387062539</v>
      </c>
      <c r="D10" s="30">
        <v>1182.8879415347137</v>
      </c>
      <c r="E10" s="122">
        <v>919.26816725964716</v>
      </c>
      <c r="F10" s="30">
        <v>1574.6087651710613</v>
      </c>
      <c r="G10" s="26">
        <v>5.087314501667816E-2</v>
      </c>
      <c r="I10" s="45"/>
      <c r="J10" s="45"/>
      <c r="K10" s="45"/>
    </row>
    <row r="11" spans="1:11" ht="20" customHeight="1" thickBot="1">
      <c r="A11" s="85">
        <v>1998</v>
      </c>
      <c r="B11" s="30">
        <v>1748.1463682568913</v>
      </c>
      <c r="C11" s="122">
        <v>1581.8024755837955</v>
      </c>
      <c r="D11" s="30">
        <v>542.70265471761923</v>
      </c>
      <c r="E11" s="122">
        <v>1187.5240122257308</v>
      </c>
      <c r="F11" s="30">
        <v>1645.4011693011744</v>
      </c>
      <c r="G11" s="26">
        <v>4.495872606324678E-2</v>
      </c>
    </row>
    <row r="12" spans="1:11" ht="20" customHeight="1" thickBot="1">
      <c r="A12" s="85">
        <v>1999</v>
      </c>
      <c r="B12" s="30">
        <v>1945.0393238476881</v>
      </c>
      <c r="C12" s="122">
        <v>1446.870467830443</v>
      </c>
      <c r="D12" s="30">
        <v>631.70598557223627</v>
      </c>
      <c r="E12" s="122">
        <v>1323.5762903910388</v>
      </c>
      <c r="F12" s="30">
        <v>1710.6655434351508</v>
      </c>
      <c r="G12" s="26">
        <v>3.9664718459933461E-2</v>
      </c>
    </row>
    <row r="13" spans="1:11" ht="20" customHeight="1" thickBot="1">
      <c r="A13" s="85">
        <v>2000</v>
      </c>
      <c r="B13" s="30">
        <v>2060.9067893531742</v>
      </c>
      <c r="C13" s="122">
        <v>1558.8767513165483</v>
      </c>
      <c r="D13" s="30">
        <v>640.59184384874118</v>
      </c>
      <c r="E13" s="122">
        <v>1386.3522668173425</v>
      </c>
      <c r="F13" s="30">
        <v>1814.8195448294614</v>
      </c>
      <c r="G13" s="26">
        <v>6.0885075866531579E-2</v>
      </c>
    </row>
    <row r="14" spans="1:11" ht="20" customHeight="1" thickBot="1">
      <c r="A14" s="85">
        <v>2001</v>
      </c>
      <c r="B14" s="30">
        <v>2209.1289366236747</v>
      </c>
      <c r="C14" s="122">
        <v>1597.0298108275201</v>
      </c>
      <c r="D14" s="30">
        <v>759.38935231773905</v>
      </c>
      <c r="E14" s="122">
        <v>1472.0109294743254</v>
      </c>
      <c r="F14" s="30">
        <v>1910.356919929515</v>
      </c>
      <c r="G14" s="26">
        <v>5.2642906217450547E-2</v>
      </c>
    </row>
    <row r="15" spans="1:11" ht="30" customHeight="1" thickBot="1">
      <c r="A15" s="135">
        <v>2002</v>
      </c>
      <c r="B15" s="136">
        <v>2331.8704675326376</v>
      </c>
      <c r="C15" s="138">
        <v>1605.519277312954</v>
      </c>
      <c r="D15" s="136">
        <v>758.34075155631012</v>
      </c>
      <c r="E15" s="138">
        <v>1632.983378800255</v>
      </c>
      <c r="F15" s="136">
        <v>1982.8826323942353</v>
      </c>
      <c r="G15" s="35">
        <v>3.7964482818946849E-2</v>
      </c>
    </row>
    <row r="16" spans="1:11" ht="20" customHeight="1">
      <c r="A16" s="9" t="s">
        <v>1525</v>
      </c>
      <c r="B16" s="9"/>
      <c r="C16" s="9"/>
      <c r="D16" s="9"/>
      <c r="E16" s="9"/>
      <c r="F16" s="9"/>
      <c r="G16" s="9"/>
    </row>
    <row r="17" spans="1:7" ht="16.5" customHeight="1">
      <c r="A17" s="38"/>
      <c r="B17" s="38"/>
      <c r="C17" s="38"/>
      <c r="D17" s="38"/>
      <c r="E17" s="38"/>
      <c r="F17" s="38"/>
      <c r="G17" s="38"/>
    </row>
    <row r="18" spans="1:7">
      <c r="A18" s="38" t="s">
        <v>82</v>
      </c>
    </row>
    <row r="20" spans="1:7">
      <c r="A20" s="3" t="s">
        <v>83</v>
      </c>
    </row>
  </sheetData>
  <phoneticPr fontId="0" type="noConversion"/>
  <pageMargins left="0.78740157480314965" right="0.78740157480314965"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F385-CF38-D543-AD74-F17814A67DF1}">
  <dimension ref="A1:J18"/>
  <sheetViews>
    <sheetView zoomScale="75" workbookViewId="0"/>
  </sheetViews>
  <sheetFormatPr baseColWidth="10" defaultColWidth="11.3984375" defaultRowHeight="13"/>
  <cols>
    <col min="1" max="1" width="14.3984375" style="3" customWidth="1"/>
    <col min="2" max="7" width="15.3984375" style="3" customWidth="1"/>
    <col min="8" max="8" width="17.796875" style="3" customWidth="1"/>
    <col min="9" max="16384" width="11.3984375" style="3"/>
  </cols>
  <sheetData>
    <row r="1" spans="1:10" s="1" customFormat="1" ht="14" customHeight="1"/>
    <row r="2" spans="1:10" s="1" customFormat="1" ht="28" customHeight="1">
      <c r="A2" s="64" t="s">
        <v>75</v>
      </c>
      <c r="H2" s="220"/>
    </row>
    <row r="3" spans="1:10" ht="24" customHeight="1">
      <c r="A3" s="2" t="s">
        <v>335</v>
      </c>
      <c r="B3" s="74" t="s">
        <v>1447</v>
      </c>
      <c r="C3" s="17" t="s">
        <v>1448</v>
      </c>
      <c r="D3" s="74" t="s">
        <v>1449</v>
      </c>
      <c r="E3" s="17" t="s">
        <v>1450</v>
      </c>
      <c r="F3" s="74" t="s">
        <v>607</v>
      </c>
      <c r="G3" s="17" t="s">
        <v>76</v>
      </c>
      <c r="H3" s="75" t="s">
        <v>77</v>
      </c>
    </row>
    <row r="4" spans="1:10" ht="15" customHeight="1">
      <c r="A4" s="82"/>
      <c r="B4" s="75" t="s">
        <v>1451</v>
      </c>
      <c r="C4" s="18" t="s">
        <v>1452</v>
      </c>
      <c r="D4" s="75" t="s">
        <v>1453</v>
      </c>
      <c r="E4" s="18" t="s">
        <v>1454</v>
      </c>
      <c r="F4" s="75"/>
      <c r="G4" s="18" t="s">
        <v>77</v>
      </c>
      <c r="H4" s="557" t="s">
        <v>78</v>
      </c>
    </row>
    <row r="5" spans="1:10" ht="15" customHeight="1">
      <c r="A5" s="82"/>
      <c r="B5" s="75" t="s">
        <v>1455</v>
      </c>
      <c r="C5" s="18" t="s">
        <v>1456</v>
      </c>
      <c r="D5" s="75" t="s">
        <v>969</v>
      </c>
      <c r="E5" s="18" t="s">
        <v>1457</v>
      </c>
      <c r="F5" s="75"/>
      <c r="G5" s="558" t="s">
        <v>78</v>
      </c>
      <c r="H5" s="559" t="s">
        <v>79</v>
      </c>
    </row>
    <row r="6" spans="1:10" ht="24" customHeight="1">
      <c r="A6" s="83"/>
      <c r="B6" s="78"/>
      <c r="C6" s="19"/>
      <c r="D6" s="78"/>
      <c r="E6" s="19" t="s">
        <v>1458</v>
      </c>
      <c r="F6" s="78"/>
      <c r="G6" s="19" t="s">
        <v>80</v>
      </c>
      <c r="H6" s="78"/>
    </row>
    <row r="7" spans="1:10" ht="30" customHeight="1" thickBot="1">
      <c r="A7" s="560">
        <v>1994</v>
      </c>
      <c r="B7" s="92">
        <v>733363000</v>
      </c>
      <c r="C7" s="91">
        <v>78160000</v>
      </c>
      <c r="D7" s="92">
        <v>1052000</v>
      </c>
      <c r="E7" s="91">
        <v>1766000</v>
      </c>
      <c r="F7" s="92">
        <v>814341000</v>
      </c>
      <c r="G7" s="126">
        <v>7.7199191662869149E-2</v>
      </c>
      <c r="H7" s="92">
        <v>10548569000</v>
      </c>
    </row>
    <row r="8" spans="1:10" ht="20" customHeight="1" thickBot="1">
      <c r="A8" s="561">
        <v>1995</v>
      </c>
      <c r="B8" s="80">
        <v>745858000</v>
      </c>
      <c r="C8" s="122">
        <v>78872000</v>
      </c>
      <c r="D8" s="80">
        <v>2850000</v>
      </c>
      <c r="E8" s="122">
        <v>2825000</v>
      </c>
      <c r="F8" s="80">
        <v>830405000</v>
      </c>
      <c r="G8" s="126">
        <v>7.5769589569261969E-2</v>
      </c>
      <c r="H8" s="80">
        <v>10959608000</v>
      </c>
    </row>
    <row r="9" spans="1:10" ht="20" customHeight="1" thickBot="1">
      <c r="A9" s="561">
        <v>1996</v>
      </c>
      <c r="B9" s="30">
        <v>649209078</v>
      </c>
      <c r="C9" s="122">
        <v>296204692</v>
      </c>
      <c r="D9" s="30">
        <v>2703444</v>
      </c>
      <c r="E9" s="122">
        <v>11710365</v>
      </c>
      <c r="F9" s="30">
        <v>959827579</v>
      </c>
      <c r="G9" s="126">
        <v>8.160992566527614E-2</v>
      </c>
      <c r="H9" s="30">
        <v>11761162275</v>
      </c>
    </row>
    <row r="10" spans="1:10" ht="20" customHeight="1" thickBot="1">
      <c r="A10" s="561">
        <v>1997</v>
      </c>
      <c r="B10" s="30">
        <v>500889187</v>
      </c>
      <c r="C10" s="122">
        <v>356202290</v>
      </c>
      <c r="D10" s="30">
        <v>947002</v>
      </c>
      <c r="E10" s="122">
        <v>35169957</v>
      </c>
      <c r="F10" s="30">
        <v>893208437</v>
      </c>
      <c r="G10" s="126">
        <v>7.2355407590263501E-2</v>
      </c>
      <c r="H10" s="30">
        <v>12344736444</v>
      </c>
      <c r="I10" s="45"/>
      <c r="J10" s="45"/>
    </row>
    <row r="11" spans="1:10" ht="20" customHeight="1" thickBot="1">
      <c r="A11" s="561">
        <v>1998</v>
      </c>
      <c r="B11" s="30">
        <v>457365467</v>
      </c>
      <c r="C11" s="122">
        <v>348237805</v>
      </c>
      <c r="D11" s="30">
        <v>775330</v>
      </c>
      <c r="E11" s="122">
        <v>48566196</v>
      </c>
      <c r="F11" s="30">
        <v>854944797</v>
      </c>
      <c r="G11" s="126">
        <v>6.5539994260804979E-2</v>
      </c>
      <c r="H11" s="30">
        <v>13044627279</v>
      </c>
    </row>
    <row r="12" spans="1:10" ht="20" customHeight="1" thickBot="1">
      <c r="A12" s="561">
        <v>1999</v>
      </c>
      <c r="B12" s="30">
        <v>466630422</v>
      </c>
      <c r="C12" s="122">
        <v>332810614</v>
      </c>
      <c r="D12" s="30">
        <v>653141</v>
      </c>
      <c r="E12" s="122">
        <v>54148946</v>
      </c>
      <c r="F12" s="30">
        <v>854243123</v>
      </c>
      <c r="G12" s="126">
        <v>6.3520258007815578E-2</v>
      </c>
      <c r="H12" s="30">
        <v>13448357261</v>
      </c>
    </row>
    <row r="13" spans="1:10" ht="20" customHeight="1" thickBot="1">
      <c r="A13" s="561">
        <v>2000</v>
      </c>
      <c r="B13" s="30">
        <v>463039687.31</v>
      </c>
      <c r="C13" s="122">
        <v>338664058.75</v>
      </c>
      <c r="D13" s="30">
        <v>692132.4</v>
      </c>
      <c r="E13" s="122">
        <v>60882478.25</v>
      </c>
      <c r="F13" s="30">
        <v>863278356.70999992</v>
      </c>
      <c r="G13" s="126">
        <v>6.0778319554744789E-2</v>
      </c>
      <c r="H13" s="30">
        <v>14203722035</v>
      </c>
    </row>
    <row r="14" spans="1:10" ht="20" customHeight="1" thickBot="1">
      <c r="A14" s="561">
        <v>2001</v>
      </c>
      <c r="B14" s="30">
        <v>473405802.30000001</v>
      </c>
      <c r="C14" s="122">
        <v>367784678.56</v>
      </c>
      <c r="D14" s="30">
        <v>749931.27</v>
      </c>
      <c r="E14" s="122">
        <v>66915939.469999999</v>
      </c>
      <c r="F14" s="30">
        <v>908856351.60000002</v>
      </c>
      <c r="G14" s="126">
        <v>6.0883052653460515E-2</v>
      </c>
      <c r="H14" s="30">
        <v>14927903776</v>
      </c>
    </row>
    <row r="15" spans="1:10" ht="30" customHeight="1" thickBot="1">
      <c r="A15" s="562">
        <v>2002</v>
      </c>
      <c r="B15" s="136">
        <v>472860051.04000002</v>
      </c>
      <c r="C15" s="138">
        <v>381940533.88</v>
      </c>
      <c r="D15" s="136">
        <v>686255.39</v>
      </c>
      <c r="E15" s="138">
        <v>68086548.329999998</v>
      </c>
      <c r="F15" s="136">
        <v>923573388.6400001</v>
      </c>
      <c r="G15" s="563">
        <v>5.9305732530714958E-2</v>
      </c>
      <c r="H15" s="270">
        <v>15573087950</v>
      </c>
      <c r="I15" s="43"/>
    </row>
    <row r="16" spans="1:10" ht="20" customHeight="1">
      <c r="A16" s="9" t="s">
        <v>1525</v>
      </c>
      <c r="B16" s="9"/>
      <c r="C16" s="9"/>
      <c r="D16" s="9"/>
      <c r="E16" s="9"/>
      <c r="F16" s="9"/>
      <c r="G16" s="9"/>
    </row>
    <row r="17" spans="1:6">
      <c r="F17" s="564"/>
    </row>
    <row r="18" spans="1:6">
      <c r="A18" s="3" t="s">
        <v>81</v>
      </c>
    </row>
  </sheetData>
  <phoneticPr fontId="0" type="noConversion"/>
  <pageMargins left="0.48" right="0.44" top="1.47" bottom="0.49" header="0.94"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AF80-BBB0-E04B-A4E0-EF69AD8CCFFC}">
  <dimension ref="A1:J18"/>
  <sheetViews>
    <sheetView zoomScale="75" workbookViewId="0">
      <selection activeCell="A2" sqref="A2:G2"/>
    </sheetView>
  </sheetViews>
  <sheetFormatPr baseColWidth="10" defaultColWidth="11.3984375" defaultRowHeight="13"/>
  <cols>
    <col min="1" max="1" width="18.796875" style="3" customWidth="1"/>
    <col min="2" max="7" width="14.796875" style="3" customWidth="1"/>
    <col min="8" max="8" width="9.19921875" style="3" customWidth="1"/>
    <col min="9" max="16384" width="11.3984375" style="3"/>
  </cols>
  <sheetData>
    <row r="1" spans="1:10" s="1" customFormat="1" ht="14" customHeight="1"/>
    <row r="2" spans="1:10" s="1" customFormat="1" ht="39" customHeight="1">
      <c r="A2" s="1302" t="s">
        <v>73</v>
      </c>
      <c r="B2" s="1303"/>
      <c r="C2" s="1303"/>
      <c r="D2" s="1303"/>
      <c r="E2" s="1303"/>
      <c r="F2" s="1303"/>
      <c r="G2" s="1303"/>
    </row>
    <row r="3" spans="1:10" ht="24" customHeight="1">
      <c r="A3" s="2" t="s">
        <v>335</v>
      </c>
      <c r="B3" s="74" t="s">
        <v>1447</v>
      </c>
      <c r="C3" s="17" t="s">
        <v>1448</v>
      </c>
      <c r="D3" s="74" t="s">
        <v>1449</v>
      </c>
      <c r="E3" s="17" t="s">
        <v>1450</v>
      </c>
      <c r="F3" s="74" t="s">
        <v>607</v>
      </c>
      <c r="G3" s="17" t="s">
        <v>609</v>
      </c>
    </row>
    <row r="4" spans="1:10" ht="15" customHeight="1">
      <c r="A4" s="82"/>
      <c r="B4" s="75" t="s">
        <v>1451</v>
      </c>
      <c r="C4" s="18" t="s">
        <v>1452</v>
      </c>
      <c r="D4" s="75" t="s">
        <v>1453</v>
      </c>
      <c r="E4" s="66" t="s">
        <v>1454</v>
      </c>
      <c r="F4" s="75"/>
      <c r="G4" s="18" t="s">
        <v>610</v>
      </c>
    </row>
    <row r="5" spans="1:10" ht="15" customHeight="1">
      <c r="A5" s="82"/>
      <c r="B5" s="75" t="s">
        <v>1455</v>
      </c>
      <c r="C5" s="18" t="s">
        <v>1456</v>
      </c>
      <c r="D5" s="75" t="s">
        <v>969</v>
      </c>
      <c r="E5" s="66" t="s">
        <v>1457</v>
      </c>
      <c r="F5" s="75"/>
      <c r="G5" s="18" t="s">
        <v>611</v>
      </c>
    </row>
    <row r="6" spans="1:10" ht="24" customHeight="1">
      <c r="A6" s="83"/>
      <c r="B6" s="78"/>
      <c r="C6" s="19"/>
      <c r="D6" s="78"/>
      <c r="E6" s="67" t="s">
        <v>1458</v>
      </c>
      <c r="F6" s="78"/>
      <c r="G6" s="19"/>
    </row>
    <row r="7" spans="1:10" ht="30" customHeight="1" thickBot="1">
      <c r="A7" s="84">
        <v>1994</v>
      </c>
      <c r="B7" s="92">
        <v>113.74268289316178</v>
      </c>
      <c r="C7" s="91">
        <v>121.36815576615201</v>
      </c>
      <c r="D7" s="20">
        <v>68.767159105765458</v>
      </c>
      <c r="E7" s="91">
        <v>71.203935166518832</v>
      </c>
      <c r="F7" s="92">
        <v>114.18685121107266</v>
      </c>
      <c r="G7" s="126" t="s">
        <v>487</v>
      </c>
    </row>
    <row r="8" spans="1:10" ht="20" customHeight="1" thickBot="1">
      <c r="A8" s="85">
        <v>1995</v>
      </c>
      <c r="B8" s="80">
        <v>116.54974574504624</v>
      </c>
      <c r="C8" s="122">
        <v>112.87633435277719</v>
      </c>
      <c r="D8" s="30">
        <v>87.142638740253787</v>
      </c>
      <c r="E8" s="122">
        <v>79.840601418760428</v>
      </c>
      <c r="F8" s="30">
        <v>115.87611879295878</v>
      </c>
      <c r="G8" s="26">
        <v>1.4793888823184449E-2</v>
      </c>
    </row>
    <row r="9" spans="1:10" ht="20" customHeight="1" thickBot="1">
      <c r="A9" s="85">
        <v>1996</v>
      </c>
      <c r="B9" s="30">
        <v>136.97434362103451</v>
      </c>
      <c r="C9" s="122">
        <v>128.46694435673865</v>
      </c>
      <c r="D9" s="30">
        <v>97.148339801638642</v>
      </c>
      <c r="E9" s="122">
        <v>96.303927696179215</v>
      </c>
      <c r="F9" s="30">
        <v>133.40658749416588</v>
      </c>
      <c r="G9" s="26">
        <v>0.15128629508664851</v>
      </c>
    </row>
    <row r="10" spans="1:10" ht="20" customHeight="1" thickBot="1">
      <c r="A10" s="85">
        <v>1997</v>
      </c>
      <c r="B10" s="30">
        <v>122.6511004066257</v>
      </c>
      <c r="C10" s="122">
        <v>130.17357705334524</v>
      </c>
      <c r="D10" s="30">
        <v>82.390986601705237</v>
      </c>
      <c r="E10" s="122">
        <v>91.805271826945415</v>
      </c>
      <c r="F10" s="30">
        <v>123.8021591713151</v>
      </c>
      <c r="G10" s="26">
        <v>-7.1993658658503643E-2</v>
      </c>
      <c r="H10" s="45"/>
      <c r="I10" s="45"/>
      <c r="J10" s="45"/>
    </row>
    <row r="11" spans="1:10" ht="20" customHeight="1" thickBot="1">
      <c r="A11" s="85">
        <v>1998</v>
      </c>
      <c r="B11" s="30">
        <v>113.87825236718575</v>
      </c>
      <c r="C11" s="122">
        <v>127.72488252200283</v>
      </c>
      <c r="D11" s="30">
        <v>65.550388907676705</v>
      </c>
      <c r="E11" s="122">
        <v>98.304177799368475</v>
      </c>
      <c r="F11" s="30">
        <v>117.94614727831004</v>
      </c>
      <c r="G11" s="26">
        <v>-4.7301371253966752E-2</v>
      </c>
    </row>
    <row r="12" spans="1:10" ht="20" customHeight="1" thickBot="1">
      <c r="A12" s="85">
        <v>1999</v>
      </c>
      <c r="B12" s="30">
        <v>116.69424749371302</v>
      </c>
      <c r="C12" s="122">
        <v>122.55319883843305</v>
      </c>
      <c r="D12" s="30">
        <v>63.671378436342366</v>
      </c>
      <c r="E12" s="122">
        <v>99.926084629721899</v>
      </c>
      <c r="F12" s="30">
        <v>117.55853932562621</v>
      </c>
      <c r="G12" s="26">
        <v>-3.2863129625523811E-3</v>
      </c>
    </row>
    <row r="13" spans="1:10" ht="20" customHeight="1" thickBot="1">
      <c r="A13" s="85">
        <v>2000</v>
      </c>
      <c r="B13" s="30">
        <v>118.06454168111537</v>
      </c>
      <c r="C13" s="122">
        <v>122.76935680445337</v>
      </c>
      <c r="D13" s="30">
        <v>70.546570176332693</v>
      </c>
      <c r="E13" s="122">
        <v>105.36199101482934</v>
      </c>
      <c r="F13" s="30">
        <v>118.77616573412266</v>
      </c>
      <c r="G13" s="26">
        <v>1.0357617706730186E-2</v>
      </c>
    </row>
    <row r="14" spans="1:10" ht="20" customHeight="1" thickBot="1">
      <c r="A14" s="85">
        <v>2001</v>
      </c>
      <c r="B14" s="30">
        <v>121.94294466707073</v>
      </c>
      <c r="C14" s="122">
        <v>129.78424801045657</v>
      </c>
      <c r="D14" s="30">
        <v>80.283831495557223</v>
      </c>
      <c r="E14" s="122">
        <v>112.28655864106896</v>
      </c>
      <c r="F14" s="30">
        <v>124.13887771371346</v>
      </c>
      <c r="G14" s="26">
        <v>4.514973139977501E-2</v>
      </c>
    </row>
    <row r="15" spans="1:10" ht="30" customHeight="1" thickBot="1">
      <c r="A15" s="135">
        <v>2002</v>
      </c>
      <c r="B15" s="136">
        <v>124.02317297960094</v>
      </c>
      <c r="C15" s="138">
        <v>128.13270639622655</v>
      </c>
      <c r="D15" s="136">
        <v>77.674633842671199</v>
      </c>
      <c r="E15" s="138">
        <v>122.23028773775435</v>
      </c>
      <c r="F15" s="136">
        <v>125.49634223061366</v>
      </c>
      <c r="G15" s="35">
        <v>1.0935047439616501E-2</v>
      </c>
    </row>
    <row r="16" spans="1:10" ht="20.25" customHeight="1">
      <c r="A16" s="9" t="s">
        <v>1525</v>
      </c>
      <c r="B16" s="9"/>
      <c r="C16" s="9"/>
      <c r="D16" s="9"/>
      <c r="E16" s="9"/>
      <c r="F16" s="9"/>
      <c r="G16" s="9"/>
    </row>
    <row r="18" spans="1:1">
      <c r="A18" s="3" t="s">
        <v>74</v>
      </c>
    </row>
  </sheetData>
  <mergeCells count="1">
    <mergeCell ref="A2:G2"/>
  </mergeCells>
  <phoneticPr fontId="0" type="noConversion"/>
  <pageMargins left="0.55000000000000004" right="0.47"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8BD5-E70A-794E-B888-48BE47B430C4}">
  <dimension ref="A1:J20"/>
  <sheetViews>
    <sheetView zoomScale="75" workbookViewId="0">
      <selection activeCell="I16" sqref="I16"/>
    </sheetView>
  </sheetViews>
  <sheetFormatPr baseColWidth="10" defaultColWidth="11.3984375" defaultRowHeight="13"/>
  <cols>
    <col min="1" max="1" width="14.3984375" style="3" customWidth="1"/>
    <col min="2" max="2" width="17.3984375" style="3" customWidth="1"/>
    <col min="3" max="5" width="15.19921875" style="3" customWidth="1"/>
    <col min="6" max="6" width="16.3984375" style="3" customWidth="1"/>
    <col min="7" max="16384" width="11.3984375" style="3"/>
  </cols>
  <sheetData>
    <row r="1" spans="1:10" s="1" customFormat="1" ht="14" customHeight="1"/>
    <row r="2" spans="1:10" s="1" customFormat="1" ht="28" customHeight="1">
      <c r="A2" s="64" t="s">
        <v>62</v>
      </c>
    </row>
    <row r="3" spans="1:10" ht="24" customHeight="1">
      <c r="A3" s="2" t="s">
        <v>1308</v>
      </c>
      <c r="B3" s="74" t="s">
        <v>1447</v>
      </c>
      <c r="C3" s="17" t="s">
        <v>1448</v>
      </c>
      <c r="D3" s="74" t="s">
        <v>1449</v>
      </c>
      <c r="E3" s="17" t="s">
        <v>1450</v>
      </c>
      <c r="F3" s="74" t="s">
        <v>607</v>
      </c>
    </row>
    <row r="4" spans="1:10" ht="15" customHeight="1">
      <c r="A4" s="82"/>
      <c r="B4" s="75" t="s">
        <v>1451</v>
      </c>
      <c r="C4" s="18" t="s">
        <v>1452</v>
      </c>
      <c r="D4" s="75" t="s">
        <v>1453</v>
      </c>
      <c r="E4" s="66" t="s">
        <v>1454</v>
      </c>
      <c r="F4" s="75"/>
    </row>
    <row r="5" spans="1:10" ht="15" customHeight="1">
      <c r="A5" s="82"/>
      <c r="B5" s="75" t="s">
        <v>1455</v>
      </c>
      <c r="C5" s="18" t="s">
        <v>1456</v>
      </c>
      <c r="D5" s="75" t="s">
        <v>969</v>
      </c>
      <c r="E5" s="66" t="s">
        <v>1457</v>
      </c>
      <c r="F5" s="75"/>
    </row>
    <row r="6" spans="1:10" ht="24" customHeight="1">
      <c r="A6" s="83"/>
      <c r="B6" s="78"/>
      <c r="C6" s="19"/>
      <c r="D6" s="78"/>
      <c r="E6" s="67" t="s">
        <v>1458</v>
      </c>
      <c r="F6" s="78"/>
    </row>
    <row r="7" spans="1:10" ht="30" customHeight="1" thickBot="1">
      <c r="A7" s="84">
        <v>1994</v>
      </c>
      <c r="B7" s="250" t="s">
        <v>487</v>
      </c>
      <c r="C7" s="505" t="s">
        <v>487</v>
      </c>
      <c r="D7" s="250" t="s">
        <v>487</v>
      </c>
      <c r="E7" s="505" t="s">
        <v>487</v>
      </c>
      <c r="F7" s="92">
        <v>126395373</v>
      </c>
      <c r="G7" s="43"/>
    </row>
    <row r="8" spans="1:10" ht="20" customHeight="1" thickBot="1">
      <c r="A8" s="85">
        <v>1995</v>
      </c>
      <c r="B8" s="30" t="s">
        <v>487</v>
      </c>
      <c r="C8" s="122" t="s">
        <v>487</v>
      </c>
      <c r="D8" s="30" t="s">
        <v>487</v>
      </c>
      <c r="E8" s="122" t="s">
        <v>487</v>
      </c>
      <c r="F8" s="30">
        <v>-81798816</v>
      </c>
      <c r="G8" s="43"/>
    </row>
    <row r="9" spans="1:10" ht="20" customHeight="1" thickBot="1">
      <c r="A9" s="85">
        <v>1996</v>
      </c>
      <c r="B9" s="30">
        <v>-991775322</v>
      </c>
      <c r="C9" s="122">
        <v>663779882</v>
      </c>
      <c r="D9" s="30">
        <v>3167199</v>
      </c>
      <c r="E9" s="122">
        <v>4895896</v>
      </c>
      <c r="F9" s="30">
        <v>-319932346</v>
      </c>
      <c r="G9" s="43"/>
    </row>
    <row r="10" spans="1:10" ht="20" customHeight="1" thickBot="1">
      <c r="A10" s="85">
        <v>1997</v>
      </c>
      <c r="B10" s="30">
        <v>-876459686</v>
      </c>
      <c r="C10" s="122">
        <v>838256173</v>
      </c>
      <c r="D10" s="30">
        <v>-2030295</v>
      </c>
      <c r="E10" s="122">
        <v>110405696</v>
      </c>
      <c r="F10" s="30">
        <v>70171888</v>
      </c>
      <c r="G10" s="43"/>
      <c r="H10" s="45"/>
      <c r="I10" s="45"/>
      <c r="J10" s="45"/>
    </row>
    <row r="11" spans="1:10" ht="20" customHeight="1" thickBot="1">
      <c r="A11" s="85">
        <v>1998</v>
      </c>
      <c r="B11" s="30">
        <v>-430866451</v>
      </c>
      <c r="C11" s="122">
        <v>357976738</v>
      </c>
      <c r="D11" s="30">
        <v>4544767</v>
      </c>
      <c r="E11" s="122">
        <v>68311649</v>
      </c>
      <c r="F11" s="30">
        <v>-33297</v>
      </c>
      <c r="G11" s="43"/>
    </row>
    <row r="12" spans="1:10" ht="20" customHeight="1" thickBot="1">
      <c r="A12" s="85">
        <v>1999</v>
      </c>
      <c r="B12" s="30">
        <v>-927498708</v>
      </c>
      <c r="C12" s="122">
        <v>825438408</v>
      </c>
      <c r="D12" s="30">
        <v>3614253</v>
      </c>
      <c r="E12" s="122">
        <v>49059277</v>
      </c>
      <c r="F12" s="30">
        <v>-49386770</v>
      </c>
      <c r="G12" s="43"/>
    </row>
    <row r="13" spans="1:10" ht="19.5" customHeight="1" thickBot="1">
      <c r="A13" s="85">
        <v>2000</v>
      </c>
      <c r="B13" s="30">
        <v>-1105229685</v>
      </c>
      <c r="C13" s="122">
        <v>733255417.92999995</v>
      </c>
      <c r="D13" s="30">
        <v>3877650.94</v>
      </c>
      <c r="E13" s="122">
        <v>62142502.969999999</v>
      </c>
      <c r="F13" s="30">
        <v>-305954113.39999998</v>
      </c>
      <c r="G13" s="43"/>
    </row>
    <row r="14" spans="1:10" ht="19.5" customHeight="1" thickBot="1">
      <c r="A14" s="85">
        <v>2001</v>
      </c>
      <c r="B14" s="30">
        <v>-1433346588</v>
      </c>
      <c r="C14" s="122">
        <v>618037013.5</v>
      </c>
      <c r="D14" s="30">
        <v>2472338.21</v>
      </c>
      <c r="E14" s="122">
        <v>23119861.41</v>
      </c>
      <c r="F14" s="30">
        <v>-789717374.88</v>
      </c>
      <c r="G14" s="43"/>
    </row>
    <row r="15" spans="1:10" ht="30" customHeight="1" thickBot="1">
      <c r="A15" s="135">
        <v>2002</v>
      </c>
      <c r="B15" s="136">
        <v>-1276900302</v>
      </c>
      <c r="C15" s="138">
        <v>976642734.75999999</v>
      </c>
      <c r="D15" s="136">
        <v>4263892.6399999997</v>
      </c>
      <c r="E15" s="138">
        <v>72321311.689999998</v>
      </c>
      <c r="F15" s="136">
        <v>-223672362.91000003</v>
      </c>
      <c r="G15" s="556"/>
    </row>
    <row r="16" spans="1:10" ht="20" customHeight="1">
      <c r="A16" s="9" t="s">
        <v>1525</v>
      </c>
      <c r="B16" s="9"/>
      <c r="C16" s="9"/>
      <c r="D16" s="9"/>
      <c r="E16" s="9"/>
      <c r="F16" s="9"/>
    </row>
    <row r="17" spans="1:6" ht="12.75" customHeight="1">
      <c r="A17" s="38"/>
      <c r="B17" s="38"/>
      <c r="C17" s="38"/>
      <c r="D17" s="38"/>
      <c r="E17" s="38"/>
      <c r="F17" s="38"/>
    </row>
    <row r="18" spans="1:6" ht="12" customHeight="1">
      <c r="A18" s="38" t="s">
        <v>987</v>
      </c>
    </row>
    <row r="20" spans="1:6">
      <c r="A20" s="3" t="s">
        <v>72</v>
      </c>
    </row>
  </sheetData>
  <phoneticPr fontId="0" type="noConversion"/>
  <pageMargins left="0.78740157480314965" right="0.78740157480314965"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4B94-0861-B44C-BC3A-C05B46D430DC}">
  <dimension ref="A1:J20"/>
  <sheetViews>
    <sheetView topLeftCell="A4" zoomScale="75" workbookViewId="0">
      <selection activeCell="B25" sqref="B25"/>
    </sheetView>
  </sheetViews>
  <sheetFormatPr baseColWidth="10" defaultColWidth="11.3984375" defaultRowHeight="13"/>
  <cols>
    <col min="1" max="1" width="14.3984375" style="3" customWidth="1"/>
    <col min="2" max="6" width="15.3984375" style="3" customWidth="1"/>
    <col min="7" max="16384" width="11.3984375" style="3"/>
  </cols>
  <sheetData>
    <row r="1" spans="1:10" s="1" customFormat="1" ht="14" customHeight="1"/>
    <row r="2" spans="1:10" s="1" customFormat="1" ht="36.75" customHeight="1">
      <c r="A2" s="1302" t="s">
        <v>1551</v>
      </c>
      <c r="B2" s="1303"/>
      <c r="C2" s="1303"/>
      <c r="D2" s="1303"/>
      <c r="E2" s="1303"/>
      <c r="F2" s="1303"/>
    </row>
    <row r="3" spans="1:10" ht="24" customHeight="1">
      <c r="A3" s="2" t="s">
        <v>1308</v>
      </c>
      <c r="B3" s="74" t="s">
        <v>1447</v>
      </c>
      <c r="C3" s="17" t="s">
        <v>1448</v>
      </c>
      <c r="D3" s="74" t="s">
        <v>1449</v>
      </c>
      <c r="E3" s="17" t="s">
        <v>1450</v>
      </c>
      <c r="F3" s="74" t="s">
        <v>607</v>
      </c>
    </row>
    <row r="4" spans="1:10" ht="15" customHeight="1">
      <c r="A4" s="82"/>
      <c r="B4" s="75" t="s">
        <v>1451</v>
      </c>
      <c r="C4" s="18" t="s">
        <v>1452</v>
      </c>
      <c r="D4" s="75" t="s">
        <v>1453</v>
      </c>
      <c r="E4" s="66" t="s">
        <v>1454</v>
      </c>
      <c r="F4" s="75"/>
    </row>
    <row r="5" spans="1:10" ht="15" customHeight="1">
      <c r="A5" s="82"/>
      <c r="B5" s="75" t="s">
        <v>1455</v>
      </c>
      <c r="C5" s="18" t="s">
        <v>1456</v>
      </c>
      <c r="D5" s="75" t="s">
        <v>969</v>
      </c>
      <c r="E5" s="66" t="s">
        <v>1457</v>
      </c>
      <c r="F5" s="75"/>
    </row>
    <row r="6" spans="1:10" ht="24" customHeight="1">
      <c r="A6" s="83"/>
      <c r="B6" s="78"/>
      <c r="C6" s="19"/>
      <c r="D6" s="78"/>
      <c r="E6" s="67" t="s">
        <v>1458</v>
      </c>
      <c r="F6" s="78"/>
    </row>
    <row r="7" spans="1:10" ht="30" customHeight="1" thickBot="1">
      <c r="A7" s="84">
        <v>1994</v>
      </c>
      <c r="B7" s="250" t="s">
        <v>487</v>
      </c>
      <c r="C7" s="505" t="s">
        <v>487</v>
      </c>
      <c r="D7" s="250" t="s">
        <v>487</v>
      </c>
      <c r="E7" s="505" t="s">
        <v>487</v>
      </c>
      <c r="F7" s="92">
        <v>17.72315240239535</v>
      </c>
      <c r="G7" s="43"/>
    </row>
    <row r="8" spans="1:10" ht="20" customHeight="1" thickBot="1">
      <c r="A8" s="85">
        <v>1995</v>
      </c>
      <c r="B8" s="30" t="s">
        <v>487</v>
      </c>
      <c r="C8" s="122" t="s">
        <v>487</v>
      </c>
      <c r="D8" s="30" t="s">
        <v>487</v>
      </c>
      <c r="E8" s="122" t="s">
        <v>487</v>
      </c>
      <c r="F8" s="30">
        <v>-11.414345192935228</v>
      </c>
      <c r="G8" s="43"/>
    </row>
    <row r="9" spans="1:10" ht="20" customHeight="1" thickBot="1">
      <c r="A9" s="85">
        <v>1996</v>
      </c>
      <c r="B9" s="30">
        <v>-209.25119249563258</v>
      </c>
      <c r="C9" s="122">
        <v>287.88798918153714</v>
      </c>
      <c r="D9" s="30">
        <v>113.8133893919793</v>
      </c>
      <c r="E9" s="122">
        <v>40.26296485139558</v>
      </c>
      <c r="F9" s="30">
        <v>-44.467447531910054</v>
      </c>
    </row>
    <row r="10" spans="1:10" ht="20" customHeight="1" thickBot="1">
      <c r="A10" s="85">
        <v>1997</v>
      </c>
      <c r="B10" s="30">
        <v>-214.61582270081155</v>
      </c>
      <c r="C10" s="122">
        <v>306.33942450638875</v>
      </c>
      <c r="D10" s="30">
        <v>-176.63955107012353</v>
      </c>
      <c r="E10" s="122">
        <v>288.19554520703849</v>
      </c>
      <c r="F10" s="30">
        <v>9.7260962701001628</v>
      </c>
      <c r="H10" s="45"/>
      <c r="I10" s="45"/>
      <c r="J10" s="45"/>
    </row>
    <row r="11" spans="1:10" ht="20" customHeight="1" thickBot="1">
      <c r="A11" s="85">
        <v>1998</v>
      </c>
      <c r="B11" s="30">
        <v>-107.28033046607707</v>
      </c>
      <c r="C11" s="122">
        <v>131.29687859897859</v>
      </c>
      <c r="D11" s="30">
        <v>384.2379945891106</v>
      </c>
      <c r="E11" s="122">
        <v>138.27149421099506</v>
      </c>
      <c r="F11" s="30">
        <v>-4.5935747895146139E-3</v>
      </c>
    </row>
    <row r="12" spans="1:10" ht="20" customHeight="1" thickBot="1">
      <c r="A12" s="85">
        <v>1999</v>
      </c>
      <c r="B12" s="30">
        <v>-231.94750851767455</v>
      </c>
      <c r="C12" s="122">
        <v>303.95700464199626</v>
      </c>
      <c r="D12" s="30">
        <v>352.33505556638721</v>
      </c>
      <c r="E12" s="122">
        <v>90.53364520474635</v>
      </c>
      <c r="F12" s="30">
        <v>-6.7964685777290796</v>
      </c>
    </row>
    <row r="13" spans="1:10" ht="20" customHeight="1" thickBot="1">
      <c r="A13" s="85">
        <v>2000</v>
      </c>
      <c r="B13" s="30">
        <v>-281.80831964955939</v>
      </c>
      <c r="C13" s="122">
        <v>265.81296038591444</v>
      </c>
      <c r="D13" s="30">
        <v>395.23503618387525</v>
      </c>
      <c r="E13" s="122">
        <v>107.54256442516194</v>
      </c>
      <c r="F13" s="30">
        <v>-42.095410127886048</v>
      </c>
    </row>
    <row r="14" spans="1:10" ht="20" customHeight="1" thickBot="1">
      <c r="A14" s="85">
        <v>2001</v>
      </c>
      <c r="B14" s="30">
        <v>-369.21073383560986</v>
      </c>
      <c r="C14" s="122">
        <v>218.09355776804139</v>
      </c>
      <c r="D14" s="30">
        <v>264.67596724119471</v>
      </c>
      <c r="E14" s="122">
        <v>38.795684474417683</v>
      </c>
      <c r="F14" s="30">
        <v>-107.86592232759077</v>
      </c>
    </row>
    <row r="15" spans="1:10" s="36" customFormat="1" ht="30" customHeight="1" thickBot="1">
      <c r="A15" s="135">
        <v>2002</v>
      </c>
      <c r="B15" s="136">
        <v>-334.90929649130862</v>
      </c>
      <c r="C15" s="138">
        <v>327.64230472151957</v>
      </c>
      <c r="D15" s="136">
        <v>482.61376796830785</v>
      </c>
      <c r="E15" s="138">
        <v>129.83261678350553</v>
      </c>
      <c r="F15" s="136">
        <v>-30.392888912290669</v>
      </c>
    </row>
    <row r="16" spans="1:10" ht="20" customHeight="1">
      <c r="A16" s="9" t="s">
        <v>1525</v>
      </c>
      <c r="B16" s="9"/>
      <c r="C16" s="9"/>
      <c r="D16" s="9"/>
      <c r="E16" s="9"/>
      <c r="F16" s="9"/>
    </row>
    <row r="17" spans="1:6" ht="15.75" customHeight="1">
      <c r="A17" s="38"/>
      <c r="B17" s="38"/>
      <c r="C17" s="38"/>
      <c r="D17" s="38"/>
      <c r="E17" s="38"/>
      <c r="F17" s="38"/>
    </row>
    <row r="18" spans="1:6">
      <c r="A18" s="38" t="s">
        <v>987</v>
      </c>
    </row>
    <row r="20" spans="1:6">
      <c r="A20" s="3" t="s">
        <v>1552</v>
      </c>
    </row>
  </sheetData>
  <mergeCells count="1">
    <mergeCell ref="A2:F2"/>
  </mergeCells>
  <phoneticPr fontId="0" type="noConversion"/>
  <pageMargins left="0.78740157480314965" right="0.78740157480314965" top="1.46" bottom="0.49" header="0.95"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A635-C5B3-DC43-BD30-0DEE15DA855C}">
  <dimension ref="A1:E35"/>
  <sheetViews>
    <sheetView zoomScale="75" workbookViewId="0">
      <selection activeCell="A34" sqref="A34:IV34"/>
    </sheetView>
  </sheetViews>
  <sheetFormatPr baseColWidth="10" defaultColWidth="11.3984375" defaultRowHeight="13"/>
  <cols>
    <col min="1" max="1" width="8.796875" style="3" customWidth="1"/>
    <col min="2" max="2" width="48.796875" style="105" customWidth="1"/>
    <col min="3" max="3" width="17.796875" style="3" customWidth="1"/>
    <col min="4" max="4" width="16.796875" style="43" customWidth="1"/>
    <col min="5" max="5" width="18" style="43" customWidth="1"/>
    <col min="6" max="16384" width="11.3984375" style="3"/>
  </cols>
  <sheetData>
    <row r="1" spans="1:5" s="1" customFormat="1" ht="14" customHeight="1">
      <c r="B1" s="95"/>
      <c r="D1" s="106"/>
      <c r="E1" s="106"/>
    </row>
    <row r="2" spans="1:5" s="1" customFormat="1" ht="28" customHeight="1">
      <c r="A2" s="81" t="s">
        <v>1434</v>
      </c>
      <c r="B2" s="95"/>
      <c r="D2" s="106"/>
      <c r="E2" s="106"/>
    </row>
    <row r="3" spans="1:5" ht="39" customHeight="1">
      <c r="A3" s="2" t="s">
        <v>43</v>
      </c>
      <c r="B3" s="2"/>
      <c r="C3" s="74" t="s">
        <v>44</v>
      </c>
      <c r="D3" s="65" t="s">
        <v>45</v>
      </c>
      <c r="E3" s="282" t="s">
        <v>607</v>
      </c>
    </row>
    <row r="4" spans="1:5" ht="38" customHeight="1">
      <c r="A4" s="283"/>
      <c r="B4" s="284"/>
      <c r="C4" s="78" t="s">
        <v>1304</v>
      </c>
      <c r="D4" s="67" t="s">
        <v>1304</v>
      </c>
      <c r="E4" s="187" t="s">
        <v>1304</v>
      </c>
    </row>
    <row r="5" spans="1:5" ht="30" customHeight="1" thickBot="1">
      <c r="A5" s="6">
        <v>61</v>
      </c>
      <c r="B5" s="6" t="s">
        <v>46</v>
      </c>
      <c r="C5" s="20">
        <v>14712671056</v>
      </c>
      <c r="D5" s="91">
        <v>642374179.38</v>
      </c>
      <c r="E5" s="447">
        <v>15355045235</v>
      </c>
    </row>
    <row r="6" spans="1:5" ht="20" customHeight="1" thickBot="1">
      <c r="A6" s="7">
        <v>64</v>
      </c>
      <c r="B6" s="7" t="s">
        <v>47</v>
      </c>
      <c r="C6" s="30">
        <v>-59002620.950000003</v>
      </c>
      <c r="D6" s="122">
        <v>-2493530.0499999998</v>
      </c>
      <c r="E6" s="89">
        <v>-61496151</v>
      </c>
    </row>
    <row r="7" spans="1:5" ht="20" customHeight="1" thickBot="1">
      <c r="A7" s="7">
        <v>65</v>
      </c>
      <c r="B7" s="7" t="s">
        <v>48</v>
      </c>
      <c r="C7" s="30">
        <v>2510112.0499999998</v>
      </c>
      <c r="D7" s="122">
        <v>105402.76</v>
      </c>
      <c r="E7" s="89">
        <v>2615514.81</v>
      </c>
    </row>
    <row r="8" spans="1:5" ht="27" customHeight="1" thickBot="1">
      <c r="A8" s="70" t="s">
        <v>49</v>
      </c>
      <c r="B8" s="70" t="s">
        <v>50</v>
      </c>
      <c r="C8" s="130">
        <v>14656178547</v>
      </c>
      <c r="D8" s="133">
        <v>639986052.08000004</v>
      </c>
      <c r="E8" s="34">
        <v>15296164599</v>
      </c>
    </row>
    <row r="9" spans="1:5" ht="20" customHeight="1" thickBot="1">
      <c r="A9" s="7">
        <v>66</v>
      </c>
      <c r="B9" s="7" t="s">
        <v>51</v>
      </c>
      <c r="C9" s="30">
        <v>-23071072.25</v>
      </c>
      <c r="D9" s="122">
        <v>-798618.25</v>
      </c>
      <c r="E9" s="89">
        <v>-23869690.5</v>
      </c>
    </row>
    <row r="10" spans="1:5" ht="27" customHeight="1" thickBot="1">
      <c r="A10" s="70" t="s">
        <v>52</v>
      </c>
      <c r="B10" s="70" t="s">
        <v>53</v>
      </c>
      <c r="C10" s="130">
        <v>14633107475</v>
      </c>
      <c r="D10" s="133">
        <v>639187433.84000003</v>
      </c>
      <c r="E10" s="34">
        <v>15272294908</v>
      </c>
    </row>
    <row r="11" spans="1:5" ht="20" customHeight="1" thickBot="1">
      <c r="A11" s="7">
        <v>67</v>
      </c>
      <c r="B11" s="7" t="s">
        <v>54</v>
      </c>
      <c r="C11" s="30">
        <v>1406639608.5999999</v>
      </c>
      <c r="D11" s="122">
        <v>64702427.030000001</v>
      </c>
      <c r="E11" s="89">
        <v>1471342035.5999999</v>
      </c>
    </row>
    <row r="12" spans="1:5" ht="20" customHeight="1" thickBot="1">
      <c r="A12" s="7">
        <v>68</v>
      </c>
      <c r="B12" s="7" t="s">
        <v>55</v>
      </c>
      <c r="C12" s="30">
        <v>-1367137727</v>
      </c>
      <c r="D12" s="122">
        <v>-61952454.880000003</v>
      </c>
      <c r="E12" s="89">
        <v>-1429090182</v>
      </c>
    </row>
    <row r="13" spans="1:5" ht="20" customHeight="1" thickBot="1">
      <c r="A13" s="7">
        <v>69</v>
      </c>
      <c r="B13" s="7" t="s">
        <v>56</v>
      </c>
      <c r="C13" s="30">
        <v>86340591.950000003</v>
      </c>
      <c r="D13" s="122">
        <v>3787496.07</v>
      </c>
      <c r="E13" s="89">
        <v>90128088.019999996</v>
      </c>
    </row>
    <row r="14" spans="1:5" ht="27" customHeight="1" thickBot="1">
      <c r="A14" s="70">
        <v>6</v>
      </c>
      <c r="B14" s="70" t="s">
        <v>57</v>
      </c>
      <c r="C14" s="130">
        <v>14758949948</v>
      </c>
      <c r="D14" s="133">
        <v>645724902.02999997</v>
      </c>
      <c r="E14" s="34">
        <v>15404674850</v>
      </c>
    </row>
    <row r="15" spans="1:5" ht="20" customHeight="1" thickBot="1">
      <c r="A15" s="7">
        <v>31</v>
      </c>
      <c r="B15" s="7" t="s">
        <v>1316</v>
      </c>
      <c r="C15" s="30">
        <v>16572153144</v>
      </c>
      <c r="D15" s="122">
        <v>523434266.43000001</v>
      </c>
      <c r="E15" s="89">
        <v>17095587411</v>
      </c>
    </row>
    <row r="16" spans="1:5" ht="20" customHeight="1" thickBot="1">
      <c r="A16" s="7">
        <v>32</v>
      </c>
      <c r="B16" s="7" t="s">
        <v>58</v>
      </c>
      <c r="C16" s="30">
        <v>-2437016911</v>
      </c>
      <c r="D16" s="122">
        <v>-65813455.719999999</v>
      </c>
      <c r="E16" s="89">
        <v>-2502830367</v>
      </c>
    </row>
    <row r="17" spans="1:5" ht="27" customHeight="1" thickBot="1">
      <c r="A17" s="70" t="s">
        <v>59</v>
      </c>
      <c r="B17" s="70" t="s">
        <v>60</v>
      </c>
      <c r="C17" s="130">
        <v>14135136233</v>
      </c>
      <c r="D17" s="133">
        <v>457620810.70999998</v>
      </c>
      <c r="E17" s="34">
        <v>14592757044</v>
      </c>
    </row>
    <row r="18" spans="1:5" ht="20" customHeight="1" thickBot="1">
      <c r="A18" s="7">
        <v>34</v>
      </c>
      <c r="B18" s="7" t="s">
        <v>61</v>
      </c>
      <c r="C18" s="30">
        <v>34729279.850000001</v>
      </c>
      <c r="D18" s="122">
        <v>1061603.3999999999</v>
      </c>
      <c r="E18" s="89">
        <v>35790883.25</v>
      </c>
    </row>
    <row r="19" spans="1:5" ht="20" customHeight="1" thickBot="1">
      <c r="A19" s="7">
        <v>35</v>
      </c>
      <c r="B19" s="7" t="s">
        <v>1509</v>
      </c>
      <c r="C19" s="30">
        <v>13154936.91</v>
      </c>
      <c r="D19" s="122">
        <v>38799.82</v>
      </c>
      <c r="E19" s="89">
        <v>13193736.73</v>
      </c>
    </row>
    <row r="20" spans="1:5" ht="27" customHeight="1" thickBot="1">
      <c r="A20" s="70" t="s">
        <v>1510</v>
      </c>
      <c r="B20" s="70" t="s">
        <v>1511</v>
      </c>
      <c r="C20" s="130">
        <v>14183020450</v>
      </c>
      <c r="D20" s="133">
        <v>458721213.94</v>
      </c>
      <c r="E20" s="34">
        <v>14641741664</v>
      </c>
    </row>
    <row r="21" spans="1:5" ht="20" customHeight="1" thickBot="1">
      <c r="A21" s="7">
        <v>36</v>
      </c>
      <c r="B21" s="7" t="s">
        <v>1512</v>
      </c>
      <c r="C21" s="30">
        <v>-25182633.300000001</v>
      </c>
      <c r="D21" s="122">
        <v>-737891.39</v>
      </c>
      <c r="E21" s="89">
        <v>-25920524.690000001</v>
      </c>
    </row>
    <row r="22" spans="1:5" ht="20" customHeight="1" thickBot="1">
      <c r="A22" s="7">
        <v>37</v>
      </c>
      <c r="B22" s="7" t="s">
        <v>1513</v>
      </c>
      <c r="C22" s="30">
        <v>43889006.640000001</v>
      </c>
      <c r="D22" s="122">
        <v>-11478076.26</v>
      </c>
      <c r="E22" s="89">
        <v>32410930.379999999</v>
      </c>
    </row>
    <row r="23" spans="1:5" ht="27" customHeight="1" thickBot="1">
      <c r="A23" s="70">
        <v>3</v>
      </c>
      <c r="B23" s="70" t="s">
        <v>1514</v>
      </c>
      <c r="C23" s="130">
        <v>14201726823</v>
      </c>
      <c r="D23" s="133">
        <v>446505246.29000002</v>
      </c>
      <c r="E23" s="34">
        <v>14648232070</v>
      </c>
    </row>
    <row r="24" spans="1:5" ht="21" customHeight="1" thickBot="1">
      <c r="A24" s="7" t="s">
        <v>1515</v>
      </c>
      <c r="B24" s="7" t="s">
        <v>1516</v>
      </c>
      <c r="C24" s="30">
        <v>885639547.19000006</v>
      </c>
      <c r="D24" s="122">
        <v>37933841.450000003</v>
      </c>
      <c r="E24" s="89">
        <v>923573388.63999999</v>
      </c>
    </row>
    <row r="25" spans="1:5" ht="21" customHeight="1" thickBot="1">
      <c r="A25" s="7">
        <v>49</v>
      </c>
      <c r="B25" s="7" t="s">
        <v>1517</v>
      </c>
      <c r="C25" s="30">
        <v>1221618.67</v>
      </c>
      <c r="D25" s="122">
        <v>60873.23</v>
      </c>
      <c r="E25" s="89">
        <v>1282491.8999999999</v>
      </c>
    </row>
    <row r="26" spans="1:5" ht="27" customHeight="1" thickBot="1">
      <c r="A26" s="70">
        <v>4</v>
      </c>
      <c r="B26" s="70" t="s">
        <v>1518</v>
      </c>
      <c r="C26" s="130">
        <v>886861165.87</v>
      </c>
      <c r="D26" s="133">
        <v>37994714.68</v>
      </c>
      <c r="E26" s="34">
        <v>924855880.54999995</v>
      </c>
    </row>
    <row r="27" spans="1:5" ht="27" customHeight="1" thickBot="1">
      <c r="A27" s="70" t="s">
        <v>1519</v>
      </c>
      <c r="B27" s="70" t="s">
        <v>1520</v>
      </c>
      <c r="C27" s="130">
        <v>15088587989</v>
      </c>
      <c r="D27" s="133">
        <v>484499960.94999999</v>
      </c>
      <c r="E27" s="34">
        <v>15573087950</v>
      </c>
    </row>
    <row r="28" spans="1:5" ht="27" customHeight="1" thickBot="1">
      <c r="A28" s="70"/>
      <c r="B28" s="70" t="s">
        <v>1521</v>
      </c>
      <c r="C28" s="130">
        <v>-329638041.19999999</v>
      </c>
      <c r="D28" s="133">
        <v>161224941.06999999</v>
      </c>
      <c r="E28" s="34">
        <v>-168413100.09999999</v>
      </c>
    </row>
    <row r="29" spans="1:5" ht="27" customHeight="1" thickBot="1">
      <c r="A29" s="70">
        <v>7</v>
      </c>
      <c r="B29" s="70" t="s">
        <v>1522</v>
      </c>
      <c r="C29" s="130">
        <v>-52588464.310000002</v>
      </c>
      <c r="D29" s="133">
        <v>-2670798.44</v>
      </c>
      <c r="E29" s="34">
        <v>-55259262.75</v>
      </c>
    </row>
    <row r="30" spans="1:5" ht="34.5" customHeight="1" thickBot="1">
      <c r="A30" s="551"/>
      <c r="B30" s="551" t="s">
        <v>495</v>
      </c>
      <c r="C30" s="552">
        <v>-382226505.5</v>
      </c>
      <c r="D30" s="553">
        <v>158554142.63999999</v>
      </c>
      <c r="E30" s="554">
        <v>-223672362.80000001</v>
      </c>
    </row>
    <row r="31" spans="1:5" ht="19.5" customHeight="1">
      <c r="A31" s="3" t="s">
        <v>1525</v>
      </c>
    </row>
    <row r="33" spans="1:1">
      <c r="A33" s="438" t="s">
        <v>439</v>
      </c>
    </row>
    <row r="34" spans="1:1">
      <c r="A34" s="555"/>
    </row>
    <row r="35" spans="1:1">
      <c r="A35" s="3" t="s">
        <v>1550</v>
      </c>
    </row>
  </sheetData>
  <phoneticPr fontId="0" type="noConversion"/>
  <pageMargins left="0.5" right="0.32" top="1.46" bottom="0.49" header="0.95"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651E4-3E49-1847-8491-BD936A7B1AFE}">
  <dimension ref="A1:E35"/>
  <sheetViews>
    <sheetView topLeftCell="A31" zoomScale="75" workbookViewId="0">
      <selection activeCell="A33" sqref="A33"/>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8.19921875" style="43" customWidth="1"/>
    <col min="6" max="16384" width="11.3984375" style="3"/>
  </cols>
  <sheetData>
    <row r="1" spans="1:5" s="1" customFormat="1" ht="14" customHeight="1">
      <c r="B1" s="95"/>
      <c r="D1" s="106"/>
      <c r="E1" s="106"/>
    </row>
    <row r="2" spans="1:5" s="1" customFormat="1" ht="28" customHeight="1">
      <c r="A2" s="81" t="s">
        <v>859</v>
      </c>
      <c r="B2" s="95"/>
      <c r="D2" s="106"/>
      <c r="E2" s="106"/>
    </row>
    <row r="3" spans="1:5" ht="39" customHeight="1">
      <c r="A3" s="2" t="s">
        <v>43</v>
      </c>
      <c r="B3" s="2"/>
      <c r="C3" s="74" t="s">
        <v>44</v>
      </c>
      <c r="D3" s="65" t="s">
        <v>45</v>
      </c>
      <c r="E3" s="282" t="s">
        <v>607</v>
      </c>
    </row>
    <row r="4" spans="1:5" ht="39" customHeight="1">
      <c r="A4" s="283"/>
      <c r="B4" s="284"/>
      <c r="C4" s="78" t="s">
        <v>1304</v>
      </c>
      <c r="D4" s="67" t="s">
        <v>1304</v>
      </c>
      <c r="E4" s="187" t="s">
        <v>1304</v>
      </c>
    </row>
    <row r="5" spans="1:5" ht="30" customHeight="1" thickBot="1">
      <c r="A5" s="6">
        <v>61</v>
      </c>
      <c r="B5" s="6" t="s">
        <v>46</v>
      </c>
      <c r="C5" s="20">
        <v>7248453330.5</v>
      </c>
      <c r="D5" s="91">
        <v>359040135.43000001</v>
      </c>
      <c r="E5" s="447">
        <v>7607493466</v>
      </c>
    </row>
    <row r="6" spans="1:5" ht="19.5" customHeight="1" thickBot="1">
      <c r="A6" s="7">
        <v>64</v>
      </c>
      <c r="B6" s="7" t="s">
        <v>47</v>
      </c>
      <c r="C6" s="30">
        <v>-32600164.59</v>
      </c>
      <c r="D6" s="122">
        <v>-1483573.79</v>
      </c>
      <c r="E6" s="89">
        <v>-34083738.380000003</v>
      </c>
    </row>
    <row r="7" spans="1:5" ht="19.5" customHeight="1" thickBot="1">
      <c r="A7" s="7">
        <v>65</v>
      </c>
      <c r="B7" s="7" t="s">
        <v>48</v>
      </c>
      <c r="C7" s="30">
        <v>1452309.52</v>
      </c>
      <c r="D7" s="122">
        <v>68526.240000000005</v>
      </c>
      <c r="E7" s="89">
        <v>1520835.76</v>
      </c>
    </row>
    <row r="8" spans="1:5" ht="27" customHeight="1" thickBot="1">
      <c r="A8" s="70" t="s">
        <v>49</v>
      </c>
      <c r="B8" s="70" t="s">
        <v>50</v>
      </c>
      <c r="C8" s="130">
        <v>7217305475.3999996</v>
      </c>
      <c r="D8" s="133">
        <v>357625087.88</v>
      </c>
      <c r="E8" s="34">
        <v>7574930563.3000002</v>
      </c>
    </row>
    <row r="9" spans="1:5" ht="19.5" customHeight="1" thickBot="1">
      <c r="A9" s="7">
        <v>66</v>
      </c>
      <c r="B9" s="7" t="s">
        <v>51</v>
      </c>
      <c r="C9" s="30">
        <v>-12296857</v>
      </c>
      <c r="D9" s="122">
        <v>-475424.03</v>
      </c>
      <c r="E9" s="89">
        <v>-12772281.029999999</v>
      </c>
    </row>
    <row r="10" spans="1:5" ht="27" customHeight="1" thickBot="1">
      <c r="A10" s="70" t="s">
        <v>52</v>
      </c>
      <c r="B10" s="70" t="s">
        <v>53</v>
      </c>
      <c r="C10" s="130">
        <v>7205008618.3999996</v>
      </c>
      <c r="D10" s="133">
        <v>357149663.85000002</v>
      </c>
      <c r="E10" s="34">
        <v>7562158282.3000002</v>
      </c>
    </row>
    <row r="11" spans="1:5" ht="19.5" customHeight="1" thickBot="1">
      <c r="A11" s="7">
        <v>67</v>
      </c>
      <c r="B11" s="7" t="s">
        <v>54</v>
      </c>
      <c r="C11" s="30">
        <v>772359145.44000006</v>
      </c>
      <c r="D11" s="122">
        <v>39933077.659999996</v>
      </c>
      <c r="E11" s="89">
        <v>812292223.10000002</v>
      </c>
    </row>
    <row r="12" spans="1:5" ht="19.5" customHeight="1" thickBot="1">
      <c r="A12" s="7">
        <v>68</v>
      </c>
      <c r="B12" s="7" t="s">
        <v>55</v>
      </c>
      <c r="C12" s="30">
        <v>-744410803.79999995</v>
      </c>
      <c r="D12" s="122">
        <v>-37722065.740000002</v>
      </c>
      <c r="E12" s="89">
        <v>-782132869.60000002</v>
      </c>
    </row>
    <row r="13" spans="1:5" ht="19.5" customHeight="1" thickBot="1">
      <c r="A13" s="7">
        <v>69</v>
      </c>
      <c r="B13" s="7" t="s">
        <v>56</v>
      </c>
      <c r="C13" s="30">
        <v>40378513.140000001</v>
      </c>
      <c r="D13" s="122">
        <v>2113366.42</v>
      </c>
      <c r="E13" s="89">
        <v>42491879.560000002</v>
      </c>
    </row>
    <row r="14" spans="1:5" ht="27" customHeight="1" thickBot="1">
      <c r="A14" s="70">
        <v>6</v>
      </c>
      <c r="B14" s="70" t="s">
        <v>57</v>
      </c>
      <c r="C14" s="130">
        <v>7273335473.1999998</v>
      </c>
      <c r="D14" s="133">
        <v>361474042.18000001</v>
      </c>
      <c r="E14" s="34">
        <v>7634809515.3999996</v>
      </c>
    </row>
    <row r="15" spans="1:5" ht="20" customHeight="1" thickBot="1">
      <c r="A15" s="7">
        <v>31</v>
      </c>
      <c r="B15" s="7" t="s">
        <v>1316</v>
      </c>
      <c r="C15" s="30">
        <v>9662015633.7000008</v>
      </c>
      <c r="D15" s="122">
        <v>318477547.31999999</v>
      </c>
      <c r="E15" s="89">
        <v>9980493181.1000004</v>
      </c>
    </row>
    <row r="16" spans="1:5" ht="20" customHeight="1" thickBot="1">
      <c r="A16" s="7">
        <v>32</v>
      </c>
      <c r="B16" s="7" t="s">
        <v>58</v>
      </c>
      <c r="C16" s="30">
        <v>-1059995984</v>
      </c>
      <c r="D16" s="122">
        <v>-29832962.059999999</v>
      </c>
      <c r="E16" s="89">
        <v>-1089828946</v>
      </c>
    </row>
    <row r="17" spans="1:5" ht="27" customHeight="1" thickBot="1">
      <c r="A17" s="70" t="s">
        <v>59</v>
      </c>
      <c r="B17" s="70" t="s">
        <v>60</v>
      </c>
      <c r="C17" s="130">
        <v>8602019649.5</v>
      </c>
      <c r="D17" s="133">
        <v>288644585.25999999</v>
      </c>
      <c r="E17" s="34">
        <v>8890664234.7999992</v>
      </c>
    </row>
    <row r="18" spans="1:5" ht="20" customHeight="1" thickBot="1">
      <c r="A18" s="7">
        <v>34</v>
      </c>
      <c r="B18" s="7" t="s">
        <v>61</v>
      </c>
      <c r="C18" s="30">
        <v>23432216.539999999</v>
      </c>
      <c r="D18" s="122">
        <v>720745.42</v>
      </c>
      <c r="E18" s="89">
        <v>24152961.960000001</v>
      </c>
    </row>
    <row r="19" spans="1:5" ht="20" customHeight="1" thickBot="1">
      <c r="A19" s="7">
        <v>35</v>
      </c>
      <c r="B19" s="7" t="s">
        <v>1509</v>
      </c>
      <c r="C19" s="30">
        <v>18657318.760000002</v>
      </c>
      <c r="D19" s="122">
        <v>292526.15000000002</v>
      </c>
      <c r="E19" s="89">
        <v>18949844.91</v>
      </c>
    </row>
    <row r="20" spans="1:5" ht="27" customHeight="1" thickBot="1">
      <c r="A20" s="70" t="s">
        <v>1510</v>
      </c>
      <c r="B20" s="70" t="s">
        <v>1511</v>
      </c>
      <c r="C20" s="130">
        <v>8644109184.7999992</v>
      </c>
      <c r="D20" s="133">
        <v>289657856.81999999</v>
      </c>
      <c r="E20" s="34">
        <v>8933767041.6000004</v>
      </c>
    </row>
    <row r="21" spans="1:5" ht="19.5" customHeight="1" thickBot="1">
      <c r="A21" s="7">
        <v>36</v>
      </c>
      <c r="B21" s="7" t="s">
        <v>1512</v>
      </c>
      <c r="C21" s="30">
        <v>-8038898.4699999997</v>
      </c>
      <c r="D21" s="122">
        <v>-229948.51</v>
      </c>
      <c r="E21" s="89">
        <v>-8268846.9800000004</v>
      </c>
    </row>
    <row r="22" spans="1:5" ht="19.5" customHeight="1" thickBot="1">
      <c r="A22" s="7">
        <v>37</v>
      </c>
      <c r="B22" s="7" t="s">
        <v>1513</v>
      </c>
      <c r="C22" s="30">
        <v>-492085662.80000001</v>
      </c>
      <c r="D22" s="122">
        <v>-19704642.309999999</v>
      </c>
      <c r="E22" s="89">
        <v>-511790305.10000002</v>
      </c>
    </row>
    <row r="23" spans="1:5" ht="27" customHeight="1" thickBot="1">
      <c r="A23" s="70">
        <v>3</v>
      </c>
      <c r="B23" s="70" t="s">
        <v>1514</v>
      </c>
      <c r="C23" s="130">
        <v>8143984623.5</v>
      </c>
      <c r="D23" s="133">
        <v>269723266</v>
      </c>
      <c r="E23" s="34">
        <v>8413707889.5</v>
      </c>
    </row>
    <row r="24" spans="1:5" ht="20" customHeight="1" thickBot="1">
      <c r="A24" s="7" t="s">
        <v>1515</v>
      </c>
      <c r="B24" s="7" t="s">
        <v>1516</v>
      </c>
      <c r="C24" s="30">
        <v>450577773.51999998</v>
      </c>
      <c r="D24" s="122">
        <v>22282277.52</v>
      </c>
      <c r="E24" s="89">
        <v>472860051.04000002</v>
      </c>
    </row>
    <row r="25" spans="1:5" ht="20" customHeight="1" thickBot="1">
      <c r="A25" s="7">
        <v>49</v>
      </c>
      <c r="B25" s="7" t="s">
        <v>1517</v>
      </c>
      <c r="C25" s="30">
        <v>800113.22</v>
      </c>
      <c r="D25" s="122">
        <v>41758.81</v>
      </c>
      <c r="E25" s="89">
        <v>841872.03</v>
      </c>
    </row>
    <row r="26" spans="1:5" ht="27" customHeight="1" thickBot="1">
      <c r="A26" s="70">
        <v>4</v>
      </c>
      <c r="B26" s="70" t="s">
        <v>1518</v>
      </c>
      <c r="C26" s="130">
        <v>451377886.74000001</v>
      </c>
      <c r="D26" s="133">
        <v>22324036.329999998</v>
      </c>
      <c r="E26" s="34">
        <v>473701923.06999999</v>
      </c>
    </row>
    <row r="27" spans="1:5" ht="27" customHeight="1" thickBot="1">
      <c r="A27" s="70" t="s">
        <v>1519</v>
      </c>
      <c r="B27" s="70" t="s">
        <v>1520</v>
      </c>
      <c r="C27" s="130">
        <v>8595362510.2999992</v>
      </c>
      <c r="D27" s="133">
        <v>292047302.32999998</v>
      </c>
      <c r="E27" s="34">
        <v>8887409812.6000004</v>
      </c>
    </row>
    <row r="28" spans="1:5" ht="27" customHeight="1" thickBot="1">
      <c r="A28" s="70"/>
      <c r="B28" s="70" t="s">
        <v>1521</v>
      </c>
      <c r="C28" s="130">
        <v>-1322027037</v>
      </c>
      <c r="D28" s="133">
        <v>69426739.859999999</v>
      </c>
      <c r="E28" s="34">
        <v>-1252600297</v>
      </c>
    </row>
    <row r="29" spans="1:5" ht="27" customHeight="1" thickBot="1">
      <c r="A29" s="70">
        <v>7</v>
      </c>
      <c r="B29" s="70" t="s">
        <v>1522</v>
      </c>
      <c r="C29" s="130">
        <v>-23337013.77</v>
      </c>
      <c r="D29" s="133">
        <v>-962990.89</v>
      </c>
      <c r="E29" s="34">
        <v>-24300004.66</v>
      </c>
    </row>
    <row r="30" spans="1:5" ht="34.5" customHeight="1" thickBot="1">
      <c r="A30" s="551"/>
      <c r="B30" s="551" t="s">
        <v>495</v>
      </c>
      <c r="C30" s="552">
        <v>-1345364051</v>
      </c>
      <c r="D30" s="553">
        <v>68463748.959999993</v>
      </c>
      <c r="E30" s="554">
        <v>-1276900302</v>
      </c>
    </row>
    <row r="31" spans="1:5" ht="19.5" customHeight="1">
      <c r="A31" s="3" t="s">
        <v>1525</v>
      </c>
    </row>
    <row r="32" spans="1:5" ht="14.25" customHeight="1"/>
    <row r="33" spans="1:1" ht="19.5" customHeight="1">
      <c r="A33" s="3" t="s">
        <v>1546</v>
      </c>
    </row>
    <row r="35" spans="1:1">
      <c r="A35" s="3" t="s">
        <v>1549</v>
      </c>
    </row>
  </sheetData>
  <phoneticPr fontId="0" type="noConversion"/>
  <pageMargins left="0.64" right="0.7"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F475-4BBD-FD42-AF1D-B0DB603406E5}">
  <dimension ref="A1:E35"/>
  <sheetViews>
    <sheetView topLeftCell="A31" zoomScale="75" workbookViewId="0">
      <selection activeCell="A33" sqref="A33"/>
    </sheetView>
  </sheetViews>
  <sheetFormatPr baseColWidth="10" defaultColWidth="11.3984375" defaultRowHeight="13"/>
  <cols>
    <col min="1" max="1" width="8.796875" style="3" customWidth="1"/>
    <col min="2" max="2" width="50.19921875" style="105" customWidth="1"/>
    <col min="3" max="3" width="16.796875" style="3" customWidth="1"/>
    <col min="4" max="4" width="16.796875" style="43" customWidth="1"/>
    <col min="5" max="5" width="17.3984375" style="43" customWidth="1"/>
    <col min="6" max="16384" width="11.3984375" style="3"/>
  </cols>
  <sheetData>
    <row r="1" spans="1:5" s="1" customFormat="1" ht="14" customHeight="1">
      <c r="B1" s="95"/>
      <c r="D1" s="106"/>
      <c r="E1" s="106"/>
    </row>
    <row r="2" spans="1:5" s="1" customFormat="1" ht="28" customHeight="1">
      <c r="A2" s="81" t="s">
        <v>858</v>
      </c>
      <c r="B2" s="95"/>
      <c r="D2" s="106"/>
      <c r="E2" s="106"/>
    </row>
    <row r="3" spans="1:5" ht="39" customHeight="1">
      <c r="A3" s="2" t="s">
        <v>43</v>
      </c>
      <c r="B3" s="2"/>
      <c r="C3" s="74" t="s">
        <v>44</v>
      </c>
      <c r="D3" s="65" t="s">
        <v>45</v>
      </c>
      <c r="E3" s="14" t="s">
        <v>607</v>
      </c>
    </row>
    <row r="4" spans="1:5" ht="39" customHeight="1">
      <c r="A4" s="283"/>
      <c r="B4" s="284"/>
      <c r="C4" s="78" t="s">
        <v>1304</v>
      </c>
      <c r="D4" s="67" t="s">
        <v>1304</v>
      </c>
      <c r="E4" s="16" t="s">
        <v>1304</v>
      </c>
    </row>
    <row r="5" spans="1:5" ht="30" customHeight="1" thickBot="1">
      <c r="A5" s="6">
        <v>61</v>
      </c>
      <c r="B5" s="6" t="s">
        <v>46</v>
      </c>
      <c r="C5" s="20">
        <v>6411584141.5</v>
      </c>
      <c r="D5" s="91">
        <v>242188312.78999999</v>
      </c>
      <c r="E5" s="447">
        <v>6653772454.3000002</v>
      </c>
    </row>
    <row r="6" spans="1:5" ht="20" customHeight="1" thickBot="1">
      <c r="A6" s="7">
        <v>64</v>
      </c>
      <c r="B6" s="7" t="s">
        <v>47</v>
      </c>
      <c r="C6" s="30">
        <v>-22458186.91</v>
      </c>
      <c r="D6" s="122">
        <v>-854501.74</v>
      </c>
      <c r="E6" s="89">
        <v>-23312688.649999999</v>
      </c>
    </row>
    <row r="7" spans="1:5" ht="20" customHeight="1" thickBot="1">
      <c r="A7" s="7">
        <v>65</v>
      </c>
      <c r="B7" s="7" t="s">
        <v>48</v>
      </c>
      <c r="C7" s="30">
        <v>1001640.15</v>
      </c>
      <c r="D7" s="122">
        <v>34387.03</v>
      </c>
      <c r="E7" s="89">
        <v>1036027.18</v>
      </c>
    </row>
    <row r="8" spans="1:5" ht="27" customHeight="1" thickBot="1">
      <c r="A8" s="70" t="s">
        <v>49</v>
      </c>
      <c r="B8" s="70" t="s">
        <v>50</v>
      </c>
      <c r="C8" s="130">
        <v>6390127594.8000002</v>
      </c>
      <c r="D8" s="133">
        <v>241368198.08000001</v>
      </c>
      <c r="E8" s="34">
        <v>6631495792.8999996</v>
      </c>
    </row>
    <row r="9" spans="1:5" ht="20" customHeight="1" thickBot="1">
      <c r="A9" s="7">
        <v>66</v>
      </c>
      <c r="B9" s="7" t="s">
        <v>51</v>
      </c>
      <c r="C9" s="30">
        <v>-9481352.5899999999</v>
      </c>
      <c r="D9" s="122">
        <v>-282373.43</v>
      </c>
      <c r="E9" s="89">
        <v>-9763726.0199999996</v>
      </c>
    </row>
    <row r="10" spans="1:5" ht="27" customHeight="1" thickBot="1">
      <c r="A10" s="70" t="s">
        <v>52</v>
      </c>
      <c r="B10" s="70" t="s">
        <v>53</v>
      </c>
      <c r="C10" s="130">
        <v>6380646242.1999998</v>
      </c>
      <c r="D10" s="133">
        <v>241085824.66</v>
      </c>
      <c r="E10" s="34">
        <v>6621732066.8000002</v>
      </c>
    </row>
    <row r="11" spans="1:5" ht="20" customHeight="1" thickBot="1">
      <c r="A11" s="7">
        <v>67</v>
      </c>
      <c r="B11" s="7" t="s">
        <v>54</v>
      </c>
      <c r="C11" s="30">
        <v>539808313.22000003</v>
      </c>
      <c r="D11" s="122">
        <v>20973901.280000001</v>
      </c>
      <c r="E11" s="89">
        <v>560782214.5</v>
      </c>
    </row>
    <row r="12" spans="1:5" ht="20" customHeight="1" thickBot="1">
      <c r="A12" s="7">
        <v>68</v>
      </c>
      <c r="B12" s="7" t="s">
        <v>55</v>
      </c>
      <c r="C12" s="30">
        <v>-533591665.80000001</v>
      </c>
      <c r="D12" s="122">
        <v>-20690679.969999999</v>
      </c>
      <c r="E12" s="89">
        <v>-554282345.79999995</v>
      </c>
    </row>
    <row r="13" spans="1:5" ht="20" customHeight="1" thickBot="1">
      <c r="A13" s="7">
        <v>69</v>
      </c>
      <c r="B13" s="7" t="s">
        <v>56</v>
      </c>
      <c r="C13" s="30">
        <v>42011479.020000003</v>
      </c>
      <c r="D13" s="122">
        <v>1471531.37</v>
      </c>
      <c r="E13" s="89">
        <v>43483010.390000001</v>
      </c>
    </row>
    <row r="14" spans="1:5" ht="27" customHeight="1" thickBot="1">
      <c r="A14" s="70">
        <v>6</v>
      </c>
      <c r="B14" s="70" t="s">
        <v>57</v>
      </c>
      <c r="C14" s="130">
        <v>6428874368.6000004</v>
      </c>
      <c r="D14" s="133">
        <v>242840577.33000001</v>
      </c>
      <c r="E14" s="34">
        <v>6671714946</v>
      </c>
    </row>
    <row r="15" spans="1:5" ht="20" customHeight="1" thickBot="1">
      <c r="A15" s="7">
        <v>31</v>
      </c>
      <c r="B15" s="7" t="s">
        <v>1316</v>
      </c>
      <c r="C15" s="30">
        <v>5862358008.3000002</v>
      </c>
      <c r="D15" s="122">
        <v>167560996.96000001</v>
      </c>
      <c r="E15" s="89">
        <v>6029919005.3000002</v>
      </c>
    </row>
    <row r="16" spans="1:5" ht="20" customHeight="1" thickBot="1">
      <c r="A16" s="7">
        <v>32</v>
      </c>
      <c r="B16" s="7" t="s">
        <v>58</v>
      </c>
      <c r="C16" s="30">
        <v>-1213054985</v>
      </c>
      <c r="D16" s="122">
        <v>-31100048.41</v>
      </c>
      <c r="E16" s="89">
        <v>-1244155033</v>
      </c>
    </row>
    <row r="17" spans="1:5" ht="27" customHeight="1" thickBot="1">
      <c r="A17" s="70" t="s">
        <v>59</v>
      </c>
      <c r="B17" s="70" t="s">
        <v>60</v>
      </c>
      <c r="C17" s="130">
        <v>4649303023.6999998</v>
      </c>
      <c r="D17" s="133">
        <v>136460948.55000001</v>
      </c>
      <c r="E17" s="34">
        <v>4785763972.1999998</v>
      </c>
    </row>
    <row r="18" spans="1:5" ht="20" customHeight="1" thickBot="1">
      <c r="A18" s="7">
        <v>34</v>
      </c>
      <c r="B18" s="7" t="s">
        <v>61</v>
      </c>
      <c r="C18" s="30">
        <v>9570290.6899999995</v>
      </c>
      <c r="D18" s="122">
        <v>276303.93</v>
      </c>
      <c r="E18" s="89">
        <v>9846594.6199999992</v>
      </c>
    </row>
    <row r="19" spans="1:5" ht="20" customHeight="1" thickBot="1">
      <c r="A19" s="7">
        <v>35</v>
      </c>
      <c r="B19" s="7" t="s">
        <v>1509</v>
      </c>
      <c r="C19" s="30">
        <v>1307827.77</v>
      </c>
      <c r="D19" s="122">
        <v>45879.360000000001</v>
      </c>
      <c r="E19" s="89">
        <v>1353707.13</v>
      </c>
    </row>
    <row r="20" spans="1:5" ht="27" customHeight="1" thickBot="1">
      <c r="A20" s="70" t="s">
        <v>1510</v>
      </c>
      <c r="B20" s="70" t="s">
        <v>1511</v>
      </c>
      <c r="C20" s="130">
        <v>4660181142.1000004</v>
      </c>
      <c r="D20" s="133">
        <v>136783131.84</v>
      </c>
      <c r="E20" s="34">
        <v>4796964274</v>
      </c>
    </row>
    <row r="21" spans="1:5" ht="20" customHeight="1" thickBot="1">
      <c r="A21" s="7">
        <v>36</v>
      </c>
      <c r="B21" s="7" t="s">
        <v>1512</v>
      </c>
      <c r="C21" s="30">
        <v>-9422148.1799999997</v>
      </c>
      <c r="D21" s="122">
        <v>-212669.73</v>
      </c>
      <c r="E21" s="89">
        <v>-9634817.9100000001</v>
      </c>
    </row>
    <row r="22" spans="1:5" ht="20" customHeight="1" thickBot="1">
      <c r="A22" s="7">
        <v>37</v>
      </c>
      <c r="B22" s="7" t="s">
        <v>1513</v>
      </c>
      <c r="C22" s="30">
        <v>478667246.38</v>
      </c>
      <c r="D22" s="122">
        <v>6305450.6200000001</v>
      </c>
      <c r="E22" s="89">
        <v>484972697</v>
      </c>
    </row>
    <row r="23" spans="1:5" ht="27" customHeight="1" thickBot="1">
      <c r="A23" s="70">
        <v>3</v>
      </c>
      <c r="B23" s="70" t="s">
        <v>1514</v>
      </c>
      <c r="C23" s="130">
        <v>5129426240.3000002</v>
      </c>
      <c r="D23" s="133">
        <v>142875912.72999999</v>
      </c>
      <c r="E23" s="34">
        <v>5272302153.1000004</v>
      </c>
    </row>
    <row r="24" spans="1:5" ht="20" customHeight="1" thickBot="1">
      <c r="A24" s="7" t="s">
        <v>1515</v>
      </c>
      <c r="B24" s="7" t="s">
        <v>1516</v>
      </c>
      <c r="C24" s="30">
        <v>368801529.44999999</v>
      </c>
      <c r="D24" s="122">
        <v>13139004.43</v>
      </c>
      <c r="E24" s="89">
        <v>381940533.88</v>
      </c>
    </row>
    <row r="25" spans="1:5" ht="20" customHeight="1" thickBot="1">
      <c r="A25" s="7">
        <v>49</v>
      </c>
      <c r="B25" s="7" t="s">
        <v>1517</v>
      </c>
      <c r="C25" s="30">
        <v>228070.9</v>
      </c>
      <c r="D25" s="122">
        <v>11329.27</v>
      </c>
      <c r="E25" s="89">
        <v>239400.17</v>
      </c>
    </row>
    <row r="26" spans="1:5" ht="27" customHeight="1" thickBot="1">
      <c r="A26" s="70">
        <v>4</v>
      </c>
      <c r="B26" s="70" t="s">
        <v>1518</v>
      </c>
      <c r="C26" s="130">
        <v>369029600.35000002</v>
      </c>
      <c r="D26" s="133">
        <v>13150333.699999999</v>
      </c>
      <c r="E26" s="34">
        <v>382179934.05000001</v>
      </c>
    </row>
    <row r="27" spans="1:5" ht="27" customHeight="1" thickBot="1">
      <c r="A27" s="70" t="s">
        <v>1519</v>
      </c>
      <c r="B27" s="70" t="s">
        <v>1520</v>
      </c>
      <c r="C27" s="130">
        <v>5498455840.6999998</v>
      </c>
      <c r="D27" s="133">
        <v>156026246.43000001</v>
      </c>
      <c r="E27" s="34">
        <v>5654482087.1000004</v>
      </c>
    </row>
    <row r="28" spans="1:5" ht="27" customHeight="1" thickBot="1">
      <c r="A28" s="70"/>
      <c r="B28" s="70" t="s">
        <v>1521</v>
      </c>
      <c r="C28" s="130">
        <v>930418527.92999995</v>
      </c>
      <c r="D28" s="133">
        <v>86814330.890000001</v>
      </c>
      <c r="E28" s="34">
        <v>1017232858.8</v>
      </c>
    </row>
    <row r="29" spans="1:5" ht="27" customHeight="1" thickBot="1">
      <c r="A29" s="70">
        <v>7</v>
      </c>
      <c r="B29" s="70" t="s">
        <v>1522</v>
      </c>
      <c r="C29" s="130">
        <v>-38615322.75</v>
      </c>
      <c r="D29" s="133">
        <v>-1974801.32</v>
      </c>
      <c r="E29" s="34">
        <v>-40590124.07</v>
      </c>
    </row>
    <row r="30" spans="1:5" ht="34.5" customHeight="1" thickBot="1">
      <c r="A30" s="551"/>
      <c r="B30" s="551" t="s">
        <v>495</v>
      </c>
      <c r="C30" s="552">
        <v>891803205.17999995</v>
      </c>
      <c r="D30" s="553">
        <v>84839529.579999998</v>
      </c>
      <c r="E30" s="554">
        <v>976642734.75999999</v>
      </c>
    </row>
    <row r="31" spans="1:5" ht="19.5" customHeight="1">
      <c r="A31" s="3" t="s">
        <v>1525</v>
      </c>
    </row>
    <row r="33" spans="1:1">
      <c r="A33" s="3" t="s">
        <v>1546</v>
      </c>
    </row>
    <row r="35" spans="1:1">
      <c r="A35" s="3" t="s">
        <v>1548</v>
      </c>
    </row>
  </sheetData>
  <phoneticPr fontId="0" type="noConversion"/>
  <pageMargins left="0.59" right="0.66" top="1.46" bottom="0.49" header="0.94"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6D8F-BBC2-2040-AD73-C41717EDFFC9}">
  <dimension ref="A1:E35"/>
  <sheetViews>
    <sheetView topLeftCell="A27" zoomScale="75" workbookViewId="0">
      <selection activeCell="B51" sqref="B51"/>
    </sheetView>
  </sheetViews>
  <sheetFormatPr baseColWidth="10" defaultColWidth="11.3984375" defaultRowHeight="13"/>
  <cols>
    <col min="1" max="1" width="8.796875" style="3" customWidth="1"/>
    <col min="2" max="2" width="52.19921875" style="105" customWidth="1"/>
    <col min="3" max="3" width="16.796875" style="3" customWidth="1"/>
    <col min="4" max="5" width="16.796875" style="43" customWidth="1"/>
    <col min="6" max="16384" width="11.3984375" style="3"/>
  </cols>
  <sheetData>
    <row r="1" spans="1:5" s="1" customFormat="1" ht="14" customHeight="1">
      <c r="B1" s="95"/>
      <c r="D1" s="106"/>
      <c r="E1" s="106"/>
    </row>
    <row r="2" spans="1:5" s="1" customFormat="1" ht="28" customHeight="1">
      <c r="A2" s="81" t="s">
        <v>857</v>
      </c>
      <c r="B2" s="95"/>
      <c r="D2" s="106"/>
      <c r="E2" s="106"/>
    </row>
    <row r="3" spans="1:5" ht="39" customHeight="1">
      <c r="A3" s="2" t="s">
        <v>43</v>
      </c>
      <c r="B3" s="2"/>
      <c r="C3" s="74" t="s">
        <v>44</v>
      </c>
      <c r="D3" s="65" t="s">
        <v>45</v>
      </c>
      <c r="E3" s="282" t="s">
        <v>607</v>
      </c>
    </row>
    <row r="4" spans="1:5" ht="39" customHeight="1">
      <c r="A4" s="283"/>
      <c r="B4" s="284"/>
      <c r="C4" s="78" t="s">
        <v>1304</v>
      </c>
      <c r="D4" s="67" t="s">
        <v>1304</v>
      </c>
      <c r="E4" s="187" t="s">
        <v>1304</v>
      </c>
    </row>
    <row r="5" spans="1:5" ht="30" customHeight="1" thickBot="1">
      <c r="A5" s="6">
        <v>61</v>
      </c>
      <c r="B5" s="6" t="s">
        <v>46</v>
      </c>
      <c r="C5" s="20">
        <v>15438370.59</v>
      </c>
      <c r="D5" s="91">
        <v>501985.82</v>
      </c>
      <c r="E5" s="447">
        <v>15940356.41</v>
      </c>
    </row>
    <row r="6" spans="1:5" ht="20" customHeight="1" thickBot="1">
      <c r="A6" s="7">
        <v>64</v>
      </c>
      <c r="B6" s="7" t="s">
        <v>47</v>
      </c>
      <c r="C6" s="30">
        <v>-62746.05</v>
      </c>
      <c r="D6" s="122">
        <v>-2087.42</v>
      </c>
      <c r="E6" s="89">
        <v>-64833.47</v>
      </c>
    </row>
    <row r="7" spans="1:5" ht="20" customHeight="1" thickBot="1">
      <c r="A7" s="7">
        <v>65</v>
      </c>
      <c r="B7" s="7" t="s">
        <v>48</v>
      </c>
      <c r="C7" s="30">
        <v>1098.42</v>
      </c>
      <c r="D7" s="122">
        <v>32.729999999999997</v>
      </c>
      <c r="E7" s="89">
        <v>1131.1500000000001</v>
      </c>
    </row>
    <row r="8" spans="1:5" ht="26.25" customHeight="1" thickBot="1">
      <c r="A8" s="70" t="s">
        <v>49</v>
      </c>
      <c r="B8" s="70" t="s">
        <v>50</v>
      </c>
      <c r="C8" s="130">
        <v>15376722.960000001</v>
      </c>
      <c r="D8" s="133">
        <v>499931.13</v>
      </c>
      <c r="E8" s="34">
        <v>15876654.09</v>
      </c>
    </row>
    <row r="9" spans="1:5" ht="20" customHeight="1" thickBot="1">
      <c r="A9" s="7">
        <v>66</v>
      </c>
      <c r="B9" s="7" t="s">
        <v>51</v>
      </c>
      <c r="C9" s="30">
        <v>0</v>
      </c>
      <c r="D9" s="122">
        <v>0</v>
      </c>
      <c r="E9" s="89">
        <v>0</v>
      </c>
    </row>
    <row r="10" spans="1:5" ht="27" customHeight="1" thickBot="1">
      <c r="A10" s="70" t="s">
        <v>52</v>
      </c>
      <c r="B10" s="70" t="s">
        <v>53</v>
      </c>
      <c r="C10" s="130">
        <v>15376722.960000001</v>
      </c>
      <c r="D10" s="133">
        <v>499931.13</v>
      </c>
      <c r="E10" s="34">
        <v>15876654.09</v>
      </c>
    </row>
    <row r="11" spans="1:5" ht="20" customHeight="1" thickBot="1">
      <c r="A11" s="7">
        <v>67</v>
      </c>
      <c r="B11" s="7" t="s">
        <v>54</v>
      </c>
      <c r="C11" s="30">
        <v>724097.28</v>
      </c>
      <c r="D11" s="122">
        <v>27173.39</v>
      </c>
      <c r="E11" s="89">
        <v>751270.67</v>
      </c>
    </row>
    <row r="12" spans="1:5" ht="20" customHeight="1" thickBot="1">
      <c r="A12" s="7">
        <v>68</v>
      </c>
      <c r="B12" s="7" t="s">
        <v>55</v>
      </c>
      <c r="C12" s="30">
        <v>-740743.2</v>
      </c>
      <c r="D12" s="122">
        <v>-27615.15</v>
      </c>
      <c r="E12" s="89">
        <v>-768358.35</v>
      </c>
    </row>
    <row r="13" spans="1:5" ht="20" customHeight="1" thickBot="1">
      <c r="A13" s="7">
        <v>69</v>
      </c>
      <c r="B13" s="7" t="s">
        <v>56</v>
      </c>
      <c r="C13" s="30">
        <v>5933.96</v>
      </c>
      <c r="D13" s="122">
        <v>209.65</v>
      </c>
      <c r="E13" s="89">
        <v>6143.61</v>
      </c>
    </row>
    <row r="14" spans="1:5" ht="27" customHeight="1" thickBot="1">
      <c r="A14" s="70">
        <v>6</v>
      </c>
      <c r="B14" s="70" t="s">
        <v>57</v>
      </c>
      <c r="C14" s="130">
        <v>15366011.01</v>
      </c>
      <c r="D14" s="133">
        <v>499699.02</v>
      </c>
      <c r="E14" s="34">
        <v>15865710.029999999</v>
      </c>
    </row>
    <row r="15" spans="1:5" ht="20" customHeight="1" thickBot="1">
      <c r="A15" s="7">
        <v>31</v>
      </c>
      <c r="B15" s="7" t="s">
        <v>1316</v>
      </c>
      <c r="C15" s="30">
        <v>7693280.46</v>
      </c>
      <c r="D15" s="122">
        <v>266960.73</v>
      </c>
      <c r="E15" s="89">
        <v>7960241.1900000004</v>
      </c>
    </row>
    <row r="16" spans="1:5" ht="20" customHeight="1" thickBot="1">
      <c r="A16" s="7">
        <v>32</v>
      </c>
      <c r="B16" s="7" t="s">
        <v>58</v>
      </c>
      <c r="C16" s="30">
        <v>-1216737.9099999999</v>
      </c>
      <c r="D16" s="122">
        <v>-43562.74</v>
      </c>
      <c r="E16" s="89">
        <v>-1260300.6499999999</v>
      </c>
    </row>
    <row r="17" spans="1:5" ht="27" customHeight="1" thickBot="1">
      <c r="A17" s="70" t="s">
        <v>59</v>
      </c>
      <c r="B17" s="70" t="s">
        <v>60</v>
      </c>
      <c r="C17" s="130">
        <v>6476542.5499999998</v>
      </c>
      <c r="D17" s="133">
        <v>223397.99</v>
      </c>
      <c r="E17" s="34">
        <v>6699940.54</v>
      </c>
    </row>
    <row r="18" spans="1:5" ht="20" customHeight="1" thickBot="1">
      <c r="A18" s="7">
        <v>34</v>
      </c>
      <c r="B18" s="7" t="s">
        <v>61</v>
      </c>
      <c r="C18" s="30">
        <v>7420.76</v>
      </c>
      <c r="D18" s="122">
        <v>259.87</v>
      </c>
      <c r="E18" s="89">
        <v>7680.63</v>
      </c>
    </row>
    <row r="19" spans="1:5" ht="20" customHeight="1" thickBot="1">
      <c r="A19" s="7">
        <v>35</v>
      </c>
      <c r="B19" s="7" t="s">
        <v>1509</v>
      </c>
      <c r="C19" s="30">
        <v>-102161.77</v>
      </c>
      <c r="D19" s="122">
        <v>-4596.34</v>
      </c>
      <c r="E19" s="89">
        <v>-106758.11</v>
      </c>
    </row>
    <row r="20" spans="1:5" ht="27" customHeight="1" thickBot="1">
      <c r="A20" s="70" t="s">
        <v>1510</v>
      </c>
      <c r="B20" s="70" t="s">
        <v>1511</v>
      </c>
      <c r="C20" s="130">
        <v>6381801.54</v>
      </c>
      <c r="D20" s="133">
        <v>219061.52</v>
      </c>
      <c r="E20" s="34">
        <v>6600863.0599999996</v>
      </c>
    </row>
    <row r="21" spans="1:5" ht="20" customHeight="1" thickBot="1">
      <c r="A21" s="7">
        <v>36</v>
      </c>
      <c r="B21" s="7" t="s">
        <v>1512</v>
      </c>
      <c r="C21" s="30">
        <v>0</v>
      </c>
      <c r="D21" s="122">
        <v>0</v>
      </c>
      <c r="E21" s="89">
        <v>0</v>
      </c>
    </row>
    <row r="22" spans="1:5" ht="20" customHeight="1" thickBot="1">
      <c r="A22" s="7">
        <v>37</v>
      </c>
      <c r="B22" s="7" t="s">
        <v>1513</v>
      </c>
      <c r="C22" s="30">
        <v>4178079.47</v>
      </c>
      <c r="D22" s="122">
        <v>175235.22</v>
      </c>
      <c r="E22" s="89">
        <v>4353314.6900000004</v>
      </c>
    </row>
    <row r="23" spans="1:5" ht="26.25" customHeight="1" thickBot="1">
      <c r="A23" s="70">
        <v>3</v>
      </c>
      <c r="B23" s="70" t="s">
        <v>1514</v>
      </c>
      <c r="C23" s="130">
        <v>10559881.01</v>
      </c>
      <c r="D23" s="133">
        <v>394296.74</v>
      </c>
      <c r="E23" s="34">
        <v>10954177.75</v>
      </c>
    </row>
    <row r="24" spans="1:5" ht="20" customHeight="1" thickBot="1">
      <c r="A24" s="7" t="s">
        <v>1515</v>
      </c>
      <c r="B24" s="7" t="s">
        <v>1516</v>
      </c>
      <c r="C24" s="30">
        <v>664602.79</v>
      </c>
      <c r="D24" s="122">
        <v>21652.6</v>
      </c>
      <c r="E24" s="89">
        <v>686255.39</v>
      </c>
    </row>
    <row r="25" spans="1:5" ht="20" customHeight="1" thickBot="1">
      <c r="A25" s="7">
        <v>49</v>
      </c>
      <c r="B25" s="7" t="s">
        <v>1517</v>
      </c>
      <c r="C25" s="30">
        <v>1043.8</v>
      </c>
      <c r="D25" s="122">
        <v>32.049999999999997</v>
      </c>
      <c r="E25" s="89">
        <v>1075.8499999999999</v>
      </c>
    </row>
    <row r="26" spans="1:5" ht="27" customHeight="1" thickBot="1">
      <c r="A26" s="70">
        <v>4</v>
      </c>
      <c r="B26" s="70" t="s">
        <v>1518</v>
      </c>
      <c r="C26" s="130">
        <v>665646.59</v>
      </c>
      <c r="D26" s="133">
        <v>21684.65</v>
      </c>
      <c r="E26" s="34">
        <v>687331.24</v>
      </c>
    </row>
    <row r="27" spans="1:5" ht="27" customHeight="1" thickBot="1">
      <c r="A27" s="70" t="s">
        <v>1519</v>
      </c>
      <c r="B27" s="70" t="s">
        <v>1520</v>
      </c>
      <c r="C27" s="130">
        <v>11225527.6</v>
      </c>
      <c r="D27" s="133">
        <v>415981.39</v>
      </c>
      <c r="E27" s="34">
        <v>11641508.99</v>
      </c>
    </row>
    <row r="28" spans="1:5" ht="27" customHeight="1" thickBot="1">
      <c r="A28" s="70"/>
      <c r="B28" s="70" t="s">
        <v>1521</v>
      </c>
      <c r="C28" s="130">
        <v>4140483.4</v>
      </c>
      <c r="D28" s="133">
        <v>83717.63</v>
      </c>
      <c r="E28" s="34">
        <v>4224201.03</v>
      </c>
    </row>
    <row r="29" spans="1:5" ht="27" customHeight="1" thickBot="1">
      <c r="A29" s="70">
        <v>7</v>
      </c>
      <c r="B29" s="70" t="s">
        <v>1522</v>
      </c>
      <c r="C29" s="130">
        <v>38659.42</v>
      </c>
      <c r="D29" s="133">
        <v>1032.19</v>
      </c>
      <c r="E29" s="34">
        <v>39691.61</v>
      </c>
    </row>
    <row r="30" spans="1:5" ht="34.5" customHeight="1" thickBot="1">
      <c r="A30" s="551"/>
      <c r="B30" s="551" t="s">
        <v>495</v>
      </c>
      <c r="C30" s="552">
        <v>4179142.82</v>
      </c>
      <c r="D30" s="553">
        <v>84749.82</v>
      </c>
      <c r="E30" s="554">
        <v>4263892.6399999997</v>
      </c>
    </row>
    <row r="31" spans="1:5" ht="20.25" customHeight="1">
      <c r="A31" s="3" t="s">
        <v>1525</v>
      </c>
    </row>
    <row r="33" spans="1:1">
      <c r="A33" s="3" t="s">
        <v>1546</v>
      </c>
    </row>
    <row r="35" spans="1:1">
      <c r="A35" s="3" t="s">
        <v>1547</v>
      </c>
    </row>
  </sheetData>
  <phoneticPr fontId="0" type="noConversion"/>
  <pageMargins left="0.64" right="0.7" top="1.46" bottom="0.49" header="0.92"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124D3-D091-B84D-AD0D-E7FEC7D795D0}">
  <dimension ref="A1:E35"/>
  <sheetViews>
    <sheetView zoomScale="75" workbookViewId="0">
      <selection activeCell="G14" sqref="G14"/>
    </sheetView>
  </sheetViews>
  <sheetFormatPr baseColWidth="10" defaultColWidth="11.3984375" defaultRowHeight="13"/>
  <cols>
    <col min="1" max="1" width="8.796875" style="3" customWidth="1"/>
    <col min="2" max="2" width="48.796875" style="105" customWidth="1"/>
    <col min="3" max="3" width="16.796875" style="3" customWidth="1"/>
    <col min="4" max="5" width="16.796875" style="43" customWidth="1"/>
    <col min="6" max="16384" width="11.3984375" style="3"/>
  </cols>
  <sheetData>
    <row r="1" spans="1:5" s="1" customFormat="1" ht="14" customHeight="1">
      <c r="B1" s="95"/>
      <c r="D1" s="106"/>
      <c r="E1" s="106"/>
    </row>
    <row r="2" spans="1:5" s="1" customFormat="1" ht="28" customHeight="1">
      <c r="A2" s="81" t="s">
        <v>1439</v>
      </c>
      <c r="B2" s="95"/>
      <c r="D2" s="106"/>
      <c r="E2" s="106"/>
    </row>
    <row r="3" spans="1:5" ht="39" customHeight="1">
      <c r="A3" s="2" t="s">
        <v>43</v>
      </c>
      <c r="B3" s="2"/>
      <c r="C3" s="74" t="s">
        <v>44</v>
      </c>
      <c r="D3" s="65" t="s">
        <v>45</v>
      </c>
      <c r="E3" s="282" t="s">
        <v>607</v>
      </c>
    </row>
    <row r="4" spans="1:5" ht="39" customHeight="1">
      <c r="A4" s="283"/>
      <c r="B4" s="284"/>
      <c r="C4" s="78" t="s">
        <v>1304</v>
      </c>
      <c r="D4" s="67" t="s">
        <v>1304</v>
      </c>
      <c r="E4" s="187" t="s">
        <v>1304</v>
      </c>
    </row>
    <row r="5" spans="1:5" ht="30" customHeight="1" thickBot="1">
      <c r="A5" s="6">
        <v>61</v>
      </c>
      <c r="B5" s="6" t="s">
        <v>46</v>
      </c>
      <c r="C5" s="20">
        <v>1037195213</v>
      </c>
      <c r="D5" s="91">
        <v>40643745.340000004</v>
      </c>
      <c r="E5" s="447">
        <v>1077838958.4000001</v>
      </c>
    </row>
    <row r="6" spans="1:5" ht="20" customHeight="1" thickBot="1">
      <c r="A6" s="7">
        <v>64</v>
      </c>
      <c r="B6" s="7" t="s">
        <v>47</v>
      </c>
      <c r="C6" s="30">
        <v>-3881523.4</v>
      </c>
      <c r="D6" s="122">
        <v>-153367.1</v>
      </c>
      <c r="E6" s="89">
        <v>-4034890.5</v>
      </c>
    </row>
    <row r="7" spans="1:5" ht="20" customHeight="1" thickBot="1">
      <c r="A7" s="7">
        <v>65</v>
      </c>
      <c r="B7" s="7" t="s">
        <v>48</v>
      </c>
      <c r="C7" s="30">
        <v>55063.96</v>
      </c>
      <c r="D7" s="122">
        <v>2456.7600000000002</v>
      </c>
      <c r="E7" s="89">
        <v>57520.72</v>
      </c>
    </row>
    <row r="8" spans="1:5" ht="27" customHeight="1" thickBot="1">
      <c r="A8" s="70" t="s">
        <v>49</v>
      </c>
      <c r="B8" s="70" t="s">
        <v>50</v>
      </c>
      <c r="C8" s="130">
        <v>1033368753.6</v>
      </c>
      <c r="D8" s="133">
        <v>40492834.990000002</v>
      </c>
      <c r="E8" s="34">
        <v>1073861588.5999999</v>
      </c>
    </row>
    <row r="9" spans="1:5" ht="20" customHeight="1" thickBot="1">
      <c r="A9" s="7">
        <v>66</v>
      </c>
      <c r="B9" s="7" t="s">
        <v>51</v>
      </c>
      <c r="C9" s="30">
        <v>-1292862.6599999999</v>
      </c>
      <c r="D9" s="122">
        <v>-40820.79</v>
      </c>
      <c r="E9" s="89">
        <v>-1333683.45</v>
      </c>
    </row>
    <row r="10" spans="1:5" ht="30" customHeight="1" thickBot="1">
      <c r="A10" s="70" t="s">
        <v>52</v>
      </c>
      <c r="B10" s="70" t="s">
        <v>53</v>
      </c>
      <c r="C10" s="130">
        <v>1032075890.9</v>
      </c>
      <c r="D10" s="133">
        <v>40452014.200000003</v>
      </c>
      <c r="E10" s="34">
        <v>1072527905.1</v>
      </c>
    </row>
    <row r="11" spans="1:5" ht="20" customHeight="1" thickBot="1">
      <c r="A11" s="7">
        <v>67</v>
      </c>
      <c r="B11" s="7" t="s">
        <v>54</v>
      </c>
      <c r="C11" s="30">
        <v>93748052.650000006</v>
      </c>
      <c r="D11" s="122">
        <v>3768274.7</v>
      </c>
      <c r="E11" s="89">
        <v>97516327.349999994</v>
      </c>
    </row>
    <row r="12" spans="1:5" ht="20" customHeight="1" thickBot="1">
      <c r="A12" s="7">
        <v>68</v>
      </c>
      <c r="B12" s="7" t="s">
        <v>55</v>
      </c>
      <c r="C12" s="30">
        <v>-88394514.170000002</v>
      </c>
      <c r="D12" s="122">
        <v>-3512094.02</v>
      </c>
      <c r="E12" s="89">
        <v>-91906608.189999998</v>
      </c>
    </row>
    <row r="13" spans="1:5" ht="20" customHeight="1" thickBot="1">
      <c r="A13" s="7">
        <v>69</v>
      </c>
      <c r="B13" s="7" t="s">
        <v>56</v>
      </c>
      <c r="C13" s="30">
        <v>3944665.83</v>
      </c>
      <c r="D13" s="122">
        <v>202388.63</v>
      </c>
      <c r="E13" s="89">
        <v>4147054.46</v>
      </c>
    </row>
    <row r="14" spans="1:5" ht="27" customHeight="1" thickBot="1">
      <c r="A14" s="70">
        <v>6</v>
      </c>
      <c r="B14" s="70" t="s">
        <v>57</v>
      </c>
      <c r="C14" s="130">
        <v>1041374095.3</v>
      </c>
      <c r="D14" s="133">
        <v>40910583.5</v>
      </c>
      <c r="E14" s="34">
        <v>1082284678.8</v>
      </c>
    </row>
    <row r="15" spans="1:5" ht="20" customHeight="1" thickBot="1">
      <c r="A15" s="7">
        <v>31</v>
      </c>
      <c r="B15" s="7" t="s">
        <v>1316</v>
      </c>
      <c r="C15" s="30">
        <v>1040086221.8</v>
      </c>
      <c r="D15" s="122">
        <v>37128761.420000002</v>
      </c>
      <c r="E15" s="89">
        <v>1077214983.2</v>
      </c>
    </row>
    <row r="16" spans="1:5" ht="20" customHeight="1" thickBot="1">
      <c r="A16" s="7">
        <v>32</v>
      </c>
      <c r="B16" s="7" t="s">
        <v>58</v>
      </c>
      <c r="C16" s="30">
        <v>-162749204.30000001</v>
      </c>
      <c r="D16" s="122">
        <v>-4836882.51</v>
      </c>
      <c r="E16" s="89">
        <v>-167586086.80000001</v>
      </c>
    </row>
    <row r="17" spans="1:5" ht="27" customHeight="1" thickBot="1">
      <c r="A17" s="70" t="s">
        <v>59</v>
      </c>
      <c r="B17" s="70" t="s">
        <v>60</v>
      </c>
      <c r="C17" s="130">
        <v>877337017.5</v>
      </c>
      <c r="D17" s="133">
        <v>32291878.91</v>
      </c>
      <c r="E17" s="34">
        <v>909628896.40999997</v>
      </c>
    </row>
    <row r="18" spans="1:5" ht="20" customHeight="1" thickBot="1">
      <c r="A18" s="7">
        <v>34</v>
      </c>
      <c r="B18" s="7" t="s">
        <v>61</v>
      </c>
      <c r="C18" s="30">
        <v>1719351.86</v>
      </c>
      <c r="D18" s="122">
        <v>64294.18</v>
      </c>
      <c r="E18" s="89">
        <v>1783646.04</v>
      </c>
    </row>
    <row r="19" spans="1:5" ht="20" customHeight="1" thickBot="1">
      <c r="A19" s="7">
        <v>35</v>
      </c>
      <c r="B19" s="7" t="s">
        <v>1509</v>
      </c>
      <c r="C19" s="30">
        <v>-6708047.8499999996</v>
      </c>
      <c r="D19" s="122">
        <v>-295009.34999999998</v>
      </c>
      <c r="E19" s="89">
        <v>-7003057.2000000002</v>
      </c>
    </row>
    <row r="20" spans="1:5" ht="27" customHeight="1" thickBot="1">
      <c r="A20" s="70" t="s">
        <v>1510</v>
      </c>
      <c r="B20" s="70" t="s">
        <v>1511</v>
      </c>
      <c r="C20" s="130">
        <v>872348321.5</v>
      </c>
      <c r="D20" s="133">
        <v>32061163.760000002</v>
      </c>
      <c r="E20" s="34">
        <v>904409485.25999999</v>
      </c>
    </row>
    <row r="21" spans="1:5" ht="20" customHeight="1" thickBot="1">
      <c r="A21" s="7">
        <v>36</v>
      </c>
      <c r="B21" s="7" t="s">
        <v>1512</v>
      </c>
      <c r="C21" s="30">
        <v>-7721586.6500000004</v>
      </c>
      <c r="D21" s="122">
        <v>-295273.15000000002</v>
      </c>
      <c r="E21" s="89">
        <v>-8016859.7999999998</v>
      </c>
    </row>
    <row r="22" spans="1:5" ht="20" customHeight="1" thickBot="1">
      <c r="A22" s="7">
        <v>37</v>
      </c>
      <c r="B22" s="7" t="s">
        <v>1513</v>
      </c>
      <c r="C22" s="30">
        <v>53129343.600000001</v>
      </c>
      <c r="D22" s="122">
        <v>1745880.21</v>
      </c>
      <c r="E22" s="89">
        <v>54875223.810000002</v>
      </c>
    </row>
    <row r="23" spans="1:5" ht="27" customHeight="1" thickBot="1">
      <c r="A23" s="70">
        <v>3</v>
      </c>
      <c r="B23" s="70" t="s">
        <v>1514</v>
      </c>
      <c r="C23" s="130">
        <v>917756078.45000005</v>
      </c>
      <c r="D23" s="133">
        <v>33511770.82</v>
      </c>
      <c r="E23" s="34">
        <v>951267849.26999998</v>
      </c>
    </row>
    <row r="24" spans="1:5" ht="20" customHeight="1" thickBot="1">
      <c r="A24" s="7" t="s">
        <v>1515</v>
      </c>
      <c r="B24" s="7" t="s">
        <v>1516</v>
      </c>
      <c r="C24" s="30">
        <v>65595641.43</v>
      </c>
      <c r="D24" s="122">
        <v>2490906.9</v>
      </c>
      <c r="E24" s="89">
        <v>68086548.329999998</v>
      </c>
    </row>
    <row r="25" spans="1:5" ht="20" customHeight="1" thickBot="1">
      <c r="A25" s="7">
        <v>49</v>
      </c>
      <c r="B25" s="7" t="s">
        <v>1517</v>
      </c>
      <c r="C25" s="30">
        <v>192390.75</v>
      </c>
      <c r="D25" s="122">
        <v>7753.1</v>
      </c>
      <c r="E25" s="89">
        <v>200143.85</v>
      </c>
    </row>
    <row r="26" spans="1:5" ht="27" customHeight="1" thickBot="1">
      <c r="A26" s="70">
        <v>4</v>
      </c>
      <c r="B26" s="70" t="s">
        <v>1518</v>
      </c>
      <c r="C26" s="130">
        <v>65788032.189999998</v>
      </c>
      <c r="D26" s="133">
        <v>2498660</v>
      </c>
      <c r="E26" s="34">
        <v>68286692.189999998</v>
      </c>
    </row>
    <row r="27" spans="1:5" ht="27" customHeight="1" thickBot="1">
      <c r="A27" s="70" t="s">
        <v>1519</v>
      </c>
      <c r="B27" s="70" t="s">
        <v>1520</v>
      </c>
      <c r="C27" s="130">
        <v>983544110.63</v>
      </c>
      <c r="D27" s="133">
        <v>36010430.799999997</v>
      </c>
      <c r="E27" s="34">
        <v>1019554541.4</v>
      </c>
    </row>
    <row r="28" spans="1:5" ht="27" customHeight="1" thickBot="1">
      <c r="A28" s="70"/>
      <c r="B28" s="70" t="s">
        <v>1521</v>
      </c>
      <c r="C28" s="130">
        <v>57829984.619999997</v>
      </c>
      <c r="D28" s="133">
        <v>4900152.6900000004</v>
      </c>
      <c r="E28" s="34">
        <v>62730137.310000002</v>
      </c>
    </row>
    <row r="29" spans="1:5" ht="27" customHeight="1" thickBot="1">
      <c r="A29" s="70">
        <v>7</v>
      </c>
      <c r="B29" s="70" t="s">
        <v>1522</v>
      </c>
      <c r="C29" s="130">
        <v>9325212.7899999991</v>
      </c>
      <c r="D29" s="133">
        <v>265961.58</v>
      </c>
      <c r="E29" s="34">
        <v>9591174.3699999992</v>
      </c>
    </row>
    <row r="30" spans="1:5" ht="34.5" customHeight="1" thickBot="1">
      <c r="A30" s="551"/>
      <c r="B30" s="551" t="s">
        <v>495</v>
      </c>
      <c r="C30" s="552">
        <v>67155197.409999996</v>
      </c>
      <c r="D30" s="553">
        <v>5166114.28</v>
      </c>
      <c r="E30" s="554">
        <v>72321311.689999998</v>
      </c>
    </row>
    <row r="31" spans="1:5">
      <c r="A31" s="3" t="s">
        <v>1525</v>
      </c>
    </row>
    <row r="33" spans="1:1">
      <c r="A33" s="3" t="s">
        <v>1546</v>
      </c>
    </row>
    <row r="35" spans="1:1">
      <c r="A35" s="3" t="s">
        <v>606</v>
      </c>
    </row>
  </sheetData>
  <phoneticPr fontId="0" type="noConversion"/>
  <pageMargins left="0.64" right="0.56000000000000005" top="1.46" bottom="0.49" header="0.95"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B78D-821D-B344-9060-304970500AC8}">
  <dimension ref="A1:K22"/>
  <sheetViews>
    <sheetView zoomScale="75" workbookViewId="0"/>
  </sheetViews>
  <sheetFormatPr baseColWidth="10" defaultColWidth="11.3984375" defaultRowHeight="13"/>
  <cols>
    <col min="1" max="1" width="14.3984375" style="3" customWidth="1"/>
    <col min="2" max="2" width="15.59765625" style="3" customWidth="1"/>
    <col min="3" max="5" width="15.3984375" style="3" customWidth="1"/>
    <col min="6" max="6" width="15.3984375" style="184" customWidth="1"/>
    <col min="7" max="7" width="15.3984375" style="3" customWidth="1"/>
    <col min="8" max="16384" width="11.3984375" style="3"/>
  </cols>
  <sheetData>
    <row r="1" spans="1:11" s="1" customFormat="1" ht="14" customHeight="1">
      <c r="F1" s="164"/>
    </row>
    <row r="2" spans="1:11" s="1" customFormat="1" ht="28" customHeight="1">
      <c r="A2" s="64" t="s">
        <v>597</v>
      </c>
      <c r="F2" s="164"/>
    </row>
    <row r="3" spans="1:11" ht="24" customHeight="1">
      <c r="A3" s="2" t="s">
        <v>603</v>
      </c>
      <c r="B3" s="74" t="s">
        <v>1121</v>
      </c>
      <c r="C3" s="17" t="s">
        <v>609</v>
      </c>
      <c r="D3" s="74" t="s">
        <v>604</v>
      </c>
      <c r="E3" s="17" t="s">
        <v>609</v>
      </c>
      <c r="F3" s="165" t="s">
        <v>598</v>
      </c>
      <c r="G3" s="17" t="s">
        <v>609</v>
      </c>
    </row>
    <row r="4" spans="1:11" ht="15" customHeight="1">
      <c r="A4" s="82"/>
      <c r="B4" s="15" t="s">
        <v>1014</v>
      </c>
      <c r="C4" s="18" t="s">
        <v>610</v>
      </c>
      <c r="D4" s="15" t="s">
        <v>599</v>
      </c>
      <c r="E4" s="18" t="s">
        <v>610</v>
      </c>
      <c r="F4" s="166" t="s">
        <v>605</v>
      </c>
      <c r="G4" s="18" t="s">
        <v>610</v>
      </c>
    </row>
    <row r="5" spans="1:11" ht="15" customHeight="1">
      <c r="A5" s="82"/>
      <c r="B5" s="75" t="s">
        <v>1304</v>
      </c>
      <c r="C5" s="18" t="s">
        <v>611</v>
      </c>
      <c r="D5" s="75" t="s">
        <v>600</v>
      </c>
      <c r="E5" s="18" t="s">
        <v>611</v>
      </c>
      <c r="F5" s="166"/>
      <c r="G5" s="18" t="s">
        <v>611</v>
      </c>
    </row>
    <row r="6" spans="1:11" ht="24" customHeight="1">
      <c r="A6" s="83"/>
      <c r="B6" s="78"/>
      <c r="C6" s="19"/>
      <c r="D6" s="78" t="s">
        <v>1044</v>
      </c>
      <c r="E6" s="19"/>
      <c r="F6" s="167"/>
      <c r="G6" s="19"/>
    </row>
    <row r="7" spans="1:11" ht="30" customHeight="1" thickBot="1">
      <c r="A7" s="84">
        <v>1994</v>
      </c>
      <c r="B7" s="250" t="s">
        <v>487</v>
      </c>
      <c r="C7" s="126" t="s">
        <v>487</v>
      </c>
      <c r="D7" s="250" t="s">
        <v>487</v>
      </c>
      <c r="E7" s="126" t="s">
        <v>487</v>
      </c>
      <c r="F7" s="127" t="s">
        <v>487</v>
      </c>
      <c r="G7" s="126" t="s">
        <v>487</v>
      </c>
      <c r="H7" s="43"/>
    </row>
    <row r="8" spans="1:11" ht="20" customHeight="1" thickBot="1">
      <c r="A8" s="85">
        <v>1995</v>
      </c>
      <c r="B8" s="30" t="s">
        <v>487</v>
      </c>
      <c r="C8" s="26" t="s">
        <v>487</v>
      </c>
      <c r="D8" s="30" t="s">
        <v>487</v>
      </c>
      <c r="E8" s="26" t="s">
        <v>487</v>
      </c>
      <c r="F8" s="128" t="s">
        <v>487</v>
      </c>
      <c r="G8" s="26" t="s">
        <v>487</v>
      </c>
      <c r="H8" s="43"/>
    </row>
    <row r="9" spans="1:11" ht="20" customHeight="1" thickBot="1">
      <c r="A9" s="85">
        <v>1996</v>
      </c>
      <c r="B9" s="30">
        <v>2856077149.5999999</v>
      </c>
      <c r="C9" s="26" t="s">
        <v>487</v>
      </c>
      <c r="D9" s="30">
        <v>396.96661617617502</v>
      </c>
      <c r="E9" s="26" t="s">
        <v>487</v>
      </c>
      <c r="F9" s="128">
        <v>0.25659604678130066</v>
      </c>
      <c r="G9" s="26" t="s">
        <v>487</v>
      </c>
    </row>
    <row r="10" spans="1:11" ht="20" customHeight="1" thickBot="1">
      <c r="A10" s="85">
        <v>1997</v>
      </c>
      <c r="B10" s="30">
        <v>2991879965.3000002</v>
      </c>
      <c r="C10" s="26">
        <v>4.7548721055738909E-2</v>
      </c>
      <c r="D10" s="30">
        <v>414.68618560030387</v>
      </c>
      <c r="E10" s="26">
        <v>4.4637429703320061E-2</v>
      </c>
      <c r="F10" s="128">
        <v>0.24848089473110047</v>
      </c>
      <c r="G10" s="26">
        <v>-3.1626177222897033E-2</v>
      </c>
      <c r="I10" s="45"/>
      <c r="J10" s="45"/>
      <c r="K10" s="45"/>
    </row>
    <row r="11" spans="1:11" ht="20" customHeight="1" thickBot="1">
      <c r="A11" s="85">
        <v>1998</v>
      </c>
      <c r="B11" s="30">
        <v>2985530959.1999998</v>
      </c>
      <c r="C11" s="26">
        <v>-2.1220791521172401E-3</v>
      </c>
      <c r="D11" s="30">
        <v>411.87673806939074</v>
      </c>
      <c r="E11" s="26">
        <v>-6.7748761074501391E-3</v>
      </c>
      <c r="F11" s="128">
        <v>0.23492819435144413</v>
      </c>
      <c r="G11" s="26">
        <v>-5.4542223032167977E-2</v>
      </c>
    </row>
    <row r="12" spans="1:11" ht="20" customHeight="1" thickBot="1">
      <c r="A12" s="85">
        <v>1999</v>
      </c>
      <c r="B12" s="30">
        <v>3077412147.1999998</v>
      </c>
      <c r="C12" s="26">
        <v>3.0775493289347901E-2</v>
      </c>
      <c r="D12" s="30">
        <v>423.5048163539866</v>
      </c>
      <c r="E12" s="26">
        <v>2.823193739734052E-2</v>
      </c>
      <c r="F12" s="128">
        <v>0.23610935015841622</v>
      </c>
      <c r="G12" s="26">
        <v>5.0277311764680014E-3</v>
      </c>
    </row>
    <row r="13" spans="1:11" ht="20" customHeight="1" thickBot="1">
      <c r="A13" s="85">
        <v>2000</v>
      </c>
      <c r="B13" s="30">
        <v>2832106458.9000001</v>
      </c>
      <c r="C13" s="26">
        <v>-7.971167869834804E-2</v>
      </c>
      <c r="D13" s="30">
        <v>389.66197116417186</v>
      </c>
      <c r="E13" s="26">
        <v>-7.9911358461451809E-2</v>
      </c>
      <c r="F13" s="128">
        <v>0.21069626660407667</v>
      </c>
      <c r="G13" s="26">
        <v>-0.10763268602996361</v>
      </c>
    </row>
    <row r="14" spans="1:11" ht="20" customHeight="1" thickBot="1">
      <c r="A14" s="85">
        <v>2001</v>
      </c>
      <c r="B14" s="30">
        <v>2102639270.2</v>
      </c>
      <c r="C14" s="26">
        <v>-0.25757053955638648</v>
      </c>
      <c r="D14" s="30">
        <v>287.19530735511393</v>
      </c>
      <c r="E14" s="26">
        <v>-0.26296295607940356</v>
      </c>
      <c r="F14" s="128">
        <v>0.15021735666544661</v>
      </c>
      <c r="G14" s="26">
        <v>-0.28704310196571786</v>
      </c>
    </row>
    <row r="15" spans="1:11" ht="30" customHeight="1" thickBot="1">
      <c r="A15" s="135">
        <v>2002</v>
      </c>
      <c r="B15" s="136">
        <v>1965532086</v>
      </c>
      <c r="C15" s="35">
        <v>-6.5207183249725284E-2</v>
      </c>
      <c r="D15" s="136">
        <v>267.07903276981096</v>
      </c>
      <c r="E15" s="35">
        <v>-7.0043883274281363E-2</v>
      </c>
      <c r="F15" s="137">
        <v>0.12800562007019203</v>
      </c>
      <c r="G15" s="35">
        <v>-0.14786398248721</v>
      </c>
    </row>
    <row r="16" spans="1:11" ht="20" customHeight="1">
      <c r="A16" s="9" t="s">
        <v>1525</v>
      </c>
      <c r="B16" s="9"/>
      <c r="C16" s="9"/>
      <c r="D16" s="9"/>
      <c r="E16" s="9"/>
      <c r="F16" s="181"/>
      <c r="G16" s="9"/>
    </row>
    <row r="17" spans="1:7" ht="14.25" customHeight="1">
      <c r="A17" s="38"/>
      <c r="B17" s="38"/>
      <c r="C17" s="38"/>
      <c r="D17" s="38"/>
      <c r="E17" s="38"/>
      <c r="F17" s="183"/>
      <c r="G17" s="38"/>
    </row>
    <row r="18" spans="1:7" ht="12.75" customHeight="1">
      <c r="A18" s="38" t="s">
        <v>590</v>
      </c>
      <c r="B18" s="38"/>
      <c r="C18" s="38"/>
      <c r="D18" s="38"/>
      <c r="E18" s="38"/>
      <c r="F18" s="183"/>
      <c r="G18" s="38"/>
    </row>
    <row r="19" spans="1:7" ht="12.75" customHeight="1">
      <c r="A19" s="38" t="s">
        <v>591</v>
      </c>
      <c r="B19" s="38"/>
      <c r="C19" s="38"/>
      <c r="D19" s="38"/>
      <c r="E19" s="38"/>
      <c r="F19" s="183"/>
      <c r="G19" s="38"/>
    </row>
    <row r="20" spans="1:7">
      <c r="A20" s="3" t="s">
        <v>601</v>
      </c>
    </row>
    <row r="22" spans="1:7">
      <c r="A22" s="3" t="s">
        <v>602</v>
      </c>
    </row>
  </sheetData>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19DA-C5A2-5247-ABC5-08C3178151C6}">
  <dimension ref="A1:K21"/>
  <sheetViews>
    <sheetView topLeftCell="A21" zoomScale="75" workbookViewId="0">
      <selection activeCell="H9" sqref="H9"/>
    </sheetView>
  </sheetViews>
  <sheetFormatPr baseColWidth="10" defaultColWidth="11.3984375" defaultRowHeight="13"/>
  <cols>
    <col min="1" max="5" width="15.19921875" style="3" customWidth="1"/>
    <col min="6" max="6" width="15.19921875" style="184" customWidth="1"/>
    <col min="7" max="7" width="15.19921875" style="3" customWidth="1"/>
    <col min="8" max="16384" width="11.3984375" style="3"/>
  </cols>
  <sheetData>
    <row r="1" spans="1:11" s="1" customFormat="1" ht="14" customHeight="1">
      <c r="F1" s="164"/>
    </row>
    <row r="2" spans="1:11" s="1" customFormat="1" ht="28" customHeight="1">
      <c r="A2" s="64" t="s">
        <v>1120</v>
      </c>
      <c r="F2" s="164"/>
    </row>
    <row r="3" spans="1:11" ht="24" customHeight="1">
      <c r="A3" s="2" t="s">
        <v>594</v>
      </c>
      <c r="B3" s="74" t="s">
        <v>1121</v>
      </c>
      <c r="C3" s="17" t="s">
        <v>609</v>
      </c>
      <c r="D3" s="74" t="s">
        <v>1122</v>
      </c>
      <c r="E3" s="17" t="s">
        <v>609</v>
      </c>
      <c r="F3" s="165" t="s">
        <v>1123</v>
      </c>
      <c r="G3" s="17" t="s">
        <v>609</v>
      </c>
    </row>
    <row r="4" spans="1:11" ht="15" customHeight="1">
      <c r="A4" s="82"/>
      <c r="B4" s="15" t="s">
        <v>1124</v>
      </c>
      <c r="C4" s="18" t="s">
        <v>610</v>
      </c>
      <c r="D4" s="15" t="s">
        <v>586</v>
      </c>
      <c r="E4" s="18" t="s">
        <v>610</v>
      </c>
      <c r="F4" s="166" t="s">
        <v>587</v>
      </c>
      <c r="G4" s="18" t="s">
        <v>610</v>
      </c>
    </row>
    <row r="5" spans="1:11" ht="15" customHeight="1">
      <c r="A5" s="82"/>
      <c r="B5" s="75" t="s">
        <v>588</v>
      </c>
      <c r="C5" s="18" t="s">
        <v>611</v>
      </c>
      <c r="D5" s="75" t="s">
        <v>1027</v>
      </c>
      <c r="E5" s="18" t="s">
        <v>611</v>
      </c>
      <c r="F5" s="166" t="s">
        <v>589</v>
      </c>
      <c r="G5" s="18" t="s">
        <v>611</v>
      </c>
    </row>
    <row r="6" spans="1:11" ht="24" customHeight="1">
      <c r="A6" s="83"/>
      <c r="B6" s="78" t="s">
        <v>1304</v>
      </c>
      <c r="C6" s="19"/>
      <c r="D6" s="78" t="s">
        <v>595</v>
      </c>
      <c r="E6" s="19"/>
      <c r="F6" s="167" t="s">
        <v>596</v>
      </c>
      <c r="G6" s="19"/>
    </row>
    <row r="7" spans="1:11" ht="30" customHeight="1" thickBot="1">
      <c r="A7" s="84">
        <v>1994</v>
      </c>
      <c r="B7" s="250" t="s">
        <v>487</v>
      </c>
      <c r="C7" s="126" t="s">
        <v>487</v>
      </c>
      <c r="D7" s="250" t="s">
        <v>487</v>
      </c>
      <c r="E7" s="126" t="s">
        <v>487</v>
      </c>
      <c r="F7" s="127" t="s">
        <v>487</v>
      </c>
      <c r="G7" s="126" t="s">
        <v>487</v>
      </c>
      <c r="H7" s="43"/>
    </row>
    <row r="8" spans="1:11" ht="20" customHeight="1" thickBot="1">
      <c r="A8" s="85">
        <v>1995</v>
      </c>
      <c r="B8" s="30" t="s">
        <v>487</v>
      </c>
      <c r="C8" s="26" t="s">
        <v>487</v>
      </c>
      <c r="D8" s="30" t="s">
        <v>487</v>
      </c>
      <c r="E8" s="26" t="s">
        <v>487</v>
      </c>
      <c r="F8" s="128" t="s">
        <v>487</v>
      </c>
      <c r="G8" s="26" t="s">
        <v>487</v>
      </c>
      <c r="H8" s="43"/>
    </row>
    <row r="9" spans="1:11" ht="20" customHeight="1" thickBot="1">
      <c r="A9" s="85">
        <v>1996</v>
      </c>
      <c r="B9" s="30">
        <v>3454536792</v>
      </c>
      <c r="C9" s="26" t="s">
        <v>487</v>
      </c>
      <c r="D9" s="30">
        <v>480.14661682664899</v>
      </c>
      <c r="E9" s="26" t="s">
        <v>487</v>
      </c>
      <c r="F9" s="128">
        <v>0.3204435263250443</v>
      </c>
      <c r="G9" s="26" t="s">
        <v>487</v>
      </c>
    </row>
    <row r="10" spans="1:11" ht="20" customHeight="1" thickBot="1">
      <c r="A10" s="85">
        <v>1997</v>
      </c>
      <c r="B10" s="30">
        <v>3507897754</v>
      </c>
      <c r="C10" s="26">
        <v>1.5446632996809605E-2</v>
      </c>
      <c r="D10" s="30">
        <v>486.20825566318149</v>
      </c>
      <c r="E10" s="26">
        <v>1.2624558049777898E-2</v>
      </c>
      <c r="F10" s="128">
        <v>0.30878035637656381</v>
      </c>
      <c r="G10" s="26">
        <v>-3.6396959184158598E-2</v>
      </c>
      <c r="I10" s="45"/>
      <c r="J10" s="45"/>
      <c r="K10" s="45"/>
    </row>
    <row r="11" spans="1:11" ht="20" customHeight="1" thickBot="1">
      <c r="A11" s="85">
        <v>1998</v>
      </c>
      <c r="B11" s="30">
        <v>3693957839</v>
      </c>
      <c r="C11" s="26">
        <v>5.3040338700818361E-2</v>
      </c>
      <c r="D11" s="30">
        <v>509.60962257141136</v>
      </c>
      <c r="E11" s="26">
        <v>4.8130336405560879E-2</v>
      </c>
      <c r="F11" s="128">
        <v>0.30971755221728081</v>
      </c>
      <c r="G11" s="26">
        <v>3.0351536986182783E-3</v>
      </c>
    </row>
    <row r="12" spans="1:11" ht="20" customHeight="1" thickBot="1">
      <c r="A12" s="85">
        <v>1999</v>
      </c>
      <c r="B12" s="30">
        <v>3810018376.6999998</v>
      </c>
      <c r="C12" s="26">
        <v>3.1419020670636247E-2</v>
      </c>
      <c r="D12" s="30">
        <v>524.32402803041998</v>
      </c>
      <c r="E12" s="26">
        <v>2.8873876801544685E-2</v>
      </c>
      <c r="F12" s="128">
        <v>0.30650294561819263</v>
      </c>
      <c r="G12" s="26">
        <v>-1.037915538229808E-2</v>
      </c>
    </row>
    <row r="13" spans="1:11" ht="20" customHeight="1" thickBot="1">
      <c r="A13" s="85">
        <v>2000</v>
      </c>
      <c r="B13" s="30">
        <v>3956218486.3000002</v>
      </c>
      <c r="C13" s="26">
        <v>3.8372547096906601E-2</v>
      </c>
      <c r="D13" s="30">
        <v>544.32554570231525</v>
      </c>
      <c r="E13" s="26">
        <v>3.8147245982659471E-2</v>
      </c>
      <c r="F13" s="128">
        <v>0.29993370263899466</v>
      </c>
      <c r="G13" s="26">
        <v>-2.1432886936692642E-2</v>
      </c>
    </row>
    <row r="14" spans="1:11" ht="20" customHeight="1" thickBot="1">
      <c r="A14" s="85">
        <v>2001</v>
      </c>
      <c r="B14" s="30">
        <v>3996358840.3000002</v>
      </c>
      <c r="C14" s="26">
        <v>1.0146141862235905E-2</v>
      </c>
      <c r="D14" s="30">
        <v>545.85468925067414</v>
      </c>
      <c r="E14" s="26">
        <v>2.8092445053004324E-3</v>
      </c>
      <c r="F14" s="128">
        <v>0.28573440049664334</v>
      </c>
      <c r="G14" s="26">
        <v>-4.7341469189415654E-2</v>
      </c>
    </row>
    <row r="15" spans="1:11" ht="30" customHeight="1" thickBot="1">
      <c r="A15" s="135">
        <v>2002</v>
      </c>
      <c r="B15" s="136">
        <v>4018023804.0999999</v>
      </c>
      <c r="C15" s="35">
        <v>5.4211757917047706E-3</v>
      </c>
      <c r="D15" s="136">
        <v>545.974252411723</v>
      </c>
      <c r="E15" s="35">
        <v>2.1903844265401507E-4</v>
      </c>
      <c r="F15" s="137">
        <v>0.27534370592196139</v>
      </c>
      <c r="G15" s="35">
        <v>-3.6364870861266885E-2</v>
      </c>
    </row>
    <row r="16" spans="1:11" ht="20" customHeight="1">
      <c r="A16" s="9" t="s">
        <v>1525</v>
      </c>
      <c r="B16" s="9"/>
      <c r="C16" s="9"/>
      <c r="D16" s="9"/>
      <c r="E16" s="9"/>
      <c r="F16" s="181"/>
      <c r="G16" s="9"/>
    </row>
    <row r="17" spans="1:7" ht="12.75" customHeight="1">
      <c r="A17" s="38" t="s">
        <v>590</v>
      </c>
      <c r="B17" s="38"/>
      <c r="C17" s="38"/>
      <c r="D17" s="38"/>
      <c r="E17" s="38"/>
      <c r="F17" s="183"/>
      <c r="G17" s="38"/>
    </row>
    <row r="18" spans="1:7" ht="12.75" customHeight="1">
      <c r="A18" s="3" t="s">
        <v>591</v>
      </c>
      <c r="B18" s="38"/>
      <c r="C18" s="38"/>
      <c r="D18" s="38"/>
      <c r="E18" s="38"/>
      <c r="F18" s="183"/>
      <c r="G18" s="38"/>
    </row>
    <row r="19" spans="1:7" ht="12.75" customHeight="1">
      <c r="A19" s="3" t="s">
        <v>592</v>
      </c>
    </row>
    <row r="21" spans="1:7">
      <c r="A21" s="3" t="s">
        <v>593</v>
      </c>
    </row>
  </sheetData>
  <phoneticPr fontId="0" type="noConversion"/>
  <pageMargins left="0.78740157480314965" right="0.78740157480314965"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BFC4-FD9F-D444-B094-A5B28BD00B30}">
  <dimension ref="A1:G18"/>
  <sheetViews>
    <sheetView zoomScale="75" workbookViewId="0">
      <selection activeCell="J19" sqref="J19"/>
    </sheetView>
  </sheetViews>
  <sheetFormatPr baseColWidth="10" defaultColWidth="11.3984375" defaultRowHeight="13"/>
  <cols>
    <col min="1" max="1" width="18.19921875" style="3" customWidth="1"/>
    <col min="2" max="6" width="14.796875" style="3" customWidth="1"/>
    <col min="7" max="16384" width="11.3984375" style="3"/>
  </cols>
  <sheetData>
    <row r="1" spans="1:7" s="1" customFormat="1" ht="14" customHeight="1"/>
    <row r="2" spans="1:7" s="1" customFormat="1" ht="28" customHeight="1">
      <c r="A2" s="64" t="s">
        <v>1118</v>
      </c>
    </row>
    <row r="3" spans="1:7" ht="24" customHeight="1">
      <c r="A3" s="2" t="s">
        <v>423</v>
      </c>
      <c r="B3" s="74" t="s">
        <v>1447</v>
      </c>
      <c r="C3" s="17" t="s">
        <v>1448</v>
      </c>
      <c r="D3" s="74" t="s">
        <v>1449</v>
      </c>
      <c r="E3" s="65" t="s">
        <v>1450</v>
      </c>
      <c r="F3" s="74" t="s">
        <v>607</v>
      </c>
    </row>
    <row r="4" spans="1:7" ht="15" customHeight="1">
      <c r="A4" s="82"/>
      <c r="B4" s="75" t="s">
        <v>1451</v>
      </c>
      <c r="C4" s="18" t="s">
        <v>1452</v>
      </c>
      <c r="D4" s="75" t="s">
        <v>1453</v>
      </c>
      <c r="E4" s="66" t="s">
        <v>1454</v>
      </c>
      <c r="F4" s="75"/>
    </row>
    <row r="5" spans="1:7" ht="15" customHeight="1">
      <c r="A5" s="82"/>
      <c r="B5" s="75" t="s">
        <v>1455</v>
      </c>
      <c r="C5" s="18" t="s">
        <v>1456</v>
      </c>
      <c r="D5" s="75" t="s">
        <v>969</v>
      </c>
      <c r="E5" s="66" t="s">
        <v>1457</v>
      </c>
      <c r="F5" s="75"/>
    </row>
    <row r="6" spans="1:7" ht="24" customHeight="1">
      <c r="A6" s="83"/>
      <c r="B6" s="78"/>
      <c r="C6" s="19"/>
      <c r="D6" s="78"/>
      <c r="E6" s="67" t="s">
        <v>1458</v>
      </c>
      <c r="F6" s="78"/>
    </row>
    <row r="7" spans="1:7" ht="30" customHeight="1" thickBot="1">
      <c r="A7" s="84">
        <v>1994</v>
      </c>
      <c r="B7" s="127">
        <v>0.90407679678189612</v>
      </c>
      <c r="C7" s="147">
        <v>9.0300383375354912E-2</v>
      </c>
      <c r="D7" s="127">
        <v>2.1450847370167898E-3</v>
      </c>
      <c r="E7" s="126">
        <v>3.4777351057321492E-3</v>
      </c>
      <c r="F7" s="218">
        <v>1</v>
      </c>
      <c r="G7" s="43"/>
    </row>
    <row r="8" spans="1:7" ht="20" customHeight="1" thickBot="1">
      <c r="A8" s="85">
        <v>1995</v>
      </c>
      <c r="B8" s="128">
        <v>0.89299454657113275</v>
      </c>
      <c r="C8" s="668">
        <v>9.7504338700060297E-2</v>
      </c>
      <c r="D8" s="128">
        <v>4.5637110387385877E-3</v>
      </c>
      <c r="E8" s="26">
        <v>4.9374036900684129E-3</v>
      </c>
      <c r="F8" s="475">
        <v>1</v>
      </c>
      <c r="G8" s="43"/>
    </row>
    <row r="9" spans="1:7" ht="20" customHeight="1" thickBot="1">
      <c r="A9" s="85">
        <v>1996</v>
      </c>
      <c r="B9" s="128">
        <v>0.65876331560467527</v>
      </c>
      <c r="C9" s="26">
        <v>0.32046794094697328</v>
      </c>
      <c r="D9" s="128">
        <v>3.8678181352691143E-3</v>
      </c>
      <c r="E9" s="26">
        <v>1.6900925313082283E-2</v>
      </c>
      <c r="F9" s="475">
        <v>1</v>
      </c>
    </row>
    <row r="10" spans="1:7" ht="20" customHeight="1" thickBot="1">
      <c r="A10" s="85">
        <v>1997</v>
      </c>
      <c r="B10" s="128">
        <v>0.56603802874783171</v>
      </c>
      <c r="C10" s="26">
        <v>0.37927068021935451</v>
      </c>
      <c r="D10" s="128">
        <v>1.5931130501794573E-3</v>
      </c>
      <c r="E10" s="26">
        <v>5.3098177982634318E-2</v>
      </c>
      <c r="F10" s="128">
        <v>1</v>
      </c>
    </row>
    <row r="11" spans="1:7" ht="20" customHeight="1" thickBot="1">
      <c r="A11" s="85">
        <v>1998</v>
      </c>
      <c r="B11" s="128">
        <v>0.55407462651768902</v>
      </c>
      <c r="C11" s="26">
        <v>0.37613702943863803</v>
      </c>
      <c r="D11" s="128">
        <v>1.6317626996539885E-3</v>
      </c>
      <c r="E11" s="26">
        <v>6.8156581344018974E-2</v>
      </c>
      <c r="F11" s="128">
        <v>1</v>
      </c>
    </row>
    <row r="12" spans="1:7" ht="20" customHeight="1" thickBot="1">
      <c r="A12" s="85">
        <v>1999</v>
      </c>
      <c r="B12" s="128">
        <v>0.55029591824658086</v>
      </c>
      <c r="C12" s="26">
        <v>0.37371902477852575</v>
      </c>
      <c r="D12" s="128">
        <v>1.4116771489681326E-3</v>
      </c>
      <c r="E12" s="26">
        <v>7.4573379825925268E-2</v>
      </c>
      <c r="F12" s="128">
        <v>1</v>
      </c>
    </row>
    <row r="13" spans="1:7" ht="20" customHeight="1" thickBot="1">
      <c r="A13" s="85">
        <v>2000</v>
      </c>
      <c r="B13" s="128">
        <v>0.53960650848618019</v>
      </c>
      <c r="C13" s="26">
        <v>0.37954002078394233</v>
      </c>
      <c r="D13" s="128">
        <v>1.3498693126728527E-3</v>
      </c>
      <c r="E13" s="26">
        <v>7.9503601417204556E-2</v>
      </c>
      <c r="F13" s="128">
        <v>1</v>
      </c>
    </row>
    <row r="14" spans="1:7" ht="20" customHeight="1" thickBot="1">
      <c r="A14" s="85">
        <v>2001</v>
      </c>
      <c r="B14" s="128">
        <v>0.53026073148068087</v>
      </c>
      <c r="C14" s="26">
        <v>0.38706527964277321</v>
      </c>
      <c r="D14" s="128">
        <v>1.2758685733806091E-3</v>
      </c>
      <c r="E14" s="26">
        <v>8.1398120303165275E-2</v>
      </c>
      <c r="F14" s="128">
        <v>1</v>
      </c>
    </row>
    <row r="15" spans="1:7" ht="30" customHeight="1" thickBot="1">
      <c r="A15" s="135">
        <v>2002</v>
      </c>
      <c r="B15" s="137">
        <v>0.51807119228357335</v>
      </c>
      <c r="C15" s="636">
        <v>0.40503766289618737</v>
      </c>
      <c r="D15" s="137">
        <v>1.2005111854079802E-3</v>
      </c>
      <c r="E15" s="636">
        <v>7.5690633634831264E-2</v>
      </c>
      <c r="F15" s="137">
        <v>1</v>
      </c>
    </row>
    <row r="16" spans="1:7" ht="19.5" customHeight="1">
      <c r="A16" s="9" t="s">
        <v>1525</v>
      </c>
      <c r="B16" s="9"/>
      <c r="C16" s="9"/>
      <c r="D16" s="9"/>
      <c r="E16" s="9"/>
      <c r="F16" s="9"/>
    </row>
    <row r="18" spans="1:1">
      <c r="A18" s="3" t="s">
        <v>1119</v>
      </c>
    </row>
  </sheetData>
  <phoneticPr fontId="0" type="noConversion"/>
  <pageMargins left="0.78740157480314965" right="0.78740157480314965" top="1.46" bottom="0.49" header="0.92"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7C32-930F-5047-90BA-97FD4FFA89DF}">
  <dimension ref="A1:I17"/>
  <sheetViews>
    <sheetView zoomScale="75" workbookViewId="0">
      <selection activeCell="A13" sqref="A13"/>
    </sheetView>
  </sheetViews>
  <sheetFormatPr baseColWidth="10" defaultColWidth="11.3984375" defaultRowHeight="13"/>
  <cols>
    <col min="1" max="1" width="14.796875" style="3" customWidth="1"/>
    <col min="2" max="2" width="14.796875" style="36" customWidth="1"/>
    <col min="3" max="3" width="12.3984375" style="3" customWidth="1"/>
    <col min="4" max="4" width="13.19921875" style="3" customWidth="1"/>
    <col min="5" max="5" width="12.796875" style="3" customWidth="1"/>
    <col min="6" max="6" width="13.59765625" style="3" customWidth="1"/>
    <col min="7" max="7" width="14.796875" style="662" customWidth="1"/>
    <col min="8" max="8" width="14.59765625" style="36" customWidth="1"/>
    <col min="9" max="9" width="12.19921875" style="3" customWidth="1"/>
    <col min="10" max="16384" width="11.3984375" style="3"/>
  </cols>
  <sheetData>
    <row r="1" spans="1:9" s="1" customFormat="1" ht="14" customHeight="1">
      <c r="B1" s="63"/>
      <c r="G1" s="664"/>
      <c r="H1" s="63"/>
    </row>
    <row r="2" spans="1:9" s="1" customFormat="1" ht="28" customHeight="1">
      <c r="A2" s="64" t="s">
        <v>1116</v>
      </c>
      <c r="B2" s="63"/>
      <c r="G2" s="664"/>
      <c r="H2" s="63"/>
    </row>
    <row r="3" spans="1:9" ht="27" customHeight="1">
      <c r="A3" s="2" t="s">
        <v>423</v>
      </c>
      <c r="B3" s="185" t="s">
        <v>1447</v>
      </c>
      <c r="C3" s="1304" t="s">
        <v>418</v>
      </c>
      <c r="D3" s="1305"/>
      <c r="E3" s="1305"/>
      <c r="F3" s="1305"/>
      <c r="G3" s="1305"/>
      <c r="H3" s="185" t="s">
        <v>1099</v>
      </c>
      <c r="I3" s="17" t="s">
        <v>607</v>
      </c>
    </row>
    <row r="4" spans="1:9" ht="15" customHeight="1">
      <c r="A4" s="4"/>
      <c r="B4" s="295" t="s">
        <v>1451</v>
      </c>
      <c r="C4" s="4"/>
      <c r="D4" s="76"/>
      <c r="E4" s="18"/>
      <c r="F4" s="75"/>
      <c r="G4" s="575" t="s">
        <v>607</v>
      </c>
      <c r="H4" s="295" t="s">
        <v>1453</v>
      </c>
      <c r="I4" s="4"/>
    </row>
    <row r="5" spans="1:9" ht="15" customHeight="1">
      <c r="A5" s="4"/>
      <c r="B5" s="295" t="s">
        <v>1455</v>
      </c>
      <c r="C5" s="4" t="s">
        <v>1109</v>
      </c>
      <c r="D5" s="76" t="s">
        <v>1110</v>
      </c>
      <c r="E5" s="18" t="s">
        <v>1111</v>
      </c>
      <c r="F5" s="75" t="s">
        <v>1112</v>
      </c>
      <c r="G5" s="665"/>
      <c r="H5" s="295" t="s">
        <v>1103</v>
      </c>
      <c r="I5" s="4"/>
    </row>
    <row r="6" spans="1:9" ht="24" customHeight="1">
      <c r="A6" s="5"/>
      <c r="B6" s="297" t="s">
        <v>1113</v>
      </c>
      <c r="C6" s="5"/>
      <c r="D6" s="77"/>
      <c r="E6" s="19"/>
      <c r="F6" s="78"/>
      <c r="G6" s="654"/>
      <c r="H6" s="297"/>
      <c r="I6" s="5"/>
    </row>
    <row r="7" spans="1:9" ht="20" customHeight="1" thickBot="1">
      <c r="A7" s="663" t="s">
        <v>1117</v>
      </c>
      <c r="B7" s="655">
        <v>0.47310000000000002</v>
      </c>
      <c r="C7" s="126">
        <v>0.2923</v>
      </c>
      <c r="D7" s="127">
        <v>8.3000000000000004E-2</v>
      </c>
      <c r="E7" s="126">
        <v>2.1299999999999999E-2</v>
      </c>
      <c r="F7" s="127">
        <v>5.2400000000000002E-2</v>
      </c>
      <c r="G7" s="656">
        <v>0.44900000000000001</v>
      </c>
      <c r="H7" s="655">
        <v>7.7799999999999994E-2</v>
      </c>
      <c r="I7" s="126">
        <v>1</v>
      </c>
    </row>
    <row r="8" spans="1:9" ht="20" customHeight="1" thickBot="1">
      <c r="A8" s="7">
        <v>1998</v>
      </c>
      <c r="B8" s="655">
        <v>0.47549999999999998</v>
      </c>
      <c r="C8" s="126">
        <v>0.30769999999999997</v>
      </c>
      <c r="D8" s="127">
        <v>7.5800000000000006E-2</v>
      </c>
      <c r="E8" s="126">
        <v>3.1699999999999999E-2</v>
      </c>
      <c r="F8" s="127">
        <v>3.9199999999999999E-2</v>
      </c>
      <c r="G8" s="656">
        <v>0.45440000000000003</v>
      </c>
      <c r="H8" s="655">
        <v>7.0099999999999996E-2</v>
      </c>
      <c r="I8" s="126">
        <v>1</v>
      </c>
    </row>
    <row r="9" spans="1:9" ht="20" customHeight="1" thickBot="1">
      <c r="A9" s="7">
        <v>1999</v>
      </c>
      <c r="B9" s="655">
        <v>0.47310000000000002</v>
      </c>
      <c r="C9" s="126">
        <v>0.2923</v>
      </c>
      <c r="D9" s="127">
        <v>8.3000000000000004E-2</v>
      </c>
      <c r="E9" s="126">
        <v>2.1299999999999999E-2</v>
      </c>
      <c r="F9" s="127">
        <v>5.2400000000000002E-2</v>
      </c>
      <c r="G9" s="656">
        <v>0.44900000000000001</v>
      </c>
      <c r="H9" s="655">
        <v>7.7799999999999994E-2</v>
      </c>
      <c r="I9" s="126">
        <v>1</v>
      </c>
    </row>
    <row r="10" spans="1:9" ht="20" customHeight="1" thickBot="1">
      <c r="A10" s="70">
        <v>2000</v>
      </c>
      <c r="B10" s="655">
        <v>0.45929999999999999</v>
      </c>
      <c r="C10" s="126">
        <v>0.27900000000000003</v>
      </c>
      <c r="D10" s="127">
        <v>8.9399999999999993E-2</v>
      </c>
      <c r="E10" s="126">
        <v>2.23E-2</v>
      </c>
      <c r="F10" s="127">
        <v>6.8099999999999994E-2</v>
      </c>
      <c r="G10" s="656">
        <v>0.4587</v>
      </c>
      <c r="H10" s="655">
        <v>8.2000000000000003E-2</v>
      </c>
      <c r="I10" s="126">
        <v>1</v>
      </c>
    </row>
    <row r="11" spans="1:9" ht="20" customHeight="1" thickBot="1">
      <c r="A11" s="70">
        <v>2001</v>
      </c>
      <c r="B11" s="655">
        <v>0.45299999999999996</v>
      </c>
      <c r="C11" s="126">
        <v>0.26100000000000001</v>
      </c>
      <c r="D11" s="127">
        <v>9.1999999999999998E-2</v>
      </c>
      <c r="E11" s="126">
        <v>2.3E-2</v>
      </c>
      <c r="F11" s="127">
        <v>8.8000000000000009E-2</v>
      </c>
      <c r="G11" s="656">
        <v>0.46299999999999997</v>
      </c>
      <c r="H11" s="655">
        <v>8.4000000000000005E-2</v>
      </c>
      <c r="I11" s="126">
        <v>1</v>
      </c>
    </row>
    <row r="12" spans="1:9" ht="30" customHeight="1" thickBot="1">
      <c r="A12" s="478">
        <v>2002</v>
      </c>
      <c r="B12" s="657">
        <v>0.436</v>
      </c>
      <c r="C12" s="563">
        <v>0.24199999999999999</v>
      </c>
      <c r="D12" s="657">
        <v>9.9000000000000005E-2</v>
      </c>
      <c r="E12" s="563">
        <v>2.5000000000000001E-2</v>
      </c>
      <c r="F12" s="657">
        <v>0.114</v>
      </c>
      <c r="G12" s="563">
        <v>0.47899999999999998</v>
      </c>
      <c r="H12" s="481">
        <v>8.4000000000000005E-2</v>
      </c>
      <c r="I12" s="666">
        <v>1</v>
      </c>
    </row>
    <row r="13" spans="1:9" ht="20" customHeight="1">
      <c r="A13" s="431" t="s">
        <v>1107</v>
      </c>
      <c r="B13" s="308"/>
      <c r="C13" s="9"/>
      <c r="D13" s="9"/>
      <c r="E13" s="9"/>
      <c r="F13" s="9"/>
      <c r="G13" s="667"/>
      <c r="I13" s="97"/>
    </row>
    <row r="14" spans="1:9" ht="17.25" customHeight="1">
      <c r="A14" s="38"/>
    </row>
    <row r="15" spans="1:9" ht="12" customHeight="1">
      <c r="A15" s="3" t="s">
        <v>1114</v>
      </c>
    </row>
    <row r="16" spans="1:9" ht="12" customHeight="1"/>
    <row r="17" spans="1:1" ht="12" customHeight="1">
      <c r="A17" s="3" t="s">
        <v>1115</v>
      </c>
    </row>
  </sheetData>
  <mergeCells count="1">
    <mergeCell ref="C3:G3"/>
  </mergeCells>
  <phoneticPr fontId="0" type="noConversion"/>
  <pageMargins left="0.43" right="0.28000000000000003" top="1.1200000000000001" bottom="0.49" header="0.72"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692A2-9BD2-974B-B3D9-4D3276BD66EE}">
  <dimension ref="A1:I39"/>
  <sheetViews>
    <sheetView topLeftCell="A20" zoomScale="75" workbookViewId="0">
      <selection activeCell="A37" sqref="A37"/>
    </sheetView>
  </sheetViews>
  <sheetFormatPr baseColWidth="10" defaultColWidth="11.3984375" defaultRowHeight="13"/>
  <cols>
    <col min="1" max="1" width="14.796875" style="3" customWidth="1"/>
    <col min="2" max="2" width="14.796875" style="36" customWidth="1"/>
    <col min="3" max="3" width="12.3984375" style="3" customWidth="1"/>
    <col min="4" max="4" width="13.19921875" style="3" customWidth="1"/>
    <col min="5" max="5" width="12.796875" style="3" customWidth="1"/>
    <col min="6" max="6" width="13.59765625" style="3" customWidth="1"/>
    <col min="7" max="7" width="14.796875" style="662" customWidth="1"/>
    <col min="8" max="8" width="15.19921875" style="36" customWidth="1"/>
    <col min="9" max="9" width="12.19921875" style="3" customWidth="1"/>
    <col min="10" max="16384" width="11.3984375" style="3"/>
  </cols>
  <sheetData>
    <row r="1" spans="1:9" s="1" customFormat="1" ht="14" customHeight="1">
      <c r="B1" s="63"/>
      <c r="G1" s="664"/>
      <c r="H1" s="63"/>
    </row>
    <row r="2" spans="1:9" s="1" customFormat="1" ht="28" customHeight="1">
      <c r="A2" s="64" t="s">
        <v>1438</v>
      </c>
      <c r="B2" s="63"/>
      <c r="G2" s="664"/>
      <c r="H2" s="63"/>
    </row>
    <row r="3" spans="1:9" ht="27" customHeight="1">
      <c r="A3" s="2" t="s">
        <v>1663</v>
      </c>
      <c r="B3" s="185" t="s">
        <v>424</v>
      </c>
      <c r="C3" s="1306" t="s">
        <v>418</v>
      </c>
      <c r="D3" s="1307"/>
      <c r="E3" s="1307"/>
      <c r="F3" s="1307"/>
      <c r="G3" s="1307"/>
      <c r="H3" s="185" t="s">
        <v>1099</v>
      </c>
      <c r="I3" s="17" t="s">
        <v>607</v>
      </c>
    </row>
    <row r="4" spans="1:9" ht="15" customHeight="1">
      <c r="A4" s="4"/>
      <c r="B4" s="295" t="s">
        <v>1451</v>
      </c>
      <c r="C4" s="4"/>
      <c r="D4" s="76"/>
      <c r="E4" s="18"/>
      <c r="F4" s="75"/>
      <c r="G4" s="575" t="s">
        <v>607</v>
      </c>
      <c r="H4" s="295" t="s">
        <v>1453</v>
      </c>
      <c r="I4" s="4"/>
    </row>
    <row r="5" spans="1:9" ht="15" customHeight="1">
      <c r="A5" s="4"/>
      <c r="B5" s="295" t="s">
        <v>1455</v>
      </c>
      <c r="C5" s="4" t="s">
        <v>1109</v>
      </c>
      <c r="D5" s="76" t="s">
        <v>1110</v>
      </c>
      <c r="E5" s="18" t="s">
        <v>1111</v>
      </c>
      <c r="F5" s="75" t="s">
        <v>1112</v>
      </c>
      <c r="G5" s="665"/>
      <c r="H5" s="295" t="s">
        <v>1103</v>
      </c>
      <c r="I5" s="4"/>
    </row>
    <row r="6" spans="1:9" ht="24" customHeight="1">
      <c r="A6" s="5"/>
      <c r="B6" s="297" t="s">
        <v>1113</v>
      </c>
      <c r="C6" s="5"/>
      <c r="D6" s="77"/>
      <c r="E6" s="19"/>
      <c r="F6" s="78"/>
      <c r="G6" s="654"/>
      <c r="H6" s="297"/>
      <c r="I6" s="5"/>
    </row>
    <row r="7" spans="1:9" ht="30" customHeight="1" thickBot="1">
      <c r="A7" s="6" t="s">
        <v>1671</v>
      </c>
      <c r="B7" s="655">
        <v>0.44900000000000001</v>
      </c>
      <c r="C7" s="126">
        <v>0.222</v>
      </c>
      <c r="D7" s="127">
        <v>0.09</v>
      </c>
      <c r="E7" s="126">
        <v>2.4E-2</v>
      </c>
      <c r="F7" s="127">
        <v>0.121</v>
      </c>
      <c r="G7" s="656">
        <v>0.45700000000000002</v>
      </c>
      <c r="H7" s="655">
        <v>9.3000000000000013E-2</v>
      </c>
      <c r="I7" s="126">
        <v>1</v>
      </c>
    </row>
    <row r="8" spans="1:9" ht="20" customHeight="1" thickBot="1">
      <c r="A8" s="7" t="s">
        <v>1672</v>
      </c>
      <c r="B8" s="655">
        <v>0.33</v>
      </c>
      <c r="C8" s="126">
        <v>0.35899999999999999</v>
      </c>
      <c r="D8" s="127">
        <v>0.109</v>
      </c>
      <c r="E8" s="126">
        <v>2.5000000000000001E-2</v>
      </c>
      <c r="F8" s="127">
        <v>9.9000000000000005E-2</v>
      </c>
      <c r="G8" s="656">
        <v>0.59200000000000008</v>
      </c>
      <c r="H8" s="655">
        <v>7.8E-2</v>
      </c>
      <c r="I8" s="126">
        <v>1</v>
      </c>
    </row>
    <row r="9" spans="1:9" ht="20" customHeight="1" thickBot="1">
      <c r="A9" s="7" t="s">
        <v>1673</v>
      </c>
      <c r="B9" s="655">
        <v>0.60799999999999998</v>
      </c>
      <c r="C9" s="126">
        <v>0.17699999999999999</v>
      </c>
      <c r="D9" s="127">
        <v>6.7000000000000004E-2</v>
      </c>
      <c r="E9" s="126">
        <v>1.7000000000000001E-2</v>
      </c>
      <c r="F9" s="127">
        <v>8.900000000000001E-2</v>
      </c>
      <c r="G9" s="656">
        <v>0.34899999999999998</v>
      </c>
      <c r="H9" s="655">
        <v>4.2999999999999997E-2</v>
      </c>
      <c r="I9" s="126">
        <v>1</v>
      </c>
    </row>
    <row r="10" spans="1:9" ht="20" customHeight="1" thickBot="1">
      <c r="A10" s="7" t="s">
        <v>1674</v>
      </c>
      <c r="B10" s="655">
        <v>0.52100000000000002</v>
      </c>
      <c r="C10" s="126">
        <v>0.316</v>
      </c>
      <c r="D10" s="127">
        <v>7.2999999999999995E-2</v>
      </c>
      <c r="E10" s="126">
        <v>1.7000000000000001E-2</v>
      </c>
      <c r="F10" s="127">
        <v>6.8000000000000005E-2</v>
      </c>
      <c r="G10" s="656">
        <v>0.47499999999999998</v>
      </c>
      <c r="H10" s="655">
        <v>3.0000000000000001E-3</v>
      </c>
      <c r="I10" s="126">
        <v>1</v>
      </c>
    </row>
    <row r="11" spans="1:9" ht="20" customHeight="1" thickBot="1">
      <c r="A11" s="7" t="s">
        <v>1675</v>
      </c>
      <c r="B11" s="655">
        <v>0.54600000000000004</v>
      </c>
      <c r="C11" s="126">
        <v>0.23600000000000002</v>
      </c>
      <c r="D11" s="127">
        <v>7.400000000000001E-2</v>
      </c>
      <c r="E11" s="126">
        <v>1.9E-2</v>
      </c>
      <c r="F11" s="127">
        <v>0.10400000000000001</v>
      </c>
      <c r="G11" s="656">
        <v>0.43200000000000005</v>
      </c>
      <c r="H11" s="655">
        <v>2.2000000000000002E-2</v>
      </c>
      <c r="I11" s="126">
        <v>1</v>
      </c>
    </row>
    <row r="12" spans="1:9" ht="20" customHeight="1" thickBot="1">
      <c r="A12" s="7" t="s">
        <v>1676</v>
      </c>
      <c r="B12" s="655">
        <v>0.52300000000000002</v>
      </c>
      <c r="C12" s="126">
        <v>0.29100000000000004</v>
      </c>
      <c r="D12" s="127">
        <v>7.6999999999999999E-2</v>
      </c>
      <c r="E12" s="126">
        <v>1.8000000000000002E-2</v>
      </c>
      <c r="F12" s="127">
        <v>8.3000000000000004E-2</v>
      </c>
      <c r="G12" s="656">
        <v>0.46799999999999997</v>
      </c>
      <c r="H12" s="655">
        <v>8.0000000000000002E-3</v>
      </c>
      <c r="I12" s="126">
        <v>1</v>
      </c>
    </row>
    <row r="13" spans="1:9" ht="20" customHeight="1" thickBot="1">
      <c r="A13" s="7" t="s">
        <v>1677</v>
      </c>
      <c r="B13" s="655">
        <v>0.57600000000000007</v>
      </c>
      <c r="C13" s="126">
        <v>0.22699999999999998</v>
      </c>
      <c r="D13" s="127">
        <v>6.7000000000000004E-2</v>
      </c>
      <c r="E13" s="126">
        <v>1.9E-2</v>
      </c>
      <c r="F13" s="127">
        <v>0.1</v>
      </c>
      <c r="G13" s="656">
        <v>0.41399999999999998</v>
      </c>
      <c r="H13" s="655">
        <v>0.01</v>
      </c>
      <c r="I13" s="126">
        <v>1</v>
      </c>
    </row>
    <row r="14" spans="1:9" ht="20" customHeight="1" thickBot="1">
      <c r="A14" s="7" t="s">
        <v>1678</v>
      </c>
      <c r="B14" s="655">
        <v>0.624</v>
      </c>
      <c r="C14" s="126">
        <v>0.20399999999999999</v>
      </c>
      <c r="D14" s="127">
        <v>6.8000000000000005E-2</v>
      </c>
      <c r="E14" s="126">
        <v>1.4999999999999999E-2</v>
      </c>
      <c r="F14" s="127">
        <v>7.2999999999999995E-2</v>
      </c>
      <c r="G14" s="656">
        <v>0.36099999999999999</v>
      </c>
      <c r="H14" s="655">
        <v>1.4999999999999999E-2</v>
      </c>
      <c r="I14" s="126">
        <v>1</v>
      </c>
    </row>
    <row r="15" spans="1:9" ht="20" customHeight="1" thickBot="1">
      <c r="A15" s="7" t="s">
        <v>1679</v>
      </c>
      <c r="B15" s="655">
        <v>0.50700000000000001</v>
      </c>
      <c r="C15" s="126">
        <v>0.25900000000000001</v>
      </c>
      <c r="D15" s="127">
        <v>8.8000000000000009E-2</v>
      </c>
      <c r="E15" s="126">
        <v>2.5000000000000001E-2</v>
      </c>
      <c r="F15" s="127">
        <v>0.10300000000000001</v>
      </c>
      <c r="G15" s="656">
        <v>0.47499999999999998</v>
      </c>
      <c r="H15" s="655">
        <v>1.8000000000000002E-2</v>
      </c>
      <c r="I15" s="126">
        <v>1</v>
      </c>
    </row>
    <row r="16" spans="1:9" ht="20" customHeight="1" thickBot="1">
      <c r="A16" s="7" t="s">
        <v>1680</v>
      </c>
      <c r="B16" s="655">
        <v>0.39500000000000002</v>
      </c>
      <c r="C16" s="126">
        <v>0.33399999999999996</v>
      </c>
      <c r="D16" s="127">
        <v>0.13</v>
      </c>
      <c r="E16" s="126">
        <v>3.1E-2</v>
      </c>
      <c r="F16" s="127">
        <v>9.3000000000000013E-2</v>
      </c>
      <c r="G16" s="656">
        <v>0.58799999999999997</v>
      </c>
      <c r="H16" s="655">
        <v>1.8000000000000002E-2</v>
      </c>
      <c r="I16" s="126">
        <v>1</v>
      </c>
    </row>
    <row r="17" spans="1:9" ht="20" customHeight="1" thickBot="1">
      <c r="A17" s="7" t="s">
        <v>1681</v>
      </c>
      <c r="B17" s="655">
        <v>0.44799999999999995</v>
      </c>
      <c r="C17" s="126">
        <v>0.32700000000000001</v>
      </c>
      <c r="D17" s="127">
        <v>8.4000000000000005E-2</v>
      </c>
      <c r="E17" s="126">
        <v>2.1000000000000001E-2</v>
      </c>
      <c r="F17" s="127">
        <v>9.1999999999999998E-2</v>
      </c>
      <c r="G17" s="656">
        <v>0.52400000000000002</v>
      </c>
      <c r="H17" s="655">
        <v>2.7999999999999997E-2</v>
      </c>
      <c r="I17" s="126">
        <v>1</v>
      </c>
    </row>
    <row r="18" spans="1:9" ht="20" customHeight="1" thickBot="1">
      <c r="A18" s="7" t="s">
        <v>1682</v>
      </c>
      <c r="B18" s="655">
        <v>0.48700000000000004</v>
      </c>
      <c r="C18" s="126">
        <v>0.15</v>
      </c>
      <c r="D18" s="127">
        <v>0.09</v>
      </c>
      <c r="E18" s="126">
        <v>2.3E-2</v>
      </c>
      <c r="F18" s="127">
        <v>0.14000000000000001</v>
      </c>
      <c r="G18" s="656">
        <v>0.40299999999999997</v>
      </c>
      <c r="H18" s="655">
        <v>0.11</v>
      </c>
      <c r="I18" s="126">
        <v>1</v>
      </c>
    </row>
    <row r="19" spans="1:9" ht="20" customHeight="1" thickBot="1">
      <c r="A19" s="7" t="s">
        <v>1683</v>
      </c>
      <c r="B19" s="655">
        <v>0.41399999999999998</v>
      </c>
      <c r="C19" s="126">
        <v>0.247</v>
      </c>
      <c r="D19" s="127">
        <v>0.10400000000000001</v>
      </c>
      <c r="E19" s="126">
        <v>2.5000000000000001E-2</v>
      </c>
      <c r="F19" s="127">
        <v>0.125</v>
      </c>
      <c r="G19" s="656">
        <v>0.502</v>
      </c>
      <c r="H19" s="655">
        <v>8.4000000000000005E-2</v>
      </c>
      <c r="I19" s="126">
        <v>1</v>
      </c>
    </row>
    <row r="20" spans="1:9" ht="20" customHeight="1" thickBot="1">
      <c r="A20" s="7" t="s">
        <v>1684</v>
      </c>
      <c r="B20" s="655">
        <v>0.39799999999999996</v>
      </c>
      <c r="C20" s="126">
        <v>0.21600000000000003</v>
      </c>
      <c r="D20" s="127">
        <v>5.5999999999999994E-2</v>
      </c>
      <c r="E20" s="126">
        <v>1.6E-2</v>
      </c>
      <c r="F20" s="127">
        <v>8.6999999999999994E-2</v>
      </c>
      <c r="G20" s="656">
        <v>0.375</v>
      </c>
      <c r="H20" s="655">
        <v>0.22699999999999998</v>
      </c>
      <c r="I20" s="126">
        <v>1</v>
      </c>
    </row>
    <row r="21" spans="1:9" ht="20" customHeight="1" thickBot="1">
      <c r="A21" s="7" t="s">
        <v>1685</v>
      </c>
      <c r="B21" s="655">
        <v>0.53900000000000003</v>
      </c>
      <c r="C21" s="126">
        <v>0.15</v>
      </c>
      <c r="D21" s="127">
        <v>7.8E-2</v>
      </c>
      <c r="E21" s="126">
        <v>1.6E-2</v>
      </c>
      <c r="F21" s="127">
        <v>7.5999999999999998E-2</v>
      </c>
      <c r="G21" s="656">
        <v>0.31900000000000001</v>
      </c>
      <c r="H21" s="655">
        <v>0.14199999999999999</v>
      </c>
      <c r="I21" s="126">
        <v>1</v>
      </c>
    </row>
    <row r="22" spans="1:9" ht="20" customHeight="1" thickBot="1">
      <c r="A22" s="7" t="s">
        <v>1686</v>
      </c>
      <c r="B22" s="655">
        <v>0.60699999999999998</v>
      </c>
      <c r="C22" s="126">
        <v>0.13400000000000001</v>
      </c>
      <c r="D22" s="127">
        <v>7.2000000000000008E-2</v>
      </c>
      <c r="E22" s="126">
        <v>1.3000000000000001E-2</v>
      </c>
      <c r="F22" s="127">
        <v>6.6000000000000003E-2</v>
      </c>
      <c r="G22" s="656">
        <v>0.28300000000000003</v>
      </c>
      <c r="H22" s="655">
        <v>0.11</v>
      </c>
      <c r="I22" s="126">
        <v>1</v>
      </c>
    </row>
    <row r="23" spans="1:9" ht="20" customHeight="1" thickBot="1">
      <c r="A23" s="7" t="s">
        <v>1687</v>
      </c>
      <c r="B23" s="655">
        <v>0.51200000000000001</v>
      </c>
      <c r="C23" s="126">
        <v>0.16699999999999998</v>
      </c>
      <c r="D23" s="127">
        <v>6.0999999999999999E-2</v>
      </c>
      <c r="E23" s="126">
        <v>1.3999999999999999E-2</v>
      </c>
      <c r="F23" s="127">
        <v>7.5999999999999998E-2</v>
      </c>
      <c r="G23" s="656">
        <v>0.318</v>
      </c>
      <c r="H23" s="655">
        <v>0.17</v>
      </c>
      <c r="I23" s="126">
        <v>1</v>
      </c>
    </row>
    <row r="24" spans="1:9" ht="20" customHeight="1" thickBot="1">
      <c r="A24" s="7" t="s">
        <v>1688</v>
      </c>
      <c r="B24" s="655">
        <v>0.65900000000000003</v>
      </c>
      <c r="C24" s="126">
        <v>9.9000000000000005E-2</v>
      </c>
      <c r="D24" s="127">
        <v>4.2999999999999997E-2</v>
      </c>
      <c r="E24" s="126">
        <v>1.1000000000000001E-2</v>
      </c>
      <c r="F24" s="127">
        <v>6.6000000000000003E-2</v>
      </c>
      <c r="G24" s="656">
        <v>0.21899999999999997</v>
      </c>
      <c r="H24" s="655">
        <v>0.122</v>
      </c>
      <c r="I24" s="126">
        <v>1</v>
      </c>
    </row>
    <row r="25" spans="1:9" ht="20" customHeight="1" thickBot="1">
      <c r="A25" s="7" t="s">
        <v>1689</v>
      </c>
      <c r="B25" s="655">
        <v>0.48499999999999999</v>
      </c>
      <c r="C25" s="126">
        <v>0.17499999999999999</v>
      </c>
      <c r="D25" s="127">
        <v>6.2E-2</v>
      </c>
      <c r="E25" s="126">
        <v>1.7000000000000001E-2</v>
      </c>
      <c r="F25" s="127">
        <v>8.1000000000000003E-2</v>
      </c>
      <c r="G25" s="656">
        <v>0.33500000000000002</v>
      </c>
      <c r="H25" s="655">
        <v>0.18</v>
      </c>
      <c r="I25" s="126">
        <v>1</v>
      </c>
    </row>
    <row r="26" spans="1:9" ht="20" customHeight="1" thickBot="1">
      <c r="A26" s="7" t="s">
        <v>1690</v>
      </c>
      <c r="B26" s="655">
        <v>0.44</v>
      </c>
      <c r="C26" s="126">
        <v>0.12</v>
      </c>
      <c r="D26" s="127">
        <v>6.3E-2</v>
      </c>
      <c r="E26" s="126">
        <v>1.6E-2</v>
      </c>
      <c r="F26" s="127">
        <v>8.5999999999999993E-2</v>
      </c>
      <c r="G26" s="656">
        <v>0.28499999999999998</v>
      </c>
      <c r="H26" s="655">
        <v>0.27500000000000002</v>
      </c>
      <c r="I26" s="126">
        <v>1</v>
      </c>
    </row>
    <row r="27" spans="1:9" ht="20" customHeight="1" thickBot="1">
      <c r="A27" s="7" t="s">
        <v>1691</v>
      </c>
      <c r="B27" s="655">
        <v>0.36700000000000005</v>
      </c>
      <c r="C27" s="126">
        <v>0.27899999999999997</v>
      </c>
      <c r="D27" s="127">
        <v>0.109</v>
      </c>
      <c r="E27" s="126">
        <v>2.7999999999999997E-2</v>
      </c>
      <c r="F27" s="127">
        <v>0.185</v>
      </c>
      <c r="G27" s="656">
        <v>0.6</v>
      </c>
      <c r="H27" s="655">
        <v>3.2000000000000001E-2</v>
      </c>
      <c r="I27" s="126">
        <v>1</v>
      </c>
    </row>
    <row r="28" spans="1:9" ht="20" customHeight="1" thickBot="1">
      <c r="A28" s="7" t="s">
        <v>1692</v>
      </c>
      <c r="B28" s="655">
        <v>0.29499999999999998</v>
      </c>
      <c r="C28" s="126">
        <v>0.23399999999999999</v>
      </c>
      <c r="D28" s="127">
        <v>0.191</v>
      </c>
      <c r="E28" s="126">
        <v>5.4000000000000006E-2</v>
      </c>
      <c r="F28" s="127">
        <v>0.19</v>
      </c>
      <c r="G28" s="656">
        <v>0.66900000000000004</v>
      </c>
      <c r="H28" s="655">
        <v>3.6000000000000004E-2</v>
      </c>
      <c r="I28" s="126">
        <v>1</v>
      </c>
    </row>
    <row r="29" spans="1:9" ht="20" customHeight="1" thickBot="1">
      <c r="A29" s="7" t="s">
        <v>1693</v>
      </c>
      <c r="B29" s="655">
        <v>0.56299999999999994</v>
      </c>
      <c r="C29" s="126">
        <v>0.29299999999999998</v>
      </c>
      <c r="D29" s="127">
        <v>7.0999999999999994E-2</v>
      </c>
      <c r="E29" s="126">
        <v>1.9E-2</v>
      </c>
      <c r="F29" s="127">
        <v>5.0999999999999997E-2</v>
      </c>
      <c r="G29" s="656">
        <v>0.434</v>
      </c>
      <c r="H29" s="655">
        <v>3.0000000000000001E-3</v>
      </c>
      <c r="I29" s="126">
        <v>1</v>
      </c>
    </row>
    <row r="30" spans="1:9" ht="20" customHeight="1" thickBot="1">
      <c r="A30" s="7" t="s">
        <v>1694</v>
      </c>
      <c r="B30" s="655">
        <v>0.35200000000000004</v>
      </c>
      <c r="C30" s="126">
        <v>0.30399999999999999</v>
      </c>
      <c r="D30" s="127">
        <v>0.151</v>
      </c>
      <c r="E30" s="126">
        <v>2.7000000000000003E-2</v>
      </c>
      <c r="F30" s="127">
        <v>0.158</v>
      </c>
      <c r="G30" s="656">
        <v>0.64</v>
      </c>
      <c r="H30" s="655">
        <v>8.0000000000000002E-3</v>
      </c>
      <c r="I30" s="126">
        <v>1</v>
      </c>
    </row>
    <row r="31" spans="1:9" ht="20" customHeight="1" thickBot="1">
      <c r="A31" s="7" t="s">
        <v>1695</v>
      </c>
      <c r="B31" s="655">
        <v>0.33500000000000002</v>
      </c>
      <c r="C31" s="126">
        <v>0.26800000000000002</v>
      </c>
      <c r="D31" s="127">
        <v>0.14499999999999999</v>
      </c>
      <c r="E31" s="126">
        <v>3.7000000000000005E-2</v>
      </c>
      <c r="F31" s="127">
        <v>0.16</v>
      </c>
      <c r="G31" s="656">
        <v>0.61</v>
      </c>
      <c r="H31" s="655">
        <v>5.5E-2</v>
      </c>
      <c r="I31" s="126">
        <v>1</v>
      </c>
    </row>
    <row r="32" spans="1:9" ht="20" customHeight="1" thickBot="1">
      <c r="A32" s="70" t="s">
        <v>1696</v>
      </c>
      <c r="B32" s="655">
        <v>0.33799999999999997</v>
      </c>
      <c r="C32" s="126">
        <v>0.27600000000000002</v>
      </c>
      <c r="D32" s="127">
        <v>0.16600000000000001</v>
      </c>
      <c r="E32" s="126">
        <v>2.6000000000000002E-2</v>
      </c>
      <c r="F32" s="127">
        <v>0.191</v>
      </c>
      <c r="G32" s="656">
        <v>0.65799999999999992</v>
      </c>
      <c r="H32" s="655">
        <v>4.0000000000000001E-3</v>
      </c>
      <c r="I32" s="126">
        <v>1</v>
      </c>
    </row>
    <row r="33" spans="1:9" ht="30" customHeight="1" thickBot="1">
      <c r="A33" s="478" t="s">
        <v>1697</v>
      </c>
      <c r="B33" s="657">
        <v>0.436</v>
      </c>
      <c r="C33" s="563">
        <v>0.24199999999999999</v>
      </c>
      <c r="D33" s="657">
        <v>9.9000000000000005E-2</v>
      </c>
      <c r="E33" s="563">
        <v>2.5000000000000001E-2</v>
      </c>
      <c r="F33" s="657">
        <v>0.114</v>
      </c>
      <c r="G33" s="563">
        <v>0.47899999999999998</v>
      </c>
      <c r="H33" s="481">
        <v>8.4000000000000005E-2</v>
      </c>
      <c r="I33" s="666">
        <v>1</v>
      </c>
    </row>
    <row r="34" spans="1:9" ht="20" customHeight="1">
      <c r="A34" s="431" t="s">
        <v>386</v>
      </c>
      <c r="B34" s="308"/>
      <c r="C34" s="9"/>
      <c r="D34" s="9"/>
      <c r="E34" s="9"/>
      <c r="F34" s="9"/>
      <c r="G34" s="667"/>
      <c r="I34" s="97"/>
    </row>
    <row r="35" spans="1:9" ht="11.25" customHeight="1">
      <c r="A35" s="124"/>
      <c r="B35" s="310"/>
      <c r="C35" s="38"/>
      <c r="D35" s="38"/>
      <c r="E35" s="38"/>
      <c r="F35" s="38"/>
      <c r="G35" s="411"/>
      <c r="I35" s="97"/>
    </row>
    <row r="36" spans="1:9" ht="12" customHeight="1">
      <c r="A36" s="38" t="s">
        <v>1105</v>
      </c>
    </row>
    <row r="37" spans="1:9" ht="12" customHeight="1"/>
    <row r="38" spans="1:9" ht="12" customHeight="1"/>
    <row r="39" spans="1:9" ht="12" customHeight="1"/>
  </sheetData>
  <mergeCells count="1">
    <mergeCell ref="C3:G3"/>
  </mergeCells>
  <phoneticPr fontId="0" type="noConversion"/>
  <pageMargins left="0.43" right="0.28000000000000003" top="1.1200000000000001" bottom="0.49" header="0.72"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1EBE-1422-B840-AB9B-9D7106626DA4}">
  <dimension ref="A1:H15"/>
  <sheetViews>
    <sheetView zoomScale="75" workbookViewId="0">
      <selection activeCell="C18" sqref="C18"/>
    </sheetView>
  </sheetViews>
  <sheetFormatPr baseColWidth="10" defaultColWidth="11.3984375" defaultRowHeight="13"/>
  <cols>
    <col min="1" max="1" width="14.796875" style="3" customWidth="1"/>
    <col min="2" max="2" width="14.796875" style="36" customWidth="1"/>
    <col min="3" max="4" width="12.19921875" style="3" customWidth="1"/>
    <col min="5" max="5" width="12.59765625" style="3" customWidth="1"/>
    <col min="6" max="6" width="15.19921875" style="36" customWidth="1"/>
    <col min="7" max="7" width="16" style="662" customWidth="1"/>
    <col min="8" max="8" width="13.796875" style="3" customWidth="1"/>
    <col min="9" max="16384" width="11.3984375" style="3"/>
  </cols>
  <sheetData>
    <row r="1" spans="1:8" s="1" customFormat="1" ht="14" customHeight="1">
      <c r="A1" s="62"/>
      <c r="B1" s="617"/>
      <c r="C1" s="62"/>
      <c r="D1" s="62"/>
      <c r="E1" s="62"/>
      <c r="F1" s="617"/>
      <c r="G1" s="651"/>
    </row>
    <row r="2" spans="1:8" s="1" customFormat="1" ht="28" customHeight="1">
      <c r="A2" s="240" t="s">
        <v>1106</v>
      </c>
      <c r="B2" s="617"/>
      <c r="C2" s="62"/>
      <c r="D2" s="62"/>
      <c r="E2" s="62"/>
      <c r="F2" s="652"/>
      <c r="G2" s="653"/>
    </row>
    <row r="3" spans="1:8" ht="27" customHeight="1">
      <c r="A3" s="2" t="s">
        <v>423</v>
      </c>
      <c r="B3" s="185" t="s">
        <v>424</v>
      </c>
      <c r="C3" s="1306" t="s">
        <v>418</v>
      </c>
      <c r="D3" s="1306"/>
      <c r="E3" s="1306"/>
      <c r="F3" s="295"/>
      <c r="G3" s="202" t="s">
        <v>1099</v>
      </c>
      <c r="H3" s="74" t="s">
        <v>607</v>
      </c>
    </row>
    <row r="4" spans="1:8" ht="15" customHeight="1">
      <c r="A4" s="4"/>
      <c r="B4" s="295" t="s">
        <v>1451</v>
      </c>
      <c r="C4" s="4"/>
      <c r="D4" s="76"/>
      <c r="E4" s="18"/>
      <c r="F4" s="295" t="s">
        <v>607</v>
      </c>
      <c r="G4" s="575" t="s">
        <v>1453</v>
      </c>
      <c r="H4" s="75"/>
    </row>
    <row r="5" spans="1:8" ht="15" customHeight="1">
      <c r="A5" s="4"/>
      <c r="B5" s="295" t="s">
        <v>1455</v>
      </c>
      <c r="C5" s="4" t="s">
        <v>1100</v>
      </c>
      <c r="D5" s="76" t="s">
        <v>1101</v>
      </c>
      <c r="E5" s="18" t="s">
        <v>1102</v>
      </c>
      <c r="F5" s="295"/>
      <c r="G5" s="575" t="s">
        <v>1103</v>
      </c>
      <c r="H5" s="75"/>
    </row>
    <row r="6" spans="1:8" ht="24" customHeight="1">
      <c r="A6" s="5"/>
      <c r="B6" s="297" t="s">
        <v>1104</v>
      </c>
      <c r="C6" s="5"/>
      <c r="D6" s="77"/>
      <c r="E6" s="19"/>
      <c r="F6" s="297"/>
      <c r="G6" s="654"/>
      <c r="H6" s="78"/>
    </row>
    <row r="7" spans="1:8" ht="20" customHeight="1" thickBot="1">
      <c r="A7" s="663">
        <v>1997</v>
      </c>
      <c r="B7" s="655">
        <v>0.8206</v>
      </c>
      <c r="C7" s="126">
        <v>9.915910780669146E-2</v>
      </c>
      <c r="D7" s="127">
        <v>2.4563271375464685E-2</v>
      </c>
      <c r="E7" s="126">
        <v>1.1677620817843865E-2</v>
      </c>
      <c r="F7" s="655">
        <v>0.13550000000000001</v>
      </c>
      <c r="G7" s="656">
        <v>4.3900000000000002E-2</v>
      </c>
      <c r="H7" s="127">
        <v>1</v>
      </c>
    </row>
    <row r="8" spans="1:8" ht="20" customHeight="1" thickBot="1">
      <c r="A8" s="7">
        <v>1998</v>
      </c>
      <c r="B8" s="655">
        <v>0.8075</v>
      </c>
      <c r="C8" s="126">
        <v>8.9319669551534225E-2</v>
      </c>
      <c r="D8" s="127">
        <v>2.1300078678206137E-2</v>
      </c>
      <c r="E8" s="126">
        <v>1.7080251770259638E-2</v>
      </c>
      <c r="F8" s="655">
        <v>0.12759999999999999</v>
      </c>
      <c r="G8" s="656">
        <v>6.4899999999999999E-2</v>
      </c>
      <c r="H8" s="127">
        <v>1</v>
      </c>
    </row>
    <row r="9" spans="1:8" ht="20" customHeight="1" thickBot="1">
      <c r="A9" s="7">
        <v>1999</v>
      </c>
      <c r="B9" s="655">
        <v>0.80579999999999996</v>
      </c>
      <c r="C9" s="126">
        <v>8.0600000000000005E-2</v>
      </c>
      <c r="D9" s="127">
        <v>1.9599999999999999E-2</v>
      </c>
      <c r="E9" s="126">
        <v>2.2200000000000001E-2</v>
      </c>
      <c r="F9" s="655">
        <v>0.1226</v>
      </c>
      <c r="G9" s="656">
        <v>7.17E-2</v>
      </c>
      <c r="H9" s="127">
        <v>1</v>
      </c>
    </row>
    <row r="10" spans="1:8" ht="20" customHeight="1" thickBot="1">
      <c r="A10" s="70">
        <v>2000</v>
      </c>
      <c r="B10" s="655">
        <v>0.8034</v>
      </c>
      <c r="C10" s="126">
        <v>7.5622923588039861E-2</v>
      </c>
      <c r="D10" s="127">
        <v>1.9056976744186046E-2</v>
      </c>
      <c r="E10" s="126">
        <v>2.6720099667774087E-2</v>
      </c>
      <c r="F10" s="655">
        <v>0.12139999999999999</v>
      </c>
      <c r="G10" s="656">
        <v>7.5200000000000003E-2</v>
      </c>
      <c r="H10" s="127">
        <v>1</v>
      </c>
    </row>
    <row r="11" spans="1:8" ht="20" customHeight="1" thickBot="1">
      <c r="A11" s="70">
        <v>2001</v>
      </c>
      <c r="B11" s="655">
        <v>0.80599999999999994</v>
      </c>
      <c r="C11" s="126">
        <v>7.0999999999999994E-2</v>
      </c>
      <c r="D11" s="127">
        <v>1.6E-2</v>
      </c>
      <c r="E11" s="126">
        <v>2.8999999999999998E-2</v>
      </c>
      <c r="F11" s="655">
        <v>0.11599999999999999</v>
      </c>
      <c r="G11" s="656">
        <v>7.8E-2</v>
      </c>
      <c r="H11" s="127">
        <v>1</v>
      </c>
    </row>
    <row r="12" spans="1:8" ht="30" customHeight="1" thickBot="1">
      <c r="A12" s="478">
        <v>2002</v>
      </c>
      <c r="B12" s="657">
        <v>0.80900000000000005</v>
      </c>
      <c r="C12" s="563">
        <v>6.5000000000000002E-2</v>
      </c>
      <c r="D12" s="657">
        <v>1.4999999999999999E-2</v>
      </c>
      <c r="E12" s="563">
        <v>3.2000000000000001E-2</v>
      </c>
      <c r="F12" s="657">
        <v>0.111</v>
      </c>
      <c r="G12" s="563">
        <v>0.08</v>
      </c>
      <c r="H12" s="658">
        <v>1</v>
      </c>
    </row>
    <row r="13" spans="1:8" ht="20" customHeight="1">
      <c r="A13" s="431" t="s">
        <v>1107</v>
      </c>
      <c r="B13" s="659"/>
      <c r="C13" s="506"/>
      <c r="D13" s="506"/>
      <c r="E13" s="506"/>
      <c r="F13" s="659"/>
      <c r="G13" s="660"/>
    </row>
    <row r="14" spans="1:8" ht="12" customHeight="1"/>
    <row r="15" spans="1:8" ht="12" customHeight="1">
      <c r="A15" s="3" t="s">
        <v>1108</v>
      </c>
    </row>
  </sheetData>
  <mergeCells count="1">
    <mergeCell ref="C3:E3"/>
  </mergeCells>
  <phoneticPr fontId="0" type="noConversion"/>
  <pageMargins left="0.45" right="0.21" top="1.1200000000000001" bottom="0.49" header="0.74" footer="0.4921259845"/>
  <pageSetup paperSize="9" scale="75" orientation="portrait" horizontalDpi="4294967292" verticalDpi="4294967292"/>
  <headerFooter alignWithMargins="0">
    <oddHeader>&amp;L&amp;"Arial,Bold"&amp;14Versicherte und Finanzen in der OKP</oddHeader>
    <oddFooter>&amp;L&amp;"Arial,Regular"Statistik der Krankenversicherung, Bundesmat für Sozialversicherung</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2797-926D-0E44-92B3-115083854948}">
  <dimension ref="A1:H38"/>
  <sheetViews>
    <sheetView topLeftCell="A20" zoomScale="75" workbookViewId="0">
      <selection activeCell="B33" sqref="B33"/>
    </sheetView>
  </sheetViews>
  <sheetFormatPr baseColWidth="10" defaultColWidth="11.3984375" defaultRowHeight="13"/>
  <cols>
    <col min="1" max="1" width="14.796875" style="3" customWidth="1"/>
    <col min="2" max="2" width="14.796875" style="36" customWidth="1"/>
    <col min="3" max="4" width="12.19921875" style="3" customWidth="1"/>
    <col min="5" max="5" width="12.59765625" style="3" customWidth="1"/>
    <col min="6" max="6" width="15.19921875" style="36" customWidth="1"/>
    <col min="7" max="7" width="15.3984375" style="662" customWidth="1"/>
    <col min="8" max="8" width="13.796875" style="3" customWidth="1"/>
    <col min="9" max="16384" width="11.3984375" style="3"/>
  </cols>
  <sheetData>
    <row r="1" spans="1:8" s="1" customFormat="1" ht="14" customHeight="1">
      <c r="A1" s="62"/>
      <c r="B1" s="617"/>
      <c r="C1" s="62"/>
      <c r="D1" s="62"/>
      <c r="E1" s="62"/>
      <c r="F1" s="617"/>
      <c r="G1" s="651"/>
    </row>
    <row r="2" spans="1:8" s="1" customFormat="1" ht="28" customHeight="1">
      <c r="A2" s="240" t="s">
        <v>1437</v>
      </c>
      <c r="B2" s="617"/>
      <c r="C2" s="62"/>
      <c r="D2" s="62"/>
      <c r="E2" s="62"/>
      <c r="F2" s="652"/>
      <c r="G2" s="653"/>
    </row>
    <row r="3" spans="1:8" ht="27" customHeight="1">
      <c r="A3" s="2" t="s">
        <v>1663</v>
      </c>
      <c r="B3" s="185" t="s">
        <v>424</v>
      </c>
      <c r="C3" s="1304" t="s">
        <v>418</v>
      </c>
      <c r="D3" s="1304"/>
      <c r="E3" s="1304"/>
      <c r="F3" s="295"/>
      <c r="G3" s="202" t="s">
        <v>1099</v>
      </c>
      <c r="H3" s="74" t="s">
        <v>607</v>
      </c>
    </row>
    <row r="4" spans="1:8" ht="15" customHeight="1">
      <c r="A4" s="4"/>
      <c r="B4" s="295" t="s">
        <v>1451</v>
      </c>
      <c r="C4" s="4"/>
      <c r="D4" s="76"/>
      <c r="E4" s="18"/>
      <c r="F4" s="295" t="s">
        <v>607</v>
      </c>
      <c r="G4" s="575" t="s">
        <v>1453</v>
      </c>
      <c r="H4" s="75"/>
    </row>
    <row r="5" spans="1:8" ht="15" customHeight="1">
      <c r="A5" s="4"/>
      <c r="B5" s="295" t="s">
        <v>1455</v>
      </c>
      <c r="C5" s="4" t="s">
        <v>1100</v>
      </c>
      <c r="D5" s="76" t="s">
        <v>1101</v>
      </c>
      <c r="E5" s="18" t="s">
        <v>1102</v>
      </c>
      <c r="F5" s="295"/>
      <c r="G5" s="575" t="s">
        <v>1103</v>
      </c>
      <c r="H5" s="75"/>
    </row>
    <row r="6" spans="1:8" ht="24" customHeight="1">
      <c r="A6" s="5"/>
      <c r="B6" s="297" t="s">
        <v>1104</v>
      </c>
      <c r="C6" s="5"/>
      <c r="D6" s="77"/>
      <c r="E6" s="19"/>
      <c r="F6" s="297"/>
      <c r="G6" s="654"/>
      <c r="H6" s="78"/>
    </row>
    <row r="7" spans="1:8" ht="30" customHeight="1" thickBot="1">
      <c r="A7" s="6" t="s">
        <v>1671</v>
      </c>
      <c r="B7" s="655">
        <v>0.82099999999999995</v>
      </c>
      <c r="C7" s="126">
        <v>5.0999999999999997E-2</v>
      </c>
      <c r="D7" s="127">
        <v>8.0000000000000002E-3</v>
      </c>
      <c r="E7" s="126">
        <v>2.5000000000000001E-2</v>
      </c>
      <c r="F7" s="655">
        <v>8.5000000000000006E-2</v>
      </c>
      <c r="G7" s="656">
        <v>9.4E-2</v>
      </c>
      <c r="H7" s="127">
        <v>1</v>
      </c>
    </row>
    <row r="8" spans="1:8" ht="20" customHeight="1" thickBot="1">
      <c r="A8" s="7" t="s">
        <v>1672</v>
      </c>
      <c r="B8" s="655">
        <v>0.81200000000000006</v>
      </c>
      <c r="C8" s="126">
        <v>8.1000000000000003E-2</v>
      </c>
      <c r="D8" s="127">
        <v>9.0000000000000011E-3</v>
      </c>
      <c r="E8" s="126">
        <v>2.3E-2</v>
      </c>
      <c r="F8" s="655">
        <v>0.114</v>
      </c>
      <c r="G8" s="656">
        <v>7.400000000000001E-2</v>
      </c>
      <c r="H8" s="127">
        <v>1</v>
      </c>
    </row>
    <row r="9" spans="1:8" ht="20" customHeight="1" thickBot="1">
      <c r="A9" s="7" t="s">
        <v>1673</v>
      </c>
      <c r="B9" s="655">
        <v>0.92900000000000005</v>
      </c>
      <c r="C9" s="126">
        <v>1.8000000000000002E-2</v>
      </c>
      <c r="D9" s="127">
        <v>5.0000000000000001E-3</v>
      </c>
      <c r="E9" s="126">
        <v>1.8000000000000002E-2</v>
      </c>
      <c r="F9" s="655">
        <v>4.0999999999999995E-2</v>
      </c>
      <c r="G9" s="656">
        <v>0.03</v>
      </c>
      <c r="H9" s="127">
        <v>1</v>
      </c>
    </row>
    <row r="10" spans="1:8" ht="20" customHeight="1" thickBot="1">
      <c r="A10" s="7" t="s">
        <v>1674</v>
      </c>
      <c r="B10" s="655">
        <v>0.93799999999999994</v>
      </c>
      <c r="C10" s="126">
        <v>1.7000000000000001E-2</v>
      </c>
      <c r="D10" s="127">
        <v>2.1000000000000001E-2</v>
      </c>
      <c r="E10" s="126">
        <v>0.02</v>
      </c>
      <c r="F10" s="655">
        <v>5.7999999999999996E-2</v>
      </c>
      <c r="G10" s="656">
        <v>4.0000000000000001E-3</v>
      </c>
      <c r="H10" s="127">
        <v>1</v>
      </c>
    </row>
    <row r="11" spans="1:8" ht="20" customHeight="1" thickBot="1">
      <c r="A11" s="7" t="s">
        <v>1675</v>
      </c>
      <c r="B11" s="655">
        <v>0.92900000000000005</v>
      </c>
      <c r="C11" s="126">
        <v>2.7999999999999997E-2</v>
      </c>
      <c r="D11" s="127">
        <v>5.0000000000000001E-3</v>
      </c>
      <c r="E11" s="126">
        <v>1.6E-2</v>
      </c>
      <c r="F11" s="655">
        <v>4.9000000000000002E-2</v>
      </c>
      <c r="G11" s="656">
        <v>2.2000000000000002E-2</v>
      </c>
      <c r="H11" s="127">
        <v>1</v>
      </c>
    </row>
    <row r="12" spans="1:8" ht="20" customHeight="1" thickBot="1">
      <c r="A12" s="7" t="s">
        <v>1676</v>
      </c>
      <c r="B12" s="655">
        <v>0.93900000000000006</v>
      </c>
      <c r="C12" s="126">
        <v>2.5000000000000001E-2</v>
      </c>
      <c r="D12" s="127">
        <v>8.0000000000000002E-3</v>
      </c>
      <c r="E12" s="126">
        <v>1.6E-2</v>
      </c>
      <c r="F12" s="655">
        <v>0.05</v>
      </c>
      <c r="G12" s="656">
        <v>1.1000000000000001E-2</v>
      </c>
      <c r="H12" s="127">
        <v>1</v>
      </c>
    </row>
    <row r="13" spans="1:8" ht="20" customHeight="1" thickBot="1">
      <c r="A13" s="7" t="s">
        <v>1677</v>
      </c>
      <c r="B13" s="655">
        <v>0.92299999999999993</v>
      </c>
      <c r="C13" s="126">
        <v>1.9E-2</v>
      </c>
      <c r="D13" s="127">
        <v>4.0000000000000001E-3</v>
      </c>
      <c r="E13" s="126">
        <v>4.4999999999999998E-2</v>
      </c>
      <c r="F13" s="655">
        <v>6.8000000000000005E-2</v>
      </c>
      <c r="G13" s="656">
        <v>9.0000000000000011E-3</v>
      </c>
      <c r="H13" s="127">
        <v>1</v>
      </c>
    </row>
    <row r="14" spans="1:8" ht="20" customHeight="1" thickBot="1">
      <c r="A14" s="7" t="s">
        <v>1678</v>
      </c>
      <c r="B14" s="655">
        <v>0.94400000000000006</v>
      </c>
      <c r="C14" s="126">
        <v>2.1000000000000001E-2</v>
      </c>
      <c r="D14" s="127">
        <v>4.0000000000000001E-3</v>
      </c>
      <c r="E14" s="126">
        <v>1.3999999999999999E-2</v>
      </c>
      <c r="F14" s="655">
        <v>3.9E-2</v>
      </c>
      <c r="G14" s="656">
        <v>1.7000000000000001E-2</v>
      </c>
      <c r="H14" s="127">
        <v>1</v>
      </c>
    </row>
    <row r="15" spans="1:8" ht="20" customHeight="1" thickBot="1">
      <c r="A15" s="7" t="s">
        <v>1679</v>
      </c>
      <c r="B15" s="655">
        <v>0.93</v>
      </c>
      <c r="C15" s="126">
        <v>3.1E-2</v>
      </c>
      <c r="D15" s="127">
        <v>5.0000000000000001E-3</v>
      </c>
      <c r="E15" s="126">
        <v>1.3999999999999999E-2</v>
      </c>
      <c r="F15" s="655">
        <v>0.05</v>
      </c>
      <c r="G15" s="656">
        <v>0.02</v>
      </c>
      <c r="H15" s="127">
        <v>1</v>
      </c>
    </row>
    <row r="16" spans="1:8" ht="20" customHeight="1" thickBot="1">
      <c r="A16" s="7" t="s">
        <v>1680</v>
      </c>
      <c r="B16" s="655">
        <v>0.8590000000000001</v>
      </c>
      <c r="C16" s="126">
        <v>8.4000000000000005E-2</v>
      </c>
      <c r="D16" s="127">
        <v>1.8000000000000002E-2</v>
      </c>
      <c r="E16" s="126">
        <v>2.7000000000000003E-2</v>
      </c>
      <c r="F16" s="655">
        <v>0.129</v>
      </c>
      <c r="G16" s="656">
        <v>1.2E-2</v>
      </c>
      <c r="H16" s="127">
        <v>1</v>
      </c>
    </row>
    <row r="17" spans="1:8" ht="20" customHeight="1" thickBot="1">
      <c r="A17" s="7" t="s">
        <v>1681</v>
      </c>
      <c r="B17" s="655">
        <v>0.89800000000000002</v>
      </c>
      <c r="C17" s="126">
        <v>4.0999999999999995E-2</v>
      </c>
      <c r="D17" s="127">
        <v>0.01</v>
      </c>
      <c r="E17" s="126">
        <v>1.8000000000000002E-2</v>
      </c>
      <c r="F17" s="655">
        <v>6.9000000000000006E-2</v>
      </c>
      <c r="G17" s="656">
        <v>3.3000000000000002E-2</v>
      </c>
      <c r="H17" s="127">
        <v>1</v>
      </c>
    </row>
    <row r="18" spans="1:8" ht="20" customHeight="1" thickBot="1">
      <c r="A18" s="7" t="s">
        <v>1682</v>
      </c>
      <c r="B18" s="655">
        <v>0.76500000000000001</v>
      </c>
      <c r="C18" s="126">
        <v>4.4999999999999998E-2</v>
      </c>
      <c r="D18" s="127">
        <v>1.7000000000000001E-2</v>
      </c>
      <c r="E18" s="126">
        <v>3.9E-2</v>
      </c>
      <c r="F18" s="655">
        <v>0.10099999999999999</v>
      </c>
      <c r="G18" s="656">
        <v>0.13400000000000001</v>
      </c>
      <c r="H18" s="127">
        <v>1</v>
      </c>
    </row>
    <row r="19" spans="1:8" ht="20" customHeight="1" thickBot="1">
      <c r="A19" s="7" t="s">
        <v>1683</v>
      </c>
      <c r="B19" s="655">
        <v>0.84299999999999997</v>
      </c>
      <c r="C19" s="126">
        <v>4.5999999999999999E-2</v>
      </c>
      <c r="D19" s="127">
        <v>8.0000000000000002E-3</v>
      </c>
      <c r="E19" s="126">
        <v>0.03</v>
      </c>
      <c r="F19" s="655">
        <v>8.4000000000000005E-2</v>
      </c>
      <c r="G19" s="656">
        <v>7.2999999999999995E-2</v>
      </c>
      <c r="H19" s="127">
        <v>1</v>
      </c>
    </row>
    <row r="20" spans="1:8" ht="20" customHeight="1" thickBot="1">
      <c r="A20" s="7" t="s">
        <v>1684</v>
      </c>
      <c r="B20" s="655">
        <v>0.747</v>
      </c>
      <c r="C20" s="126">
        <v>2.2000000000000002E-2</v>
      </c>
      <c r="D20" s="127">
        <v>4.0000000000000001E-3</v>
      </c>
      <c r="E20" s="126">
        <v>2.1000000000000001E-2</v>
      </c>
      <c r="F20" s="655">
        <v>4.7E-2</v>
      </c>
      <c r="G20" s="656">
        <v>0.20600000000000002</v>
      </c>
      <c r="H20" s="127">
        <v>1</v>
      </c>
    </row>
    <row r="21" spans="1:8" ht="20" customHeight="1" thickBot="1">
      <c r="A21" s="7" t="s">
        <v>1685</v>
      </c>
      <c r="B21" s="655">
        <v>0.81599999999999995</v>
      </c>
      <c r="C21" s="126">
        <v>1.6E-2</v>
      </c>
      <c r="D21" s="127">
        <v>4.0000000000000001E-3</v>
      </c>
      <c r="E21" s="126">
        <v>1.2E-2</v>
      </c>
      <c r="F21" s="655">
        <v>3.2000000000000001E-2</v>
      </c>
      <c r="G21" s="656">
        <v>0.152</v>
      </c>
      <c r="H21" s="127">
        <v>1</v>
      </c>
    </row>
    <row r="22" spans="1:8" ht="20" customHeight="1" thickBot="1">
      <c r="A22" s="7" t="s">
        <v>1686</v>
      </c>
      <c r="B22" s="655">
        <v>0.84299999999999997</v>
      </c>
      <c r="C22" s="126">
        <v>6.0000000000000001E-3</v>
      </c>
      <c r="D22" s="127">
        <v>3.0000000000000001E-3</v>
      </c>
      <c r="E22" s="126">
        <v>6.9999999999999993E-3</v>
      </c>
      <c r="F22" s="655">
        <v>1.4999999999999999E-2</v>
      </c>
      <c r="G22" s="656">
        <v>0.14199999999999999</v>
      </c>
      <c r="H22" s="127">
        <v>1</v>
      </c>
    </row>
    <row r="23" spans="1:8" ht="20" customHeight="1" thickBot="1">
      <c r="A23" s="7" t="s">
        <v>1687</v>
      </c>
      <c r="B23" s="655">
        <v>0.81900000000000006</v>
      </c>
      <c r="C23" s="126">
        <v>2.1000000000000001E-2</v>
      </c>
      <c r="D23" s="127">
        <v>3.0000000000000001E-3</v>
      </c>
      <c r="E23" s="126">
        <v>1.2E-2</v>
      </c>
      <c r="F23" s="655">
        <v>3.7000000000000005E-2</v>
      </c>
      <c r="G23" s="656">
        <v>0.14400000000000002</v>
      </c>
      <c r="H23" s="127">
        <v>1</v>
      </c>
    </row>
    <row r="24" spans="1:8" ht="20" customHeight="1" thickBot="1">
      <c r="A24" s="7" t="s">
        <v>1688</v>
      </c>
      <c r="B24" s="655">
        <v>0.83799999999999997</v>
      </c>
      <c r="C24" s="126">
        <v>1.1000000000000001E-2</v>
      </c>
      <c r="D24" s="127">
        <v>3.0000000000000001E-3</v>
      </c>
      <c r="E24" s="126">
        <v>0.01</v>
      </c>
      <c r="F24" s="655">
        <v>2.4E-2</v>
      </c>
      <c r="G24" s="656">
        <v>0.13800000000000001</v>
      </c>
      <c r="H24" s="127">
        <v>1</v>
      </c>
    </row>
    <row r="25" spans="1:8" ht="20" customHeight="1" thickBot="1">
      <c r="A25" s="7" t="s">
        <v>1689</v>
      </c>
      <c r="B25" s="655">
        <v>0.80099999999999993</v>
      </c>
      <c r="C25" s="126">
        <v>2.8999999999999998E-2</v>
      </c>
      <c r="D25" s="127">
        <v>5.0000000000000001E-3</v>
      </c>
      <c r="E25" s="126">
        <v>1.3999999999999999E-2</v>
      </c>
      <c r="F25" s="655">
        <v>4.8000000000000001E-2</v>
      </c>
      <c r="G25" s="656">
        <v>0.151</v>
      </c>
      <c r="H25" s="127">
        <v>1</v>
      </c>
    </row>
    <row r="26" spans="1:8" ht="20" customHeight="1" thickBot="1">
      <c r="A26" s="7" t="s">
        <v>1690</v>
      </c>
      <c r="B26" s="655">
        <v>0.66299999999999992</v>
      </c>
      <c r="C26" s="126">
        <v>2.1000000000000001E-2</v>
      </c>
      <c r="D26" s="127">
        <v>6.9999999999999993E-3</v>
      </c>
      <c r="E26" s="126">
        <v>2.2000000000000002E-2</v>
      </c>
      <c r="F26" s="655">
        <v>0.05</v>
      </c>
      <c r="G26" s="656">
        <v>0.28699999999999998</v>
      </c>
      <c r="H26" s="127">
        <v>1</v>
      </c>
    </row>
    <row r="27" spans="1:8" ht="20" customHeight="1" thickBot="1">
      <c r="A27" s="7" t="s">
        <v>1691</v>
      </c>
      <c r="B27" s="655">
        <v>0.76200000000000001</v>
      </c>
      <c r="C27" s="126">
        <v>0.10199999999999999</v>
      </c>
      <c r="D27" s="127">
        <v>1.9E-2</v>
      </c>
      <c r="E27" s="126">
        <v>6.6000000000000003E-2</v>
      </c>
      <c r="F27" s="655">
        <v>0.187</v>
      </c>
      <c r="G27" s="656">
        <v>5.0999999999999997E-2</v>
      </c>
      <c r="H27" s="127">
        <v>1</v>
      </c>
    </row>
    <row r="28" spans="1:8" ht="20" customHeight="1" thickBot="1">
      <c r="A28" s="7" t="s">
        <v>1692</v>
      </c>
      <c r="B28" s="655">
        <v>0.65</v>
      </c>
      <c r="C28" s="126">
        <v>0.16200000000000001</v>
      </c>
      <c r="D28" s="127">
        <v>6.0999999999999999E-2</v>
      </c>
      <c r="E28" s="126">
        <v>0.1</v>
      </c>
      <c r="F28" s="655">
        <v>0.32299999999999995</v>
      </c>
      <c r="G28" s="656">
        <v>2.7000000000000003E-2</v>
      </c>
      <c r="H28" s="127">
        <v>1</v>
      </c>
    </row>
    <row r="29" spans="1:8" ht="20" customHeight="1" thickBot="1">
      <c r="A29" s="7" t="s">
        <v>1693</v>
      </c>
      <c r="B29" s="655">
        <v>0.87400000000000011</v>
      </c>
      <c r="C29" s="126">
        <v>0.10099999999999999</v>
      </c>
      <c r="D29" s="127">
        <v>9.0000000000000011E-3</v>
      </c>
      <c r="E29" s="126">
        <v>1.4999999999999999E-2</v>
      </c>
      <c r="F29" s="655">
        <v>0.125</v>
      </c>
      <c r="G29" s="656">
        <v>1E-3</v>
      </c>
      <c r="H29" s="127">
        <v>1</v>
      </c>
    </row>
    <row r="30" spans="1:8" ht="20" customHeight="1" thickBot="1">
      <c r="A30" s="7" t="s">
        <v>1694</v>
      </c>
      <c r="B30" s="655">
        <v>0.79900000000000004</v>
      </c>
      <c r="C30" s="126">
        <v>9.9000000000000005E-2</v>
      </c>
      <c r="D30" s="127">
        <v>4.2000000000000003E-2</v>
      </c>
      <c r="E30" s="126">
        <v>4.2000000000000003E-2</v>
      </c>
      <c r="F30" s="655">
        <v>0.183</v>
      </c>
      <c r="G30" s="656">
        <v>1.7000000000000001E-2</v>
      </c>
      <c r="H30" s="127">
        <v>1</v>
      </c>
    </row>
    <row r="31" spans="1:8" ht="20" customHeight="1" thickBot="1">
      <c r="A31" s="7" t="s">
        <v>1695</v>
      </c>
      <c r="B31" s="655">
        <v>0.73199999999999998</v>
      </c>
      <c r="C31" s="126">
        <v>0.14699999999999999</v>
      </c>
      <c r="D31" s="127">
        <v>3.4000000000000002E-2</v>
      </c>
      <c r="E31" s="126">
        <v>6.0999999999999999E-2</v>
      </c>
      <c r="F31" s="655">
        <v>0.24199999999999999</v>
      </c>
      <c r="G31" s="656">
        <v>2.6000000000000002E-2</v>
      </c>
      <c r="H31" s="127">
        <v>1</v>
      </c>
    </row>
    <row r="32" spans="1:8" ht="20" customHeight="1" thickBot="1">
      <c r="A32" s="70" t="s">
        <v>1696</v>
      </c>
      <c r="B32" s="655">
        <v>0.8</v>
      </c>
      <c r="C32" s="126">
        <v>8.5999999999999993E-2</v>
      </c>
      <c r="D32" s="127">
        <v>2.4E-2</v>
      </c>
      <c r="E32" s="126">
        <v>7.400000000000001E-2</v>
      </c>
      <c r="F32" s="655">
        <v>0.184</v>
      </c>
      <c r="G32" s="656">
        <v>1.7000000000000001E-2</v>
      </c>
      <c r="H32" s="127">
        <v>1</v>
      </c>
    </row>
    <row r="33" spans="1:8" ht="30" customHeight="1" thickBot="1">
      <c r="A33" s="478" t="s">
        <v>1697</v>
      </c>
      <c r="B33" s="657">
        <v>0.80900000000000005</v>
      </c>
      <c r="C33" s="563">
        <v>6.5000000000000002E-2</v>
      </c>
      <c r="D33" s="657">
        <v>1.4999999999999999E-2</v>
      </c>
      <c r="E33" s="563">
        <v>3.2000000000000001E-2</v>
      </c>
      <c r="F33" s="657">
        <v>0.111</v>
      </c>
      <c r="G33" s="563">
        <v>0.08</v>
      </c>
      <c r="H33" s="658">
        <v>1</v>
      </c>
    </row>
    <row r="34" spans="1:8" ht="20" customHeight="1">
      <c r="A34" s="431" t="s">
        <v>386</v>
      </c>
      <c r="B34" s="659"/>
      <c r="C34" s="506"/>
      <c r="D34" s="506"/>
      <c r="E34" s="506"/>
      <c r="F34" s="659"/>
      <c r="G34" s="660"/>
    </row>
    <row r="35" spans="1:8" ht="13.5" customHeight="1">
      <c r="A35" s="124"/>
      <c r="B35" s="568"/>
      <c r="C35" s="247"/>
      <c r="D35" s="247"/>
      <c r="E35" s="247"/>
      <c r="F35" s="568"/>
      <c r="G35" s="661"/>
    </row>
    <row r="36" spans="1:8" ht="12" customHeight="1">
      <c r="A36" s="38" t="s">
        <v>1105</v>
      </c>
    </row>
    <row r="37" spans="1:8" ht="12" customHeight="1"/>
    <row r="38" spans="1:8" ht="12" customHeight="1"/>
  </sheetData>
  <mergeCells count="1">
    <mergeCell ref="C3:E3"/>
  </mergeCells>
  <phoneticPr fontId="0" type="noConversion"/>
  <pageMargins left="0.45" right="0.21" top="1.1200000000000001" bottom="0.49" header="0.74" footer="0.4921259845"/>
  <pageSetup paperSize="9" scale="75" orientation="portrait" horizontalDpi="4294967292" verticalDpi="4294967292"/>
  <headerFooter alignWithMargins="0">
    <oddHeader>&amp;L&amp;"Arial,Bold"&amp;14Versicherte und Finanzen in der OKP</oddHeader>
    <oddFooter>&amp;L&amp;"Arial,Regular"Statistik der Krankenversicherung, Bundesmat für Sozialversicherung</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3B311-28D8-414B-A891-DF6E9920B452}">
  <dimension ref="A1:I14"/>
  <sheetViews>
    <sheetView topLeftCell="A2" zoomScale="75" workbookViewId="0">
      <selection activeCell="H13" sqref="H13"/>
    </sheetView>
  </sheetViews>
  <sheetFormatPr baseColWidth="10" defaultColWidth="11.3984375" defaultRowHeight="13"/>
  <cols>
    <col min="1" max="1" width="19.3984375" style="3" customWidth="1"/>
    <col min="2" max="2" width="16.3984375" style="3" customWidth="1"/>
    <col min="3" max="4" width="17.19921875" style="3" customWidth="1"/>
    <col min="5" max="5" width="18.19921875" style="3" customWidth="1"/>
    <col min="6" max="7" width="13.3984375" style="3" customWidth="1"/>
    <col min="8" max="8" width="11.3984375" style="3"/>
    <col min="9" max="9" width="15.796875" style="3" hidden="1" customWidth="1"/>
    <col min="10" max="16384" width="11.3984375" style="3"/>
  </cols>
  <sheetData>
    <row r="1" spans="1:9" ht="14" customHeight="1">
      <c r="A1" s="439"/>
      <c r="B1" s="38"/>
      <c r="C1" s="38"/>
      <c r="D1" s="38"/>
      <c r="E1" s="38"/>
      <c r="F1" s="38"/>
      <c r="G1" s="38"/>
      <c r="I1" s="38"/>
    </row>
    <row r="2" spans="1:9" ht="33.75" customHeight="1">
      <c r="A2" s="1302" t="s">
        <v>1436</v>
      </c>
      <c r="B2" s="1303"/>
      <c r="C2" s="1303"/>
      <c r="D2" s="1303"/>
      <c r="E2" s="1303"/>
      <c r="F2" s="1303"/>
      <c r="G2" s="1303"/>
      <c r="I2" s="38"/>
    </row>
    <row r="3" spans="1:9" ht="24" customHeight="1">
      <c r="A3" s="2" t="s">
        <v>415</v>
      </c>
      <c r="B3" s="74" t="s">
        <v>1665</v>
      </c>
      <c r="C3" s="17" t="s">
        <v>1666</v>
      </c>
      <c r="D3" s="74" t="s">
        <v>1664</v>
      </c>
      <c r="E3" s="17" t="s">
        <v>607</v>
      </c>
      <c r="F3" s="74" t="s">
        <v>1324</v>
      </c>
      <c r="G3" s="17" t="s">
        <v>609</v>
      </c>
      <c r="I3" s="17" t="s">
        <v>607</v>
      </c>
    </row>
    <row r="4" spans="1:9" ht="15" customHeight="1">
      <c r="A4" s="82"/>
      <c r="B4" s="75"/>
      <c r="C4" s="18"/>
      <c r="D4" s="75"/>
      <c r="E4" s="66"/>
      <c r="F4" s="75" t="s">
        <v>1325</v>
      </c>
      <c r="G4" s="18" t="s">
        <v>610</v>
      </c>
      <c r="I4" s="66">
        <v>1999</v>
      </c>
    </row>
    <row r="5" spans="1:9" ht="15" customHeight="1">
      <c r="A5" s="4"/>
      <c r="B5" s="75"/>
      <c r="C5" s="18"/>
      <c r="D5" s="75"/>
      <c r="E5" s="18"/>
      <c r="F5" s="75" t="s">
        <v>416</v>
      </c>
      <c r="G5" s="18" t="s">
        <v>611</v>
      </c>
      <c r="I5" s="18"/>
    </row>
    <row r="6" spans="1:9" ht="24" customHeight="1">
      <c r="A6" s="284"/>
      <c r="B6" s="445"/>
      <c r="C6" s="455"/>
      <c r="D6" s="445"/>
      <c r="E6" s="455"/>
      <c r="F6" s="78"/>
      <c r="G6" s="19"/>
      <c r="I6" s="455"/>
    </row>
    <row r="7" spans="1:9" ht="36" customHeight="1" thickBot="1">
      <c r="A7" s="456" t="s">
        <v>417</v>
      </c>
      <c r="B7" s="79">
        <v>3544960210</v>
      </c>
      <c r="C7" s="112">
        <v>5507651802</v>
      </c>
      <c r="D7" s="79">
        <v>927881088</v>
      </c>
      <c r="E7" s="112">
        <v>9980493100</v>
      </c>
      <c r="F7" s="457">
        <v>0.58380521596829993</v>
      </c>
      <c r="G7" s="458">
        <v>3.3201447257412781E-2</v>
      </c>
      <c r="I7" s="549">
        <v>6794064715</v>
      </c>
    </row>
    <row r="8" spans="1:9" ht="28.5" customHeight="1" thickBot="1">
      <c r="A8" s="456" t="s">
        <v>418</v>
      </c>
      <c r="B8" s="79">
        <v>2414950948</v>
      </c>
      <c r="C8" s="112">
        <v>3499176794</v>
      </c>
      <c r="D8" s="79">
        <v>115791335</v>
      </c>
      <c r="E8" s="112">
        <v>6029919077</v>
      </c>
      <c r="F8" s="457">
        <v>0.3527178641122809</v>
      </c>
      <c r="G8" s="458">
        <v>6.0839352732859855E-2</v>
      </c>
      <c r="I8" s="549">
        <v>5396193285</v>
      </c>
    </row>
    <row r="9" spans="1:9" ht="30.75" customHeight="1" thickBot="1">
      <c r="A9" s="456" t="s">
        <v>419</v>
      </c>
      <c r="B9" s="79">
        <v>4182202</v>
      </c>
      <c r="C9" s="112">
        <v>3598104</v>
      </c>
      <c r="D9" s="79">
        <v>179935</v>
      </c>
      <c r="E9" s="112">
        <v>7960241</v>
      </c>
      <c r="F9" s="457">
        <v>4.6563132398385368E-4</v>
      </c>
      <c r="G9" s="458">
        <v>-4.7995253515015629E-2</v>
      </c>
      <c r="I9" s="549">
        <v>15330070</v>
      </c>
    </row>
    <row r="10" spans="1:9" ht="34.5" customHeight="1" thickBot="1">
      <c r="A10" s="456" t="s">
        <v>420</v>
      </c>
      <c r="B10" s="79">
        <v>414805587</v>
      </c>
      <c r="C10" s="112">
        <v>588016287</v>
      </c>
      <c r="D10" s="79">
        <v>74393113</v>
      </c>
      <c r="E10" s="112">
        <v>1077214987</v>
      </c>
      <c r="F10" s="457">
        <v>6.3011288302962154E-2</v>
      </c>
      <c r="G10" s="458">
        <v>4.1569695205268299E-2</v>
      </c>
      <c r="I10" s="549">
        <v>828254703</v>
      </c>
    </row>
    <row r="11" spans="1:9" s="134" customFormat="1" ht="38.25" customHeight="1" thickBot="1">
      <c r="A11" s="547" t="s">
        <v>607</v>
      </c>
      <c r="B11" s="155">
        <v>6378898948</v>
      </c>
      <c r="C11" s="154">
        <v>9598442992</v>
      </c>
      <c r="D11" s="155">
        <v>1118245470</v>
      </c>
      <c r="E11" s="154">
        <v>17095587410</v>
      </c>
      <c r="F11" s="550">
        <v>1</v>
      </c>
      <c r="G11" s="548">
        <v>4.3275152634809487E-2</v>
      </c>
      <c r="I11" s="194">
        <v>13033842773</v>
      </c>
    </row>
    <row r="12" spans="1:9" ht="19.5" customHeight="1">
      <c r="A12" s="9" t="s">
        <v>1525</v>
      </c>
      <c r="B12" s="9"/>
      <c r="C12" s="9"/>
      <c r="D12" s="9"/>
      <c r="E12" s="9"/>
      <c r="F12" s="9"/>
      <c r="G12" s="9"/>
      <c r="I12" s="9"/>
    </row>
    <row r="14" spans="1:9">
      <c r="A14" s="3" t="s">
        <v>1098</v>
      </c>
    </row>
  </sheetData>
  <mergeCells count="1">
    <mergeCell ref="A2:G2"/>
  </mergeCells>
  <phoneticPr fontId="0" type="noConversion"/>
  <pageMargins left="0.45" right="0.34" top="1.46" bottom="0.49" header="0.93"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D5EE-3193-1446-B750-3AF6B1692510}">
  <dimension ref="A1:G14"/>
  <sheetViews>
    <sheetView zoomScale="75" workbookViewId="0">
      <selection activeCell="K8" sqref="K8"/>
    </sheetView>
  </sheetViews>
  <sheetFormatPr baseColWidth="10" defaultColWidth="11.3984375" defaultRowHeight="13"/>
  <cols>
    <col min="1" max="1" width="19.796875" style="3" customWidth="1"/>
    <col min="2" max="7" width="14.796875" style="3" customWidth="1"/>
    <col min="8" max="8" width="10.3984375" style="3" customWidth="1"/>
    <col min="9" max="16384" width="11.3984375" style="3"/>
  </cols>
  <sheetData>
    <row r="1" spans="1:7" ht="14" customHeight="1">
      <c r="A1" s="439"/>
      <c r="B1" s="38"/>
      <c r="C1" s="38"/>
      <c r="D1" s="38"/>
      <c r="E1" s="38"/>
      <c r="F1" s="38"/>
      <c r="G1" s="38"/>
    </row>
    <row r="2" spans="1:7" ht="36" customHeight="1">
      <c r="A2" s="1302" t="s">
        <v>1435</v>
      </c>
      <c r="B2" s="1303"/>
      <c r="C2" s="1303"/>
      <c r="D2" s="1303"/>
      <c r="E2" s="1303"/>
      <c r="F2" s="1303"/>
      <c r="G2" s="1303"/>
    </row>
    <row r="3" spans="1:7" ht="24" customHeight="1">
      <c r="A3" s="2" t="s">
        <v>415</v>
      </c>
      <c r="B3" s="74" t="s">
        <v>1665</v>
      </c>
      <c r="C3" s="17" t="s">
        <v>1666</v>
      </c>
      <c r="D3" s="74" t="s">
        <v>1664</v>
      </c>
      <c r="E3" s="17" t="s">
        <v>607</v>
      </c>
      <c r="F3" s="74" t="s">
        <v>1541</v>
      </c>
      <c r="G3" s="17" t="s">
        <v>609</v>
      </c>
    </row>
    <row r="4" spans="1:7" ht="15" customHeight="1">
      <c r="A4" s="82"/>
      <c r="B4" s="75"/>
      <c r="C4" s="18"/>
      <c r="D4" s="75"/>
      <c r="E4" s="66"/>
      <c r="F4" s="75" t="s">
        <v>1542</v>
      </c>
      <c r="G4" s="18" t="s">
        <v>610</v>
      </c>
    </row>
    <row r="5" spans="1:7" ht="15" customHeight="1">
      <c r="A5" s="4"/>
      <c r="B5" s="75"/>
      <c r="C5" s="18"/>
      <c r="D5" s="75"/>
      <c r="E5" s="18"/>
      <c r="F5" s="75" t="s">
        <v>1543</v>
      </c>
      <c r="G5" s="18" t="s">
        <v>611</v>
      </c>
    </row>
    <row r="6" spans="1:7" ht="24" customHeight="1">
      <c r="A6" s="284"/>
      <c r="B6" s="445"/>
      <c r="C6" s="455"/>
      <c r="D6" s="445"/>
      <c r="E6" s="455"/>
      <c r="F6" s="78"/>
      <c r="G6" s="19"/>
    </row>
    <row r="7" spans="1:7" ht="35.25" customHeight="1" thickBot="1">
      <c r="A7" s="456" t="s">
        <v>417</v>
      </c>
      <c r="B7" s="79">
        <v>3128.42</v>
      </c>
      <c r="C7" s="112">
        <v>3958.08</v>
      </c>
      <c r="D7" s="79">
        <v>720.39</v>
      </c>
      <c r="E7" s="112">
        <v>2617.71</v>
      </c>
      <c r="F7" s="79">
        <v>294.74</v>
      </c>
      <c r="G7" s="458">
        <v>5.2036990149624436E-2</v>
      </c>
    </row>
    <row r="8" spans="1:7" ht="30.75" customHeight="1" thickBot="1">
      <c r="A8" s="456" t="s">
        <v>418</v>
      </c>
      <c r="B8" s="79">
        <v>1682.92</v>
      </c>
      <c r="C8" s="112">
        <v>2553.64</v>
      </c>
      <c r="D8" s="79">
        <v>659.49</v>
      </c>
      <c r="E8" s="112">
        <v>2022.91</v>
      </c>
      <c r="F8" s="79">
        <v>-300.06</v>
      </c>
      <c r="G8" s="458">
        <v>8.525234194664567E-3</v>
      </c>
    </row>
    <row r="9" spans="1:7" ht="35.25" customHeight="1" thickBot="1">
      <c r="A9" s="456" t="s">
        <v>419</v>
      </c>
      <c r="B9" s="79">
        <v>766.81</v>
      </c>
      <c r="C9" s="112">
        <v>1213.94</v>
      </c>
      <c r="D9" s="79">
        <v>431.5</v>
      </c>
      <c r="E9" s="112">
        <v>900.99</v>
      </c>
      <c r="F9" s="79">
        <v>-1422</v>
      </c>
      <c r="G9" s="458">
        <v>6.5240462492320078E-3</v>
      </c>
    </row>
    <row r="10" spans="1:7" ht="34.5" customHeight="1" thickBot="1">
      <c r="A10" s="456" t="s">
        <v>420</v>
      </c>
      <c r="B10" s="79">
        <v>1847.96</v>
      </c>
      <c r="C10" s="112">
        <v>2695.02</v>
      </c>
      <c r="D10" s="79">
        <v>650.39</v>
      </c>
      <c r="E10" s="112">
        <v>1933.84</v>
      </c>
      <c r="F10" s="79">
        <v>-389.13</v>
      </c>
      <c r="G10" s="458">
        <v>0.1143161715981445</v>
      </c>
    </row>
    <row r="11" spans="1:7" ht="36" customHeight="1" thickBot="1">
      <c r="A11" s="547" t="s">
        <v>607</v>
      </c>
      <c r="B11" s="155">
        <v>2279.77</v>
      </c>
      <c r="C11" s="154">
        <v>3217.81</v>
      </c>
      <c r="D11" s="155">
        <v>708.46</v>
      </c>
      <c r="E11" s="154">
        <v>2322.9699999999998</v>
      </c>
      <c r="F11" s="155">
        <v>0</v>
      </c>
      <c r="G11" s="548">
        <v>3.7878821726484234E-2</v>
      </c>
    </row>
    <row r="12" spans="1:7" ht="19.5" customHeight="1">
      <c r="A12" s="9" t="s">
        <v>1525</v>
      </c>
      <c r="B12" s="9"/>
      <c r="C12" s="9"/>
      <c r="D12" s="9"/>
      <c r="E12" s="9"/>
      <c r="F12" s="9"/>
      <c r="G12" s="9"/>
    </row>
    <row r="14" spans="1:7">
      <c r="A14" s="3" t="s">
        <v>1097</v>
      </c>
    </row>
  </sheetData>
  <mergeCells count="1">
    <mergeCell ref="A2:G2"/>
  </mergeCells>
  <phoneticPr fontId="0" type="noConversion"/>
  <pageMargins left="0.48" right="0.42" top="1.46" bottom="0.49" header="0.93" footer="0.4921259845"/>
  <pageSetup paperSize="9" scale="75"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2F22-A76E-854A-A35C-38FB8FA89294}">
  <dimension ref="A1:G43"/>
  <sheetViews>
    <sheetView topLeftCell="A21" zoomScale="75" workbookViewId="0">
      <selection activeCell="B39" sqref="B39"/>
    </sheetView>
  </sheetViews>
  <sheetFormatPr baseColWidth="10" defaultColWidth="11.3984375" defaultRowHeight="13"/>
  <cols>
    <col min="1" max="1" width="13.3984375" style="3" customWidth="1"/>
    <col min="2" max="7" width="15.3984375" style="22" customWidth="1"/>
    <col min="8" max="16384" width="11.3984375" style="3"/>
  </cols>
  <sheetData>
    <row r="1" spans="1:7" s="1" customFormat="1" ht="14" customHeight="1">
      <c r="A1" s="62"/>
      <c r="B1" s="634"/>
      <c r="C1" s="634"/>
      <c r="D1" s="634"/>
      <c r="E1" s="634"/>
      <c r="F1" s="634"/>
      <c r="G1" s="634"/>
    </row>
    <row r="2" spans="1:7" s="1" customFormat="1" ht="41.25" customHeight="1">
      <c r="A2" s="1308" t="s">
        <v>1096</v>
      </c>
      <c r="B2" s="1303"/>
      <c r="C2" s="1303"/>
      <c r="D2" s="1303"/>
      <c r="E2" s="1303"/>
      <c r="F2" s="1303"/>
      <c r="G2" s="1303"/>
    </row>
    <row r="3" spans="1:7" ht="27" customHeight="1">
      <c r="A3" s="2" t="s">
        <v>335</v>
      </c>
      <c r="B3" s="74" t="s">
        <v>992</v>
      </c>
      <c r="C3" s="17" t="s">
        <v>609</v>
      </c>
      <c r="D3" s="74" t="s">
        <v>1089</v>
      </c>
      <c r="E3" s="17" t="s">
        <v>609</v>
      </c>
      <c r="F3" s="74" t="s">
        <v>1316</v>
      </c>
      <c r="G3" s="17" t="s">
        <v>609</v>
      </c>
    </row>
    <row r="4" spans="1:7" ht="15" customHeight="1">
      <c r="A4" s="82"/>
      <c r="B4" s="559" t="s">
        <v>342</v>
      </c>
      <c r="C4" s="635" t="s">
        <v>610</v>
      </c>
      <c r="D4" s="75" t="s">
        <v>1090</v>
      </c>
      <c r="E4" s="18" t="s">
        <v>610</v>
      </c>
      <c r="F4" s="75" t="s">
        <v>1091</v>
      </c>
      <c r="G4" s="18" t="s">
        <v>610</v>
      </c>
    </row>
    <row r="5" spans="1:7" ht="15" customHeight="1">
      <c r="A5" s="82"/>
      <c r="B5" s="559"/>
      <c r="C5" s="635" t="s">
        <v>611</v>
      </c>
      <c r="D5" s="559" t="s">
        <v>342</v>
      </c>
      <c r="E5" s="18" t="s">
        <v>611</v>
      </c>
      <c r="F5" s="559" t="s">
        <v>342</v>
      </c>
      <c r="G5" s="18" t="s">
        <v>611</v>
      </c>
    </row>
    <row r="6" spans="1:7" ht="27" customHeight="1">
      <c r="A6" s="283"/>
      <c r="B6" s="78"/>
      <c r="C6" s="19"/>
      <c r="D6" s="78"/>
      <c r="E6" s="19"/>
      <c r="F6" s="78" t="s">
        <v>1092</v>
      </c>
      <c r="G6" s="19"/>
    </row>
    <row r="7" spans="1:7" ht="30" customHeight="1" thickBot="1">
      <c r="A7" s="560">
        <v>1985</v>
      </c>
      <c r="B7" s="20">
        <v>4995.701</v>
      </c>
      <c r="C7" s="126" t="s">
        <v>487</v>
      </c>
      <c r="D7" s="20">
        <v>479.85300000000007</v>
      </c>
      <c r="E7" s="126" t="s">
        <v>487</v>
      </c>
      <c r="F7" s="20">
        <v>4888.7232730000005</v>
      </c>
      <c r="G7" s="126" t="s">
        <v>487</v>
      </c>
    </row>
    <row r="8" spans="1:7" ht="18" customHeight="1" thickBot="1">
      <c r="A8" s="561">
        <v>1986</v>
      </c>
      <c r="B8" s="30">
        <v>5219.1869999999999</v>
      </c>
      <c r="C8" s="26">
        <v>4.4735663723669584E-2</v>
      </c>
      <c r="D8" s="30">
        <v>517.38199999999961</v>
      </c>
      <c r="E8" s="26">
        <v>7.8209368285703199E-2</v>
      </c>
      <c r="F8" s="30">
        <v>5267.3928760000008</v>
      </c>
      <c r="G8" s="26">
        <v>7.7457770025838854E-2</v>
      </c>
    </row>
    <row r="9" spans="1:7" ht="18" customHeight="1" thickBot="1">
      <c r="A9" s="561">
        <v>1987</v>
      </c>
      <c r="B9" s="30">
        <v>5508.0529999999999</v>
      </c>
      <c r="C9" s="26">
        <v>5.5346934302219868E-2</v>
      </c>
      <c r="D9" s="30">
        <v>615.6269999999995</v>
      </c>
      <c r="E9" s="26">
        <v>0.18988870892300072</v>
      </c>
      <c r="F9" s="30">
        <v>5684.4304260000008</v>
      </c>
      <c r="G9" s="26">
        <v>7.9173427883111241E-2</v>
      </c>
    </row>
    <row r="10" spans="1:7" ht="18" customHeight="1" thickBot="1">
      <c r="A10" s="561">
        <v>1988</v>
      </c>
      <c r="B10" s="30">
        <v>5863.0439999999999</v>
      </c>
      <c r="C10" s="26">
        <v>6.444945246532667E-2</v>
      </c>
      <c r="D10" s="30">
        <v>708.31500000000005</v>
      </c>
      <c r="E10" s="26">
        <v>0.15055869869255276</v>
      </c>
      <c r="F10" s="30">
        <v>5965.9517820000001</v>
      </c>
      <c r="G10" s="26">
        <v>4.952498929573481E-2</v>
      </c>
    </row>
    <row r="11" spans="1:7" ht="18" customHeight="1" thickBot="1">
      <c r="A11" s="561">
        <v>1989</v>
      </c>
      <c r="B11" s="30">
        <v>6426.6729999999998</v>
      </c>
      <c r="C11" s="26">
        <v>9.613248681060553E-2</v>
      </c>
      <c r="D11" s="30">
        <v>755.38799999999992</v>
      </c>
      <c r="E11" s="26">
        <v>6.6457720082167326E-2</v>
      </c>
      <c r="F11" s="30">
        <v>6405.9268600000005</v>
      </c>
      <c r="G11" s="26">
        <v>7.3747675823907691E-2</v>
      </c>
    </row>
    <row r="12" spans="1:7" ht="18" customHeight="1" thickBot="1">
      <c r="A12" s="561">
        <v>1990</v>
      </c>
      <c r="B12" s="30">
        <v>6953.5550000000003</v>
      </c>
      <c r="C12" s="26">
        <v>8.1983632899946909E-2</v>
      </c>
      <c r="D12" s="30">
        <v>801.30899999999929</v>
      </c>
      <c r="E12" s="26">
        <v>6.0791275476972592E-2</v>
      </c>
      <c r="F12" s="30">
        <v>6849.9295110000003</v>
      </c>
      <c r="G12" s="26">
        <v>6.9311227040765769E-2</v>
      </c>
    </row>
    <row r="13" spans="1:7" ht="18" customHeight="1" thickBot="1">
      <c r="A13" s="561">
        <v>1991</v>
      </c>
      <c r="B13" s="30">
        <v>7507.79</v>
      </c>
      <c r="C13" s="26">
        <v>7.9705273058169476E-2</v>
      </c>
      <c r="D13" s="30">
        <v>991.54100000000017</v>
      </c>
      <c r="E13" s="26">
        <v>0.23740155171101415</v>
      </c>
      <c r="F13" s="30">
        <v>7579.4598309999992</v>
      </c>
      <c r="G13" s="26">
        <v>0.10650187258547381</v>
      </c>
    </row>
    <row r="14" spans="1:7" ht="18" customHeight="1" thickBot="1">
      <c r="A14" s="561">
        <v>1992</v>
      </c>
      <c r="B14" s="30">
        <v>8082.1289999999999</v>
      </c>
      <c r="C14" s="26">
        <v>7.6499076292757248E-2</v>
      </c>
      <c r="D14" s="30">
        <v>1108.1890000000003</v>
      </c>
      <c r="E14" s="26">
        <v>0.11764314334959433</v>
      </c>
      <c r="F14" s="30">
        <v>8288.9794139999995</v>
      </c>
      <c r="G14" s="26">
        <v>9.3610837555740359E-2</v>
      </c>
    </row>
    <row r="15" spans="1:7" ht="18" customHeight="1" thickBot="1">
      <c r="A15" s="561">
        <v>1993</v>
      </c>
      <c r="B15" s="30">
        <v>8977.9629999999997</v>
      </c>
      <c r="C15" s="26">
        <v>0.1108413389590787</v>
      </c>
      <c r="D15" s="30">
        <v>1190.855</v>
      </c>
      <c r="E15" s="26">
        <v>7.4595578912980923E-2</v>
      </c>
      <c r="F15" s="30">
        <v>8887.7865050000019</v>
      </c>
      <c r="G15" s="26">
        <v>7.2241353379237913E-2</v>
      </c>
    </row>
    <row r="16" spans="1:7" ht="18" customHeight="1" thickBot="1">
      <c r="A16" s="561">
        <v>1994</v>
      </c>
      <c r="B16" s="30">
        <v>9068.8770000000004</v>
      </c>
      <c r="C16" s="26">
        <v>1.0126350487298808E-2</v>
      </c>
      <c r="D16" s="30">
        <v>1259.2739999999994</v>
      </c>
      <c r="E16" s="26">
        <v>5.7453678239585693E-2</v>
      </c>
      <c r="F16" s="30">
        <v>9549.125</v>
      </c>
      <c r="G16" s="26">
        <v>7.4409808857126461E-2</v>
      </c>
    </row>
    <row r="17" spans="1:7" ht="18" customHeight="1" thickBot="1">
      <c r="A17" s="561">
        <v>1995</v>
      </c>
      <c r="B17" s="30">
        <v>9160.0470000000005</v>
      </c>
      <c r="C17" s="26">
        <v>1.005306390195832E-2</v>
      </c>
      <c r="D17" s="30">
        <v>1290.1959999999999</v>
      </c>
      <c r="E17" s="26">
        <v>2.4555418439513952E-2</v>
      </c>
      <c r="F17" s="30">
        <v>10017.201999999999</v>
      </c>
      <c r="G17" s="26">
        <v>4.901778958805119E-2</v>
      </c>
    </row>
    <row r="18" spans="1:7" ht="18" customHeight="1" thickBot="1">
      <c r="A18" s="561">
        <v>1996</v>
      </c>
      <c r="B18" s="30">
        <v>11130.63582</v>
      </c>
      <c r="C18" s="26">
        <v>0.21512868001659805</v>
      </c>
      <c r="D18" s="30">
        <v>1678.5317379999997</v>
      </c>
      <c r="E18" s="26">
        <v>0.30098972404192836</v>
      </c>
      <c r="F18" s="30">
        <v>10780.485509</v>
      </c>
      <c r="G18" s="26">
        <v>7.6197276345231019E-2</v>
      </c>
    </row>
    <row r="19" spans="1:7" ht="18" customHeight="1" thickBot="1">
      <c r="A19" s="561">
        <v>1997</v>
      </c>
      <c r="B19" s="30">
        <v>12040.684128000001</v>
      </c>
      <c r="C19" s="26">
        <v>8.1760675914379286E-2</v>
      </c>
      <c r="D19" s="30">
        <v>1777.9823429999997</v>
      </c>
      <c r="E19" s="26">
        <v>5.9248569895078158E-2</v>
      </c>
      <c r="F19" s="30">
        <v>11360.495192</v>
      </c>
      <c r="G19" s="26">
        <v>5.3801814632168828E-2</v>
      </c>
    </row>
    <row r="20" spans="1:7" ht="18" customHeight="1" thickBot="1">
      <c r="A20" s="561">
        <v>1998</v>
      </c>
      <c r="B20" s="30">
        <v>12708.270148</v>
      </c>
      <c r="C20" s="26">
        <v>5.5444193444752973E-2</v>
      </c>
      <c r="D20" s="30">
        <v>2097.2327999999998</v>
      </c>
      <c r="E20" s="26">
        <v>0.17955772072591394</v>
      </c>
      <c r="F20" s="30">
        <v>11926.859852</v>
      </c>
      <c r="G20" s="26">
        <v>4.9853870841724421E-2</v>
      </c>
    </row>
    <row r="21" spans="1:7" ht="18" customHeight="1" thickBot="1">
      <c r="A21" s="561">
        <v>1999</v>
      </c>
      <c r="B21" s="30">
        <v>13033.842773</v>
      </c>
      <c r="C21" s="26">
        <v>2.5618956884642448E-2</v>
      </c>
      <c r="D21" s="30">
        <v>2189.9011839999985</v>
      </c>
      <c r="E21" s="26">
        <v>4.4186026463060614E-2</v>
      </c>
      <c r="F21" s="30">
        <v>12430.609334000001</v>
      </c>
      <c r="G21" s="26">
        <v>4.2236555828693498E-2</v>
      </c>
    </row>
    <row r="22" spans="1:7" ht="18" customHeight="1" thickBot="1">
      <c r="A22" s="561">
        <v>2000</v>
      </c>
      <c r="B22" s="30">
        <v>13441.654683999999</v>
      </c>
      <c r="C22" s="26">
        <v>3.1288693450007975E-2</v>
      </c>
      <c r="D22" s="30">
        <v>2288.0175450000006</v>
      </c>
      <c r="E22" s="26">
        <v>4.4804012946733134E-2</v>
      </c>
      <c r="F22" s="30">
        <v>13190.309896999999</v>
      </c>
      <c r="G22" s="26">
        <v>6.1115311614055624E-2</v>
      </c>
    </row>
    <row r="23" spans="1:7" ht="18" customHeight="1" thickBot="1">
      <c r="A23" s="561">
        <v>2001</v>
      </c>
      <c r="B23" s="30">
        <v>13997.312406999999</v>
      </c>
      <c r="C23" s="26">
        <v>4.1338491135426661E-2</v>
      </c>
      <c r="D23" s="30">
        <v>2400.1895337599999</v>
      </c>
      <c r="E23" s="26">
        <v>4.9025842920273267E-2</v>
      </c>
      <c r="F23" s="30">
        <v>13986.271283239999</v>
      </c>
      <c r="G23" s="26">
        <v>6.0344403767271106E-2</v>
      </c>
    </row>
    <row r="24" spans="1:7" s="36" customFormat="1" ht="30" customHeight="1" thickBot="1">
      <c r="A24" s="562">
        <v>2002</v>
      </c>
      <c r="B24" s="136">
        <v>15355.045231</v>
      </c>
      <c r="C24" s="636">
        <v>9.6999537091206442E-2</v>
      </c>
      <c r="D24" s="136">
        <v>2502.8303660499987</v>
      </c>
      <c r="E24" s="636">
        <v>4.2763636307174266E-2</v>
      </c>
      <c r="F24" s="136">
        <v>14592.757043950001</v>
      </c>
      <c r="G24" s="636">
        <v>4.3362934153634278E-2</v>
      </c>
    </row>
    <row r="25" spans="1:7" ht="20" customHeight="1">
      <c r="A25" s="637"/>
      <c r="B25" s="638"/>
      <c r="C25" s="638"/>
      <c r="D25" s="638"/>
      <c r="E25" s="638"/>
      <c r="F25" s="638"/>
      <c r="G25" s="638"/>
    </row>
    <row r="26" spans="1:7" ht="20" customHeight="1">
      <c r="A26" s="639" t="s">
        <v>5</v>
      </c>
      <c r="B26" s="640"/>
      <c r="C26" s="640"/>
      <c r="D26" s="640"/>
      <c r="E26" s="640"/>
      <c r="F26" s="640"/>
      <c r="G26" s="640"/>
    </row>
    <row r="27" spans="1:7" ht="20" customHeight="1" thickBot="1">
      <c r="A27" s="641">
        <v>2003</v>
      </c>
      <c r="B27" s="593">
        <v>16841</v>
      </c>
      <c r="C27" s="642">
        <v>9.6773063618206409E-2</v>
      </c>
      <c r="D27" s="593">
        <v>2666</v>
      </c>
      <c r="E27" s="642">
        <v>6.5194044376054888E-2</v>
      </c>
      <c r="F27" s="593">
        <v>15382</v>
      </c>
      <c r="G27" s="642">
        <v>5.4084567684706993E-2</v>
      </c>
    </row>
    <row r="28" spans="1:7" ht="20" customHeight="1" thickBot="1">
      <c r="A28" s="643">
        <v>2004</v>
      </c>
      <c r="B28" s="644">
        <v>18075</v>
      </c>
      <c r="C28" s="645">
        <v>7.3273558577281628E-2</v>
      </c>
      <c r="D28" s="644">
        <v>3044</v>
      </c>
      <c r="E28" s="645">
        <v>0.14178544636159041</v>
      </c>
      <c r="F28" s="644">
        <v>16330</v>
      </c>
      <c r="G28" s="645">
        <v>6.1630477181120788E-2</v>
      </c>
    </row>
    <row r="29" spans="1:7" ht="15.75" customHeight="1">
      <c r="A29" s="646" t="s">
        <v>1525</v>
      </c>
      <c r="B29" s="647"/>
      <c r="C29" s="647"/>
      <c r="D29" s="647"/>
      <c r="E29" s="647"/>
      <c r="F29" s="647"/>
      <c r="G29" s="647"/>
    </row>
    <row r="30" spans="1:7" ht="12.75" customHeight="1">
      <c r="A30" s="646"/>
      <c r="B30" s="647"/>
      <c r="C30" s="647"/>
      <c r="D30" s="647"/>
      <c r="E30" s="647"/>
      <c r="F30" s="647"/>
      <c r="G30" s="647"/>
    </row>
    <row r="31" spans="1:7" ht="12.75" customHeight="1">
      <c r="A31" s="646" t="s">
        <v>1093</v>
      </c>
      <c r="B31" s="647"/>
      <c r="C31" s="647"/>
      <c r="D31" s="647"/>
      <c r="E31" s="647"/>
      <c r="F31" s="647"/>
      <c r="G31" s="647"/>
    </row>
    <row r="32" spans="1:7" ht="12.75" customHeight="1">
      <c r="A32" s="646" t="s">
        <v>1094</v>
      </c>
      <c r="B32" s="647"/>
      <c r="C32" s="647"/>
      <c r="D32" s="647"/>
      <c r="E32" s="647"/>
      <c r="F32" s="647"/>
      <c r="G32" s="647"/>
    </row>
    <row r="33" spans="1:7" ht="12.75" customHeight="1">
      <c r="A33" s="648"/>
      <c r="B33" s="649"/>
      <c r="C33" s="649"/>
      <c r="D33" s="649"/>
      <c r="E33" s="649"/>
      <c r="F33" s="649"/>
      <c r="G33" s="649"/>
    </row>
    <row r="34" spans="1:7" ht="18" customHeight="1">
      <c r="A34" s="39" t="s">
        <v>1095</v>
      </c>
      <c r="B34" s="649"/>
      <c r="C34" s="649"/>
      <c r="D34" s="649"/>
      <c r="E34" s="649"/>
      <c r="F34" s="649"/>
      <c r="G34" s="649"/>
    </row>
    <row r="35" spans="1:7" ht="31" customHeight="1">
      <c r="A35" s="39"/>
      <c r="B35" s="649"/>
      <c r="C35" s="649"/>
      <c r="D35" s="649"/>
      <c r="E35" s="649"/>
      <c r="F35" s="649"/>
      <c r="G35" s="649"/>
    </row>
    <row r="36" spans="1:7" ht="31" customHeight="1">
      <c r="A36" s="39"/>
      <c r="B36" s="649"/>
      <c r="C36" s="649"/>
      <c r="D36" s="649"/>
      <c r="E36" s="649"/>
      <c r="F36" s="649"/>
      <c r="G36" s="649"/>
    </row>
    <row r="37" spans="1:7" ht="31" customHeight="1">
      <c r="A37" s="39"/>
      <c r="B37" s="649"/>
      <c r="C37" s="649"/>
      <c r="D37" s="649"/>
      <c r="E37" s="649"/>
      <c r="F37" s="649"/>
      <c r="G37" s="649"/>
    </row>
    <row r="38" spans="1:7" ht="31" customHeight="1">
      <c r="A38" s="39"/>
      <c r="B38" s="649"/>
      <c r="C38" s="649"/>
      <c r="D38" s="649"/>
      <c r="E38" s="649"/>
      <c r="F38" s="649"/>
      <c r="G38" s="649"/>
    </row>
    <row r="39" spans="1:7" ht="31" customHeight="1">
      <c r="A39" s="39"/>
      <c r="B39" s="649"/>
      <c r="C39" s="649"/>
      <c r="D39" s="649"/>
      <c r="E39" s="649"/>
      <c r="F39" s="649"/>
      <c r="G39" s="649"/>
    </row>
    <row r="40" spans="1:7" ht="31" customHeight="1">
      <c r="A40" s="39"/>
      <c r="B40" s="649"/>
      <c r="C40" s="649"/>
      <c r="D40" s="649"/>
      <c r="E40" s="649"/>
      <c r="F40" s="649"/>
      <c r="G40" s="649"/>
    </row>
    <row r="41" spans="1:7" ht="31" customHeight="1">
      <c r="A41" s="39"/>
      <c r="B41" s="649"/>
      <c r="C41" s="649"/>
      <c r="D41" s="649"/>
      <c r="E41" s="649"/>
      <c r="F41" s="649"/>
      <c r="G41" s="649"/>
    </row>
    <row r="42" spans="1:7" ht="31" customHeight="1">
      <c r="A42" s="39"/>
      <c r="B42" s="649"/>
      <c r="C42" s="649"/>
      <c r="D42" s="649"/>
      <c r="E42" s="649"/>
      <c r="F42" s="649"/>
      <c r="G42" s="649"/>
    </row>
    <row r="43" spans="1:7">
      <c r="A43" s="247"/>
      <c r="B43" s="650"/>
      <c r="C43" s="650"/>
      <c r="D43" s="650"/>
      <c r="E43" s="650"/>
      <c r="F43" s="650"/>
      <c r="G43" s="650"/>
    </row>
  </sheetData>
  <mergeCells count="1">
    <mergeCell ref="A2:G2"/>
  </mergeCells>
  <phoneticPr fontId="0" type="noConversion"/>
  <pageMargins left="0.78740157480314965" right="0.78740157480314965" top="1.03" bottom="0.49" header="0.55000000000000004"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94F6-700A-1349-AB8E-E8FF14C892DF}">
  <dimension ref="A1:K21"/>
  <sheetViews>
    <sheetView zoomScale="75" workbookViewId="0">
      <selection activeCell="A20" sqref="A20"/>
    </sheetView>
  </sheetViews>
  <sheetFormatPr baseColWidth="10" defaultColWidth="11.3984375" defaultRowHeight="13"/>
  <cols>
    <col min="1" max="1" width="20.796875" style="3" customWidth="1"/>
    <col min="2" max="5" width="14" style="3" customWidth="1"/>
    <col min="6" max="6" width="14.796875" style="3" customWidth="1"/>
    <col min="7" max="7" width="13.796875" style="3" customWidth="1"/>
    <col min="8" max="16384" width="11.3984375" style="3"/>
  </cols>
  <sheetData>
    <row r="1" spans="1:11" s="1" customFormat="1" ht="14" customHeight="1"/>
    <row r="2" spans="1:11" s="1" customFormat="1" ht="28" customHeight="1">
      <c r="A2" s="64" t="s">
        <v>1087</v>
      </c>
    </row>
    <row r="3" spans="1:11" ht="24" customHeight="1">
      <c r="A3" s="2" t="s">
        <v>1088</v>
      </c>
      <c r="B3" s="74" t="s">
        <v>1665</v>
      </c>
      <c r="C3" s="17" t="s">
        <v>1666</v>
      </c>
      <c r="D3" s="74" t="s">
        <v>1670</v>
      </c>
      <c r="E3" s="17" t="s">
        <v>455</v>
      </c>
      <c r="F3" s="74" t="s">
        <v>607</v>
      </c>
      <c r="G3" s="17" t="s">
        <v>609</v>
      </c>
    </row>
    <row r="4" spans="1:11" ht="15" customHeight="1">
      <c r="A4" s="82"/>
      <c r="B4" s="75"/>
      <c r="C4" s="18"/>
      <c r="D4" s="75"/>
      <c r="E4" s="66"/>
      <c r="F4" s="75"/>
      <c r="G4" s="18" t="s">
        <v>610</v>
      </c>
    </row>
    <row r="5" spans="1:11" ht="15" customHeight="1">
      <c r="A5" s="82"/>
      <c r="B5" s="75"/>
      <c r="C5" s="18"/>
      <c r="D5" s="75"/>
      <c r="E5" s="66"/>
      <c r="F5" s="75"/>
      <c r="G5" s="18" t="s">
        <v>611</v>
      </c>
    </row>
    <row r="6" spans="1:11" ht="24" customHeight="1">
      <c r="A6" s="83"/>
      <c r="B6" s="78"/>
      <c r="C6" s="19"/>
      <c r="D6" s="78"/>
      <c r="E6" s="67"/>
      <c r="F6" s="78"/>
      <c r="G6" s="19"/>
    </row>
    <row r="7" spans="1:11" ht="20" customHeight="1" thickBot="1">
      <c r="A7" s="632">
        <v>1995</v>
      </c>
      <c r="B7" s="79">
        <v>2819147</v>
      </c>
      <c r="C7" s="68">
        <v>2987779</v>
      </c>
      <c r="D7" s="29">
        <v>5806926</v>
      </c>
      <c r="E7" s="68">
        <v>1295411</v>
      </c>
      <c r="F7" s="29">
        <v>7102337</v>
      </c>
      <c r="G7" s="25" t="s">
        <v>490</v>
      </c>
      <c r="H7" s="43"/>
    </row>
    <row r="8" spans="1:11" ht="20" customHeight="1" thickBot="1">
      <c r="A8" s="85">
        <v>1996</v>
      </c>
      <c r="B8" s="30">
        <v>2792349</v>
      </c>
      <c r="C8" s="122">
        <v>2968829</v>
      </c>
      <c r="D8" s="30">
        <v>5761178</v>
      </c>
      <c r="E8" s="122">
        <v>1471489</v>
      </c>
      <c r="F8" s="30">
        <v>7232667</v>
      </c>
      <c r="G8" s="26">
        <v>1.8350297937143788E-2</v>
      </c>
    </row>
    <row r="9" spans="1:11" ht="20" customHeight="1" thickBot="1">
      <c r="A9" s="85">
        <v>1997</v>
      </c>
      <c r="B9" s="30">
        <v>2750986</v>
      </c>
      <c r="C9" s="122">
        <v>2929423</v>
      </c>
      <c r="D9" s="30">
        <v>5680409</v>
      </c>
      <c r="E9" s="122">
        <v>1556062</v>
      </c>
      <c r="F9" s="30">
        <v>7236471</v>
      </c>
      <c r="G9" s="26">
        <v>5.2594706765844463E-4</v>
      </c>
      <c r="I9" s="45"/>
      <c r="J9" s="45"/>
      <c r="K9" s="45"/>
    </row>
    <row r="10" spans="1:11" ht="20" customHeight="1" thickBot="1">
      <c r="A10" s="85">
        <v>1998</v>
      </c>
      <c r="B10" s="30">
        <v>2746839</v>
      </c>
      <c r="C10" s="122">
        <v>2927739</v>
      </c>
      <c r="D10" s="30">
        <v>5674578</v>
      </c>
      <c r="E10" s="122">
        <v>1572038</v>
      </c>
      <c r="F10" s="30">
        <v>7246616</v>
      </c>
      <c r="G10" s="26">
        <v>1.401926436242196E-3</v>
      </c>
    </row>
    <row r="11" spans="1:11" ht="20" customHeight="1" thickBot="1">
      <c r="A11" s="85">
        <v>1999</v>
      </c>
      <c r="B11" s="30">
        <v>2760031</v>
      </c>
      <c r="C11" s="122">
        <v>2940891</v>
      </c>
      <c r="D11" s="30">
        <v>5700922</v>
      </c>
      <c r="E11" s="122">
        <v>1569600</v>
      </c>
      <c r="F11" s="30">
        <v>7270522</v>
      </c>
      <c r="G11" s="26">
        <v>3.298919109278041E-3</v>
      </c>
    </row>
    <row r="12" spans="1:11" ht="20" customHeight="1" thickBot="1">
      <c r="A12" s="85">
        <v>2000</v>
      </c>
      <c r="B12" s="30">
        <v>2758998</v>
      </c>
      <c r="C12" s="122">
        <v>2947662</v>
      </c>
      <c r="D12" s="30">
        <v>5706660</v>
      </c>
      <c r="E12" s="122">
        <v>1558453</v>
      </c>
      <c r="F12" s="30">
        <v>7265113</v>
      </c>
      <c r="G12" s="26">
        <v>-7.4396308820742166E-4</v>
      </c>
    </row>
    <row r="13" spans="1:11" ht="20" customHeight="1" thickBot="1">
      <c r="A13" s="85">
        <v>2001</v>
      </c>
      <c r="B13" s="30">
        <v>2778660</v>
      </c>
      <c r="C13" s="122">
        <v>2968477</v>
      </c>
      <c r="D13" s="30">
        <v>5747137</v>
      </c>
      <c r="E13" s="122">
        <v>1553913</v>
      </c>
      <c r="F13" s="30">
        <v>7301050</v>
      </c>
      <c r="G13" s="26">
        <v>4.9465163170896312E-3</v>
      </c>
    </row>
    <row r="14" spans="1:11" ht="30" customHeight="1" thickBot="1">
      <c r="A14" s="135">
        <v>2002</v>
      </c>
      <c r="B14" s="136">
        <v>2803463</v>
      </c>
      <c r="C14" s="138">
        <v>2992002</v>
      </c>
      <c r="D14" s="136">
        <v>5795465</v>
      </c>
      <c r="E14" s="138">
        <v>1549167</v>
      </c>
      <c r="F14" s="136">
        <v>7344632</v>
      </c>
      <c r="G14" s="35">
        <v>5.9692783914642418E-3</v>
      </c>
    </row>
    <row r="15" spans="1:11" ht="20" customHeight="1">
      <c r="A15" s="9" t="s">
        <v>1525</v>
      </c>
      <c r="B15" s="151"/>
      <c r="C15" s="151"/>
      <c r="D15" s="151"/>
      <c r="E15" s="151"/>
      <c r="F15" s="151"/>
      <c r="G15" s="271"/>
    </row>
    <row r="16" spans="1:11" ht="20" customHeight="1">
      <c r="A16" s="38"/>
      <c r="B16" s="152"/>
      <c r="C16" s="152"/>
      <c r="D16" s="152"/>
      <c r="E16" s="152"/>
      <c r="F16" s="152"/>
      <c r="G16" s="272"/>
    </row>
    <row r="17" spans="1:7" ht="12.75" customHeight="1">
      <c r="A17" s="633" t="s">
        <v>1084</v>
      </c>
      <c r="B17" s="152"/>
      <c r="C17" s="152"/>
      <c r="D17" s="152"/>
      <c r="E17" s="152"/>
      <c r="F17" s="152"/>
      <c r="G17" s="272"/>
    </row>
    <row r="18" spans="1:7" ht="12.75" customHeight="1">
      <c r="A18" s="3" t="s">
        <v>450</v>
      </c>
    </row>
    <row r="19" spans="1:7" ht="12.75" customHeight="1">
      <c r="A19" s="438" t="s">
        <v>1085</v>
      </c>
    </row>
    <row r="21" spans="1:7">
      <c r="A21" s="3" t="s">
        <v>1086</v>
      </c>
    </row>
  </sheetData>
  <phoneticPr fontId="0" type="noConversion"/>
  <pageMargins left="0.5" right="0.28999999999999998" top="1.46" bottom="0.49" header="0.95"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8B96-D5A4-3347-BB28-DA7F8CE6205B}">
  <dimension ref="A1:P44"/>
  <sheetViews>
    <sheetView topLeftCell="A22" zoomScale="75" workbookViewId="0">
      <selection activeCell="B34" sqref="B34"/>
    </sheetView>
  </sheetViews>
  <sheetFormatPr baseColWidth="10" defaultColWidth="11.3984375" defaultRowHeight="13"/>
  <cols>
    <col min="1" max="1" width="3.796875" style="3" customWidth="1"/>
    <col min="2" max="2" width="47.19921875" style="3" customWidth="1"/>
    <col min="3" max="3" width="0.19921875" style="631" customWidth="1"/>
    <col min="4" max="4" width="10.19921875" style="631" hidden="1" customWidth="1"/>
    <col min="5" max="6" width="12.19921875" style="631" customWidth="1"/>
    <col min="7" max="9" width="12.19921875" style="3" customWidth="1"/>
    <col min="10" max="10" width="12.19921875" style="36" customWidth="1"/>
    <col min="11" max="11" width="13.59765625" style="3" customWidth="1"/>
    <col min="12" max="12" width="12.796875" style="3" customWidth="1"/>
    <col min="13" max="13" width="11.3984375" style="3"/>
    <col min="14" max="14" width="12.19921875" style="3" customWidth="1"/>
    <col min="15" max="15" width="11.3984375" style="3"/>
    <col min="16" max="16" width="11.796875" style="3" customWidth="1"/>
    <col min="17" max="16384" width="11.3984375" style="3"/>
  </cols>
  <sheetData>
    <row r="1" spans="2:16" ht="18">
      <c r="B1" s="567"/>
      <c r="C1" s="157"/>
      <c r="D1" s="157"/>
      <c r="E1" s="157"/>
      <c r="F1" s="157"/>
      <c r="G1" s="247"/>
      <c r="H1" s="247"/>
      <c r="I1" s="247"/>
      <c r="J1" s="568"/>
    </row>
    <row r="2" spans="2:16" ht="26.25" customHeight="1" thickBot="1">
      <c r="B2" s="569" t="s">
        <v>87</v>
      </c>
      <c r="C2" s="570"/>
      <c r="D2" s="570"/>
      <c r="E2" s="570"/>
      <c r="F2" s="570"/>
      <c r="G2" s="571"/>
      <c r="H2" s="571"/>
      <c r="I2" s="571"/>
      <c r="J2" s="572"/>
      <c r="K2" s="572"/>
      <c r="L2" s="573"/>
      <c r="M2" s="573"/>
      <c r="N2" s="573"/>
      <c r="O2" s="573"/>
      <c r="P2" s="573"/>
    </row>
    <row r="3" spans="2:16" ht="72.75" customHeight="1">
      <c r="B3" s="574" t="s">
        <v>88</v>
      </c>
      <c r="C3" s="575">
        <v>1994</v>
      </c>
      <c r="D3" s="295">
        <v>1995</v>
      </c>
      <c r="E3" s="576">
        <v>1996</v>
      </c>
      <c r="F3" s="574">
        <v>1997</v>
      </c>
      <c r="G3" s="576">
        <v>1998</v>
      </c>
      <c r="H3" s="574">
        <v>1999</v>
      </c>
      <c r="I3" s="576">
        <v>2000</v>
      </c>
      <c r="J3" s="295">
        <v>2001</v>
      </c>
      <c r="K3" s="575">
        <v>2002</v>
      </c>
      <c r="L3" s="577" t="s">
        <v>89</v>
      </c>
      <c r="M3" s="578" t="s">
        <v>90</v>
      </c>
      <c r="N3" s="577" t="s">
        <v>91</v>
      </c>
      <c r="O3" s="579" t="s">
        <v>92</v>
      </c>
      <c r="P3" s="580" t="s">
        <v>93</v>
      </c>
    </row>
    <row r="4" spans="2:16" ht="14" customHeight="1">
      <c r="B4" s="574"/>
      <c r="C4" s="576"/>
      <c r="D4" s="574"/>
      <c r="E4" s="576"/>
      <c r="F4" s="574"/>
      <c r="G4" s="576"/>
      <c r="H4" s="574"/>
      <c r="I4" s="576"/>
      <c r="J4" s="295"/>
      <c r="K4" s="581"/>
      <c r="L4" s="574"/>
      <c r="M4" s="576"/>
      <c r="N4" s="574"/>
      <c r="O4" s="576"/>
      <c r="P4" s="295"/>
    </row>
    <row r="5" spans="2:16" ht="9.75" customHeight="1">
      <c r="B5" s="582"/>
      <c r="C5" s="583"/>
      <c r="D5" s="582"/>
      <c r="E5" s="583"/>
      <c r="F5" s="582"/>
      <c r="G5" s="583"/>
      <c r="H5" s="582"/>
      <c r="I5" s="583"/>
      <c r="J5" s="297"/>
      <c r="K5" s="584"/>
      <c r="L5" s="585"/>
      <c r="M5" s="584"/>
      <c r="N5" s="585"/>
      <c r="O5" s="584"/>
      <c r="P5" s="297"/>
    </row>
    <row r="6" spans="2:16" ht="20" customHeight="1" thickBot="1">
      <c r="B6" s="586" t="s">
        <v>94</v>
      </c>
      <c r="C6" s="68" t="s">
        <v>487</v>
      </c>
      <c r="D6" s="29" t="s">
        <v>487</v>
      </c>
      <c r="E6" s="587">
        <v>145</v>
      </c>
      <c r="F6" s="588">
        <v>129</v>
      </c>
      <c r="G6" s="587">
        <v>118</v>
      </c>
      <c r="H6" s="588">
        <v>109</v>
      </c>
      <c r="I6" s="587">
        <v>101</v>
      </c>
      <c r="J6" s="588">
        <v>99</v>
      </c>
      <c r="K6" s="589">
        <v>93</v>
      </c>
      <c r="L6" s="590">
        <v>-6.0606060606060552E-2</v>
      </c>
      <c r="M6" s="591">
        <v>-0.35862068965517246</v>
      </c>
      <c r="N6" s="590">
        <v>-7.1349084841997978E-2</v>
      </c>
      <c r="O6" s="592" t="s">
        <v>490</v>
      </c>
      <c r="P6" s="593" t="s">
        <v>490</v>
      </c>
    </row>
    <row r="7" spans="2:16" ht="16" customHeight="1" thickBot="1">
      <c r="B7" s="594" t="s">
        <v>95</v>
      </c>
      <c r="C7" s="302">
        <v>7131653</v>
      </c>
      <c r="D7" s="314">
        <v>7166317</v>
      </c>
      <c r="E7" s="302">
        <v>7194754</v>
      </c>
      <c r="F7" s="314">
        <v>7214805</v>
      </c>
      <c r="G7" s="302">
        <v>7248603</v>
      </c>
      <c r="H7" s="314">
        <v>7266534</v>
      </c>
      <c r="I7" s="302">
        <v>7268111</v>
      </c>
      <c r="J7" s="314">
        <v>7321287</v>
      </c>
      <c r="K7" s="595">
        <v>7359365</v>
      </c>
      <c r="L7" s="590">
        <v>5.2009981305198849E-3</v>
      </c>
      <c r="M7" s="591">
        <v>2.2879309007646453E-2</v>
      </c>
      <c r="N7" s="590">
        <v>3.7773667514067188E-3</v>
      </c>
      <c r="O7" s="596">
        <v>7381788.5</v>
      </c>
      <c r="P7" s="597">
        <v>7362825</v>
      </c>
    </row>
    <row r="8" spans="2:16" ht="16" customHeight="1" thickBot="1">
      <c r="B8" s="594" t="s">
        <v>96</v>
      </c>
      <c r="C8" s="122">
        <v>5454599</v>
      </c>
      <c r="D8" s="30">
        <v>5702352</v>
      </c>
      <c r="E8" s="302">
        <v>5599991</v>
      </c>
      <c r="F8" s="314">
        <v>5669325</v>
      </c>
      <c r="G8" s="302">
        <v>5768621</v>
      </c>
      <c r="H8" s="314">
        <v>5833167</v>
      </c>
      <c r="I8" s="302">
        <v>5947035</v>
      </c>
      <c r="J8" s="314">
        <v>6043905</v>
      </c>
      <c r="K8" s="208">
        <v>6170788</v>
      </c>
      <c r="L8" s="590">
        <v>2.0993546390950968E-2</v>
      </c>
      <c r="M8" s="591">
        <v>0.10192819952746346</v>
      </c>
      <c r="N8" s="590">
        <v>1.6308480541381121E-2</v>
      </c>
      <c r="O8" s="519" t="s">
        <v>490</v>
      </c>
      <c r="P8" s="536" t="s">
        <v>490</v>
      </c>
    </row>
    <row r="9" spans="2:16" ht="16" customHeight="1" thickBot="1">
      <c r="B9" s="594" t="s">
        <v>97</v>
      </c>
      <c r="C9" s="598">
        <f>C8/C7*100</f>
        <v>76.484357834011277</v>
      </c>
      <c r="D9" s="253">
        <f>D8/D7*100</f>
        <v>79.571584678712924</v>
      </c>
      <c r="E9" s="599">
        <v>77.834363760039608</v>
      </c>
      <c r="F9" s="600">
        <v>78.579046834945643</v>
      </c>
      <c r="G9" s="599">
        <v>79.582520935413342</v>
      </c>
      <c r="H9" s="600">
        <v>80.274405927227477</v>
      </c>
      <c r="I9" s="599">
        <v>81.823667800340417</v>
      </c>
      <c r="J9" s="600">
        <v>82.6</v>
      </c>
      <c r="K9" s="601">
        <v>83.849462556000006</v>
      </c>
      <c r="L9" s="590">
        <v>1.5126665326876676E-2</v>
      </c>
      <c r="M9" s="591">
        <v>7.728076013449181E-2</v>
      </c>
      <c r="N9" s="590">
        <v>1.2483957305665427E-2</v>
      </c>
      <c r="O9" s="602" t="s">
        <v>490</v>
      </c>
      <c r="P9" s="603" t="s">
        <v>490</v>
      </c>
    </row>
    <row r="10" spans="2:16" ht="16" customHeight="1" thickBot="1">
      <c r="B10" s="594" t="s">
        <v>98</v>
      </c>
      <c r="C10" s="122">
        <v>1155023</v>
      </c>
      <c r="D10" s="30">
        <v>1201676</v>
      </c>
      <c r="E10" s="302">
        <v>1117084</v>
      </c>
      <c r="F10" s="314">
        <v>1150122</v>
      </c>
      <c r="G10" s="302">
        <v>1154759</v>
      </c>
      <c r="H10" s="314">
        <v>1096033</v>
      </c>
      <c r="I10" s="302">
        <v>1097932</v>
      </c>
      <c r="J10" s="314">
        <v>1193315</v>
      </c>
      <c r="K10" s="208">
        <v>1207239</v>
      </c>
      <c r="L10" s="590">
        <v>1.1668335686721543E-2</v>
      </c>
      <c r="M10" s="591">
        <v>8.0705658661300417E-2</v>
      </c>
      <c r="N10" s="590">
        <v>1.301973070066742E-2</v>
      </c>
      <c r="O10" s="519" t="s">
        <v>490</v>
      </c>
      <c r="P10" s="536" t="s">
        <v>490</v>
      </c>
    </row>
    <row r="11" spans="2:16" ht="15.75" customHeight="1" thickBot="1">
      <c r="B11" s="594" t="s">
        <v>99</v>
      </c>
      <c r="C11" s="122">
        <v>20875.407999999999</v>
      </c>
      <c r="D11" s="30">
        <v>22276.548999999999</v>
      </c>
      <c r="E11" s="302">
        <v>18812.841</v>
      </c>
      <c r="F11" s="314">
        <v>18987.651000000002</v>
      </c>
      <c r="G11" s="302">
        <v>17067.058000000001</v>
      </c>
      <c r="H11" s="314">
        <v>12747.16</v>
      </c>
      <c r="I11" s="302">
        <v>12447.351000000001</v>
      </c>
      <c r="J11" s="314">
        <v>12514.1</v>
      </c>
      <c r="K11" s="208">
        <v>12391.460999999999</v>
      </c>
      <c r="L11" s="590">
        <v>-9.8000655260866987E-3</v>
      </c>
      <c r="M11" s="591">
        <v>-0.34132962692875579</v>
      </c>
      <c r="N11" s="590">
        <v>-6.7222586220881397E-2</v>
      </c>
      <c r="O11" s="519" t="s">
        <v>490</v>
      </c>
      <c r="P11" s="536" t="s">
        <v>490</v>
      </c>
    </row>
    <row r="12" spans="2:16" ht="16" customHeight="1" thickBot="1">
      <c r="B12" s="594" t="s">
        <v>100</v>
      </c>
      <c r="C12" s="302">
        <v>9068.8770000000004</v>
      </c>
      <c r="D12" s="314">
        <v>9160.0470000000005</v>
      </c>
      <c r="E12" s="302">
        <v>11130.63582</v>
      </c>
      <c r="F12" s="314">
        <v>12040.684128000001</v>
      </c>
      <c r="G12" s="302">
        <v>12708.270148</v>
      </c>
      <c r="H12" s="314">
        <v>13033.842773</v>
      </c>
      <c r="I12" s="302">
        <v>13441.654683999999</v>
      </c>
      <c r="J12" s="314">
        <v>13997.312</v>
      </c>
      <c r="K12" s="595">
        <v>15355.045232</v>
      </c>
      <c r="L12" s="590">
        <v>9.6999569060116642E-2</v>
      </c>
      <c r="M12" s="591">
        <v>0.37952992805760499</v>
      </c>
      <c r="N12" s="590">
        <v>5.508760516301181E-2</v>
      </c>
      <c r="O12" s="596">
        <v>16841</v>
      </c>
      <c r="P12" s="597">
        <v>18075</v>
      </c>
    </row>
    <row r="13" spans="2:16" ht="15.75" customHeight="1" thickBot="1">
      <c r="B13" s="594" t="s">
        <v>101</v>
      </c>
      <c r="C13" s="302">
        <f>C12/C7*1000000</f>
        <v>1271.6374450635778</v>
      </c>
      <c r="D13" s="314">
        <f>D12/D7*1000000</f>
        <v>1278.2084577056808</v>
      </c>
      <c r="E13" s="302">
        <v>1547.0488386399313</v>
      </c>
      <c r="F13" s="314">
        <v>1668.885593997343</v>
      </c>
      <c r="G13" s="302">
        <v>1753.2026720183185</v>
      </c>
      <c r="H13" s="314">
        <v>1793.6808350446031</v>
      </c>
      <c r="I13" s="302">
        <v>1849.401403473337</v>
      </c>
      <c r="J13" s="314">
        <v>1912</v>
      </c>
      <c r="K13" s="595">
        <v>2086.4633337</v>
      </c>
      <c r="L13" s="590">
        <v>9.124651344142265E-2</v>
      </c>
      <c r="M13" s="591">
        <v>0.34867321676430607</v>
      </c>
      <c r="N13" s="590">
        <v>5.1117150185948423E-2</v>
      </c>
      <c r="O13" s="596">
        <v>2281.425429623187</v>
      </c>
      <c r="P13" s="597">
        <v>2454.9001232543214</v>
      </c>
    </row>
    <row r="14" spans="2:16" ht="16" customHeight="1" thickBot="1">
      <c r="B14" s="594" t="s">
        <v>1079</v>
      </c>
      <c r="C14" s="302">
        <v>10808.398999999999</v>
      </c>
      <c r="D14" s="314">
        <v>11307.397999999999</v>
      </c>
      <c r="E14" s="302">
        <v>12459.017247</v>
      </c>
      <c r="F14" s="314">
        <v>13138.477535</v>
      </c>
      <c r="G14" s="302">
        <v>14024.092651999999</v>
      </c>
      <c r="H14" s="314">
        <v>14620.510517999999</v>
      </c>
      <c r="I14" s="302">
        <v>15478.327442</v>
      </c>
      <c r="J14" s="314">
        <v>16386.46</v>
      </c>
      <c r="K14" s="595">
        <v>17095.587409</v>
      </c>
      <c r="L14" s="590">
        <v>4.3275204589642957E-2</v>
      </c>
      <c r="M14" s="591">
        <v>0.3721457375072208</v>
      </c>
      <c r="N14" s="590">
        <v>5.4144240216065009E-2</v>
      </c>
      <c r="O14" s="596">
        <v>18048</v>
      </c>
      <c r="P14" s="597">
        <v>19373</v>
      </c>
    </row>
    <row r="15" spans="2:16" ht="16" customHeight="1" thickBot="1">
      <c r="B15" s="594" t="s">
        <v>1080</v>
      </c>
      <c r="C15" s="302">
        <f>C14/C7*1000000</f>
        <v>1515.5531263228875</v>
      </c>
      <c r="D15" s="314">
        <f>D14/D7*1000000</f>
        <v>1577.8534496869172</v>
      </c>
      <c r="E15" s="302">
        <v>1731.6807839434121</v>
      </c>
      <c r="F15" s="314">
        <v>1821.0440247518818</v>
      </c>
      <c r="G15" s="302">
        <v>1934.7304097079118</v>
      </c>
      <c r="H15" s="314">
        <v>2012.0335937325824</v>
      </c>
      <c r="I15" s="302">
        <v>2129.6217740758225</v>
      </c>
      <c r="J15" s="314">
        <v>2238</v>
      </c>
      <c r="K15" s="595">
        <v>2322.9704477</v>
      </c>
      <c r="L15" s="590">
        <v>3.7967134807864067E-2</v>
      </c>
      <c r="M15" s="591">
        <v>0.34145419250428666</v>
      </c>
      <c r="N15" s="590">
        <v>5.0177335265085832E-2</v>
      </c>
      <c r="O15" s="596">
        <v>2444.9359393052241</v>
      </c>
      <c r="P15" s="597">
        <v>2631.191152852336</v>
      </c>
    </row>
    <row r="16" spans="2:16" ht="16" customHeight="1" thickBot="1">
      <c r="B16" s="594" t="s">
        <v>102</v>
      </c>
      <c r="C16" s="302">
        <v>1009.132945756054</v>
      </c>
      <c r="D16" s="314">
        <v>1031.5524696995681</v>
      </c>
      <c r="E16" s="302">
        <v>1141.7516401488422</v>
      </c>
      <c r="F16" s="314">
        <v>1210.7956888559779</v>
      </c>
      <c r="G16" s="302">
        <v>1287.51</v>
      </c>
      <c r="H16" s="314">
        <v>1352.3238940325607</v>
      </c>
      <c r="I16" s="302">
        <v>1450.5580412847301</v>
      </c>
      <c r="J16" s="314">
        <v>1545</v>
      </c>
      <c r="K16" s="595">
        <v>1612.1984029</v>
      </c>
      <c r="L16" s="590">
        <v>4.3494111909385236E-2</v>
      </c>
      <c r="M16" s="591">
        <v>0.41203948933222367</v>
      </c>
      <c r="N16" s="590">
        <v>5.9191467900413963E-2</v>
      </c>
      <c r="O16" s="519" t="s">
        <v>490</v>
      </c>
      <c r="P16" s="536" t="s">
        <v>490</v>
      </c>
    </row>
    <row r="17" spans="2:16" ht="16" customHeight="1" thickBot="1">
      <c r="B17" s="594" t="s">
        <v>103</v>
      </c>
      <c r="C17" s="302">
        <v>506.41639462828601</v>
      </c>
      <c r="D17" s="314">
        <v>546.29693327827954</v>
      </c>
      <c r="E17" s="302">
        <v>589.92914393356</v>
      </c>
      <c r="F17" s="314">
        <v>610.24833589590401</v>
      </c>
      <c r="G17" s="302">
        <v>647.22</v>
      </c>
      <c r="H17" s="314">
        <v>659.70969970002204</v>
      </c>
      <c r="I17" s="302">
        <v>679.06373279109243</v>
      </c>
      <c r="J17" s="314">
        <v>694</v>
      </c>
      <c r="K17" s="595">
        <v>710.77204486999995</v>
      </c>
      <c r="L17" s="590">
        <v>2.4167211628242091E-2</v>
      </c>
      <c r="M17" s="591">
        <v>0.20484307679847347</v>
      </c>
      <c r="N17" s="590">
        <v>3.1545560738978518E-2</v>
      </c>
      <c r="O17" s="519" t="s">
        <v>490</v>
      </c>
      <c r="P17" s="536" t="s">
        <v>490</v>
      </c>
    </row>
    <row r="18" spans="2:16" ht="16" customHeight="1" thickBot="1">
      <c r="B18" s="594" t="s">
        <v>104</v>
      </c>
      <c r="C18" s="302">
        <v>-1259.2739999999999</v>
      </c>
      <c r="D18" s="314">
        <v>-1290.1959999999999</v>
      </c>
      <c r="E18" s="302">
        <v>1678.5317379999999</v>
      </c>
      <c r="F18" s="314">
        <v>1777.9823429999999</v>
      </c>
      <c r="G18" s="302">
        <v>2097.2328000000002</v>
      </c>
      <c r="H18" s="314">
        <v>2189.9011839999998</v>
      </c>
      <c r="I18" s="302">
        <v>2288.0175450000002</v>
      </c>
      <c r="J18" s="314">
        <v>2400.1799999999998</v>
      </c>
      <c r="K18" s="595">
        <v>2502.8303667999999</v>
      </c>
      <c r="L18" s="590">
        <v>4.2767778583272964E-2</v>
      </c>
      <c r="M18" s="591">
        <v>0.49108313542058268</v>
      </c>
      <c r="N18" s="590">
        <v>6.88505286412191E-2</v>
      </c>
      <c r="O18" s="596">
        <v>2666</v>
      </c>
      <c r="P18" s="597">
        <v>3044</v>
      </c>
    </row>
    <row r="19" spans="2:16" ht="16" customHeight="1" thickBot="1">
      <c r="B19" s="594" t="s">
        <v>105</v>
      </c>
      <c r="C19" s="302">
        <f>C18*1000000/C7</f>
        <v>-176.57533253510792</v>
      </c>
      <c r="D19" s="314">
        <f>D18*1000000/D7</f>
        <v>-180.03613292574136</v>
      </c>
      <c r="E19" s="302">
        <v>233.29939258520861</v>
      </c>
      <c r="F19" s="314">
        <v>246.43525958082026</v>
      </c>
      <c r="G19" s="302">
        <v>289.32924040673771</v>
      </c>
      <c r="H19" s="314">
        <v>301.36805029743203</v>
      </c>
      <c r="I19" s="302">
        <v>314.80222921746793</v>
      </c>
      <c r="J19" s="314">
        <v>328</v>
      </c>
      <c r="K19" s="595">
        <v>340.08781556000002</v>
      </c>
      <c r="L19" s="590">
        <v>3.685309621951216E-2</v>
      </c>
      <c r="M19" s="591">
        <v>0.45773125163962347</v>
      </c>
      <c r="N19" s="590">
        <v>6.4828281691063472E-2</v>
      </c>
      <c r="O19" s="596">
        <v>361.15908766554338</v>
      </c>
      <c r="P19" s="597">
        <v>413.4282697198426</v>
      </c>
    </row>
    <row r="20" spans="2:16" ht="16" customHeight="1" thickBot="1">
      <c r="B20" s="594" t="s">
        <v>1081</v>
      </c>
      <c r="C20" s="302">
        <v>9549.125</v>
      </c>
      <c r="D20" s="314">
        <v>10017.201999999999</v>
      </c>
      <c r="E20" s="302">
        <v>10780.485509</v>
      </c>
      <c r="F20" s="314">
        <v>11360.495192</v>
      </c>
      <c r="G20" s="302">
        <v>11926.859852</v>
      </c>
      <c r="H20" s="314">
        <v>12430.609334000001</v>
      </c>
      <c r="I20" s="302">
        <v>13190.309896999999</v>
      </c>
      <c r="J20" s="314">
        <v>13986.27</v>
      </c>
      <c r="K20" s="595">
        <v>14592.757041999999</v>
      </c>
      <c r="L20" s="590">
        <v>4.3363029742740533E-2</v>
      </c>
      <c r="M20" s="591">
        <v>0.35362707271554283</v>
      </c>
      <c r="N20" s="590">
        <v>5.1759649722112222E-2</v>
      </c>
      <c r="O20" s="596">
        <v>15382</v>
      </c>
      <c r="P20" s="597">
        <v>16330</v>
      </c>
    </row>
    <row r="21" spans="2:16" ht="16" customHeight="1" thickBot="1">
      <c r="B21" s="594" t="s">
        <v>1082</v>
      </c>
      <c r="C21" s="302">
        <f>C20/C7*1000000</f>
        <v>1338.9777937877798</v>
      </c>
      <c r="D21" s="314">
        <f>D20/D7*1000000</f>
        <v>1397.8173167611758</v>
      </c>
      <c r="E21" s="302">
        <v>1498.3813913582035</v>
      </c>
      <c r="F21" s="314">
        <v>1574.6087651710613</v>
      </c>
      <c r="G21" s="302">
        <v>1645.4011693011744</v>
      </c>
      <c r="H21" s="314">
        <v>1710.665543435151</v>
      </c>
      <c r="I21" s="302">
        <v>1814.8195448583544</v>
      </c>
      <c r="J21" s="314">
        <v>1910</v>
      </c>
      <c r="K21" s="595">
        <v>1982.8826322</v>
      </c>
      <c r="L21" s="590">
        <v>3.8158446178010452E-2</v>
      </c>
      <c r="M21" s="591">
        <v>0.32334974502227487</v>
      </c>
      <c r="N21" s="590">
        <v>4.7801718355382716E-2</v>
      </c>
      <c r="O21" s="596">
        <v>2083.7768516396804</v>
      </c>
      <c r="P21" s="597">
        <v>2217.8987005666982</v>
      </c>
    </row>
    <row r="22" spans="2:16" ht="15.75" customHeight="1" thickBot="1">
      <c r="B22" s="594" t="s">
        <v>106</v>
      </c>
      <c r="C22" s="302">
        <v>814.34100000000001</v>
      </c>
      <c r="D22" s="314">
        <v>830.40499999999997</v>
      </c>
      <c r="E22" s="302">
        <v>959.82757900000001</v>
      </c>
      <c r="F22" s="314">
        <v>893.208437</v>
      </c>
      <c r="G22" s="302">
        <v>854.94479699999999</v>
      </c>
      <c r="H22" s="314">
        <v>854.24312299999997</v>
      </c>
      <c r="I22" s="302">
        <v>863.27835700000003</v>
      </c>
      <c r="J22" s="314">
        <v>908.85</v>
      </c>
      <c r="K22" s="595">
        <v>923.57338863999996</v>
      </c>
      <c r="L22" s="590">
        <v>1.6200020509435031E-2</v>
      </c>
      <c r="M22" s="591">
        <v>-3.7771565594907797E-2</v>
      </c>
      <c r="N22" s="590">
        <v>-6.3966866507945142E-3</v>
      </c>
      <c r="O22" s="596">
        <v>938</v>
      </c>
      <c r="P22" s="597">
        <v>973</v>
      </c>
    </row>
    <row r="23" spans="2:16" ht="19.5" customHeight="1" thickBot="1">
      <c r="B23" s="594" t="s">
        <v>107</v>
      </c>
      <c r="C23" s="302">
        <v>126.35937300000001</v>
      </c>
      <c r="D23" s="314">
        <v>-81.798816000000002</v>
      </c>
      <c r="E23" s="302">
        <v>-319.932346</v>
      </c>
      <c r="F23" s="314">
        <v>70.171887999999996</v>
      </c>
      <c r="G23" s="302">
        <v>-3.3297E-2</v>
      </c>
      <c r="H23" s="314">
        <v>-49.386769999999999</v>
      </c>
      <c r="I23" s="302">
        <v>-305.95411300000001</v>
      </c>
      <c r="J23" s="314">
        <v>-789.7</v>
      </c>
      <c r="K23" s="595">
        <v>-223.6723628</v>
      </c>
      <c r="L23" s="590">
        <v>-0.71676286843104986</v>
      </c>
      <c r="M23" s="591">
        <v>-0.30087605834015918</v>
      </c>
      <c r="N23" s="590">
        <v>-5.7910068181966201E-2</v>
      </c>
      <c r="O23" s="519" t="s">
        <v>490</v>
      </c>
      <c r="P23" s="536" t="s">
        <v>490</v>
      </c>
    </row>
    <row r="24" spans="2:16" ht="19.5" customHeight="1" thickBot="1">
      <c r="B24" s="594" t="s">
        <v>108</v>
      </c>
      <c r="C24" s="122" t="s">
        <v>487</v>
      </c>
      <c r="D24" s="30" t="s">
        <v>487</v>
      </c>
      <c r="E24" s="302">
        <v>3454.5367919999999</v>
      </c>
      <c r="F24" s="314">
        <v>3507.8977540000001</v>
      </c>
      <c r="G24" s="302">
        <v>3693.9578390000001</v>
      </c>
      <c r="H24" s="314">
        <v>3810.0183769999999</v>
      </c>
      <c r="I24" s="302">
        <v>3956.2184860000002</v>
      </c>
      <c r="J24" s="314">
        <v>3996.3</v>
      </c>
      <c r="K24" s="595">
        <v>4018.0238040999998</v>
      </c>
      <c r="L24" s="590">
        <v>5.4359793058578187E-3</v>
      </c>
      <c r="M24" s="591">
        <v>0.16311507042128492</v>
      </c>
      <c r="N24" s="590">
        <v>2.5503421793752645E-2</v>
      </c>
      <c r="O24" s="519" t="s">
        <v>490</v>
      </c>
      <c r="P24" s="536" t="s">
        <v>490</v>
      </c>
    </row>
    <row r="25" spans="2:16" ht="19.5" customHeight="1" thickBot="1">
      <c r="B25" s="594" t="s">
        <v>109</v>
      </c>
      <c r="C25" s="122" t="s">
        <v>487</v>
      </c>
      <c r="D25" s="30" t="s">
        <v>487</v>
      </c>
      <c r="E25" s="302">
        <v>2856.0771500000001</v>
      </c>
      <c r="F25" s="314">
        <v>2991.8799650000001</v>
      </c>
      <c r="G25" s="302">
        <v>2985.5309590000002</v>
      </c>
      <c r="H25" s="314">
        <v>3077.412147</v>
      </c>
      <c r="I25" s="302">
        <v>2832.1064590000001</v>
      </c>
      <c r="J25" s="314">
        <v>2102.63</v>
      </c>
      <c r="K25" s="595">
        <v>1965.5320859999999</v>
      </c>
      <c r="L25" s="590">
        <v>-6.5203061879646085E-2</v>
      </c>
      <c r="M25" s="591">
        <v>-0.31180707565970345</v>
      </c>
      <c r="N25" s="590">
        <v>-6.0381193700203895E-2</v>
      </c>
      <c r="O25" s="596">
        <v>2260</v>
      </c>
      <c r="P25" s="597">
        <v>2745</v>
      </c>
    </row>
    <row r="26" spans="2:16" ht="19.5" customHeight="1" thickBot="1">
      <c r="B26" s="604" t="s">
        <v>1083</v>
      </c>
      <c r="C26" s="605" t="s">
        <v>487</v>
      </c>
      <c r="D26" s="429" t="s">
        <v>487</v>
      </c>
      <c r="E26" s="606">
        <v>0.25659604681954279</v>
      </c>
      <c r="F26" s="607">
        <v>0.24848089470618492</v>
      </c>
      <c r="G26" s="606">
        <v>0.23492819433570639</v>
      </c>
      <c r="H26" s="607">
        <v>0.23610935014307161</v>
      </c>
      <c r="I26" s="606">
        <v>0.21069626661151625</v>
      </c>
      <c r="J26" s="607">
        <v>0.15</v>
      </c>
      <c r="K26" s="608">
        <v>0.12800562009999999</v>
      </c>
      <c r="L26" s="609">
        <v>-0.14662919933333329</v>
      </c>
      <c r="M26" s="610">
        <v>-0.50113954721203102</v>
      </c>
      <c r="N26" s="609">
        <v>-0.10944001071712861</v>
      </c>
      <c r="O26" s="611">
        <v>0.13419630663262277</v>
      </c>
      <c r="P26" s="612">
        <v>0.15186721991701244</v>
      </c>
    </row>
    <row r="27" spans="2:16" ht="19.5" customHeight="1">
      <c r="B27" s="613" t="s">
        <v>1525</v>
      </c>
      <c r="C27" s="614"/>
      <c r="D27" s="614"/>
      <c r="E27" s="615"/>
      <c r="F27" s="615"/>
      <c r="G27" s="615"/>
      <c r="H27" s="615"/>
      <c r="I27" s="615"/>
      <c r="J27" s="616"/>
    </row>
    <row r="28" spans="2:16" ht="13.5" customHeight="1">
      <c r="B28" s="310"/>
      <c r="C28" s="62"/>
      <c r="D28" s="62"/>
      <c r="E28" s="62"/>
      <c r="F28" s="62"/>
      <c r="G28" s="62"/>
      <c r="H28" s="62"/>
      <c r="I28" s="62"/>
      <c r="J28" s="617"/>
    </row>
    <row r="29" spans="2:16" ht="12" customHeight="1">
      <c r="B29" s="247" t="s">
        <v>110</v>
      </c>
      <c r="C29" s="62"/>
      <c r="D29" s="62"/>
      <c r="E29" s="62"/>
      <c r="F29" s="62"/>
      <c r="G29" s="62"/>
      <c r="H29" s="62"/>
      <c r="I29" s="62"/>
      <c r="J29" s="617"/>
    </row>
    <row r="30" spans="2:16" ht="12.75" customHeight="1">
      <c r="B30" s="247" t="s">
        <v>111</v>
      </c>
      <c r="C30" s="62"/>
      <c r="D30" s="62"/>
      <c r="E30" s="62"/>
      <c r="F30" s="62"/>
      <c r="G30" s="62"/>
      <c r="H30" s="62"/>
      <c r="I30" s="62"/>
      <c r="J30" s="617"/>
    </row>
    <row r="31" spans="2:16" ht="12" customHeight="1">
      <c r="B31" s="39" t="s">
        <v>112</v>
      </c>
      <c r="C31" s="618"/>
      <c r="D31" s="618"/>
      <c r="E31" s="618"/>
      <c r="F31" s="618"/>
      <c r="G31" s="1"/>
      <c r="H31" s="1"/>
      <c r="I31" s="1"/>
      <c r="J31" s="63"/>
    </row>
    <row r="32" spans="2:16" ht="11.25" customHeight="1">
      <c r="B32" s="619"/>
      <c r="C32" s="620"/>
      <c r="D32" s="620"/>
      <c r="E32" s="620"/>
      <c r="F32" s="620"/>
      <c r="G32" s="439"/>
      <c r="H32" s="439"/>
      <c r="I32" s="439"/>
      <c r="J32" s="621"/>
    </row>
    <row r="33" spans="1:11">
      <c r="B33" s="39" t="s">
        <v>113</v>
      </c>
      <c r="C33" s="622"/>
      <c r="D33" s="622"/>
      <c r="E33" s="622"/>
      <c r="F33" s="622"/>
    </row>
    <row r="34" spans="1:11" ht="14">
      <c r="A34" s="623">
        <v>1</v>
      </c>
      <c r="B34" s="624" t="s">
        <v>114</v>
      </c>
      <c r="C34" s="625"/>
      <c r="D34" s="625"/>
      <c r="E34" s="625"/>
      <c r="F34" s="626"/>
      <c r="G34" s="624"/>
      <c r="H34" s="624"/>
      <c r="I34" s="624"/>
      <c r="J34" s="627"/>
      <c r="K34" s="624"/>
    </row>
    <row r="35" spans="1:11" ht="14">
      <c r="A35" s="623">
        <v>2</v>
      </c>
      <c r="B35" s="624" t="s">
        <v>115</v>
      </c>
      <c r="C35" s="625"/>
      <c r="D35" s="625"/>
      <c r="E35" s="625"/>
      <c r="F35" s="628">
        <v>12</v>
      </c>
      <c r="G35" s="626" t="s">
        <v>116</v>
      </c>
      <c r="H35" s="624"/>
      <c r="I35" s="624"/>
      <c r="J35" s="627"/>
      <c r="K35" s="624"/>
    </row>
    <row r="36" spans="1:11" ht="14">
      <c r="A36" s="623">
        <v>3</v>
      </c>
      <c r="B36" s="624" t="s">
        <v>117</v>
      </c>
      <c r="C36" s="625"/>
      <c r="D36" s="625"/>
      <c r="E36" s="625"/>
      <c r="F36" s="628">
        <v>13</v>
      </c>
      <c r="G36" s="626" t="s">
        <v>118</v>
      </c>
      <c r="H36" s="624"/>
      <c r="I36" s="624"/>
      <c r="J36" s="627"/>
      <c r="K36" s="624"/>
    </row>
    <row r="37" spans="1:11" ht="14">
      <c r="A37" s="623">
        <v>4</v>
      </c>
      <c r="B37" s="629" t="s">
        <v>119</v>
      </c>
      <c r="C37" s="625"/>
      <c r="D37" s="625"/>
      <c r="E37" s="625"/>
      <c r="F37" s="628">
        <v>14</v>
      </c>
      <c r="G37" s="630" t="s">
        <v>120</v>
      </c>
      <c r="H37" s="624"/>
      <c r="I37" s="624"/>
      <c r="J37" s="627"/>
      <c r="K37" s="624"/>
    </row>
    <row r="38" spans="1:11" ht="14">
      <c r="A38" s="623">
        <v>5</v>
      </c>
      <c r="B38" s="624" t="s">
        <v>121</v>
      </c>
      <c r="C38" s="626"/>
      <c r="D38" s="626"/>
      <c r="E38" s="626"/>
      <c r="F38" s="628">
        <v>15</v>
      </c>
      <c r="G38" s="630" t="s">
        <v>122</v>
      </c>
      <c r="H38" s="624"/>
      <c r="I38" s="624"/>
      <c r="J38" s="627"/>
      <c r="K38" s="624"/>
    </row>
    <row r="39" spans="1:11" ht="14">
      <c r="A39" s="623">
        <v>6</v>
      </c>
      <c r="B39" s="624" t="s">
        <v>121</v>
      </c>
      <c r="C39" s="626"/>
      <c r="D39" s="626"/>
      <c r="E39" s="626"/>
      <c r="F39" s="628">
        <v>16</v>
      </c>
      <c r="G39" s="630" t="s">
        <v>123</v>
      </c>
      <c r="H39" s="624"/>
      <c r="I39" s="624"/>
      <c r="J39" s="627"/>
      <c r="K39" s="624"/>
    </row>
    <row r="40" spans="1:11" ht="14">
      <c r="A40" s="623">
        <v>7</v>
      </c>
      <c r="B40" s="624" t="s">
        <v>124</v>
      </c>
      <c r="C40" s="626"/>
      <c r="D40" s="626"/>
      <c r="E40" s="626"/>
      <c r="F40" s="628">
        <v>17</v>
      </c>
      <c r="G40" s="626" t="s">
        <v>125</v>
      </c>
      <c r="H40" s="624"/>
      <c r="I40" s="624"/>
      <c r="J40" s="627"/>
      <c r="K40" s="624"/>
    </row>
    <row r="41" spans="1:11" ht="14">
      <c r="A41" s="623">
        <v>8</v>
      </c>
      <c r="B41" s="629" t="s">
        <v>126</v>
      </c>
      <c r="C41" s="626"/>
      <c r="D41" s="626"/>
      <c r="E41" s="626"/>
      <c r="F41" s="628">
        <v>18</v>
      </c>
      <c r="G41" s="626" t="s">
        <v>127</v>
      </c>
      <c r="H41" s="624"/>
      <c r="I41" s="624"/>
      <c r="J41" s="627"/>
      <c r="K41" s="624"/>
    </row>
    <row r="42" spans="1:11" ht="14">
      <c r="A42" s="623">
        <v>9</v>
      </c>
      <c r="B42" s="624" t="s">
        <v>1075</v>
      </c>
      <c r="C42" s="626"/>
      <c r="D42" s="626"/>
      <c r="E42" s="626"/>
      <c r="F42" s="628">
        <v>19</v>
      </c>
      <c r="G42" s="626" t="s">
        <v>243</v>
      </c>
      <c r="H42" s="624"/>
      <c r="I42" s="624"/>
      <c r="J42" s="627"/>
      <c r="K42" s="624"/>
    </row>
    <row r="43" spans="1:11" ht="14">
      <c r="A43" s="623">
        <v>10</v>
      </c>
      <c r="B43" s="629" t="s">
        <v>1076</v>
      </c>
      <c r="C43" s="626"/>
      <c r="D43" s="626"/>
      <c r="E43" s="626"/>
      <c r="F43" s="628">
        <v>20</v>
      </c>
      <c r="G43" s="626" t="s">
        <v>1077</v>
      </c>
      <c r="H43" s="624"/>
      <c r="I43" s="624"/>
      <c r="J43" s="627"/>
      <c r="K43" s="624"/>
    </row>
    <row r="44" spans="1:11" ht="14">
      <c r="A44" s="623">
        <v>11</v>
      </c>
      <c r="B44" s="624" t="s">
        <v>116</v>
      </c>
      <c r="C44" s="626"/>
      <c r="D44" s="626"/>
      <c r="E44" s="626"/>
      <c r="F44" s="628">
        <v>21</v>
      </c>
      <c r="G44" s="630" t="s">
        <v>1078</v>
      </c>
      <c r="H44" s="624"/>
      <c r="I44" s="624"/>
      <c r="J44" s="627"/>
      <c r="K44" s="624"/>
    </row>
  </sheetData>
  <phoneticPr fontId="0" type="noConversion"/>
  <pageMargins left="0.31496062992125984" right="0.43307086614173229" top="0.39" bottom="0.4" header="0.19" footer="0.23"/>
  <pageSetup paperSize="9" scale="70" orientation="landscape" horizontalDpi="4294967292" verticalDpi="4294967292"/>
  <headerFooter alignWithMargins="0">
    <oddHeader>&amp;L&amp;"55 Helvetica Roman,Gras"&amp;14Versicherte und Finanzen in der OKP</oddHeader>
    <oddFooter>&amp;L&amp;"Arial,Regular"Statistik über die Krankenversicherung, Bundesamt für Sozialversicherung</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43CB-6503-A84F-8E02-1862C623BEB9}">
  <dimension ref="A1:J20"/>
  <sheetViews>
    <sheetView zoomScale="75" workbookViewId="0"/>
  </sheetViews>
  <sheetFormatPr baseColWidth="10" defaultColWidth="11.3984375" defaultRowHeight="13"/>
  <cols>
    <col min="1" max="1" width="20.796875" style="3" customWidth="1"/>
    <col min="2" max="6" width="14.3984375" style="3" customWidth="1"/>
    <col min="7" max="16384" width="11.3984375" style="3"/>
  </cols>
  <sheetData>
    <row r="1" spans="1:10" s="1" customFormat="1" ht="14" customHeight="1"/>
    <row r="2" spans="1:10" s="1" customFormat="1" ht="39.75" customHeight="1">
      <c r="A2" s="1302" t="s">
        <v>476</v>
      </c>
      <c r="B2" s="1303"/>
      <c r="C2" s="1303"/>
      <c r="D2" s="1303"/>
      <c r="E2" s="1303"/>
      <c r="F2" s="1303"/>
    </row>
    <row r="3" spans="1:10" ht="24" customHeight="1">
      <c r="A3" s="2" t="s">
        <v>594</v>
      </c>
      <c r="B3" s="74" t="s">
        <v>1447</v>
      </c>
      <c r="C3" s="17" t="s">
        <v>1448</v>
      </c>
      <c r="D3" s="74" t="s">
        <v>1449</v>
      </c>
      <c r="E3" s="17" t="s">
        <v>1450</v>
      </c>
      <c r="F3" s="74" t="s">
        <v>607</v>
      </c>
    </row>
    <row r="4" spans="1:10" ht="15" customHeight="1">
      <c r="A4" s="82"/>
      <c r="B4" s="75" t="s">
        <v>1451</v>
      </c>
      <c r="C4" s="18" t="s">
        <v>1452</v>
      </c>
      <c r="D4" s="75" t="s">
        <v>1453</v>
      </c>
      <c r="E4" s="66" t="s">
        <v>1454</v>
      </c>
      <c r="F4" s="75"/>
    </row>
    <row r="5" spans="1:10" ht="15" customHeight="1">
      <c r="A5" s="82"/>
      <c r="B5" s="75" t="s">
        <v>1455</v>
      </c>
      <c r="C5" s="18" t="s">
        <v>1456</v>
      </c>
      <c r="D5" s="75" t="s">
        <v>969</v>
      </c>
      <c r="E5" s="66" t="s">
        <v>1457</v>
      </c>
      <c r="F5" s="75"/>
    </row>
    <row r="6" spans="1:10" ht="24" customHeight="1">
      <c r="A6" s="83"/>
      <c r="B6" s="78"/>
      <c r="C6" s="19"/>
      <c r="D6" s="78"/>
      <c r="E6" s="67" t="s">
        <v>1458</v>
      </c>
      <c r="F6" s="78"/>
    </row>
    <row r="7" spans="1:10" ht="20" customHeight="1" thickBot="1">
      <c r="A7" s="632">
        <v>1997</v>
      </c>
      <c r="B7" s="722">
        <v>4.5015594618225574E-2</v>
      </c>
      <c r="C7" s="25">
        <v>0.1407574971723522</v>
      </c>
      <c r="D7" s="722">
        <v>4.907593778591024E-2</v>
      </c>
      <c r="E7" s="25">
        <v>0.11495097396065668</v>
      </c>
      <c r="F7" s="722">
        <v>7.8756342716783667E-2</v>
      </c>
      <c r="H7" s="45"/>
      <c r="I7" s="45"/>
      <c r="J7" s="45"/>
    </row>
    <row r="8" spans="1:10" ht="20" customHeight="1" thickBot="1">
      <c r="A8" s="85">
        <v>1998</v>
      </c>
      <c r="B8" s="128">
        <v>3.9667326435934624E-2</v>
      </c>
      <c r="C8" s="26">
        <v>6.1040141986940633E-2</v>
      </c>
      <c r="D8" s="128">
        <v>1.0130468150422178E-2</v>
      </c>
      <c r="E8" s="26">
        <v>0.14747114984819842</v>
      </c>
      <c r="F8" s="128">
        <v>5.0518608176692181E-2</v>
      </c>
    </row>
    <row r="9" spans="1:10" ht="20" customHeight="1" thickBot="1">
      <c r="A9" s="85">
        <v>1999</v>
      </c>
      <c r="B9" s="128">
        <v>2.0389165815867027E-2</v>
      </c>
      <c r="C9" s="26">
        <v>2.5880895221869427E-2</v>
      </c>
      <c r="D9" s="128">
        <v>3.2207042311889644E-2</v>
      </c>
      <c r="E9" s="26">
        <v>4.4979387011424343E-2</v>
      </c>
      <c r="F9" s="128">
        <v>2.308920830481398E-2</v>
      </c>
    </row>
    <row r="10" spans="1:10" ht="20" customHeight="1" thickBot="1">
      <c r="A10" s="85">
        <v>2000</v>
      </c>
      <c r="B10" s="128">
        <v>3.4295635796474544E-2</v>
      </c>
      <c r="C10" s="26">
        <v>2.5283330313827346E-2</v>
      </c>
      <c r="D10" s="128">
        <v>2.6939676804175416E-2</v>
      </c>
      <c r="E10" s="26">
        <v>3.5421273700325662E-2</v>
      </c>
      <c r="F10" s="128">
        <v>3.1064626912269855E-2</v>
      </c>
    </row>
    <row r="11" spans="1:10" ht="20" customHeight="1" thickBot="1">
      <c r="A11" s="85">
        <v>2001</v>
      </c>
      <c r="B11" s="128">
        <v>4.5842532947897974E-2</v>
      </c>
      <c r="C11" s="26">
        <v>1.5363320440578754E-2</v>
      </c>
      <c r="D11" s="128">
        <v>3.6528073707736253E-2</v>
      </c>
      <c r="E11" s="26">
        <v>4.4768103121445746E-2</v>
      </c>
      <c r="F11" s="128">
        <v>3.3778522764139618E-2</v>
      </c>
    </row>
    <row r="12" spans="1:10" ht="20" customHeight="1" thickBot="1">
      <c r="A12" s="85">
        <v>2002</v>
      </c>
      <c r="B12" s="128">
        <v>8.5663917121901134E-2</v>
      </c>
      <c r="C12" s="26">
        <v>7.9076872504374895E-2</v>
      </c>
      <c r="D12" s="128">
        <v>0.13418658888462831</v>
      </c>
      <c r="E12" s="26">
        <v>0.17025613111977989</v>
      </c>
      <c r="F12" s="128">
        <v>9.131897043209003E-2</v>
      </c>
    </row>
    <row r="13" spans="1:10" s="541" customFormat="1" ht="20" customHeight="1" thickBot="1">
      <c r="A13" s="723">
        <v>2003</v>
      </c>
      <c r="B13" s="536" t="s">
        <v>490</v>
      </c>
      <c r="C13" s="519" t="s">
        <v>490</v>
      </c>
      <c r="D13" s="536" t="s">
        <v>490</v>
      </c>
      <c r="E13" s="519" t="s">
        <v>490</v>
      </c>
      <c r="F13" s="724">
        <v>9.3443166714524573E-2</v>
      </c>
    </row>
    <row r="14" spans="1:10" s="541" customFormat="1" ht="23.25" customHeight="1" thickBot="1">
      <c r="A14" s="725">
        <v>2004</v>
      </c>
      <c r="B14" s="726" t="s">
        <v>490</v>
      </c>
      <c r="C14" s="727" t="s">
        <v>490</v>
      </c>
      <c r="D14" s="726" t="s">
        <v>490</v>
      </c>
      <c r="E14" s="727" t="s">
        <v>490</v>
      </c>
      <c r="F14" s="728">
        <v>7.6037853956851142E-2</v>
      </c>
    </row>
    <row r="15" spans="1:10" ht="20" customHeight="1">
      <c r="A15" s="9" t="s">
        <v>1525</v>
      </c>
      <c r="B15" s="151"/>
      <c r="C15" s="151"/>
      <c r="D15" s="151"/>
      <c r="E15" s="151"/>
      <c r="F15" s="151"/>
    </row>
    <row r="16" spans="1:10" ht="13.5" customHeight="1">
      <c r="A16" s="38"/>
      <c r="B16" s="152"/>
      <c r="C16" s="152"/>
      <c r="D16" s="152"/>
      <c r="E16" s="152"/>
      <c r="F16" s="152"/>
    </row>
    <row r="17" spans="1:6" ht="13.5" customHeight="1">
      <c r="A17" s="38" t="s">
        <v>477</v>
      </c>
      <c r="B17" s="152"/>
      <c r="C17" s="152"/>
      <c r="D17" s="152"/>
      <c r="E17" s="152"/>
      <c r="F17" s="152"/>
    </row>
    <row r="18" spans="1:6" ht="13.5" customHeight="1">
      <c r="A18" s="38" t="s">
        <v>478</v>
      </c>
      <c r="B18" s="152"/>
      <c r="C18" s="152"/>
      <c r="D18" s="152"/>
      <c r="E18" s="152"/>
      <c r="F18" s="152"/>
    </row>
    <row r="19" spans="1:6" ht="13.5" customHeight="1">
      <c r="A19" s="38"/>
      <c r="B19" s="152"/>
      <c r="C19" s="152"/>
      <c r="D19" s="152"/>
      <c r="E19" s="152"/>
      <c r="F19" s="152"/>
    </row>
    <row r="20" spans="1:6">
      <c r="A20" s="3" t="s">
        <v>479</v>
      </c>
    </row>
  </sheetData>
  <mergeCells count="1">
    <mergeCell ref="A2:F2"/>
  </mergeCells>
  <phoneticPr fontId="0" type="noConversion"/>
  <pageMargins left="0.38" right="0.34" top="1.46" bottom="0.49" header="0.93" footer="0.4921259845"/>
  <pageSetup paperSize="9" scale="80" orientation="portrait" horizontalDpi="4294967292" verticalDpi="4294967292"/>
  <headerFooter alignWithMargins="0">
    <oddHeader>&amp;L&amp;"Arial,Bold"&amp;14Versicherte und Finanzen in der OKP</oddHeader>
    <oddFooter>&amp;L&amp;"Arial,Regular"Statistik über die Krankenversicherung, Bundesamt für Sozialversicherung</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9BA2-5FA9-B146-B575-6EFDECF4340B}">
  <dimension ref="A1:B14"/>
  <sheetViews>
    <sheetView topLeftCell="B1" workbookViewId="0">
      <selection activeCell="C18" sqref="C18"/>
    </sheetView>
  </sheetViews>
  <sheetFormatPr baseColWidth="10" defaultColWidth="11.3984375" defaultRowHeight="13"/>
  <cols>
    <col min="1" max="1" width="5.59765625" style="229" customWidth="1"/>
    <col min="2" max="16384" width="11.3984375" style="229"/>
  </cols>
  <sheetData>
    <row r="1" spans="1:2" ht="16">
      <c r="A1" s="228" t="s">
        <v>299</v>
      </c>
    </row>
    <row r="2" spans="1:2" ht="16">
      <c r="A2" s="228"/>
    </row>
    <row r="3" spans="1:2" s="230" customFormat="1">
      <c r="A3" s="230">
        <v>2.0099999999999998</v>
      </c>
      <c r="B3" s="231" t="s">
        <v>300</v>
      </c>
    </row>
    <row r="4" spans="1:2" s="230" customFormat="1">
      <c r="A4" s="230">
        <v>2.02</v>
      </c>
      <c r="B4" s="231" t="s">
        <v>301</v>
      </c>
    </row>
    <row r="5" spans="1:2" s="230" customFormat="1">
      <c r="A5" s="230">
        <v>2.0299999999999998</v>
      </c>
      <c r="B5" s="231" t="s">
        <v>302</v>
      </c>
    </row>
    <row r="6" spans="1:2" s="230" customFormat="1">
      <c r="A6" s="230">
        <v>2.04</v>
      </c>
      <c r="B6" s="231" t="s">
        <v>303</v>
      </c>
    </row>
    <row r="7" spans="1:2" s="230" customFormat="1">
      <c r="A7" s="230">
        <v>2.0499999999999998</v>
      </c>
      <c r="B7" s="231" t="s">
        <v>304</v>
      </c>
    </row>
    <row r="8" spans="1:2" s="230" customFormat="1">
      <c r="A8" s="230">
        <v>2.06</v>
      </c>
      <c r="B8" s="231" t="s">
        <v>305</v>
      </c>
    </row>
    <row r="9" spans="1:2" s="230" customFormat="1">
      <c r="A9" s="230">
        <v>2.0699999999999998</v>
      </c>
      <c r="B9" s="231" t="s">
        <v>306</v>
      </c>
    </row>
    <row r="10" spans="1:2" s="230" customFormat="1">
      <c r="A10" s="230">
        <v>2.08</v>
      </c>
      <c r="B10" s="231" t="s">
        <v>307</v>
      </c>
    </row>
    <row r="11" spans="1:2" s="230" customFormat="1">
      <c r="A11" s="230">
        <v>2.09</v>
      </c>
      <c r="B11" s="231" t="s">
        <v>308</v>
      </c>
    </row>
    <row r="12" spans="1:2">
      <c r="A12" s="232">
        <v>2.1</v>
      </c>
      <c r="B12" s="229" t="s">
        <v>309</v>
      </c>
    </row>
    <row r="13" spans="1:2">
      <c r="A13" s="232">
        <v>2.11</v>
      </c>
      <c r="B13" s="229" t="s">
        <v>310</v>
      </c>
    </row>
    <row r="14" spans="1:2">
      <c r="A14" s="230">
        <v>2.12</v>
      </c>
      <c r="B14" s="231" t="s">
        <v>311</v>
      </c>
    </row>
  </sheetData>
  <phoneticPr fontId="23" type="noConversion"/>
  <pageMargins left="0.46" right="0.35" top="0.98" bottom="0.984251969" header="0.4921259845" footer="0.4921259845"/>
  <pageSetup paperSize="9" orientation="portrait"/>
  <headerFooter alignWithMargins="0">
    <oddHeader>&amp;L&amp;"Arial,Bold"&amp;12Leistungen und Kostenbeteiligung in der OKP</oddHeader>
    <oddFooter>&amp;LStatistik der Krankenversicherung, Bundesamt für Statistik</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0997-DD4B-5C4F-9ADB-17B8613862AB}">
  <dimension ref="A1:K23"/>
  <sheetViews>
    <sheetView zoomScale="75" workbookViewId="0">
      <selection activeCell="I13" sqref="I13"/>
    </sheetView>
  </sheetViews>
  <sheetFormatPr baseColWidth="10" defaultColWidth="11.3984375" defaultRowHeight="13"/>
  <cols>
    <col min="1" max="1" width="21.796875" style="3" customWidth="1"/>
    <col min="2" max="7" width="12.796875" style="3" customWidth="1"/>
    <col min="8" max="16384" width="11.3984375" style="3"/>
  </cols>
  <sheetData>
    <row r="1" spans="1:11" s="1" customFormat="1" ht="14" customHeight="1"/>
    <row r="2" spans="1:11" s="1" customFormat="1" ht="28" customHeight="1">
      <c r="A2" s="81" t="s">
        <v>1489</v>
      </c>
    </row>
    <row r="3" spans="1:11" ht="24" customHeight="1">
      <c r="A3" s="2" t="s">
        <v>1699</v>
      </c>
      <c r="B3" s="74" t="s">
        <v>1700</v>
      </c>
      <c r="C3" s="17" t="s">
        <v>1701</v>
      </c>
      <c r="D3" s="74" t="s">
        <v>1700</v>
      </c>
      <c r="E3" s="17" t="s">
        <v>1701</v>
      </c>
      <c r="F3" s="74" t="s">
        <v>607</v>
      </c>
      <c r="G3" s="17" t="s">
        <v>609</v>
      </c>
    </row>
    <row r="4" spans="1:11" ht="15" customHeight="1">
      <c r="A4" s="82" t="s">
        <v>1702</v>
      </c>
      <c r="B4" s="75" t="s">
        <v>1707</v>
      </c>
      <c r="C4" s="18" t="s">
        <v>1703</v>
      </c>
      <c r="D4" s="75" t="s">
        <v>1708</v>
      </c>
      <c r="E4" s="18" t="s">
        <v>1703</v>
      </c>
      <c r="F4" s="75"/>
      <c r="G4" s="18" t="s">
        <v>610</v>
      </c>
    </row>
    <row r="5" spans="1:11" ht="15" customHeight="1">
      <c r="A5" s="82" t="s">
        <v>1709</v>
      </c>
      <c r="B5" s="75"/>
      <c r="C5" s="18"/>
      <c r="D5" s="75"/>
      <c r="E5" s="18"/>
      <c r="F5" s="75"/>
      <c r="G5" s="18" t="s">
        <v>611</v>
      </c>
    </row>
    <row r="6" spans="1:11" ht="14.25" customHeight="1">
      <c r="A6" s="83"/>
      <c r="B6" s="78"/>
      <c r="C6" s="19"/>
      <c r="D6" s="78"/>
      <c r="E6" s="19"/>
      <c r="F6" s="78"/>
      <c r="G6" s="19"/>
    </row>
    <row r="7" spans="1:11" ht="24.75" customHeight="1" thickBot="1">
      <c r="A7" s="84">
        <v>1993</v>
      </c>
      <c r="B7" s="79">
        <v>67</v>
      </c>
      <c r="C7" s="25">
        <v>0.36612021857923499</v>
      </c>
      <c r="D7" s="29">
        <v>116</v>
      </c>
      <c r="E7" s="25">
        <v>0.63387978142076506</v>
      </c>
      <c r="F7" s="29">
        <v>183</v>
      </c>
      <c r="G7" s="25" t="s">
        <v>487</v>
      </c>
      <c r="H7" s="43"/>
    </row>
    <row r="8" spans="1:11" ht="20" customHeight="1" thickBot="1">
      <c r="A8" s="85">
        <v>1994</v>
      </c>
      <c r="B8" s="80">
        <v>64</v>
      </c>
      <c r="C8" s="26">
        <v>0.3595505617977528</v>
      </c>
      <c r="D8" s="30">
        <v>114</v>
      </c>
      <c r="E8" s="26">
        <v>0.6404494382022472</v>
      </c>
      <c r="F8" s="30">
        <v>178</v>
      </c>
      <c r="G8" s="26">
        <v>-2.7322404371584699E-2</v>
      </c>
      <c r="H8" s="43"/>
    </row>
    <row r="9" spans="1:11" ht="20" customHeight="1" thickBot="1">
      <c r="A9" s="85">
        <v>1995</v>
      </c>
      <c r="B9" s="80">
        <v>66</v>
      </c>
      <c r="C9" s="26">
        <v>0.39759036144578314</v>
      </c>
      <c r="D9" s="30">
        <v>100</v>
      </c>
      <c r="E9" s="26">
        <v>0.60240963855421692</v>
      </c>
      <c r="F9" s="30">
        <v>166</v>
      </c>
      <c r="G9" s="26">
        <v>-6.741573033707865E-2</v>
      </c>
    </row>
    <row r="10" spans="1:11" ht="20" customHeight="1" thickBot="1">
      <c r="A10" s="85">
        <v>1996</v>
      </c>
      <c r="B10" s="80">
        <v>82</v>
      </c>
      <c r="C10" s="26">
        <v>0.56551724137931036</v>
      </c>
      <c r="D10" s="30">
        <v>63</v>
      </c>
      <c r="E10" s="26">
        <v>0.43448275862068964</v>
      </c>
      <c r="F10" s="30">
        <v>145</v>
      </c>
      <c r="G10" s="26">
        <v>-0.12650602409638553</v>
      </c>
      <c r="I10" s="45"/>
      <c r="J10" s="45"/>
      <c r="K10" s="45"/>
    </row>
    <row r="11" spans="1:11" ht="20" customHeight="1" thickBot="1">
      <c r="A11" s="85">
        <v>1997</v>
      </c>
      <c r="B11" s="80">
        <v>60</v>
      </c>
      <c r="C11" s="26">
        <v>0.46511627906976744</v>
      </c>
      <c r="D11" s="30">
        <v>69</v>
      </c>
      <c r="E11" s="26">
        <v>0.53488372093023251</v>
      </c>
      <c r="F11" s="30">
        <v>129</v>
      </c>
      <c r="G11" s="26">
        <v>-0.1103448275862069</v>
      </c>
    </row>
    <row r="12" spans="1:11" ht="20" customHeight="1" thickBot="1">
      <c r="A12" s="85">
        <v>1998</v>
      </c>
      <c r="B12" s="80">
        <v>62</v>
      </c>
      <c r="C12" s="26">
        <v>0.52542372881355937</v>
      </c>
      <c r="D12" s="30">
        <v>56</v>
      </c>
      <c r="E12" s="26">
        <v>0.47457627118644069</v>
      </c>
      <c r="F12" s="30">
        <v>118</v>
      </c>
      <c r="G12" s="26">
        <v>-8.5271317829457363E-2</v>
      </c>
    </row>
    <row r="13" spans="1:11" ht="20" customHeight="1" thickBot="1">
      <c r="A13" s="85">
        <v>1999</v>
      </c>
      <c r="B13" s="80">
        <v>59</v>
      </c>
      <c r="C13" s="26">
        <v>0.54128440366972475</v>
      </c>
      <c r="D13" s="30">
        <v>50</v>
      </c>
      <c r="E13" s="26">
        <v>0.45871559633027525</v>
      </c>
      <c r="F13" s="30">
        <v>109</v>
      </c>
      <c r="G13" s="26">
        <v>-7.6271186440677971E-2</v>
      </c>
    </row>
    <row r="14" spans="1:11" ht="19.5" customHeight="1" thickBot="1">
      <c r="A14" s="85">
        <v>2000</v>
      </c>
      <c r="B14" s="80">
        <v>59</v>
      </c>
      <c r="C14" s="26">
        <v>0.58415841584158412</v>
      </c>
      <c r="D14" s="30">
        <v>42</v>
      </c>
      <c r="E14" s="26">
        <v>0.41584158415841582</v>
      </c>
      <c r="F14" s="30">
        <v>101</v>
      </c>
      <c r="G14" s="26">
        <v>-7.3394495412844041E-2</v>
      </c>
    </row>
    <row r="15" spans="1:11" ht="20" customHeight="1" thickBot="1">
      <c r="A15" s="85">
        <v>2001</v>
      </c>
      <c r="B15" s="80">
        <v>64</v>
      </c>
      <c r="C15" s="26">
        <v>0.64646464646464652</v>
      </c>
      <c r="D15" s="30">
        <v>35</v>
      </c>
      <c r="E15" s="26">
        <v>0.35353535353535354</v>
      </c>
      <c r="F15" s="30">
        <v>99</v>
      </c>
      <c r="G15" s="26">
        <v>-1.9801980198019802E-2</v>
      </c>
    </row>
    <row r="16" spans="1:11" ht="20" customHeight="1" thickBot="1">
      <c r="A16" s="86">
        <v>2002</v>
      </c>
      <c r="B16" s="87">
        <v>68</v>
      </c>
      <c r="C16" s="88">
        <v>0.73118279569892475</v>
      </c>
      <c r="D16" s="89">
        <v>25</v>
      </c>
      <c r="E16" s="88">
        <v>0.26881720430107525</v>
      </c>
      <c r="F16" s="89">
        <v>93</v>
      </c>
      <c r="G16" s="88">
        <v>-6.0606060606060608E-2</v>
      </c>
    </row>
    <row r="17" spans="1:7">
      <c r="A17" s="9" t="s">
        <v>636</v>
      </c>
      <c r="B17" s="9"/>
      <c r="C17" s="9"/>
      <c r="D17" s="9"/>
      <c r="E17" s="9"/>
      <c r="F17" s="9"/>
      <c r="G17" s="9"/>
    </row>
    <row r="18" spans="1:7">
      <c r="A18" s="38"/>
      <c r="B18" s="38"/>
      <c r="C18" s="38"/>
      <c r="D18" s="38"/>
      <c r="E18" s="38"/>
      <c r="F18" s="38"/>
      <c r="G18" s="38"/>
    </row>
    <row r="19" spans="1:7">
      <c r="A19" s="38" t="s">
        <v>630</v>
      </c>
      <c r="B19" s="38"/>
      <c r="C19" s="38"/>
      <c r="D19" s="38"/>
      <c r="E19" s="38"/>
      <c r="F19" s="38"/>
      <c r="G19" s="38"/>
    </row>
    <row r="20" spans="1:7">
      <c r="A20" s="38"/>
      <c r="B20" s="38"/>
      <c r="C20" s="38"/>
      <c r="D20" s="38"/>
      <c r="E20" s="38"/>
      <c r="F20" s="38"/>
      <c r="G20" s="38"/>
    </row>
    <row r="21" spans="1:7">
      <c r="A21" s="38" t="s">
        <v>1704</v>
      </c>
    </row>
    <row r="22" spans="1:7">
      <c r="A22" s="3" t="s">
        <v>1705</v>
      </c>
    </row>
    <row r="23" spans="1:7">
      <c r="A23" s="3" t="s">
        <v>1706</v>
      </c>
    </row>
  </sheetData>
  <phoneticPr fontId="0" type="noConversion"/>
  <pageMargins left="0.78740157480314965" right="0.78740157480314965" top="1.37" bottom="0.49" header="0.81"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0E69F-9CF9-1041-A2C1-93CA0D13F18B}">
  <dimension ref="A1:K23"/>
  <sheetViews>
    <sheetView zoomScale="75" workbookViewId="0">
      <selection activeCell="A16" sqref="A16"/>
    </sheetView>
  </sheetViews>
  <sheetFormatPr baseColWidth="10" defaultColWidth="11.3984375" defaultRowHeight="13"/>
  <cols>
    <col min="1" max="1" width="21.796875" style="3" customWidth="1"/>
    <col min="2" max="2" width="13" style="3" customWidth="1"/>
    <col min="3" max="4" width="12.796875" style="3" customWidth="1"/>
    <col min="5" max="7" width="13" style="3" customWidth="1"/>
    <col min="8" max="16384" width="11.3984375" style="3"/>
  </cols>
  <sheetData>
    <row r="1" spans="1:11" s="1" customFormat="1" ht="14" customHeight="1"/>
    <row r="2" spans="1:11" s="1" customFormat="1" ht="28" customHeight="1">
      <c r="A2" s="81" t="s">
        <v>1490</v>
      </c>
    </row>
    <row r="3" spans="1:11" ht="24" customHeight="1">
      <c r="A3" s="2" t="s">
        <v>1699</v>
      </c>
      <c r="B3" s="90" t="s">
        <v>1768</v>
      </c>
      <c r="C3" s="17"/>
      <c r="D3" s="74"/>
      <c r="E3" s="17"/>
      <c r="F3" s="90" t="s">
        <v>1769</v>
      </c>
      <c r="G3" s="17"/>
    </row>
    <row r="4" spans="1:11" ht="15" customHeight="1">
      <c r="A4" s="82" t="s">
        <v>1702</v>
      </c>
      <c r="B4" s="75" t="s">
        <v>1710</v>
      </c>
      <c r="C4" s="18" t="s">
        <v>609</v>
      </c>
      <c r="D4" s="75" t="s">
        <v>1711</v>
      </c>
      <c r="E4" s="18" t="s">
        <v>609</v>
      </c>
      <c r="F4" s="75" t="s">
        <v>1712</v>
      </c>
      <c r="G4" s="18" t="s">
        <v>609</v>
      </c>
    </row>
    <row r="5" spans="1:11" ht="15" customHeight="1">
      <c r="A5" s="82" t="s">
        <v>1760</v>
      </c>
      <c r="B5" s="75" t="s">
        <v>1761</v>
      </c>
      <c r="C5" s="18" t="s">
        <v>610</v>
      </c>
      <c r="D5" s="75" t="s">
        <v>1762</v>
      </c>
      <c r="E5" s="18" t="s">
        <v>610</v>
      </c>
      <c r="F5" s="75" t="s">
        <v>1763</v>
      </c>
      <c r="G5" s="18" t="s">
        <v>610</v>
      </c>
    </row>
    <row r="6" spans="1:11" ht="24" customHeight="1">
      <c r="A6" s="83"/>
      <c r="B6" s="78"/>
      <c r="C6" s="19" t="s">
        <v>611</v>
      </c>
      <c r="D6" s="78"/>
      <c r="E6" s="19" t="s">
        <v>1764</v>
      </c>
      <c r="F6" s="78"/>
      <c r="G6" s="19" t="s">
        <v>1764</v>
      </c>
    </row>
    <row r="7" spans="1:11" ht="30" customHeight="1" thickBot="1">
      <c r="A7" s="84">
        <v>1993</v>
      </c>
      <c r="B7" s="20" t="s">
        <v>487</v>
      </c>
      <c r="C7" s="91" t="s">
        <v>487</v>
      </c>
      <c r="D7" s="20" t="s">
        <v>487</v>
      </c>
      <c r="E7" s="91" t="s">
        <v>487</v>
      </c>
      <c r="F7" s="92">
        <v>284</v>
      </c>
      <c r="G7" s="91" t="s">
        <v>487</v>
      </c>
      <c r="H7" s="43"/>
    </row>
    <row r="8" spans="1:11" ht="20" customHeight="1" thickBot="1">
      <c r="A8" s="85">
        <v>1994</v>
      </c>
      <c r="B8" s="30">
        <v>435</v>
      </c>
      <c r="C8" s="93" t="s">
        <v>487</v>
      </c>
      <c r="D8" s="30" t="s">
        <v>487</v>
      </c>
      <c r="E8" s="93" t="s">
        <v>487</v>
      </c>
      <c r="F8" s="30">
        <v>315</v>
      </c>
      <c r="G8" s="26">
        <v>0.10915492957746478</v>
      </c>
      <c r="H8" s="43"/>
    </row>
    <row r="9" spans="1:11" ht="20" customHeight="1" thickBot="1">
      <c r="A9" s="85">
        <v>1995</v>
      </c>
      <c r="B9" s="30">
        <v>473</v>
      </c>
      <c r="C9" s="26">
        <v>8.7356321839080459E-2</v>
      </c>
      <c r="D9" s="30" t="s">
        <v>487</v>
      </c>
      <c r="E9" s="93" t="s">
        <v>487</v>
      </c>
      <c r="F9" s="30">
        <v>356</v>
      </c>
      <c r="G9" s="26">
        <v>0.13015873015873017</v>
      </c>
    </row>
    <row r="10" spans="1:11" ht="20" customHeight="1" thickBot="1">
      <c r="A10" s="85">
        <v>1996</v>
      </c>
      <c r="B10" s="30">
        <v>913.21658500000001</v>
      </c>
      <c r="C10" s="26">
        <v>0.93069045454545452</v>
      </c>
      <c r="D10" s="30">
        <v>2674.048675</v>
      </c>
      <c r="E10" s="93" t="s">
        <v>487</v>
      </c>
      <c r="F10" s="30">
        <v>530</v>
      </c>
      <c r="G10" s="26">
        <v>0.4887640449438202</v>
      </c>
      <c r="I10" s="45"/>
      <c r="J10" s="45"/>
      <c r="K10" s="45"/>
    </row>
    <row r="11" spans="1:11" ht="20" customHeight="1" thickBot="1">
      <c r="A11" s="85">
        <v>1997</v>
      </c>
      <c r="B11" s="30">
        <v>951.20448216581099</v>
      </c>
      <c r="C11" s="26">
        <v>4.1597905458332182E-2</v>
      </c>
      <c r="D11" s="30">
        <v>2894.7924399622598</v>
      </c>
      <c r="E11" s="26">
        <v>8.2550391481658339E-2</v>
      </c>
      <c r="F11" s="30">
        <v>532</v>
      </c>
      <c r="G11" s="26">
        <v>3.7735849056603774E-3</v>
      </c>
    </row>
    <row r="12" spans="1:11" ht="20" customHeight="1" thickBot="1">
      <c r="A12" s="85">
        <v>1998</v>
      </c>
      <c r="B12" s="30">
        <v>1005.42211</v>
      </c>
      <c r="C12" s="26">
        <v>5.6998919633704945E-2</v>
      </c>
      <c r="D12" s="30">
        <v>3172.9022279999999</v>
      </c>
      <c r="E12" s="26">
        <v>9.6072445194504488E-2</v>
      </c>
      <c r="F12" s="30">
        <v>609.28660000000002</v>
      </c>
      <c r="G12" s="26">
        <v>0.14527556390977447</v>
      </c>
    </row>
    <row r="13" spans="1:11" ht="20" customHeight="1" thickBot="1">
      <c r="A13" s="85">
        <v>1999</v>
      </c>
      <c r="B13" s="30">
        <v>1043.283537</v>
      </c>
      <c r="C13" s="26">
        <v>3.7657245273828376E-2</v>
      </c>
      <c r="D13" s="30">
        <v>3340.3853559999998</v>
      </c>
      <c r="E13" s="26">
        <v>5.2785467677512014E-2</v>
      </c>
      <c r="F13" s="30">
        <v>659.60795700000006</v>
      </c>
      <c r="G13" s="26">
        <v>8.2590618273896119E-2</v>
      </c>
    </row>
    <row r="14" spans="1:11" ht="23.25" customHeight="1" thickBot="1">
      <c r="A14" s="85">
        <v>2000</v>
      </c>
      <c r="B14" s="30">
        <v>1090.4996369999999</v>
      </c>
      <c r="C14" s="26">
        <v>4.5257207964549594E-2</v>
      </c>
      <c r="D14" s="30">
        <v>3554.1311930000002</v>
      </c>
      <c r="E14" s="26">
        <v>6.3988376854805129E-2</v>
      </c>
      <c r="F14" s="30">
        <v>732.09943699999997</v>
      </c>
      <c r="G14" s="26">
        <v>0.10990085736640061</v>
      </c>
    </row>
    <row r="15" spans="1:11" ht="20" customHeight="1" thickBot="1">
      <c r="A15" s="85">
        <v>2001</v>
      </c>
      <c r="B15" s="30">
        <v>1148.4065562125586</v>
      </c>
      <c r="C15" s="26">
        <v>5.3101273258432738E-2</v>
      </c>
      <c r="D15" s="30">
        <v>3804.1073437743612</v>
      </c>
      <c r="E15" s="26">
        <v>7.0333968331472624E-2</v>
      </c>
      <c r="F15" s="30">
        <v>844.73803099999998</v>
      </c>
      <c r="G15" s="26">
        <v>0.15385696028065654</v>
      </c>
    </row>
    <row r="16" spans="1:11" ht="20" customHeight="1" thickBot="1">
      <c r="A16" s="86">
        <v>2002</v>
      </c>
      <c r="B16" s="89">
        <v>1176.9857406315903</v>
      </c>
      <c r="C16" s="88">
        <v>2.4885946761994921E-2</v>
      </c>
      <c r="D16" s="89">
        <v>3992.1493332093432</v>
      </c>
      <c r="E16" s="88">
        <v>4.9431304756087785E-2</v>
      </c>
      <c r="F16" s="89">
        <v>928.34341900000004</v>
      </c>
      <c r="G16" s="88">
        <v>9.8971971110414073E-2</v>
      </c>
    </row>
    <row r="17" spans="1:7">
      <c r="A17" s="9" t="s">
        <v>636</v>
      </c>
      <c r="B17" s="9"/>
      <c r="C17" s="9"/>
      <c r="D17" s="9"/>
      <c r="E17" s="9"/>
      <c r="F17" s="9"/>
      <c r="G17" s="9"/>
    </row>
    <row r="18" spans="1:7">
      <c r="A18" s="38"/>
      <c r="B18" s="38"/>
      <c r="C18" s="38"/>
      <c r="D18" s="38"/>
      <c r="E18" s="38"/>
      <c r="F18" s="38"/>
      <c r="G18" s="38"/>
    </row>
    <row r="19" spans="1:7">
      <c r="A19" s="38" t="s">
        <v>630</v>
      </c>
      <c r="B19" s="38"/>
      <c r="C19" s="38"/>
      <c r="D19" s="38"/>
      <c r="E19" s="38"/>
      <c r="F19" s="38"/>
      <c r="G19" s="38"/>
    </row>
    <row r="20" spans="1:7">
      <c r="A20" s="38"/>
      <c r="B20" s="38"/>
      <c r="C20" s="38"/>
      <c r="D20" s="38"/>
      <c r="E20" s="38"/>
      <c r="F20" s="38"/>
      <c r="G20" s="38"/>
    </row>
    <row r="21" spans="1:7">
      <c r="A21" s="38" t="s">
        <v>1765</v>
      </c>
    </row>
    <row r="22" spans="1:7">
      <c r="A22" s="94" t="s">
        <v>1766</v>
      </c>
    </row>
    <row r="23" spans="1:7">
      <c r="A23" s="94" t="s">
        <v>1767</v>
      </c>
    </row>
  </sheetData>
  <phoneticPr fontId="0" type="noConversion"/>
  <pageMargins left="0.78740157480314965" right="0.78740157480314965" top="1.46" bottom="0.49" header="0.93"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1876-047A-7C45-BC1D-50F6030F5824}">
  <dimension ref="A1:I41"/>
  <sheetViews>
    <sheetView zoomScale="75" workbookViewId="0">
      <selection activeCell="B7" sqref="B7"/>
    </sheetView>
  </sheetViews>
  <sheetFormatPr baseColWidth="10" defaultColWidth="11.3984375" defaultRowHeight="13"/>
  <cols>
    <col min="1" max="6" width="14.796875" style="3" customWidth="1"/>
    <col min="7" max="7" width="14.796875" style="105" customWidth="1"/>
    <col min="8" max="8" width="11.3984375" style="3"/>
    <col min="9" max="9" width="12.19921875" style="3" customWidth="1"/>
    <col min="10" max="16384" width="11.3984375" style="3"/>
  </cols>
  <sheetData>
    <row r="1" spans="1:9" s="1" customFormat="1" ht="14" customHeight="1">
      <c r="G1" s="95"/>
    </row>
    <row r="2" spans="1:9" s="1" customFormat="1" ht="28" customHeight="1">
      <c r="A2" s="64" t="s">
        <v>1491</v>
      </c>
      <c r="G2" s="64"/>
    </row>
    <row r="3" spans="1:9" ht="27" customHeight="1">
      <c r="A3" s="2" t="s">
        <v>1663</v>
      </c>
      <c r="B3" s="74" t="s">
        <v>1664</v>
      </c>
      <c r="C3" s="17" t="s">
        <v>1665</v>
      </c>
      <c r="D3" s="74" t="s">
        <v>1666</v>
      </c>
      <c r="E3" s="17" t="s">
        <v>607</v>
      </c>
      <c r="F3" s="74" t="s">
        <v>607</v>
      </c>
      <c r="G3" s="96" t="s">
        <v>609</v>
      </c>
    </row>
    <row r="4" spans="1:9" ht="15" customHeight="1">
      <c r="A4" s="4"/>
      <c r="B4" s="75"/>
      <c r="C4" s="4"/>
      <c r="D4" s="76"/>
      <c r="E4" s="18" t="s">
        <v>1667</v>
      </c>
      <c r="F4" s="75" t="s">
        <v>1668</v>
      </c>
      <c r="G4" s="4" t="s">
        <v>610</v>
      </c>
    </row>
    <row r="5" spans="1:9" ht="15" customHeight="1">
      <c r="A5" s="4"/>
      <c r="B5" s="75"/>
      <c r="C5" s="4"/>
      <c r="D5" s="76"/>
      <c r="E5" s="18" t="s">
        <v>1669</v>
      </c>
      <c r="F5" s="75" t="s">
        <v>1670</v>
      </c>
      <c r="G5" s="4" t="s">
        <v>611</v>
      </c>
    </row>
    <row r="6" spans="1:9" ht="24" customHeight="1">
      <c r="A6" s="5"/>
      <c r="B6" s="77"/>
      <c r="C6" s="5"/>
      <c r="D6" s="77"/>
      <c r="E6" s="19"/>
      <c r="F6" s="78"/>
      <c r="G6" s="5"/>
      <c r="I6" s="97"/>
    </row>
    <row r="7" spans="1:9" ht="30" customHeight="1" thickBot="1">
      <c r="A7" s="6" t="s">
        <v>1671</v>
      </c>
      <c r="B7" s="92">
        <v>241834.16666666666</v>
      </c>
      <c r="C7" s="98">
        <v>488018.75</v>
      </c>
      <c r="D7" s="92">
        <v>520819.41666666657</v>
      </c>
      <c r="E7" s="98">
        <v>1008838.1666666666</v>
      </c>
      <c r="F7" s="92">
        <v>1250672.3333333333</v>
      </c>
      <c r="G7" s="99">
        <v>8.9113628433943586E-3</v>
      </c>
      <c r="I7" s="69"/>
    </row>
    <row r="8" spans="1:9" ht="20" customHeight="1" thickBot="1">
      <c r="A8" s="7" t="s">
        <v>1672</v>
      </c>
      <c r="B8" s="92">
        <v>192668.33333333334</v>
      </c>
      <c r="C8" s="98">
        <v>365118.33333333337</v>
      </c>
      <c r="D8" s="92">
        <v>396838.25</v>
      </c>
      <c r="E8" s="98">
        <v>761956.58333333337</v>
      </c>
      <c r="F8" s="92">
        <v>954624.91666666663</v>
      </c>
      <c r="G8" s="99">
        <v>1.8630920727155059E-3</v>
      </c>
      <c r="I8" s="69"/>
    </row>
    <row r="9" spans="1:9" ht="20" customHeight="1" thickBot="1">
      <c r="A9" s="7" t="s">
        <v>1673</v>
      </c>
      <c r="B9" s="92">
        <v>81311.083333333328</v>
      </c>
      <c r="C9" s="98">
        <v>133711.83333333331</v>
      </c>
      <c r="D9" s="92">
        <v>140954.5</v>
      </c>
      <c r="E9" s="98">
        <v>274666.33333333331</v>
      </c>
      <c r="F9" s="92">
        <v>355977.41666666669</v>
      </c>
      <c r="G9" s="99">
        <v>5.1368197059147398E-3</v>
      </c>
      <c r="I9" s="69"/>
    </row>
    <row r="10" spans="1:9" ht="20" customHeight="1" thickBot="1">
      <c r="A10" s="7" t="s">
        <v>1674</v>
      </c>
      <c r="B10" s="92">
        <v>8018.666666666667</v>
      </c>
      <c r="C10" s="98">
        <v>13667.25</v>
      </c>
      <c r="D10" s="92">
        <v>13827</v>
      </c>
      <c r="E10" s="98">
        <v>27494.25</v>
      </c>
      <c r="F10" s="92">
        <v>35512.916666666664</v>
      </c>
      <c r="G10" s="99">
        <v>-2.8755407666681033E-3</v>
      </c>
      <c r="I10" s="69"/>
    </row>
    <row r="11" spans="1:9" ht="20" customHeight="1" thickBot="1">
      <c r="A11" s="7" t="s">
        <v>1675</v>
      </c>
      <c r="B11" s="92">
        <v>30793.333333333332</v>
      </c>
      <c r="C11" s="98">
        <v>51225.5</v>
      </c>
      <c r="D11" s="92">
        <v>50828.583333333336</v>
      </c>
      <c r="E11" s="98">
        <v>102054.08333333333</v>
      </c>
      <c r="F11" s="92">
        <v>132847.41666666666</v>
      </c>
      <c r="G11" s="99">
        <v>1.406239667233483E-2</v>
      </c>
      <c r="I11" s="69"/>
    </row>
    <row r="12" spans="1:9" ht="20" customHeight="1" thickBot="1">
      <c r="A12" s="7" t="s">
        <v>1676</v>
      </c>
      <c r="B12" s="92">
        <v>7984.5</v>
      </c>
      <c r="C12" s="98">
        <v>12765.25</v>
      </c>
      <c r="D12" s="92">
        <v>12855.166666666668</v>
      </c>
      <c r="E12" s="98">
        <v>25620.416666666668</v>
      </c>
      <c r="F12" s="92">
        <v>33604.916666666664</v>
      </c>
      <c r="G12" s="99">
        <v>5.8994153965301697E-3</v>
      </c>
      <c r="I12" s="69"/>
    </row>
    <row r="13" spans="1:9" ht="20" customHeight="1" thickBot="1">
      <c r="A13" s="7" t="s">
        <v>1677</v>
      </c>
      <c r="B13" s="92">
        <v>8458.3333333333339</v>
      </c>
      <c r="C13" s="98">
        <v>15101.75</v>
      </c>
      <c r="D13" s="92">
        <v>15009.833333333336</v>
      </c>
      <c r="E13" s="98">
        <v>30111.583333333332</v>
      </c>
      <c r="F13" s="92">
        <v>38569.916666666664</v>
      </c>
      <c r="G13" s="99">
        <v>1.2278507280092386E-2</v>
      </c>
      <c r="I13" s="69"/>
    </row>
    <row r="14" spans="1:9" ht="20" customHeight="1" thickBot="1">
      <c r="A14" s="7" t="s">
        <v>1678</v>
      </c>
      <c r="B14" s="92">
        <v>8700.6666666666661</v>
      </c>
      <c r="C14" s="98">
        <v>14794.25</v>
      </c>
      <c r="D14" s="92">
        <v>15406.833333333332</v>
      </c>
      <c r="E14" s="98">
        <v>30201.083333333332</v>
      </c>
      <c r="F14" s="92">
        <v>38901.75</v>
      </c>
      <c r="G14" s="99">
        <v>4.9449333033326831E-3</v>
      </c>
      <c r="I14" s="69"/>
    </row>
    <row r="15" spans="1:9" ht="20" customHeight="1" thickBot="1">
      <c r="A15" s="7" t="s">
        <v>1679</v>
      </c>
      <c r="B15" s="92">
        <v>21166</v>
      </c>
      <c r="C15" s="98">
        <v>39745.416666666664</v>
      </c>
      <c r="D15" s="92">
        <v>40257.333333333336</v>
      </c>
      <c r="E15" s="98">
        <v>80002.75</v>
      </c>
      <c r="F15" s="92">
        <v>101168.75</v>
      </c>
      <c r="G15" s="99">
        <v>1.3000145588653795E-2</v>
      </c>
      <c r="I15" s="69"/>
    </row>
    <row r="16" spans="1:9" ht="20" customHeight="1" thickBot="1">
      <c r="A16" s="7" t="s">
        <v>1680</v>
      </c>
      <c r="B16" s="92">
        <v>58428.916666666664</v>
      </c>
      <c r="C16" s="98">
        <v>91094.583333333328</v>
      </c>
      <c r="D16" s="92">
        <v>94380.5</v>
      </c>
      <c r="E16" s="98">
        <v>185475.08333333334</v>
      </c>
      <c r="F16" s="92">
        <v>243904</v>
      </c>
      <c r="G16" s="99">
        <v>1.4790273667264951E-2</v>
      </c>
      <c r="I16" s="69"/>
    </row>
    <row r="17" spans="1:9" ht="20" customHeight="1" thickBot="1">
      <c r="A17" s="7" t="s">
        <v>1681</v>
      </c>
      <c r="B17" s="92">
        <v>52843.25</v>
      </c>
      <c r="C17" s="98">
        <v>94862</v>
      </c>
      <c r="D17" s="92">
        <v>100043.25</v>
      </c>
      <c r="E17" s="98">
        <v>194905.25</v>
      </c>
      <c r="F17" s="92">
        <v>247748.5</v>
      </c>
      <c r="G17" s="99">
        <v>3.7903189864391261E-3</v>
      </c>
      <c r="I17" s="69"/>
    </row>
    <row r="18" spans="1:9" ht="20" customHeight="1" thickBot="1">
      <c r="A18" s="7" t="s">
        <v>1682</v>
      </c>
      <c r="B18" s="92">
        <v>30119.916666666668</v>
      </c>
      <c r="C18" s="98">
        <v>72303.083333333328</v>
      </c>
      <c r="D18" s="92">
        <v>82876.666666666672</v>
      </c>
      <c r="E18" s="98">
        <v>155179.75</v>
      </c>
      <c r="F18" s="92">
        <v>185299.66666666666</v>
      </c>
      <c r="G18" s="99">
        <v>-2.6633368228518232E-3</v>
      </c>
      <c r="I18" s="69"/>
    </row>
    <row r="19" spans="1:9" ht="20" customHeight="1" thickBot="1">
      <c r="A19" s="7" t="s">
        <v>1683</v>
      </c>
      <c r="B19" s="92">
        <v>52610.666666666664</v>
      </c>
      <c r="C19" s="98">
        <v>102444.83333333334</v>
      </c>
      <c r="D19" s="92">
        <v>108657.33333333333</v>
      </c>
      <c r="E19" s="98">
        <v>211102.16666666666</v>
      </c>
      <c r="F19" s="92">
        <v>263712.83333333331</v>
      </c>
      <c r="G19" s="99">
        <v>4.9402904487963455E-3</v>
      </c>
      <c r="I19" s="69"/>
    </row>
    <row r="20" spans="1:9" ht="20" customHeight="1" thickBot="1">
      <c r="A20" s="7" t="s">
        <v>1684</v>
      </c>
      <c r="B20" s="92">
        <v>15531.916666666666</v>
      </c>
      <c r="C20" s="98">
        <v>28743.166666666664</v>
      </c>
      <c r="D20" s="92">
        <v>31041.416666666664</v>
      </c>
      <c r="E20" s="98">
        <v>59784.583333333336</v>
      </c>
      <c r="F20" s="92">
        <v>75316.5</v>
      </c>
      <c r="G20" s="99">
        <v>6.0610917979903225E-3</v>
      </c>
      <c r="I20" s="69"/>
    </row>
    <row r="21" spans="1:9" ht="20" customHeight="1" thickBot="1">
      <c r="A21" s="7" t="s">
        <v>1685</v>
      </c>
      <c r="B21" s="92">
        <v>12579.583333333334</v>
      </c>
      <c r="C21" s="98">
        <v>20132.333333333328</v>
      </c>
      <c r="D21" s="92">
        <v>21115.583333333332</v>
      </c>
      <c r="E21" s="98">
        <v>41247.916666666664</v>
      </c>
      <c r="F21" s="92">
        <v>53827.5</v>
      </c>
      <c r="G21" s="99">
        <v>-4.3298771512042698E-3</v>
      </c>
      <c r="I21" s="69"/>
    </row>
    <row r="22" spans="1:9" ht="20" customHeight="1" thickBot="1">
      <c r="A22" s="7" t="s">
        <v>1686</v>
      </c>
      <c r="B22" s="92">
        <v>3922.0833333333335</v>
      </c>
      <c r="C22" s="98">
        <v>5556.75</v>
      </c>
      <c r="D22" s="92">
        <v>5466.083333333333</v>
      </c>
      <c r="E22" s="98">
        <v>11022.833333333334</v>
      </c>
      <c r="F22" s="92">
        <v>14944.916666666666</v>
      </c>
      <c r="G22" s="99">
        <v>-1.561045231285982E-4</v>
      </c>
      <c r="I22" s="69"/>
    </row>
    <row r="23" spans="1:9" ht="20" customHeight="1" thickBot="1">
      <c r="A23" s="7" t="s">
        <v>1687</v>
      </c>
      <c r="B23" s="92">
        <v>107014.33333333333</v>
      </c>
      <c r="C23" s="98">
        <v>171747.91666666669</v>
      </c>
      <c r="D23" s="92">
        <v>180287</v>
      </c>
      <c r="E23" s="98">
        <v>352034.91666666669</v>
      </c>
      <c r="F23" s="92">
        <v>459049.25</v>
      </c>
      <c r="G23" s="99">
        <v>6.3952516219147977E-3</v>
      </c>
      <c r="I23" s="69"/>
    </row>
    <row r="24" spans="1:9" ht="20" customHeight="1" thickBot="1">
      <c r="A24" s="7" t="s">
        <v>1688</v>
      </c>
      <c r="B24" s="92">
        <v>39549.083333333336</v>
      </c>
      <c r="C24" s="98">
        <v>76264.416666666642</v>
      </c>
      <c r="D24" s="92">
        <v>77538.166666666672</v>
      </c>
      <c r="E24" s="98">
        <v>153802.58333333334</v>
      </c>
      <c r="F24" s="92">
        <v>193351.66666666666</v>
      </c>
      <c r="G24" s="99">
        <v>-1.7283262984227588E-3</v>
      </c>
      <c r="I24" s="69"/>
    </row>
    <row r="25" spans="1:9" ht="20" customHeight="1" thickBot="1">
      <c r="A25" s="7" t="s">
        <v>1689</v>
      </c>
      <c r="B25" s="92">
        <v>123945.16666666667</v>
      </c>
      <c r="C25" s="98">
        <v>216281.5</v>
      </c>
      <c r="D25" s="92">
        <v>222402.83333333331</v>
      </c>
      <c r="E25" s="98">
        <v>438684.33333333331</v>
      </c>
      <c r="F25" s="92">
        <v>562629.5</v>
      </c>
      <c r="G25" s="99">
        <v>-1.7429392744524463E-4</v>
      </c>
      <c r="I25" s="69"/>
    </row>
    <row r="26" spans="1:9" ht="20" customHeight="1" thickBot="1">
      <c r="A26" s="7" t="s">
        <v>1690</v>
      </c>
      <c r="B26" s="92">
        <v>55672.333333333336</v>
      </c>
      <c r="C26" s="98">
        <v>86240.25</v>
      </c>
      <c r="D26" s="92">
        <v>89479.833333333328</v>
      </c>
      <c r="E26" s="98">
        <v>175720.08333333334</v>
      </c>
      <c r="F26" s="92">
        <v>231392.41666666666</v>
      </c>
      <c r="G26" s="99">
        <v>4.3393162927737421E-3</v>
      </c>
      <c r="I26" s="69"/>
    </row>
    <row r="27" spans="1:9" ht="20" customHeight="1" thickBot="1">
      <c r="A27" s="7" t="s">
        <v>1691</v>
      </c>
      <c r="B27" s="92">
        <v>57460.166666666664</v>
      </c>
      <c r="C27" s="98">
        <v>120663.25</v>
      </c>
      <c r="D27" s="92">
        <v>135990.5</v>
      </c>
      <c r="E27" s="98">
        <v>256653.75</v>
      </c>
      <c r="F27" s="92">
        <v>314113.91666666669</v>
      </c>
      <c r="G27" s="99">
        <v>4.9402306738469924E-3</v>
      </c>
      <c r="I27" s="69"/>
    </row>
    <row r="28" spans="1:9" ht="20" customHeight="1" thickBot="1">
      <c r="A28" s="7" t="s">
        <v>1692</v>
      </c>
      <c r="B28" s="92">
        <v>138742.91666666666</v>
      </c>
      <c r="C28" s="98">
        <v>234757</v>
      </c>
      <c r="D28" s="92">
        <v>258898.66666666666</v>
      </c>
      <c r="E28" s="98">
        <v>493655.66666666669</v>
      </c>
      <c r="F28" s="92">
        <v>632398.58333333337</v>
      </c>
      <c r="G28" s="99">
        <v>7.8957803678186035E-3</v>
      </c>
      <c r="I28" s="69"/>
    </row>
    <row r="29" spans="1:9" ht="20" customHeight="1" thickBot="1">
      <c r="A29" s="7" t="s">
        <v>1693</v>
      </c>
      <c r="B29" s="92">
        <v>62414.333333333336</v>
      </c>
      <c r="C29" s="98">
        <v>109529.25</v>
      </c>
      <c r="D29" s="92">
        <v>114967.75</v>
      </c>
      <c r="E29" s="98">
        <v>224497</v>
      </c>
      <c r="F29" s="92">
        <v>286911.33333333331</v>
      </c>
      <c r="G29" s="99">
        <v>1.0838741523887654E-2</v>
      </c>
      <c r="I29" s="69"/>
    </row>
    <row r="30" spans="1:9" ht="20" customHeight="1" thickBot="1">
      <c r="A30" s="7" t="s">
        <v>1694</v>
      </c>
      <c r="B30" s="92">
        <v>36197.25</v>
      </c>
      <c r="C30" s="98">
        <v>63185.916666666664</v>
      </c>
      <c r="D30" s="92">
        <v>69284.416666666672</v>
      </c>
      <c r="E30" s="98">
        <v>132470.33333333334</v>
      </c>
      <c r="F30" s="92">
        <v>168667.58333333334</v>
      </c>
      <c r="G30" s="99">
        <v>4.0309639879067523E-3</v>
      </c>
      <c r="I30" s="69"/>
    </row>
    <row r="31" spans="1:9" ht="20" customHeight="1" thickBot="1">
      <c r="A31" s="7" t="s">
        <v>1695</v>
      </c>
      <c r="B31" s="92">
        <v>84226.75</v>
      </c>
      <c r="C31" s="98">
        <v>146901.16666666669</v>
      </c>
      <c r="D31" s="92">
        <v>164823.75</v>
      </c>
      <c r="E31" s="98">
        <v>311724.91666666669</v>
      </c>
      <c r="F31" s="92">
        <v>395951.66666666669</v>
      </c>
      <c r="G31" s="99">
        <v>1.8497887893697364E-2</v>
      </c>
      <c r="I31" s="69"/>
    </row>
    <row r="32" spans="1:9" ht="20" customHeight="1" thickBot="1">
      <c r="A32" s="70" t="s">
        <v>1696</v>
      </c>
      <c r="B32" s="92">
        <v>16148.916666666666</v>
      </c>
      <c r="C32" s="98">
        <v>26079.083333333332</v>
      </c>
      <c r="D32" s="92">
        <v>27783.083333333339</v>
      </c>
      <c r="E32" s="98">
        <v>53862.166666666664</v>
      </c>
      <c r="F32" s="92">
        <v>70011.083333333328</v>
      </c>
      <c r="G32" s="99">
        <v>1.1523345798089314E-3</v>
      </c>
      <c r="I32" s="69"/>
    </row>
    <row r="33" spans="1:9" ht="30" customHeight="1" thickBot="1">
      <c r="A33" s="13" t="s">
        <v>1697</v>
      </c>
      <c r="B33" s="100">
        <v>1548342.6666666667</v>
      </c>
      <c r="C33" s="101">
        <v>2800934.833333333</v>
      </c>
      <c r="D33" s="100">
        <v>2991833.75</v>
      </c>
      <c r="E33" s="101">
        <v>5792768.583333334</v>
      </c>
      <c r="F33" s="100">
        <v>7341111.2499999991</v>
      </c>
      <c r="G33" s="102">
        <v>6.1749408775300663E-3</v>
      </c>
      <c r="I33" s="69"/>
    </row>
    <row r="34" spans="1:9" ht="20" customHeight="1">
      <c r="A34" s="9" t="s">
        <v>636</v>
      </c>
      <c r="B34" s="9"/>
      <c r="C34" s="9"/>
      <c r="D34" s="9"/>
      <c r="E34" s="9"/>
      <c r="F34" s="9"/>
      <c r="G34" s="103"/>
      <c r="I34" s="97"/>
    </row>
    <row r="35" spans="1:9" ht="11.25" customHeight="1">
      <c r="A35" s="38"/>
      <c r="B35" s="38"/>
      <c r="C35" s="38"/>
      <c r="D35" s="38"/>
      <c r="E35" s="38"/>
      <c r="F35" s="38"/>
      <c r="G35" s="104"/>
      <c r="I35" s="97"/>
    </row>
    <row r="36" spans="1:9" ht="14.25" customHeight="1">
      <c r="A36" s="38" t="s">
        <v>630</v>
      </c>
      <c r="B36" s="38"/>
      <c r="C36" s="38"/>
      <c r="D36" s="38"/>
      <c r="E36" s="38"/>
      <c r="F36" s="38"/>
      <c r="G36" s="104"/>
      <c r="I36" s="97"/>
    </row>
    <row r="37" spans="1:9" ht="13.5" customHeight="1">
      <c r="A37" s="38"/>
      <c r="B37" s="38"/>
      <c r="C37" s="38"/>
      <c r="D37" s="38"/>
      <c r="E37" s="38"/>
      <c r="F37" s="38"/>
      <c r="G37" s="104"/>
      <c r="I37" s="97"/>
    </row>
    <row r="38" spans="1:9" ht="12" customHeight="1">
      <c r="A38" s="38" t="s">
        <v>632</v>
      </c>
    </row>
    <row r="39" spans="1:9" ht="12" customHeight="1"/>
    <row r="40" spans="1:9" ht="12" customHeight="1"/>
    <row r="41" spans="1:9" ht="12" customHeight="1"/>
  </sheetData>
  <phoneticPr fontId="0" type="noConversion"/>
  <pageMargins left="0.78740157480314965" right="0.78740157480314965" top="1.46" bottom="0.49" header="0.91"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DF377-A397-0E44-9581-80C96FBC9E10}">
  <dimension ref="A1:I41"/>
  <sheetViews>
    <sheetView zoomScale="75" workbookViewId="0">
      <selection activeCell="E44" sqref="E44"/>
    </sheetView>
  </sheetViews>
  <sheetFormatPr baseColWidth="10" defaultColWidth="11.3984375" defaultRowHeight="13"/>
  <cols>
    <col min="1" max="4" width="14.796875" style="3" customWidth="1"/>
    <col min="5" max="5" width="17" style="3" customWidth="1"/>
    <col min="6" max="6" width="16.3984375" style="3" customWidth="1"/>
    <col min="7" max="7" width="14.796875" style="105" customWidth="1"/>
    <col min="8" max="8" width="11.3984375" style="3"/>
    <col min="9" max="9" width="14.59765625" style="3" customWidth="1"/>
    <col min="10" max="16384" width="11.3984375" style="3"/>
  </cols>
  <sheetData>
    <row r="1" spans="1:9" s="1" customFormat="1" ht="14" customHeight="1">
      <c r="G1" s="95"/>
    </row>
    <row r="2" spans="1:9" s="1" customFormat="1" ht="28" customHeight="1">
      <c r="A2" s="64" t="s">
        <v>459</v>
      </c>
      <c r="G2" s="95"/>
    </row>
    <row r="3" spans="1:9" ht="27" customHeight="1">
      <c r="A3" s="2" t="s">
        <v>1663</v>
      </c>
      <c r="B3" s="74" t="s">
        <v>1664</v>
      </c>
      <c r="C3" s="17" t="s">
        <v>1665</v>
      </c>
      <c r="D3" s="74" t="s">
        <v>1666</v>
      </c>
      <c r="E3" s="17" t="s">
        <v>607</v>
      </c>
      <c r="F3" s="74" t="s">
        <v>607</v>
      </c>
      <c r="G3" s="96" t="s">
        <v>609</v>
      </c>
    </row>
    <row r="4" spans="1:9" ht="15" customHeight="1">
      <c r="A4" s="4"/>
      <c r="B4" s="75"/>
      <c r="C4" s="4"/>
      <c r="D4" s="76"/>
      <c r="E4" s="18" t="s">
        <v>1667</v>
      </c>
      <c r="F4" s="75" t="s">
        <v>1668</v>
      </c>
      <c r="G4" s="4" t="s">
        <v>610</v>
      </c>
    </row>
    <row r="5" spans="1:9" ht="15" customHeight="1">
      <c r="A5" s="4"/>
      <c r="B5" s="75"/>
      <c r="C5" s="4"/>
      <c r="D5" s="76"/>
      <c r="E5" s="18" t="s">
        <v>1669</v>
      </c>
      <c r="F5" s="75" t="s">
        <v>1670</v>
      </c>
      <c r="G5" s="4" t="s">
        <v>611</v>
      </c>
    </row>
    <row r="6" spans="1:9" ht="24" customHeight="1">
      <c r="A6" s="5"/>
      <c r="B6" s="77"/>
      <c r="C6" s="5"/>
      <c r="D6" s="77"/>
      <c r="E6" s="19"/>
      <c r="F6" s="78"/>
      <c r="G6" s="5"/>
    </row>
    <row r="7" spans="1:9" ht="30" customHeight="1" thickBot="1">
      <c r="A7" s="6" t="s">
        <v>1671</v>
      </c>
      <c r="B7" s="92">
        <v>178662939</v>
      </c>
      <c r="C7" s="98">
        <v>1086628038</v>
      </c>
      <c r="D7" s="92">
        <v>1654812071</v>
      </c>
      <c r="E7" s="98">
        <v>2741440109</v>
      </c>
      <c r="F7" s="92">
        <v>2920103048</v>
      </c>
      <c r="G7" s="99">
        <v>4.6074977529347083E-2</v>
      </c>
      <c r="I7" s="69"/>
    </row>
    <row r="8" spans="1:9" ht="20" customHeight="1" thickBot="1">
      <c r="A8" s="7" t="s">
        <v>1672</v>
      </c>
      <c r="B8" s="92">
        <v>122426995</v>
      </c>
      <c r="C8" s="98">
        <v>820529581</v>
      </c>
      <c r="D8" s="92">
        <v>1230816221</v>
      </c>
      <c r="E8" s="98">
        <v>2051345802</v>
      </c>
      <c r="F8" s="92">
        <v>2173772797</v>
      </c>
      <c r="G8" s="99">
        <v>4.7324250687069781E-2</v>
      </c>
      <c r="I8" s="69"/>
    </row>
    <row r="9" spans="1:9" ht="20" customHeight="1" thickBot="1">
      <c r="A9" s="7" t="s">
        <v>1673</v>
      </c>
      <c r="B9" s="92">
        <v>43102125</v>
      </c>
      <c r="C9" s="98">
        <v>249878850</v>
      </c>
      <c r="D9" s="92">
        <v>359333955</v>
      </c>
      <c r="E9" s="98">
        <v>609212805</v>
      </c>
      <c r="F9" s="92">
        <v>652314930</v>
      </c>
      <c r="G9" s="99">
        <v>3.6341606134202446E-2</v>
      </c>
      <c r="I9" s="69"/>
    </row>
    <row r="10" spans="1:9" ht="20" customHeight="1" thickBot="1">
      <c r="A10" s="7" t="s">
        <v>1674</v>
      </c>
      <c r="B10" s="92">
        <v>4597954</v>
      </c>
      <c r="C10" s="98">
        <v>23697875</v>
      </c>
      <c r="D10" s="92">
        <v>32629759</v>
      </c>
      <c r="E10" s="98">
        <v>56327634</v>
      </c>
      <c r="F10" s="92">
        <v>60925588</v>
      </c>
      <c r="G10" s="99">
        <v>-5.4231246292928852E-2</v>
      </c>
      <c r="I10" s="69"/>
    </row>
    <row r="11" spans="1:9" ht="20" customHeight="1" thickBot="1">
      <c r="A11" s="7" t="s">
        <v>1675</v>
      </c>
      <c r="B11" s="92">
        <v>19458661</v>
      </c>
      <c r="C11" s="98">
        <v>94707717</v>
      </c>
      <c r="D11" s="92">
        <v>130034673</v>
      </c>
      <c r="E11" s="98">
        <v>224742390</v>
      </c>
      <c r="F11" s="92">
        <v>244201051</v>
      </c>
      <c r="G11" s="99">
        <v>1.2812327716107621E-2</v>
      </c>
      <c r="I11" s="69"/>
    </row>
    <row r="12" spans="1:9" ht="20" customHeight="1" thickBot="1">
      <c r="A12" s="7" t="s">
        <v>1676</v>
      </c>
      <c r="B12" s="92">
        <v>4297765</v>
      </c>
      <c r="C12" s="98">
        <v>20112149</v>
      </c>
      <c r="D12" s="92">
        <v>32085694</v>
      </c>
      <c r="E12" s="98">
        <v>52197843</v>
      </c>
      <c r="F12" s="92">
        <v>56495608</v>
      </c>
      <c r="G12" s="99">
        <v>1.864211301910499E-2</v>
      </c>
      <c r="I12" s="69"/>
    </row>
    <row r="13" spans="1:9" ht="20" customHeight="1" thickBot="1">
      <c r="A13" s="7" t="s">
        <v>1677</v>
      </c>
      <c r="B13" s="92">
        <v>4669987</v>
      </c>
      <c r="C13" s="98">
        <v>24181228</v>
      </c>
      <c r="D13" s="92">
        <v>35018675</v>
      </c>
      <c r="E13" s="98">
        <v>59199903</v>
      </c>
      <c r="F13" s="92">
        <v>63869890</v>
      </c>
      <c r="G13" s="99">
        <v>3.3416762424131635E-2</v>
      </c>
      <c r="I13" s="69"/>
    </row>
    <row r="14" spans="1:9" ht="20" customHeight="1" thickBot="1">
      <c r="A14" s="7" t="s">
        <v>1678</v>
      </c>
      <c r="B14" s="92">
        <v>6030312</v>
      </c>
      <c r="C14" s="98">
        <v>28695597</v>
      </c>
      <c r="D14" s="92">
        <v>41439271</v>
      </c>
      <c r="E14" s="98">
        <v>70134868</v>
      </c>
      <c r="F14" s="92">
        <v>76165180</v>
      </c>
      <c r="G14" s="99">
        <v>2.059575181522974E-2</v>
      </c>
      <c r="I14" s="69"/>
    </row>
    <row r="15" spans="1:9" ht="20" customHeight="1" thickBot="1">
      <c r="A15" s="7" t="s">
        <v>1679</v>
      </c>
      <c r="B15" s="92">
        <v>12489067</v>
      </c>
      <c r="C15" s="98">
        <v>71302587</v>
      </c>
      <c r="D15" s="92">
        <v>112812220</v>
      </c>
      <c r="E15" s="98">
        <v>184114807</v>
      </c>
      <c r="F15" s="92">
        <v>196603874</v>
      </c>
      <c r="G15" s="99">
        <v>6.6619224928147036E-2</v>
      </c>
      <c r="I15" s="69"/>
    </row>
    <row r="16" spans="1:9" ht="20" customHeight="1" thickBot="1">
      <c r="A16" s="7" t="s">
        <v>1680</v>
      </c>
      <c r="B16" s="92">
        <v>38760906</v>
      </c>
      <c r="C16" s="98">
        <v>204208461</v>
      </c>
      <c r="D16" s="92">
        <v>295193716</v>
      </c>
      <c r="E16" s="98">
        <v>499402177</v>
      </c>
      <c r="F16" s="92">
        <v>538163083</v>
      </c>
      <c r="G16" s="99">
        <v>5.0585368363767154E-2</v>
      </c>
      <c r="I16" s="69"/>
    </row>
    <row r="17" spans="1:9" ht="20" customHeight="1" thickBot="1">
      <c r="A17" s="7" t="s">
        <v>1681</v>
      </c>
      <c r="B17" s="92">
        <v>34197109</v>
      </c>
      <c r="C17" s="98">
        <v>202086717</v>
      </c>
      <c r="D17" s="92">
        <v>293103602</v>
      </c>
      <c r="E17" s="98">
        <v>495190319</v>
      </c>
      <c r="F17" s="92">
        <v>529387428</v>
      </c>
      <c r="G17" s="99">
        <v>5.2723309741099206E-2</v>
      </c>
      <c r="I17" s="69"/>
    </row>
    <row r="18" spans="1:9" ht="20" customHeight="1" thickBot="1">
      <c r="A18" s="7" t="s">
        <v>1682</v>
      </c>
      <c r="B18" s="92">
        <v>27147118</v>
      </c>
      <c r="C18" s="98">
        <v>216746730</v>
      </c>
      <c r="D18" s="92">
        <v>356388820</v>
      </c>
      <c r="E18" s="98">
        <v>573135550</v>
      </c>
      <c r="F18" s="92">
        <v>600282668</v>
      </c>
      <c r="G18" s="99">
        <v>1.5224494433792783E-2</v>
      </c>
      <c r="I18" s="69"/>
    </row>
    <row r="19" spans="1:9" ht="20" customHeight="1" thickBot="1">
      <c r="A19" s="7" t="s">
        <v>1683</v>
      </c>
      <c r="B19" s="92">
        <v>43459661</v>
      </c>
      <c r="C19" s="98">
        <v>246115870</v>
      </c>
      <c r="D19" s="92">
        <v>358550237</v>
      </c>
      <c r="E19" s="98">
        <v>604666107</v>
      </c>
      <c r="F19" s="92">
        <v>648125768</v>
      </c>
      <c r="G19" s="99">
        <v>3.833079892805779E-2</v>
      </c>
      <c r="I19" s="69"/>
    </row>
    <row r="20" spans="1:9" ht="20" customHeight="1" thickBot="1">
      <c r="A20" s="7" t="s">
        <v>1684</v>
      </c>
      <c r="B20" s="92">
        <v>9210959</v>
      </c>
      <c r="C20" s="98">
        <v>62149919</v>
      </c>
      <c r="D20" s="92">
        <v>98085557</v>
      </c>
      <c r="E20" s="98">
        <v>160235476</v>
      </c>
      <c r="F20" s="92">
        <v>169446435</v>
      </c>
      <c r="G20" s="99">
        <v>2.9036998596715019E-2</v>
      </c>
      <c r="I20" s="69"/>
    </row>
    <row r="21" spans="1:9" ht="20" customHeight="1" thickBot="1">
      <c r="A21" s="7" t="s">
        <v>1685</v>
      </c>
      <c r="B21" s="92">
        <v>6984284</v>
      </c>
      <c r="C21" s="98">
        <v>34201381</v>
      </c>
      <c r="D21" s="92">
        <v>50744442</v>
      </c>
      <c r="E21" s="98">
        <v>84945823</v>
      </c>
      <c r="F21" s="92">
        <v>91930107</v>
      </c>
      <c r="G21" s="99">
        <v>3.0453144857959604E-2</v>
      </c>
      <c r="I21" s="69"/>
    </row>
    <row r="22" spans="1:9" ht="20" customHeight="1" thickBot="1">
      <c r="A22" s="7" t="s">
        <v>1686</v>
      </c>
      <c r="B22" s="92">
        <v>1666451</v>
      </c>
      <c r="C22" s="98">
        <v>9737213</v>
      </c>
      <c r="D22" s="92">
        <v>12522114</v>
      </c>
      <c r="E22" s="98">
        <v>22259327</v>
      </c>
      <c r="F22" s="92">
        <v>23925778</v>
      </c>
      <c r="G22" s="99">
        <v>7.0691248908534565E-2</v>
      </c>
      <c r="I22" s="69"/>
    </row>
    <row r="23" spans="1:9" ht="20" customHeight="1" thickBot="1">
      <c r="A23" s="7" t="s">
        <v>1687</v>
      </c>
      <c r="B23" s="92">
        <v>65966811</v>
      </c>
      <c r="C23" s="98">
        <v>322171788</v>
      </c>
      <c r="D23" s="92">
        <v>461145956</v>
      </c>
      <c r="E23" s="98">
        <v>783317744</v>
      </c>
      <c r="F23" s="92">
        <v>849284555</v>
      </c>
      <c r="G23" s="99">
        <v>6.4065793914296218E-2</v>
      </c>
      <c r="I23" s="69"/>
    </row>
    <row r="24" spans="1:9" ht="20" customHeight="1" thickBot="1">
      <c r="A24" s="7" t="s">
        <v>1688</v>
      </c>
      <c r="B24" s="92">
        <v>23580737</v>
      </c>
      <c r="C24" s="98">
        <v>141131229</v>
      </c>
      <c r="D24" s="92">
        <v>201829037</v>
      </c>
      <c r="E24" s="98">
        <v>342960266</v>
      </c>
      <c r="F24" s="92">
        <v>366541003</v>
      </c>
      <c r="G24" s="99">
        <v>3.7332895768380225E-2</v>
      </c>
      <c r="I24" s="69"/>
    </row>
    <row r="25" spans="1:9" ht="20" customHeight="1" thickBot="1">
      <c r="A25" s="7" t="s">
        <v>1689</v>
      </c>
      <c r="B25" s="92">
        <v>78599026</v>
      </c>
      <c r="C25" s="98">
        <v>437644435</v>
      </c>
      <c r="D25" s="92">
        <v>627463852</v>
      </c>
      <c r="E25" s="98">
        <v>1065108287</v>
      </c>
      <c r="F25" s="92">
        <v>1143707313</v>
      </c>
      <c r="G25" s="99">
        <v>5.008995482026269E-2</v>
      </c>
      <c r="I25" s="69"/>
    </row>
    <row r="26" spans="1:9" ht="20" customHeight="1" thickBot="1">
      <c r="A26" s="7" t="s">
        <v>1690</v>
      </c>
      <c r="B26" s="92">
        <v>36207982</v>
      </c>
      <c r="C26" s="98">
        <v>183788411</v>
      </c>
      <c r="D26" s="92">
        <v>256797604</v>
      </c>
      <c r="E26" s="98">
        <v>440586015</v>
      </c>
      <c r="F26" s="92">
        <v>476793997</v>
      </c>
      <c r="G26" s="99">
        <v>7.2398370295623418E-2</v>
      </c>
      <c r="I26" s="69"/>
    </row>
    <row r="27" spans="1:9" ht="20" customHeight="1" thickBot="1">
      <c r="A27" s="7" t="s">
        <v>1691</v>
      </c>
      <c r="B27" s="92">
        <v>48232204</v>
      </c>
      <c r="C27" s="98">
        <v>337771701</v>
      </c>
      <c r="D27" s="92">
        <v>513027710</v>
      </c>
      <c r="E27" s="98">
        <v>850799411</v>
      </c>
      <c r="F27" s="92">
        <v>899031615</v>
      </c>
      <c r="G27" s="99">
        <v>6.7732827268098497E-2</v>
      </c>
      <c r="I27" s="69"/>
    </row>
    <row r="28" spans="1:9" ht="20" customHeight="1" thickBot="1">
      <c r="A28" s="7" t="s">
        <v>1692</v>
      </c>
      <c r="B28" s="92">
        <v>130394051</v>
      </c>
      <c r="C28" s="98">
        <v>641900843</v>
      </c>
      <c r="D28" s="92">
        <v>1013020286</v>
      </c>
      <c r="E28" s="98">
        <v>1654921129</v>
      </c>
      <c r="F28" s="92">
        <v>1785315180</v>
      </c>
      <c r="G28" s="99">
        <v>3.4857144072419549E-2</v>
      </c>
      <c r="I28" s="69"/>
    </row>
    <row r="29" spans="1:9" ht="20" customHeight="1" thickBot="1">
      <c r="A29" s="7" t="s">
        <v>1693</v>
      </c>
      <c r="B29" s="92">
        <v>40067818</v>
      </c>
      <c r="C29" s="98">
        <v>225703354</v>
      </c>
      <c r="D29" s="92">
        <v>322756843</v>
      </c>
      <c r="E29" s="98">
        <v>548460197</v>
      </c>
      <c r="F29" s="92">
        <v>588528015</v>
      </c>
      <c r="G29" s="99">
        <v>5.650112313110011E-2</v>
      </c>
      <c r="I29" s="69"/>
    </row>
    <row r="30" spans="1:9" ht="20" customHeight="1" thickBot="1">
      <c r="A30" s="7" t="s">
        <v>1694</v>
      </c>
      <c r="B30" s="92">
        <v>29076803</v>
      </c>
      <c r="C30" s="98">
        <v>167862210</v>
      </c>
      <c r="D30" s="92">
        <v>265980793</v>
      </c>
      <c r="E30" s="98">
        <v>433843003</v>
      </c>
      <c r="F30" s="92">
        <v>462919806</v>
      </c>
      <c r="G30" s="99">
        <v>2.517241133033904E-2</v>
      </c>
      <c r="I30" s="69"/>
    </row>
    <row r="31" spans="1:9" ht="20" customHeight="1" thickBot="1">
      <c r="A31" s="7" t="s">
        <v>1695</v>
      </c>
      <c r="B31" s="92">
        <v>92590090</v>
      </c>
      <c r="C31" s="98">
        <v>464925770</v>
      </c>
      <c r="D31" s="92">
        <v>745675495</v>
      </c>
      <c r="E31" s="98">
        <v>1210601265</v>
      </c>
      <c r="F31" s="92">
        <v>1303191355</v>
      </c>
      <c r="G31" s="99">
        <v>3.1565181784489783E-2</v>
      </c>
      <c r="I31" s="69"/>
    </row>
    <row r="32" spans="1:9" ht="20" customHeight="1" thickBot="1">
      <c r="A32" s="70" t="s">
        <v>1696</v>
      </c>
      <c r="B32" s="92">
        <v>12291182</v>
      </c>
      <c r="C32" s="98">
        <v>67535009</v>
      </c>
      <c r="D32" s="92">
        <v>100970979</v>
      </c>
      <c r="E32" s="98">
        <v>168505988</v>
      </c>
      <c r="F32" s="92">
        <v>180797170</v>
      </c>
      <c r="G32" s="99">
        <v>2.9090744707026824E-2</v>
      </c>
      <c r="I32" s="69"/>
    </row>
    <row r="33" spans="1:9" ht="30" customHeight="1" thickBot="1">
      <c r="A33" s="13" t="s">
        <v>1697</v>
      </c>
      <c r="B33" s="100">
        <v>1114168997</v>
      </c>
      <c r="C33" s="101">
        <v>6385414663</v>
      </c>
      <c r="D33" s="100">
        <v>9602239582</v>
      </c>
      <c r="E33" s="101">
        <v>15987654245</v>
      </c>
      <c r="F33" s="100">
        <v>17101823242</v>
      </c>
      <c r="G33" s="102">
        <v>4.3742400808344767E-2</v>
      </c>
      <c r="I33" s="69"/>
    </row>
    <row r="34" spans="1:9" ht="20" customHeight="1">
      <c r="A34" s="9" t="s">
        <v>636</v>
      </c>
      <c r="B34" s="9"/>
      <c r="C34" s="9"/>
      <c r="D34" s="9"/>
      <c r="E34" s="9"/>
      <c r="F34" s="9"/>
      <c r="G34" s="103"/>
    </row>
    <row r="35" spans="1:9" ht="13.5" customHeight="1">
      <c r="A35" s="38"/>
      <c r="B35" s="38"/>
      <c r="C35" s="38"/>
      <c r="D35" s="38"/>
      <c r="E35" s="38"/>
      <c r="F35" s="38"/>
      <c r="G35" s="104"/>
    </row>
    <row r="36" spans="1:9" ht="13.5" customHeight="1">
      <c r="A36" s="38" t="s">
        <v>630</v>
      </c>
      <c r="B36" s="38"/>
      <c r="C36" s="38"/>
      <c r="D36" s="38"/>
      <c r="E36" s="38"/>
      <c r="F36" s="38"/>
      <c r="G36" s="104"/>
    </row>
    <row r="37" spans="1:9" ht="12.75" customHeight="1">
      <c r="A37" s="38"/>
      <c r="B37" s="38"/>
      <c r="C37" s="38"/>
      <c r="D37" s="38"/>
      <c r="E37" s="38"/>
      <c r="F37" s="38"/>
      <c r="G37" s="104"/>
    </row>
    <row r="38" spans="1:9" ht="12" customHeight="1">
      <c r="A38" s="38" t="s">
        <v>277</v>
      </c>
    </row>
    <row r="39" spans="1:9" ht="12" customHeight="1">
      <c r="A39" s="3" t="s">
        <v>276</v>
      </c>
    </row>
    <row r="40" spans="1:9" ht="12" customHeight="1"/>
    <row r="41" spans="1:9" ht="12" customHeight="1"/>
  </sheetData>
  <phoneticPr fontId="0" type="noConversion"/>
  <pageMargins left="0.78740157480314965" right="0.78740157480314965" top="1.46" bottom="0.49" header="0.92"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F6C7-EA64-EC44-98BE-FC14F715D958}">
  <dimension ref="A1:I40"/>
  <sheetViews>
    <sheetView zoomScale="75" workbookViewId="0">
      <selection activeCell="A37" sqref="A37"/>
    </sheetView>
  </sheetViews>
  <sheetFormatPr baseColWidth="10" defaultColWidth="11.3984375" defaultRowHeight="13"/>
  <cols>
    <col min="1" max="1" width="14.796875" style="3" customWidth="1"/>
    <col min="2" max="6" width="14.796875" style="43" customWidth="1"/>
    <col min="7" max="7" width="14.796875" style="22" customWidth="1"/>
    <col min="8" max="8" width="11.3984375" style="3"/>
    <col min="9" max="9" width="0" style="3" hidden="1" customWidth="1"/>
    <col min="10" max="16384" width="11.3984375" style="3"/>
  </cols>
  <sheetData>
    <row r="1" spans="1:9" s="1" customFormat="1" ht="14" customHeight="1">
      <c r="B1" s="106"/>
      <c r="C1" s="106"/>
      <c r="D1" s="106"/>
      <c r="E1" s="106"/>
      <c r="F1" s="106"/>
      <c r="G1" s="24"/>
    </row>
    <row r="2" spans="1:9" s="1" customFormat="1" ht="28" customHeight="1">
      <c r="A2" s="64" t="s">
        <v>460</v>
      </c>
      <c r="B2" s="107"/>
      <c r="C2" s="107"/>
      <c r="D2" s="107"/>
      <c r="E2" s="107"/>
      <c r="F2" s="106"/>
      <c r="G2" s="24"/>
    </row>
    <row r="3" spans="1:9" ht="27" customHeight="1">
      <c r="A3" s="2" t="s">
        <v>1663</v>
      </c>
      <c r="B3" s="14" t="s">
        <v>1664</v>
      </c>
      <c r="C3" s="65" t="s">
        <v>1665</v>
      </c>
      <c r="D3" s="14" t="s">
        <v>1666</v>
      </c>
      <c r="E3" s="65" t="s">
        <v>607</v>
      </c>
      <c r="F3" s="14" t="s">
        <v>607</v>
      </c>
      <c r="G3" s="17" t="s">
        <v>609</v>
      </c>
    </row>
    <row r="4" spans="1:9" ht="15" customHeight="1">
      <c r="A4" s="4"/>
      <c r="B4" s="15"/>
      <c r="C4" s="108"/>
      <c r="D4" s="109"/>
      <c r="E4" s="66" t="s">
        <v>1667</v>
      </c>
      <c r="F4" s="15" t="s">
        <v>1668</v>
      </c>
      <c r="G4" s="18" t="s">
        <v>610</v>
      </c>
    </row>
    <row r="5" spans="1:9" ht="15" customHeight="1">
      <c r="A5" s="4"/>
      <c r="B5" s="15"/>
      <c r="C5" s="108"/>
      <c r="D5" s="109"/>
      <c r="E5" s="66" t="s">
        <v>1669</v>
      </c>
      <c r="F5" s="15" t="s">
        <v>1670</v>
      </c>
      <c r="G5" s="18" t="s">
        <v>611</v>
      </c>
    </row>
    <row r="6" spans="1:9" ht="24" customHeight="1">
      <c r="A6" s="5"/>
      <c r="B6" s="110"/>
      <c r="C6" s="111"/>
      <c r="D6" s="110"/>
      <c r="E6" s="67"/>
      <c r="F6" s="16"/>
      <c r="G6" s="19"/>
    </row>
    <row r="7" spans="1:9" ht="30" customHeight="1" thickBot="1">
      <c r="A7" s="6" t="s">
        <v>1671</v>
      </c>
      <c r="B7" s="79">
        <v>61.565238920610199</v>
      </c>
      <c r="C7" s="112">
        <v>185.55093733591181</v>
      </c>
      <c r="D7" s="79">
        <v>264.77700620160573</v>
      </c>
      <c r="E7" s="112">
        <v>226.45192258289197</v>
      </c>
      <c r="F7" s="79">
        <v>194.56888441603544</v>
      </c>
      <c r="G7" s="25">
        <v>3.6835361414916772E-2</v>
      </c>
      <c r="I7" s="69">
        <v>172.8785586534616</v>
      </c>
    </row>
    <row r="8" spans="1:9" ht="20" customHeight="1" thickBot="1">
      <c r="A8" s="7" t="s">
        <v>1672</v>
      </c>
      <c r="B8" s="79">
        <v>52.952394442954642</v>
      </c>
      <c r="C8" s="112">
        <v>187.27480611308661</v>
      </c>
      <c r="D8" s="79">
        <v>258.46303479230306</v>
      </c>
      <c r="E8" s="112">
        <v>224.35068774150409</v>
      </c>
      <c r="F8" s="79">
        <v>189.75801900903662</v>
      </c>
      <c r="G8" s="26">
        <v>4.537661779744917E-2</v>
      </c>
      <c r="I8" s="69">
        <v>161.49387493756916</v>
      </c>
    </row>
    <row r="9" spans="1:9" ht="20" customHeight="1" thickBot="1">
      <c r="A9" s="7" t="s">
        <v>1673</v>
      </c>
      <c r="B9" s="79">
        <v>44.17409783209137</v>
      </c>
      <c r="C9" s="112">
        <v>155.73219647725023</v>
      </c>
      <c r="D9" s="79">
        <v>212.44086744304016</v>
      </c>
      <c r="E9" s="112">
        <v>184.83420641287185</v>
      </c>
      <c r="F9" s="79">
        <v>152.7051294686531</v>
      </c>
      <c r="G9" s="26">
        <v>3.1045312256512268E-2</v>
      </c>
      <c r="I9" s="69">
        <v>129.41591119853354</v>
      </c>
    </row>
    <row r="10" spans="1:9" ht="20" customHeight="1" thickBot="1">
      <c r="A10" s="7" t="s">
        <v>1674</v>
      </c>
      <c r="B10" s="79">
        <v>47.783858496840708</v>
      </c>
      <c r="C10" s="112">
        <v>144.49307041772607</v>
      </c>
      <c r="D10" s="79">
        <v>196.65484800270005</v>
      </c>
      <c r="E10" s="112">
        <v>170.72549714940396</v>
      </c>
      <c r="F10" s="79">
        <v>142.96579413593648</v>
      </c>
      <c r="G10" s="26">
        <v>-5.1503806822417161E-2</v>
      </c>
      <c r="I10" s="69">
        <v>126.90557061409594</v>
      </c>
    </row>
    <row r="11" spans="1:9" ht="20" customHeight="1" thickBot="1">
      <c r="A11" s="7" t="s">
        <v>1675</v>
      </c>
      <c r="B11" s="79">
        <v>52.659290430829181</v>
      </c>
      <c r="C11" s="112">
        <v>154.06994075216446</v>
      </c>
      <c r="D11" s="79">
        <v>213.19151625643704</v>
      </c>
      <c r="E11" s="112">
        <v>183.51575839281296</v>
      </c>
      <c r="F11" s="79">
        <v>153.18391651073381</v>
      </c>
      <c r="G11" s="26">
        <v>-1.2327337650319989E-3</v>
      </c>
      <c r="I11" s="69">
        <v>131.64111605385247</v>
      </c>
    </row>
    <row r="12" spans="1:9" ht="20" customHeight="1" thickBot="1">
      <c r="A12" s="7" t="s">
        <v>1676</v>
      </c>
      <c r="B12" s="79">
        <v>44.855292545974493</v>
      </c>
      <c r="C12" s="112">
        <v>131.29491523210802</v>
      </c>
      <c r="D12" s="79">
        <v>207.99480105275438</v>
      </c>
      <c r="E12" s="112">
        <v>169.77944998292375</v>
      </c>
      <c r="F12" s="79">
        <v>140.09757500762538</v>
      </c>
      <c r="G12" s="26">
        <v>1.2667964040471651E-2</v>
      </c>
      <c r="I12" s="69">
        <v>125.19129183854066</v>
      </c>
    </row>
    <row r="13" spans="1:9" ht="20" customHeight="1" thickBot="1">
      <c r="A13" s="7" t="s">
        <v>1677</v>
      </c>
      <c r="B13" s="79">
        <v>46.009724137931038</v>
      </c>
      <c r="C13" s="112">
        <v>133.43502132755034</v>
      </c>
      <c r="D13" s="79">
        <v>194.42074084766648</v>
      </c>
      <c r="E13" s="112">
        <v>163.83480056124583</v>
      </c>
      <c r="F13" s="79">
        <v>137.99591218544677</v>
      </c>
      <c r="G13" s="26">
        <v>2.0881857109498324E-2</v>
      </c>
      <c r="I13" s="69">
        <v>117.8833340734285</v>
      </c>
    </row>
    <row r="14" spans="1:9" ht="20" customHeight="1" thickBot="1">
      <c r="A14" s="7" t="s">
        <v>1678</v>
      </c>
      <c r="B14" s="79">
        <v>57.757183357597121</v>
      </c>
      <c r="C14" s="112">
        <v>161.63710563225578</v>
      </c>
      <c r="D14" s="79">
        <v>224.13902380978141</v>
      </c>
      <c r="E14" s="112">
        <v>193.52194319740184</v>
      </c>
      <c r="F14" s="79">
        <v>163.15714160245577</v>
      </c>
      <c r="G14" s="26">
        <v>1.5573807074634153E-2</v>
      </c>
      <c r="I14" s="69">
        <v>140.25371771237261</v>
      </c>
    </row>
    <row r="15" spans="1:9" ht="20" customHeight="1" thickBot="1">
      <c r="A15" s="7" t="s">
        <v>1679</v>
      </c>
      <c r="B15" s="79">
        <v>49.17110381429336</v>
      </c>
      <c r="C15" s="112">
        <v>149.49855224396944</v>
      </c>
      <c r="D15" s="79">
        <v>233.52312622130955</v>
      </c>
      <c r="E15" s="112">
        <v>191.7796648656869</v>
      </c>
      <c r="F15" s="79">
        <v>161.94384300158563</v>
      </c>
      <c r="G15" s="26">
        <v>5.2930969035878329E-2</v>
      </c>
      <c r="I15" s="69">
        <v>131.3336445580656</v>
      </c>
    </row>
    <row r="16" spans="1:9" ht="20" customHeight="1" thickBot="1">
      <c r="A16" s="7" t="s">
        <v>1680</v>
      </c>
      <c r="B16" s="79">
        <v>55.282139123464837</v>
      </c>
      <c r="C16" s="112">
        <v>186.80991917741176</v>
      </c>
      <c r="D16" s="79">
        <v>260.64151316567865</v>
      </c>
      <c r="E16" s="112">
        <v>224.37972441042169</v>
      </c>
      <c r="F16" s="79">
        <v>183.87120991592323</v>
      </c>
      <c r="G16" s="26">
        <v>3.5273391581834512E-2</v>
      </c>
      <c r="I16" s="69">
        <v>163.19734143075968</v>
      </c>
    </row>
    <row r="17" spans="1:9" ht="20" customHeight="1" thickBot="1">
      <c r="A17" s="7" t="s">
        <v>1681</v>
      </c>
      <c r="B17" s="79">
        <v>53.928535495703493</v>
      </c>
      <c r="C17" s="112">
        <v>177.5269312264131</v>
      </c>
      <c r="D17" s="79">
        <v>244.14740791274437</v>
      </c>
      <c r="E17" s="112">
        <v>211.72266994689301</v>
      </c>
      <c r="F17" s="79">
        <v>178.06613965372142</v>
      </c>
      <c r="G17" s="26">
        <v>4.8748219452912633E-2</v>
      </c>
      <c r="I17" s="69">
        <v>156.59253023292777</v>
      </c>
    </row>
    <row r="18" spans="1:9" ht="20" customHeight="1" thickBot="1">
      <c r="A18" s="7" t="s">
        <v>1682</v>
      </c>
      <c r="B18" s="79">
        <v>75.108436001648968</v>
      </c>
      <c r="C18" s="112">
        <v>249.8126866419943</v>
      </c>
      <c r="D18" s="79">
        <v>358.35259220528496</v>
      </c>
      <c r="E18" s="112">
        <v>307.780466416097</v>
      </c>
      <c r="F18" s="79">
        <v>269.96031113565596</v>
      </c>
      <c r="G18" s="26">
        <v>1.7935599800031968E-2</v>
      </c>
      <c r="I18" s="69">
        <v>239.48436004651805</v>
      </c>
    </row>
    <row r="19" spans="1:9" ht="20" customHeight="1" thickBot="1">
      <c r="A19" s="7" t="s">
        <v>1683</v>
      </c>
      <c r="B19" s="79">
        <v>68.838481740078052</v>
      </c>
      <c r="C19" s="112">
        <v>200.20195422251649</v>
      </c>
      <c r="D19" s="79">
        <v>274.98545657295716</v>
      </c>
      <c r="E19" s="112">
        <v>238.69410269750904</v>
      </c>
      <c r="F19" s="79">
        <v>204.80793438822661</v>
      </c>
      <c r="G19" s="26">
        <v>3.3226360607305064E-2</v>
      </c>
      <c r="I19" s="69">
        <v>177.06647582891381</v>
      </c>
    </row>
    <row r="20" spans="1:9" ht="20" customHeight="1" thickBot="1">
      <c r="A20" s="7" t="s">
        <v>1684</v>
      </c>
      <c r="B20" s="79">
        <v>49.419523239780453</v>
      </c>
      <c r="C20" s="112">
        <v>180.18751993227377</v>
      </c>
      <c r="D20" s="79">
        <v>263.31905223397774</v>
      </c>
      <c r="E20" s="112">
        <v>223.35116494636995</v>
      </c>
      <c r="F20" s="79">
        <v>187.48263992617819</v>
      </c>
      <c r="G20" s="26">
        <v>2.2837486695428292E-2</v>
      </c>
      <c r="I20" s="69">
        <v>165.60622548393192</v>
      </c>
    </row>
    <row r="21" spans="1:9" ht="20" customHeight="1" thickBot="1">
      <c r="A21" s="7" t="s">
        <v>1685</v>
      </c>
      <c r="B21" s="79">
        <v>46.267324699413734</v>
      </c>
      <c r="C21" s="112">
        <v>141.56903902511718</v>
      </c>
      <c r="D21" s="79">
        <v>200.26458342377472</v>
      </c>
      <c r="E21" s="112">
        <v>171.61639072680441</v>
      </c>
      <c r="F21" s="79">
        <v>142.32208908086014</v>
      </c>
      <c r="G21" s="26">
        <v>3.4934283163627698E-2</v>
      </c>
      <c r="I21" s="69">
        <v>125.02923450612184</v>
      </c>
    </row>
    <row r="22" spans="1:9" ht="20" customHeight="1" thickBot="1">
      <c r="A22" s="7" t="s">
        <v>1686</v>
      </c>
      <c r="B22" s="79">
        <v>35.407436523956228</v>
      </c>
      <c r="C22" s="112">
        <v>146.02679923816382</v>
      </c>
      <c r="D22" s="79">
        <v>190.90625524065069</v>
      </c>
      <c r="E22" s="112">
        <v>168.28195261351436</v>
      </c>
      <c r="F22" s="79">
        <v>133.41090337294176</v>
      </c>
      <c r="G22" s="26">
        <v>7.0858414750707435E-2</v>
      </c>
      <c r="I22" s="69">
        <v>109.87124540182084</v>
      </c>
    </row>
    <row r="23" spans="1:9" ht="20" customHeight="1" thickBot="1">
      <c r="A23" s="7" t="s">
        <v>1687</v>
      </c>
      <c r="B23" s="79">
        <v>51.369139803702303</v>
      </c>
      <c r="C23" s="112">
        <v>156.32008539647495</v>
      </c>
      <c r="D23" s="79">
        <v>213.15363651659118</v>
      </c>
      <c r="E23" s="112">
        <v>185.42614830583804</v>
      </c>
      <c r="F23" s="79">
        <v>154.17455298460169</v>
      </c>
      <c r="G23" s="26">
        <v>5.7304068356283683E-2</v>
      </c>
      <c r="I23" s="69">
        <v>134.24530167185685</v>
      </c>
    </row>
    <row r="24" spans="1:9" ht="20" customHeight="1" thickBot="1">
      <c r="A24" s="7" t="s">
        <v>1688</v>
      </c>
      <c r="B24" s="79">
        <v>49.686648868810693</v>
      </c>
      <c r="C24" s="112">
        <v>154.21262318709145</v>
      </c>
      <c r="D24" s="79">
        <v>216.91364575295177</v>
      </c>
      <c r="E24" s="112">
        <v>185.82277064050177</v>
      </c>
      <c r="F24" s="79">
        <v>157.97683107636345</v>
      </c>
      <c r="G24" s="26">
        <v>3.9128849486397423E-2</v>
      </c>
      <c r="I24" s="69">
        <v>132.91701511018809</v>
      </c>
    </row>
    <row r="25" spans="1:9" ht="20" customHeight="1" thickBot="1">
      <c r="A25" s="7" t="s">
        <v>1689</v>
      </c>
      <c r="B25" s="79">
        <v>52.845294491784671</v>
      </c>
      <c r="C25" s="112">
        <v>168.62454524928543</v>
      </c>
      <c r="D25" s="79">
        <v>235.10786058630848</v>
      </c>
      <c r="E25" s="112">
        <v>202.33005186721206</v>
      </c>
      <c r="F25" s="79">
        <v>169.39912100236478</v>
      </c>
      <c r="G25" s="26">
        <v>5.0273011028244566E-2</v>
      </c>
      <c r="I25" s="69">
        <v>145.05617363699608</v>
      </c>
    </row>
    <row r="26" spans="1:9" ht="20" customHeight="1" thickBot="1">
      <c r="A26" s="7" t="s">
        <v>1690</v>
      </c>
      <c r="B26" s="79">
        <v>54.198048701629176</v>
      </c>
      <c r="C26" s="112">
        <v>177.59341973923623</v>
      </c>
      <c r="D26" s="79">
        <v>239.15780278237742</v>
      </c>
      <c r="E26" s="112">
        <v>208.94311312357104</v>
      </c>
      <c r="F26" s="79">
        <v>171.71190679325778</v>
      </c>
      <c r="G26" s="26">
        <v>6.7765000233257724E-2</v>
      </c>
      <c r="I26" s="69">
        <v>145.7338374894791</v>
      </c>
    </row>
    <row r="27" spans="1:9" ht="20" customHeight="1" thickBot="1">
      <c r="A27" s="7" t="s">
        <v>1691</v>
      </c>
      <c r="B27" s="79">
        <v>69.95020318423488</v>
      </c>
      <c r="C27" s="112">
        <v>233.27435445340646</v>
      </c>
      <c r="D27" s="79">
        <v>314.37717463107106</v>
      </c>
      <c r="E27" s="112">
        <v>276.24747706459254</v>
      </c>
      <c r="F27" s="79">
        <v>238.50997130287394</v>
      </c>
      <c r="G27" s="26">
        <v>6.2483911657260569E-2</v>
      </c>
      <c r="I27" s="69">
        <v>199.67764846714121</v>
      </c>
    </row>
    <row r="28" spans="1:9" ht="20" customHeight="1" thickBot="1">
      <c r="A28" s="7" t="s">
        <v>1692</v>
      </c>
      <c r="B28" s="79">
        <v>78.318743599523103</v>
      </c>
      <c r="C28" s="112">
        <v>227.8600293778957</v>
      </c>
      <c r="D28" s="79">
        <v>326.06717621823725</v>
      </c>
      <c r="E28" s="112">
        <v>279.36495698418668</v>
      </c>
      <c r="F28" s="79">
        <v>235.25711303116717</v>
      </c>
      <c r="G28" s="26">
        <v>2.6750150392297192E-2</v>
      </c>
      <c r="I28" s="69">
        <v>203.24357993536964</v>
      </c>
    </row>
    <row r="29" spans="1:9" ht="20" customHeight="1" thickBot="1">
      <c r="A29" s="7" t="s">
        <v>1693</v>
      </c>
      <c r="B29" s="79">
        <v>53.497084003140309</v>
      </c>
      <c r="C29" s="112">
        <v>171.72228270834808</v>
      </c>
      <c r="D29" s="79">
        <v>233.94737727174217</v>
      </c>
      <c r="E29" s="112">
        <v>203.58853978746561</v>
      </c>
      <c r="F29" s="79">
        <v>170.9378318388724</v>
      </c>
      <c r="G29" s="26">
        <v>4.517276567612967E-2</v>
      </c>
      <c r="I29" s="69">
        <v>144.85185631308477</v>
      </c>
    </row>
    <row r="30" spans="1:9" ht="20" customHeight="1" thickBot="1">
      <c r="A30" s="7" t="s">
        <v>1694</v>
      </c>
      <c r="B30" s="79">
        <v>66.940635453429934</v>
      </c>
      <c r="C30" s="112">
        <v>221.38663547124824</v>
      </c>
      <c r="D30" s="79">
        <v>319.91416179443905</v>
      </c>
      <c r="E30" s="112">
        <v>272.91834083606142</v>
      </c>
      <c r="F30" s="79">
        <v>228.71407615867699</v>
      </c>
      <c r="G30" s="26">
        <v>2.1056569070799034E-2</v>
      </c>
      <c r="I30" s="69">
        <v>184.5803903521614</v>
      </c>
    </row>
    <row r="31" spans="1:9" ht="20" customHeight="1" thickBot="1">
      <c r="A31" s="7" t="s">
        <v>1695</v>
      </c>
      <c r="B31" s="79">
        <v>91.607961049587388</v>
      </c>
      <c r="C31" s="112">
        <v>263.74068392921771</v>
      </c>
      <c r="D31" s="79">
        <v>377.00649683879493</v>
      </c>
      <c r="E31" s="112">
        <v>323.62969193725559</v>
      </c>
      <c r="F31" s="79">
        <v>274.27408122203468</v>
      </c>
      <c r="G31" s="26">
        <v>1.2829966606819685E-2</v>
      </c>
      <c r="I31" s="69">
        <v>244.01642882305748</v>
      </c>
    </row>
    <row r="32" spans="1:9" ht="20" customHeight="1" thickBot="1">
      <c r="A32" s="70" t="s">
        <v>1696</v>
      </c>
      <c r="B32" s="79">
        <v>63.426246342633924</v>
      </c>
      <c r="C32" s="112">
        <v>215.80196453735275</v>
      </c>
      <c r="D32" s="79">
        <v>302.8550916774895</v>
      </c>
      <c r="E32" s="112">
        <v>260.70554780257015</v>
      </c>
      <c r="F32" s="79">
        <v>215.20065275379019</v>
      </c>
      <c r="G32" s="26">
        <v>2.7906252787138496E-2</v>
      </c>
      <c r="I32" s="69">
        <v>200.58331332206401</v>
      </c>
    </row>
    <row r="33" spans="1:9" s="115" customFormat="1" ht="30" customHeight="1" thickBot="1">
      <c r="A33" s="13" t="s">
        <v>1697</v>
      </c>
      <c r="B33" s="113">
        <v>59.965677117554513</v>
      </c>
      <c r="C33" s="114">
        <v>189.97867506616396</v>
      </c>
      <c r="D33" s="113">
        <v>267.45691729473049</v>
      </c>
      <c r="E33" s="114">
        <v>229.99443206654362</v>
      </c>
      <c r="F33" s="113">
        <v>194.13299816609285</v>
      </c>
      <c r="G33" s="35">
        <v>3.7336906739150626E-2</v>
      </c>
      <c r="I33" s="116">
        <v>167.9825427102873</v>
      </c>
    </row>
    <row r="34" spans="1:9" ht="20" customHeight="1">
      <c r="A34" s="9" t="s">
        <v>636</v>
      </c>
      <c r="B34" s="117"/>
      <c r="C34" s="117"/>
      <c r="D34" s="117"/>
      <c r="E34" s="117"/>
      <c r="F34" s="117"/>
      <c r="G34" s="27"/>
    </row>
    <row r="35" spans="1:9" ht="14.25" customHeight="1">
      <c r="A35" s="38"/>
      <c r="B35" s="118"/>
      <c r="C35" s="118"/>
      <c r="D35" s="118"/>
      <c r="E35" s="118"/>
      <c r="F35" s="118"/>
      <c r="G35" s="28"/>
    </row>
    <row r="36" spans="1:9" ht="20" customHeight="1">
      <c r="A36" s="38" t="s">
        <v>278</v>
      </c>
      <c r="B36" s="118"/>
      <c r="C36" s="118"/>
      <c r="D36" s="118"/>
      <c r="E36" s="118"/>
      <c r="F36" s="118"/>
      <c r="G36" s="28"/>
    </row>
    <row r="37" spans="1:9" ht="9.75" customHeight="1">
      <c r="A37" s="38"/>
      <c r="B37" s="118"/>
      <c r="C37" s="118"/>
      <c r="D37" s="118"/>
      <c r="E37" s="118"/>
      <c r="F37" s="118"/>
      <c r="G37" s="28"/>
    </row>
    <row r="38" spans="1:9" ht="12" customHeight="1">
      <c r="A38" s="38" t="s">
        <v>279</v>
      </c>
    </row>
    <row r="39" spans="1:9" ht="12" customHeight="1"/>
    <row r="40" spans="1:9" ht="12" customHeight="1"/>
  </sheetData>
  <phoneticPr fontId="0" type="noConversion"/>
  <pageMargins left="0.78740157480314965" right="0.78740157480314965" top="1.48" bottom="0.49" header="0.92" footer="0.4921259845"/>
  <pageSetup paperSize="9" scale="80" orientation="portrait" horizontalDpi="4294967292" verticalDpi="4294967292"/>
  <headerFooter alignWithMargins="0">
    <oddHeader>&amp;L&amp;"Arial,Bold"&amp;14Leistungen und Kostenbetieligung in der OKP</oddHeader>
    <oddFooter>&amp;L&amp;"Arial,Regular"Statistik über die Krankenversicherung, Bundesamt für Sozialversicherung</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74E4-7C26-EC4D-A911-2A23812DD9E2}">
  <dimension ref="A1:K42"/>
  <sheetViews>
    <sheetView topLeftCell="A4" zoomScale="75" workbookViewId="0">
      <selection activeCell="G22" sqref="G22"/>
    </sheetView>
  </sheetViews>
  <sheetFormatPr baseColWidth="10" defaultColWidth="11.3984375" defaultRowHeight="13"/>
  <cols>
    <col min="1" max="1" width="13.796875" style="3" customWidth="1"/>
    <col min="2" max="2" width="14.796875" style="21" customWidth="1"/>
    <col min="3" max="3" width="14.796875" style="22" customWidth="1"/>
    <col min="4" max="4" width="14.796875" style="21" customWidth="1"/>
    <col min="5" max="5" width="14.796875" style="22" customWidth="1"/>
    <col min="6" max="6" width="14.796875" style="21" customWidth="1"/>
    <col min="7" max="7" width="14.796875" style="22" customWidth="1"/>
    <col min="8" max="8" width="7.3984375" style="3" customWidth="1"/>
    <col min="9" max="9" width="8" style="3" customWidth="1"/>
    <col min="10" max="10" width="7.796875" style="3" customWidth="1"/>
    <col min="11" max="11" width="9" style="3" customWidth="1"/>
    <col min="12" max="16384" width="11.3984375" style="3"/>
  </cols>
  <sheetData>
    <row r="1" spans="1:11" s="1" customFormat="1" ht="21.75" customHeight="1">
      <c r="A1" s="12" t="s">
        <v>1770</v>
      </c>
      <c r="B1" s="23" t="s">
        <v>1771</v>
      </c>
      <c r="C1" s="24"/>
      <c r="D1" s="33"/>
      <c r="E1" s="24"/>
      <c r="F1" s="33"/>
      <c r="G1" s="24"/>
    </row>
    <row r="2" spans="1:11" s="1" customFormat="1" ht="29.25" customHeight="1">
      <c r="A2" s="12"/>
      <c r="B2" s="23" t="s">
        <v>1440</v>
      </c>
      <c r="C2" s="24"/>
      <c r="D2" s="33"/>
      <c r="E2" s="24"/>
      <c r="F2" s="33"/>
      <c r="G2" s="24"/>
    </row>
    <row r="3" spans="1:11" ht="27" customHeight="1">
      <c r="A3" s="2" t="s">
        <v>1217</v>
      </c>
      <c r="B3" s="14" t="s">
        <v>627</v>
      </c>
      <c r="C3" s="17" t="s">
        <v>609</v>
      </c>
      <c r="D3" s="14" t="s">
        <v>628</v>
      </c>
      <c r="E3" s="17" t="s">
        <v>609</v>
      </c>
      <c r="F3" s="14" t="s">
        <v>607</v>
      </c>
      <c r="G3" s="17" t="s">
        <v>609</v>
      </c>
    </row>
    <row r="4" spans="1:11" ht="15" customHeight="1">
      <c r="A4" s="4"/>
      <c r="B4" s="15"/>
      <c r="C4" s="18" t="s">
        <v>610</v>
      </c>
      <c r="D4" s="15"/>
      <c r="E4" s="18" t="s">
        <v>610</v>
      </c>
      <c r="F4" s="15"/>
      <c r="G4" s="18" t="s">
        <v>610</v>
      </c>
    </row>
    <row r="5" spans="1:11" ht="15" customHeight="1">
      <c r="A5" s="4"/>
      <c r="B5" s="15"/>
      <c r="C5" s="18" t="s">
        <v>611</v>
      </c>
      <c r="D5" s="15"/>
      <c r="E5" s="18" t="s">
        <v>611</v>
      </c>
      <c r="F5" s="15"/>
      <c r="G5" s="18" t="s">
        <v>611</v>
      </c>
    </row>
    <row r="6" spans="1:11" ht="19.5" customHeight="1">
      <c r="A6" s="5"/>
      <c r="B6" s="16"/>
      <c r="C6" s="19"/>
      <c r="D6" s="16"/>
      <c r="E6" s="19"/>
      <c r="F6" s="16"/>
      <c r="G6" s="19"/>
    </row>
    <row r="7" spans="1:11" ht="30" customHeight="1" thickBot="1">
      <c r="A7" s="6" t="s">
        <v>612</v>
      </c>
      <c r="B7" s="29">
        <v>61.393808116060569</v>
      </c>
      <c r="C7" s="25">
        <v>1.9579357944693253E-2</v>
      </c>
      <c r="D7" s="29">
        <v>58.464476931441531</v>
      </c>
      <c r="E7" s="25">
        <v>2.3708967910058582E-2</v>
      </c>
      <c r="F7" s="29">
        <v>59.965677117554513</v>
      </c>
      <c r="G7" s="25">
        <v>2.1589528787132314E-2</v>
      </c>
      <c r="I7" s="8"/>
      <c r="J7" s="8"/>
      <c r="K7" s="8"/>
    </row>
    <row r="8" spans="1:11" ht="20" customHeight="1" thickBot="1">
      <c r="A8" s="7" t="s">
        <v>613</v>
      </c>
      <c r="B8" s="30">
        <v>67.630814541076106</v>
      </c>
      <c r="C8" s="26">
        <v>2.2313502910747809E-2</v>
      </c>
      <c r="D8" s="30">
        <v>114.14405088937816</v>
      </c>
      <c r="E8" s="26">
        <v>2.2780524463475421E-2</v>
      </c>
      <c r="F8" s="30">
        <v>90.673781276703821</v>
      </c>
      <c r="G8" s="26">
        <v>2.2606715466620214E-2</v>
      </c>
      <c r="I8" s="8"/>
      <c r="J8" s="8"/>
      <c r="K8" s="8"/>
    </row>
    <row r="9" spans="1:11" ht="20" customHeight="1" thickBot="1">
      <c r="A9" s="7" t="s">
        <v>614</v>
      </c>
      <c r="B9" s="30">
        <v>73.224883400331166</v>
      </c>
      <c r="C9" s="26">
        <v>3.2309570713699054E-2</v>
      </c>
      <c r="D9" s="30">
        <v>155.1962978182647</v>
      </c>
      <c r="E9" s="26">
        <v>2.783984048020767E-2</v>
      </c>
      <c r="F9" s="30">
        <v>114.18065015698882</v>
      </c>
      <c r="G9" s="26">
        <v>2.9268478972561407E-2</v>
      </c>
      <c r="I9" s="8"/>
      <c r="J9" s="8"/>
      <c r="K9" s="8"/>
    </row>
    <row r="10" spans="1:11" ht="20" customHeight="1" thickBot="1">
      <c r="A10" s="7" t="s">
        <v>615</v>
      </c>
      <c r="B10" s="30">
        <v>84.761752099853567</v>
      </c>
      <c r="C10" s="26">
        <v>3.4235446178889233E-2</v>
      </c>
      <c r="D10" s="30">
        <v>169.60084631762288</v>
      </c>
      <c r="E10" s="26">
        <v>2.982819809799734E-2</v>
      </c>
      <c r="F10" s="30">
        <v>127.30819440032622</v>
      </c>
      <c r="G10" s="26">
        <v>3.1292655273991117E-2</v>
      </c>
      <c r="I10" s="8"/>
      <c r="J10" s="8"/>
      <c r="K10" s="8"/>
    </row>
    <row r="11" spans="1:11" ht="20" customHeight="1" thickBot="1">
      <c r="A11" s="7" t="s">
        <v>616</v>
      </c>
      <c r="B11" s="30">
        <v>99.438980023872588</v>
      </c>
      <c r="C11" s="26">
        <v>3.6573685774076652E-2</v>
      </c>
      <c r="D11" s="30">
        <v>160.92624955396388</v>
      </c>
      <c r="E11" s="26">
        <v>3.4291214076158427E-2</v>
      </c>
      <c r="F11" s="30">
        <v>129.88300267246518</v>
      </c>
      <c r="G11" s="26">
        <v>3.5161750832287009E-2</v>
      </c>
      <c r="I11" s="8"/>
      <c r="J11" s="8"/>
      <c r="K11" s="8"/>
    </row>
    <row r="12" spans="1:11" ht="20" customHeight="1" thickBot="1">
      <c r="A12" s="7" t="s">
        <v>617</v>
      </c>
      <c r="B12" s="30">
        <v>117.30124612350717</v>
      </c>
      <c r="C12" s="26">
        <v>4.0782469936595948E-2</v>
      </c>
      <c r="D12" s="30">
        <v>163.11246370037102</v>
      </c>
      <c r="E12" s="26">
        <v>2.9631622049757285E-2</v>
      </c>
      <c r="F12" s="30">
        <v>139.92875908233498</v>
      </c>
      <c r="G12" s="26">
        <v>3.4266987379705398E-2</v>
      </c>
      <c r="I12" s="8"/>
      <c r="J12" s="8"/>
      <c r="K12" s="8"/>
    </row>
    <row r="13" spans="1:11" ht="20" customHeight="1" thickBot="1">
      <c r="A13" s="7" t="s">
        <v>618</v>
      </c>
      <c r="B13" s="30">
        <v>143.91294067392903</v>
      </c>
      <c r="C13" s="26">
        <v>4.1300929367209908E-2</v>
      </c>
      <c r="D13" s="30">
        <v>191.29759567649583</v>
      </c>
      <c r="E13" s="26">
        <v>3.6691260971422612E-2</v>
      </c>
      <c r="F13" s="30">
        <v>167.38919376942266</v>
      </c>
      <c r="G13" s="26">
        <v>3.8665279522444099E-2</v>
      </c>
      <c r="I13" s="8"/>
      <c r="J13" s="8"/>
      <c r="K13" s="8"/>
    </row>
    <row r="14" spans="1:11" ht="20" customHeight="1" thickBot="1">
      <c r="A14" s="7" t="s">
        <v>619</v>
      </c>
      <c r="B14" s="30">
        <v>180.79823620169</v>
      </c>
      <c r="C14" s="26">
        <v>3.6854357364948298E-2</v>
      </c>
      <c r="D14" s="30">
        <v>226.78245787348672</v>
      </c>
      <c r="E14" s="26">
        <v>1.625139260465646E-2</v>
      </c>
      <c r="F14" s="30">
        <v>203.70441046666167</v>
      </c>
      <c r="G14" s="26">
        <v>2.5288692938890148E-2</v>
      </c>
      <c r="I14" s="8"/>
      <c r="J14" s="8"/>
      <c r="K14" s="8"/>
    </row>
    <row r="15" spans="1:11" ht="20" customHeight="1" thickBot="1">
      <c r="A15" s="7" t="s">
        <v>620</v>
      </c>
      <c r="B15" s="30">
        <v>232.92087777128083</v>
      </c>
      <c r="C15" s="26">
        <v>4.7393061447864558E-2</v>
      </c>
      <c r="D15" s="30">
        <v>265.60999452810103</v>
      </c>
      <c r="E15" s="26">
        <v>3.3740798600302449E-2</v>
      </c>
      <c r="F15" s="30">
        <v>249.26167303593135</v>
      </c>
      <c r="G15" s="26">
        <v>4.0074766658577662E-2</v>
      </c>
      <c r="I15" s="8"/>
      <c r="J15" s="8"/>
      <c r="K15" s="8"/>
    </row>
    <row r="16" spans="1:11" ht="20" customHeight="1" thickBot="1">
      <c r="A16" s="7" t="s">
        <v>621</v>
      </c>
      <c r="B16" s="30">
        <v>287.65223800140996</v>
      </c>
      <c r="C16" s="26">
        <v>2.3403239129521886E-2</v>
      </c>
      <c r="D16" s="30">
        <v>301.06676597189312</v>
      </c>
      <c r="E16" s="26">
        <v>2.7108573732410827E-2</v>
      </c>
      <c r="F16" s="30">
        <v>294.58331490523346</v>
      </c>
      <c r="G16" s="26">
        <v>2.5294775011522545E-2</v>
      </c>
      <c r="I16" s="8"/>
      <c r="J16" s="8"/>
      <c r="K16" s="8"/>
    </row>
    <row r="17" spans="1:11" ht="20" customHeight="1" thickBot="1">
      <c r="A17" s="7" t="s">
        <v>622</v>
      </c>
      <c r="B17" s="30">
        <v>365.15040089932944</v>
      </c>
      <c r="C17" s="26">
        <v>3.4659236444728882E-2</v>
      </c>
      <c r="D17" s="30">
        <v>355.82210253414513</v>
      </c>
      <c r="E17" s="26">
        <v>4.0381044184588183E-2</v>
      </c>
      <c r="F17" s="30">
        <v>360.1428504877278</v>
      </c>
      <c r="G17" s="26">
        <v>3.7475237346572723E-2</v>
      </c>
      <c r="I17" s="8"/>
      <c r="J17" s="8"/>
      <c r="K17" s="8"/>
    </row>
    <row r="18" spans="1:11" ht="20" customHeight="1" thickBot="1">
      <c r="A18" s="7" t="s">
        <v>623</v>
      </c>
      <c r="B18" s="30">
        <v>451.51689794201872</v>
      </c>
      <c r="C18" s="26">
        <v>4.6368867209082926E-2</v>
      </c>
      <c r="D18" s="30">
        <v>427.97751406820709</v>
      </c>
      <c r="E18" s="26">
        <v>3.7765333553090828E-2</v>
      </c>
      <c r="F18" s="30">
        <v>438.1773207072282</v>
      </c>
      <c r="G18" s="26">
        <v>4.2164488377588599E-2</v>
      </c>
      <c r="I18" s="8"/>
      <c r="J18" s="8"/>
      <c r="K18" s="8"/>
    </row>
    <row r="19" spans="1:11" ht="20" customHeight="1" thickBot="1">
      <c r="A19" s="7" t="s">
        <v>624</v>
      </c>
      <c r="B19" s="30">
        <v>528.88973768220137</v>
      </c>
      <c r="C19" s="26">
        <v>1.608763729229962E-2</v>
      </c>
      <c r="D19" s="30">
        <v>534.0066519827576</v>
      </c>
      <c r="E19" s="26">
        <v>3.2970962342426621E-2</v>
      </c>
      <c r="F19" s="30">
        <v>531.97304302382986</v>
      </c>
      <c r="G19" s="26">
        <v>2.4500382356741179E-2</v>
      </c>
      <c r="I19" s="8"/>
      <c r="J19" s="8"/>
      <c r="K19" s="8"/>
    </row>
    <row r="20" spans="1:11" ht="20" customHeight="1" thickBot="1">
      <c r="A20" s="7" t="s">
        <v>625</v>
      </c>
      <c r="B20" s="30">
        <v>620.24808645294047</v>
      </c>
      <c r="C20" s="26">
        <v>3.0733537786291832E-2</v>
      </c>
      <c r="D20" s="30">
        <v>682.19899238941537</v>
      </c>
      <c r="E20" s="26">
        <v>3.1780454033385051E-2</v>
      </c>
      <c r="F20" s="30">
        <v>659.66607384376391</v>
      </c>
      <c r="G20" s="26">
        <v>3.1281629091172741E-2</v>
      </c>
      <c r="I20" s="8"/>
      <c r="J20" s="8"/>
      <c r="K20" s="8"/>
    </row>
    <row r="21" spans="1:11" ht="20" customHeight="1" thickBot="1">
      <c r="A21" s="7" t="s">
        <v>626</v>
      </c>
      <c r="B21" s="30">
        <v>756.09735563357719</v>
      </c>
      <c r="C21" s="26">
        <v>3.44502778928635E-2</v>
      </c>
      <c r="D21" s="30">
        <v>917.59736478883076</v>
      </c>
      <c r="E21" s="26">
        <v>2.9173146303366444E-2</v>
      </c>
      <c r="F21" s="30">
        <v>867.52748981000741</v>
      </c>
      <c r="G21" s="26">
        <v>3.1550425767780291E-2</v>
      </c>
      <c r="I21" s="8"/>
      <c r="J21" s="8"/>
      <c r="K21" s="8"/>
    </row>
    <row r="22" spans="1:11" ht="20" customHeight="1" thickBot="1">
      <c r="A22" s="7" t="s">
        <v>608</v>
      </c>
      <c r="B22" s="30">
        <v>986.79160628557111</v>
      </c>
      <c r="C22" s="26">
        <v>4.6156276822353924E-2</v>
      </c>
      <c r="D22" s="30">
        <v>1277.8231249392913</v>
      </c>
      <c r="E22" s="26">
        <v>3.9659001956081803E-2</v>
      </c>
      <c r="F22" s="30">
        <v>1207.9842676328597</v>
      </c>
      <c r="G22" s="26">
        <v>4.2480200224631864E-2</v>
      </c>
      <c r="I22" s="8"/>
      <c r="J22" s="8"/>
      <c r="K22" s="8"/>
    </row>
    <row r="23" spans="1:11" s="36" customFormat="1" ht="21" customHeight="1" thickBot="1">
      <c r="A23" s="13" t="s">
        <v>607</v>
      </c>
      <c r="B23" s="34">
        <v>161.59304057299047</v>
      </c>
      <c r="C23" s="35">
        <v>4.0752292027778608E-2</v>
      </c>
      <c r="D23" s="34">
        <v>225.35043259246541</v>
      </c>
      <c r="E23" s="35">
        <v>3.5103657164829473E-2</v>
      </c>
      <c r="F23" s="34">
        <v>194.13299816609285</v>
      </c>
      <c r="G23" s="35">
        <v>3.7455133309930715E-2</v>
      </c>
      <c r="I23" s="37"/>
      <c r="J23" s="37"/>
      <c r="K23" s="37"/>
    </row>
    <row r="24" spans="1:11" ht="20" customHeight="1">
      <c r="A24" s="9" t="s">
        <v>1258</v>
      </c>
      <c r="B24" s="31"/>
      <c r="C24" s="27"/>
      <c r="D24" s="31"/>
      <c r="E24" s="27"/>
      <c r="F24" s="31"/>
      <c r="G24" s="27"/>
    </row>
    <row r="25" spans="1:11" ht="12.75" customHeight="1">
      <c r="A25" s="38"/>
      <c r="B25" s="32"/>
      <c r="C25" s="28"/>
      <c r="D25" s="32"/>
      <c r="E25" s="28"/>
      <c r="F25" s="32"/>
      <c r="G25" s="28"/>
    </row>
    <row r="26" spans="1:11" ht="13.5" customHeight="1">
      <c r="A26" s="38" t="s">
        <v>630</v>
      </c>
      <c r="B26" s="32"/>
      <c r="C26" s="28"/>
      <c r="D26" s="32"/>
      <c r="E26" s="28"/>
      <c r="F26" s="32"/>
      <c r="G26" s="28"/>
    </row>
    <row r="27" spans="1:11" ht="24" customHeight="1">
      <c r="A27" s="38"/>
      <c r="B27" s="32"/>
      <c r="C27" s="28"/>
      <c r="D27" s="32"/>
      <c r="E27" s="28"/>
      <c r="F27" s="32"/>
      <c r="G27" s="28"/>
    </row>
    <row r="28" spans="1:11" ht="20.25" customHeight="1">
      <c r="A28" s="425" t="s">
        <v>382</v>
      </c>
      <c r="B28" s="426"/>
      <c r="C28" s="427"/>
      <c r="D28" s="426"/>
      <c r="E28" s="427"/>
      <c r="F28" s="426"/>
      <c r="G28" s="427"/>
    </row>
    <row r="29" spans="1:11" ht="20.25" customHeight="1" thickBot="1">
      <c r="A29" s="6" t="s">
        <v>1327</v>
      </c>
      <c r="B29" s="29">
        <v>74.006666666666675</v>
      </c>
      <c r="C29" s="25">
        <v>1.1950125138103526E-3</v>
      </c>
      <c r="D29" s="29">
        <v>64.31</v>
      </c>
      <c r="E29" s="25">
        <v>2.4955839188238016E-2</v>
      </c>
      <c r="F29" s="29">
        <v>69.302499999999995</v>
      </c>
      <c r="G29" s="25">
        <v>1.1715328467153211E-2</v>
      </c>
    </row>
    <row r="30" spans="1:11" ht="20.25" customHeight="1" thickBot="1">
      <c r="A30" s="7" t="s">
        <v>1328</v>
      </c>
      <c r="B30" s="30">
        <v>56.099166666666669</v>
      </c>
      <c r="C30" s="26">
        <v>1.6688313649681354E-2</v>
      </c>
      <c r="D30" s="30">
        <v>44.645833333333336</v>
      </c>
      <c r="E30" s="26">
        <v>-1.230402117782874E-3</v>
      </c>
      <c r="F30" s="30">
        <v>50.504166666666663</v>
      </c>
      <c r="G30" s="26">
        <v>8.9062760113199739E-3</v>
      </c>
    </row>
    <row r="31" spans="1:11" ht="20.25" customHeight="1" thickBot="1">
      <c r="A31" s="7" t="s">
        <v>1329</v>
      </c>
      <c r="B31" s="30">
        <v>53.29666666666666</v>
      </c>
      <c r="C31" s="26">
        <v>3.0700552771107472E-2</v>
      </c>
      <c r="D31" s="30">
        <v>51.4</v>
      </c>
      <c r="E31" s="26">
        <v>2.7691692492252284E-2</v>
      </c>
      <c r="F31" s="30">
        <v>52.369166666666665</v>
      </c>
      <c r="G31" s="26">
        <v>2.8527004909983646E-2</v>
      </c>
      <c r="I31" s="10"/>
    </row>
    <row r="32" spans="1:11" ht="20.25" customHeight="1" thickBot="1">
      <c r="A32" s="7" t="s">
        <v>1330</v>
      </c>
      <c r="B32" s="30">
        <v>60.446666666666665</v>
      </c>
      <c r="C32" s="26">
        <v>4.7496642453824608E-2</v>
      </c>
      <c r="D32" s="30">
        <v>81.515833333333333</v>
      </c>
      <c r="E32" s="26">
        <v>1.6829521829521767E-2</v>
      </c>
      <c r="F32" s="30">
        <v>70.680000000000007</v>
      </c>
      <c r="G32" s="26">
        <v>3.0571081409477691E-2</v>
      </c>
    </row>
    <row r="33" spans="1:7" ht="20.25" customHeight="1" thickBot="1">
      <c r="A33" s="7" t="s">
        <v>1331</v>
      </c>
      <c r="B33" s="30">
        <v>64.308333333333337</v>
      </c>
      <c r="C33" s="26">
        <v>-5.1181559168202587E-3</v>
      </c>
      <c r="D33" s="30">
        <v>96.134166666666658</v>
      </c>
      <c r="E33" s="26">
        <v>9.2825896762903769E-3</v>
      </c>
      <c r="F33" s="30">
        <v>80</v>
      </c>
      <c r="G33" s="26">
        <v>3.134796238244514E-3</v>
      </c>
    </row>
    <row r="34" spans="1:7" ht="20.25" customHeight="1" thickBot="1">
      <c r="A34" s="7" t="s">
        <v>383</v>
      </c>
      <c r="B34" s="30">
        <v>69.24166666666666</v>
      </c>
      <c r="C34" s="26">
        <v>2.2004649389306317E-2</v>
      </c>
      <c r="D34" s="30">
        <v>121.13916666666667</v>
      </c>
      <c r="E34" s="26">
        <v>2.1553056921995835E-2</v>
      </c>
      <c r="F34" s="30">
        <v>95.022499999999994</v>
      </c>
      <c r="G34" s="26">
        <v>2.0832587287376886E-2</v>
      </c>
    </row>
    <row r="35" spans="1:7" ht="20.25" customHeight="1" thickBot="1">
      <c r="A35" s="7" t="s">
        <v>1346</v>
      </c>
      <c r="B35" s="30">
        <v>1002.6849999999999</v>
      </c>
      <c r="C35" s="26">
        <v>1.2985372933781691E-2</v>
      </c>
      <c r="D35" s="30">
        <v>1293.43</v>
      </c>
      <c r="E35" s="26">
        <v>3.8065810593900531E-2</v>
      </c>
      <c r="F35" s="30">
        <v>1221.2750000000001</v>
      </c>
      <c r="G35" s="26">
        <v>3.1772740073218821E-2</v>
      </c>
    </row>
    <row r="36" spans="1:7" ht="20.25" customHeight="1" thickBot="1">
      <c r="A36" s="7" t="s">
        <v>384</v>
      </c>
      <c r="B36" s="30">
        <v>1249.2558333333334</v>
      </c>
      <c r="C36" s="26">
        <v>4.0823516488815775E-3</v>
      </c>
      <c r="D36" s="30">
        <v>1613.8791666666666</v>
      </c>
      <c r="E36" s="26">
        <v>4.3850051204656938E-2</v>
      </c>
      <c r="F36" s="30">
        <v>1543.8716666666667</v>
      </c>
      <c r="G36" s="26">
        <v>3.5634188607524181E-2</v>
      </c>
    </row>
    <row r="37" spans="1:7" ht="20.25" customHeight="1" thickBot="1">
      <c r="A37" s="428" t="s">
        <v>385</v>
      </c>
      <c r="B37" s="429">
        <v>1551.9816666666666</v>
      </c>
      <c r="C37" s="430">
        <v>-2.6739376393029788E-2</v>
      </c>
      <c r="D37" s="429">
        <v>2151.2241666666664</v>
      </c>
      <c r="E37" s="430">
        <v>5.2029097725975949E-2</v>
      </c>
      <c r="F37" s="429">
        <v>2057.3249999999998</v>
      </c>
      <c r="G37" s="430">
        <v>3.5435977016314929E-2</v>
      </c>
    </row>
    <row r="38" spans="1:7">
      <c r="A38" s="431" t="s">
        <v>386</v>
      </c>
    </row>
    <row r="39" spans="1:7">
      <c r="A39" s="124"/>
    </row>
    <row r="40" spans="1:7">
      <c r="A40" s="38" t="s">
        <v>387</v>
      </c>
    </row>
    <row r="42" spans="1:7" ht="15.75" customHeight="1">
      <c r="A42" s="61" t="s">
        <v>275</v>
      </c>
      <c r="B42" s="32"/>
      <c r="C42" s="28"/>
      <c r="D42" s="32"/>
      <c r="E42" s="28"/>
      <c r="F42" s="32"/>
      <c r="G42" s="28"/>
    </row>
  </sheetData>
  <phoneticPr fontId="0" type="noConversion"/>
  <pageMargins left="0.78740157480314965" right="0.37" top="1.03" bottom="0.49" header="0.57999999999999996"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0B9C-54EF-A542-B022-F4D41E1CEBD5}">
  <dimension ref="A1:I42"/>
  <sheetViews>
    <sheetView zoomScale="75" workbookViewId="0">
      <selection activeCell="B7" sqref="B7"/>
    </sheetView>
  </sheetViews>
  <sheetFormatPr baseColWidth="10" defaultColWidth="11.3984375" defaultRowHeight="13"/>
  <cols>
    <col min="1" max="4" width="14.796875" style="3" customWidth="1"/>
    <col min="5" max="5" width="15.59765625" style="3" customWidth="1"/>
    <col min="6" max="6" width="16.19921875" style="3" customWidth="1"/>
    <col min="7" max="7" width="14.796875" style="22" customWidth="1"/>
    <col min="8" max="8" width="11.3984375" style="3"/>
    <col min="9" max="9" width="15.19921875" style="3" hidden="1" customWidth="1"/>
    <col min="10" max="16384" width="11.3984375" style="3"/>
  </cols>
  <sheetData>
    <row r="1" spans="1:9" s="1" customFormat="1" ht="14" customHeight="1">
      <c r="G1" s="24"/>
    </row>
    <row r="2" spans="1:9" s="1" customFormat="1" ht="28" customHeight="1">
      <c r="A2" s="64" t="s">
        <v>280</v>
      </c>
      <c r="G2" s="24"/>
    </row>
    <row r="3" spans="1:9" ht="27" customHeight="1">
      <c r="A3" s="2" t="s">
        <v>1663</v>
      </c>
      <c r="B3" s="74" t="s">
        <v>1664</v>
      </c>
      <c r="C3" s="17" t="s">
        <v>1665</v>
      </c>
      <c r="D3" s="74" t="s">
        <v>1666</v>
      </c>
      <c r="E3" s="17" t="s">
        <v>607</v>
      </c>
      <c r="F3" s="74" t="s">
        <v>607</v>
      </c>
      <c r="G3" s="17" t="s">
        <v>609</v>
      </c>
    </row>
    <row r="4" spans="1:9" ht="15" customHeight="1">
      <c r="A4" s="4"/>
      <c r="B4" s="75"/>
      <c r="C4" s="4"/>
      <c r="D4" s="76"/>
      <c r="E4" s="18" t="s">
        <v>1667</v>
      </c>
      <c r="F4" s="75" t="s">
        <v>1668</v>
      </c>
      <c r="G4" s="18" t="s">
        <v>610</v>
      </c>
    </row>
    <row r="5" spans="1:9" ht="15" customHeight="1">
      <c r="A5" s="4"/>
      <c r="B5" s="75"/>
      <c r="C5" s="4"/>
      <c r="D5" s="76"/>
      <c r="E5" s="18" t="s">
        <v>1669</v>
      </c>
      <c r="F5" s="75" t="s">
        <v>1670</v>
      </c>
      <c r="G5" s="18" t="s">
        <v>611</v>
      </c>
    </row>
    <row r="6" spans="1:9" ht="24" customHeight="1">
      <c r="A6" s="5"/>
      <c r="B6" s="77"/>
      <c r="C6" s="5"/>
      <c r="D6" s="77"/>
      <c r="E6" s="19"/>
      <c r="F6" s="78"/>
      <c r="G6" s="19"/>
    </row>
    <row r="7" spans="1:9" ht="30" customHeight="1" thickBot="1">
      <c r="A7" s="6" t="s">
        <v>1671</v>
      </c>
      <c r="B7" s="79">
        <v>160989224</v>
      </c>
      <c r="C7" s="112">
        <v>918006156</v>
      </c>
      <c r="D7" s="79">
        <v>1420182661</v>
      </c>
      <c r="E7" s="112">
        <v>2338188817</v>
      </c>
      <c r="F7" s="79">
        <v>2499178041</v>
      </c>
      <c r="G7" s="25">
        <v>4.6037348226116229E-2</v>
      </c>
      <c r="I7" s="43">
        <v>2156035045</v>
      </c>
    </row>
    <row r="8" spans="1:9" ht="20" customHeight="1" thickBot="1">
      <c r="A8" s="7" t="s">
        <v>1672</v>
      </c>
      <c r="B8" s="80">
        <v>109634257</v>
      </c>
      <c r="C8" s="119">
        <v>690291365</v>
      </c>
      <c r="D8" s="80">
        <v>1048407463</v>
      </c>
      <c r="E8" s="119">
        <v>1738698828</v>
      </c>
      <c r="F8" s="80">
        <v>1848333085</v>
      </c>
      <c r="G8" s="26">
        <v>4.8564544974293716E-2</v>
      </c>
      <c r="I8" s="43">
        <v>1563935884</v>
      </c>
    </row>
    <row r="9" spans="1:9" ht="20" customHeight="1" thickBot="1">
      <c r="A9" s="7" t="s">
        <v>1673</v>
      </c>
      <c r="B9" s="80">
        <v>39178931</v>
      </c>
      <c r="C9" s="119">
        <v>211695903</v>
      </c>
      <c r="D9" s="80">
        <v>308117415</v>
      </c>
      <c r="E9" s="119">
        <v>519813318</v>
      </c>
      <c r="F9" s="80">
        <v>558992249</v>
      </c>
      <c r="G9" s="26">
        <v>3.6867082664621305E-2</v>
      </c>
      <c r="I9" s="43">
        <v>464604355</v>
      </c>
    </row>
    <row r="10" spans="1:9" ht="20" customHeight="1" thickBot="1">
      <c r="A10" s="7" t="s">
        <v>1674</v>
      </c>
      <c r="B10" s="80">
        <v>4169208</v>
      </c>
      <c r="C10" s="119">
        <v>19632688</v>
      </c>
      <c r="D10" s="80">
        <v>27422276</v>
      </c>
      <c r="E10" s="119">
        <v>47054964</v>
      </c>
      <c r="F10" s="80">
        <v>51224172</v>
      </c>
      <c r="G10" s="26">
        <v>-6.2919689794237441E-2</v>
      </c>
      <c r="I10" s="43">
        <v>45901795</v>
      </c>
    </row>
    <row r="11" spans="1:9" ht="20" customHeight="1" thickBot="1">
      <c r="A11" s="7" t="s">
        <v>1675</v>
      </c>
      <c r="B11" s="80">
        <v>17621979</v>
      </c>
      <c r="C11" s="119">
        <v>78447616</v>
      </c>
      <c r="D11" s="80">
        <v>109831987</v>
      </c>
      <c r="E11" s="119">
        <v>188279603</v>
      </c>
      <c r="F11" s="80">
        <v>205901582</v>
      </c>
      <c r="G11" s="26">
        <v>7.7275813879128102E-3</v>
      </c>
      <c r="I11" s="43">
        <v>171549320</v>
      </c>
    </row>
    <row r="12" spans="1:9" ht="20" customHeight="1" thickBot="1">
      <c r="A12" s="7" t="s">
        <v>1676</v>
      </c>
      <c r="B12" s="80">
        <v>3881056</v>
      </c>
      <c r="C12" s="119">
        <v>16432201</v>
      </c>
      <c r="D12" s="80">
        <v>27206810</v>
      </c>
      <c r="E12" s="119">
        <v>43639011</v>
      </c>
      <c r="F12" s="80">
        <v>47520067</v>
      </c>
      <c r="G12" s="26">
        <v>1.3211452752984599E-2</v>
      </c>
      <c r="I12" s="43">
        <v>41764939</v>
      </c>
    </row>
    <row r="13" spans="1:9" ht="20" customHeight="1" thickBot="1">
      <c r="A13" s="7" t="s">
        <v>1677</v>
      </c>
      <c r="B13" s="80">
        <v>4205278</v>
      </c>
      <c r="C13" s="119">
        <v>19927321</v>
      </c>
      <c r="D13" s="80">
        <v>29531675</v>
      </c>
      <c r="E13" s="119">
        <v>49458996</v>
      </c>
      <c r="F13" s="80">
        <v>53664274</v>
      </c>
      <c r="G13" s="26">
        <v>2.7565770125343655E-2</v>
      </c>
      <c r="I13" s="43">
        <v>44323506</v>
      </c>
    </row>
    <row r="14" spans="1:9" ht="20" customHeight="1" thickBot="1">
      <c r="A14" s="7" t="s">
        <v>1678</v>
      </c>
      <c r="B14" s="80">
        <v>5483389</v>
      </c>
      <c r="C14" s="119">
        <v>23946892</v>
      </c>
      <c r="D14" s="80">
        <v>35227712</v>
      </c>
      <c r="E14" s="119">
        <v>59174604</v>
      </c>
      <c r="F14" s="80">
        <v>64657993</v>
      </c>
      <c r="G14" s="26">
        <v>1.8751678802362091E-2</v>
      </c>
      <c r="I14" s="43">
        <v>55927154</v>
      </c>
    </row>
    <row r="15" spans="1:9" ht="20" customHeight="1" thickBot="1">
      <c r="A15" s="7" t="s">
        <v>1679</v>
      </c>
      <c r="B15" s="80">
        <v>11322791</v>
      </c>
      <c r="C15" s="119">
        <v>59072687</v>
      </c>
      <c r="D15" s="80">
        <v>96457153</v>
      </c>
      <c r="E15" s="119">
        <v>155529840</v>
      </c>
      <c r="F15" s="80">
        <v>166852631</v>
      </c>
      <c r="G15" s="26">
        <v>6.9344428242919462E-2</v>
      </c>
      <c r="I15" s="43">
        <v>128772453</v>
      </c>
    </row>
    <row r="16" spans="1:9" ht="20" customHeight="1" thickBot="1">
      <c r="A16" s="7" t="s">
        <v>1680</v>
      </c>
      <c r="B16" s="80">
        <v>34473743</v>
      </c>
      <c r="C16" s="119">
        <v>170595220</v>
      </c>
      <c r="D16" s="80">
        <v>250050877</v>
      </c>
      <c r="E16" s="119">
        <v>420646097</v>
      </c>
      <c r="F16" s="80">
        <v>455119840</v>
      </c>
      <c r="G16" s="26">
        <v>5.0706135049468824E-2</v>
      </c>
      <c r="I16" s="43">
        <v>391250033</v>
      </c>
    </row>
    <row r="17" spans="1:9" ht="20" customHeight="1" thickBot="1">
      <c r="A17" s="7" t="s">
        <v>1681</v>
      </c>
      <c r="B17" s="80">
        <v>30877814</v>
      </c>
      <c r="C17" s="119">
        <v>168990553</v>
      </c>
      <c r="D17" s="80">
        <v>248906440</v>
      </c>
      <c r="E17" s="119">
        <v>417896993</v>
      </c>
      <c r="F17" s="80">
        <v>448774807</v>
      </c>
      <c r="G17" s="26">
        <v>5.409312280859694E-2</v>
      </c>
      <c r="I17" s="43">
        <v>393696828</v>
      </c>
    </row>
    <row r="18" spans="1:9" ht="20" customHeight="1" thickBot="1">
      <c r="A18" s="7" t="s">
        <v>1682</v>
      </c>
      <c r="B18" s="80">
        <v>24437035</v>
      </c>
      <c r="C18" s="119">
        <v>186311882</v>
      </c>
      <c r="D18" s="80">
        <v>311368814</v>
      </c>
      <c r="E18" s="119">
        <v>497680696</v>
      </c>
      <c r="F18" s="80">
        <v>522117731</v>
      </c>
      <c r="G18" s="26">
        <v>1.2939886024638603E-2</v>
      </c>
      <c r="I18" s="43">
        <v>473520714</v>
      </c>
    </row>
    <row r="19" spans="1:9" ht="20" customHeight="1" thickBot="1">
      <c r="A19" s="7" t="s">
        <v>1683</v>
      </c>
      <c r="B19" s="80">
        <v>39211084</v>
      </c>
      <c r="C19" s="119">
        <v>206468247</v>
      </c>
      <c r="D19" s="80">
        <v>305172043</v>
      </c>
      <c r="E19" s="119">
        <v>511640290</v>
      </c>
      <c r="F19" s="80">
        <v>550851374</v>
      </c>
      <c r="G19" s="26">
        <v>3.6556416918167786E-2</v>
      </c>
      <c r="I19" s="43">
        <v>469771093</v>
      </c>
    </row>
    <row r="20" spans="1:9" ht="20" customHeight="1" thickBot="1">
      <c r="A20" s="7" t="s">
        <v>1684</v>
      </c>
      <c r="B20" s="80">
        <v>8353177</v>
      </c>
      <c r="C20" s="119">
        <v>52316616</v>
      </c>
      <c r="D20" s="80">
        <v>84071484</v>
      </c>
      <c r="E20" s="119">
        <v>136388100</v>
      </c>
      <c r="F20" s="80">
        <v>144741277</v>
      </c>
      <c r="G20" s="26">
        <v>2.8768686052930984E-2</v>
      </c>
      <c r="I20" s="43">
        <v>127694959</v>
      </c>
    </row>
    <row r="21" spans="1:9" ht="20" customHeight="1" thickBot="1">
      <c r="A21" s="7" t="s">
        <v>1685</v>
      </c>
      <c r="B21" s="80">
        <v>6347267</v>
      </c>
      <c r="C21" s="119">
        <v>28327733</v>
      </c>
      <c r="D21" s="80">
        <v>42867779</v>
      </c>
      <c r="E21" s="119">
        <v>71195512</v>
      </c>
      <c r="F21" s="80">
        <v>77542779</v>
      </c>
      <c r="G21" s="26">
        <v>2.8459726136852579E-2</v>
      </c>
      <c r="I21" s="43">
        <v>69489100</v>
      </c>
    </row>
    <row r="22" spans="1:9" ht="20" customHeight="1" thickBot="1">
      <c r="A22" s="7" t="s">
        <v>1686</v>
      </c>
      <c r="B22" s="80">
        <v>1511121</v>
      </c>
      <c r="C22" s="119">
        <v>8183542</v>
      </c>
      <c r="D22" s="80">
        <v>10628723</v>
      </c>
      <c r="E22" s="119">
        <v>18812265</v>
      </c>
      <c r="F22" s="80">
        <v>20323386</v>
      </c>
      <c r="G22" s="26">
        <v>7.4728743627727343E-2</v>
      </c>
      <c r="I22" s="43">
        <v>16712649</v>
      </c>
    </row>
    <row r="23" spans="1:9" ht="20" customHeight="1" thickBot="1">
      <c r="A23" s="7" t="s">
        <v>1687</v>
      </c>
      <c r="B23" s="80">
        <v>59791937</v>
      </c>
      <c r="C23" s="119">
        <v>267176026</v>
      </c>
      <c r="D23" s="80">
        <v>389428067</v>
      </c>
      <c r="E23" s="119">
        <v>656604093</v>
      </c>
      <c r="F23" s="80">
        <v>716396030</v>
      </c>
      <c r="G23" s="26">
        <v>6.5185943540454802E-2</v>
      </c>
      <c r="I23" s="43">
        <v>615853738</v>
      </c>
    </row>
    <row r="24" spans="1:9" ht="20" customHeight="1" thickBot="1">
      <c r="A24" s="7" t="s">
        <v>1688</v>
      </c>
      <c r="B24" s="80">
        <v>21346124</v>
      </c>
      <c r="C24" s="119">
        <v>118251700</v>
      </c>
      <c r="D24" s="80">
        <v>171790160</v>
      </c>
      <c r="E24" s="119">
        <v>290041860</v>
      </c>
      <c r="F24" s="80">
        <v>311387984</v>
      </c>
      <c r="G24" s="26">
        <v>3.4025266827831621E-2</v>
      </c>
      <c r="I24" s="43">
        <v>264690646</v>
      </c>
    </row>
    <row r="25" spans="1:9" ht="20" customHeight="1" thickBot="1">
      <c r="A25" s="7" t="s">
        <v>1689</v>
      </c>
      <c r="B25" s="80">
        <v>71239100</v>
      </c>
      <c r="C25" s="119">
        <v>367190918</v>
      </c>
      <c r="D25" s="80">
        <v>535307904</v>
      </c>
      <c r="E25" s="119">
        <v>902498822</v>
      </c>
      <c r="F25" s="80">
        <v>973737922</v>
      </c>
      <c r="G25" s="26">
        <v>5.0091285904756803E-2</v>
      </c>
      <c r="I25" s="43">
        <v>819222625</v>
      </c>
    </row>
    <row r="26" spans="1:9" ht="20" customHeight="1" thickBot="1">
      <c r="A26" s="7" t="s">
        <v>1690</v>
      </c>
      <c r="B26" s="80">
        <v>32992872</v>
      </c>
      <c r="C26" s="119">
        <v>156423972</v>
      </c>
      <c r="D26" s="80">
        <v>220407681</v>
      </c>
      <c r="E26" s="119">
        <v>376831653</v>
      </c>
      <c r="F26" s="80">
        <v>409824525</v>
      </c>
      <c r="G26" s="26">
        <v>7.4646609398370214E-2</v>
      </c>
      <c r="I26" s="43">
        <v>344655658</v>
      </c>
    </row>
    <row r="27" spans="1:9" ht="20" customHeight="1" thickBot="1">
      <c r="A27" s="7" t="s">
        <v>1691</v>
      </c>
      <c r="B27" s="80">
        <v>42370794</v>
      </c>
      <c r="C27" s="119">
        <v>285087430</v>
      </c>
      <c r="D27" s="80">
        <v>440645366</v>
      </c>
      <c r="E27" s="119">
        <v>725732796</v>
      </c>
      <c r="F27" s="80">
        <v>768103590</v>
      </c>
      <c r="G27" s="26">
        <v>7.14685966227981E-2</v>
      </c>
      <c r="I27" s="43">
        <v>627641817</v>
      </c>
    </row>
    <row r="28" spans="1:9" ht="20" customHeight="1" thickBot="1">
      <c r="A28" s="7" t="s">
        <v>1692</v>
      </c>
      <c r="B28" s="80">
        <v>112703949</v>
      </c>
      <c r="C28" s="119">
        <v>540374103</v>
      </c>
      <c r="D28" s="80">
        <v>865920780</v>
      </c>
      <c r="E28" s="119">
        <v>1406294883</v>
      </c>
      <c r="F28" s="80">
        <v>1518998832</v>
      </c>
      <c r="G28" s="26">
        <v>3.6794023029524073E-2</v>
      </c>
      <c r="I28" s="43">
        <v>1280335377</v>
      </c>
    </row>
    <row r="29" spans="1:9" ht="20" customHeight="1" thickBot="1">
      <c r="A29" s="7" t="s">
        <v>1693</v>
      </c>
      <c r="B29" s="80">
        <v>35692479</v>
      </c>
      <c r="C29" s="119">
        <v>189423106</v>
      </c>
      <c r="D29" s="80">
        <v>273218377</v>
      </c>
      <c r="E29" s="119">
        <v>462641483</v>
      </c>
      <c r="F29" s="80">
        <v>498333962</v>
      </c>
      <c r="G29" s="26">
        <v>5.8930862491915842E-2</v>
      </c>
      <c r="I29" s="43">
        <v>410743307</v>
      </c>
    </row>
    <row r="30" spans="1:9" ht="20" customHeight="1" thickBot="1">
      <c r="A30" s="7" t="s">
        <v>1694</v>
      </c>
      <c r="B30" s="80">
        <v>25729631</v>
      </c>
      <c r="C30" s="119">
        <v>142988145</v>
      </c>
      <c r="D30" s="80">
        <v>229930585</v>
      </c>
      <c r="E30" s="119">
        <v>372918730</v>
      </c>
      <c r="F30" s="80">
        <v>398648361</v>
      </c>
      <c r="G30" s="26">
        <v>2.2253277298117963E-2</v>
      </c>
      <c r="I30" s="43">
        <v>318756043</v>
      </c>
    </row>
    <row r="31" spans="1:9" ht="20" customHeight="1" thickBot="1">
      <c r="A31" s="7" t="s">
        <v>1695</v>
      </c>
      <c r="B31" s="80">
        <v>82185786</v>
      </c>
      <c r="C31" s="119">
        <v>396016191</v>
      </c>
      <c r="D31" s="80">
        <v>644431361</v>
      </c>
      <c r="E31" s="119">
        <v>1040447552</v>
      </c>
      <c r="F31" s="80">
        <v>1122633338</v>
      </c>
      <c r="G31" s="26">
        <v>2.8208669813275827E-2</v>
      </c>
      <c r="I31" s="43">
        <v>966736347</v>
      </c>
    </row>
    <row r="32" spans="1:9" ht="20" customHeight="1" thickBot="1">
      <c r="A32" s="70" t="s">
        <v>1696</v>
      </c>
      <c r="B32" s="80">
        <v>10926481</v>
      </c>
      <c r="C32" s="119">
        <v>57391137</v>
      </c>
      <c r="D32" s="80">
        <v>87330705</v>
      </c>
      <c r="E32" s="119">
        <v>144721842</v>
      </c>
      <c r="F32" s="80">
        <v>155648323</v>
      </c>
      <c r="G32" s="26">
        <v>2.528200071014965E-2</v>
      </c>
      <c r="I32" s="43">
        <v>146808815</v>
      </c>
    </row>
    <row r="33" spans="1:9" ht="30" customHeight="1" thickBot="1">
      <c r="A33" s="13" t="s">
        <v>1697</v>
      </c>
      <c r="B33" s="120">
        <v>996676507</v>
      </c>
      <c r="C33" s="121">
        <v>5378969350</v>
      </c>
      <c r="D33" s="120">
        <v>8213862298</v>
      </c>
      <c r="E33" s="121">
        <v>13592831648</v>
      </c>
      <c r="F33" s="120">
        <v>14589508155</v>
      </c>
      <c r="G33" s="35">
        <v>4.375263081970987E-2</v>
      </c>
      <c r="I33" s="43">
        <v>12410394200</v>
      </c>
    </row>
    <row r="34" spans="1:9" ht="20" customHeight="1">
      <c r="A34" s="9" t="s">
        <v>636</v>
      </c>
      <c r="B34" s="9"/>
      <c r="C34" s="9"/>
      <c r="D34" s="9"/>
      <c r="E34" s="9"/>
      <c r="F34" s="9"/>
      <c r="G34" s="27"/>
    </row>
    <row r="35" spans="1:9" ht="12.75" customHeight="1">
      <c r="A35" s="38"/>
      <c r="B35" s="38"/>
      <c r="C35" s="38"/>
      <c r="D35" s="38"/>
      <c r="E35" s="38"/>
      <c r="F35" s="38"/>
      <c r="G35" s="28"/>
    </row>
    <row r="36" spans="1:9" ht="14.25" customHeight="1">
      <c r="A36" s="38" t="s">
        <v>630</v>
      </c>
      <c r="B36" s="38"/>
      <c r="C36" s="38"/>
      <c r="D36" s="38"/>
      <c r="E36" s="38"/>
      <c r="F36" s="38"/>
      <c r="G36" s="28"/>
    </row>
    <row r="37" spans="1:9" ht="10.5" customHeight="1">
      <c r="A37" s="38"/>
      <c r="B37" s="38"/>
      <c r="C37" s="38"/>
      <c r="D37" s="38"/>
      <c r="E37" s="38"/>
      <c r="F37" s="38"/>
      <c r="G37" s="28"/>
    </row>
    <row r="38" spans="1:9" ht="15" customHeight="1">
      <c r="A38" s="38" t="s">
        <v>1290</v>
      </c>
      <c r="B38" s="38"/>
      <c r="C38" s="38"/>
      <c r="D38" s="38"/>
      <c r="E38" s="38"/>
      <c r="F38" s="38"/>
      <c r="G38" s="28"/>
    </row>
    <row r="39" spans="1:9" ht="13.5" customHeight="1">
      <c r="A39" s="3" t="s">
        <v>281</v>
      </c>
    </row>
    <row r="40" spans="1:9" ht="12" customHeight="1"/>
    <row r="41" spans="1:9" ht="12" customHeight="1"/>
    <row r="42" spans="1:9" ht="12" customHeight="1"/>
  </sheetData>
  <phoneticPr fontId="0" type="noConversion"/>
  <pageMargins left="0.78740157480314965" right="0.56000000000000005" top="0.93" bottom="0.49" header="0.56999999999999995"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653E-5EDB-494E-9061-5DD32089E47A}">
  <dimension ref="A1:I40"/>
  <sheetViews>
    <sheetView zoomScale="75" workbookViewId="0">
      <selection activeCell="A39" sqref="A39"/>
    </sheetView>
  </sheetViews>
  <sheetFormatPr baseColWidth="10" defaultColWidth="11.3984375" defaultRowHeight="13"/>
  <cols>
    <col min="1" max="1" width="14.796875" style="3" customWidth="1"/>
    <col min="2" max="6" width="14.796875" style="21" customWidth="1"/>
    <col min="7" max="7" width="14.796875" style="22" customWidth="1"/>
    <col min="8" max="8" width="11.3984375" style="3"/>
    <col min="9" max="9" width="0" style="3" hidden="1" customWidth="1"/>
    <col min="10" max="16384" width="11.3984375" style="3"/>
  </cols>
  <sheetData>
    <row r="1" spans="1:9" s="1" customFormat="1" ht="14" customHeight="1">
      <c r="B1" s="33"/>
      <c r="C1" s="33"/>
      <c r="D1" s="33"/>
      <c r="E1" s="33"/>
      <c r="F1" s="33"/>
      <c r="G1" s="24"/>
    </row>
    <row r="2" spans="1:9" s="1" customFormat="1" ht="28" customHeight="1">
      <c r="A2" s="64" t="s">
        <v>1488</v>
      </c>
      <c r="B2" s="33"/>
      <c r="C2" s="33"/>
      <c r="D2" s="33"/>
      <c r="E2" s="33"/>
      <c r="F2" s="33"/>
      <c r="G2" s="24"/>
    </row>
    <row r="3" spans="1:9" ht="27" customHeight="1">
      <c r="A3" s="2" t="s">
        <v>1663</v>
      </c>
      <c r="B3" s="14" t="s">
        <v>1664</v>
      </c>
      <c r="C3" s="65" t="s">
        <v>1665</v>
      </c>
      <c r="D3" s="14" t="s">
        <v>1666</v>
      </c>
      <c r="E3" s="65" t="s">
        <v>607</v>
      </c>
      <c r="F3" s="14" t="s">
        <v>607</v>
      </c>
      <c r="G3" s="17" t="s">
        <v>609</v>
      </c>
    </row>
    <row r="4" spans="1:9" ht="15" customHeight="1">
      <c r="A4" s="4"/>
      <c r="B4" s="15"/>
      <c r="C4" s="66"/>
      <c r="D4" s="15"/>
      <c r="E4" s="66" t="s">
        <v>1667</v>
      </c>
      <c r="F4" s="15" t="s">
        <v>1668</v>
      </c>
      <c r="G4" s="18" t="s">
        <v>610</v>
      </c>
    </row>
    <row r="5" spans="1:9" ht="15" customHeight="1">
      <c r="A5" s="4"/>
      <c r="B5" s="15"/>
      <c r="C5" s="66"/>
      <c r="D5" s="15"/>
      <c r="E5" s="66" t="s">
        <v>1669</v>
      </c>
      <c r="F5" s="15" t="s">
        <v>1670</v>
      </c>
      <c r="G5" s="18" t="s">
        <v>611</v>
      </c>
    </row>
    <row r="6" spans="1:9" ht="24" customHeight="1">
      <c r="A6" s="5"/>
      <c r="B6" s="16"/>
      <c r="C6" s="67"/>
      <c r="D6" s="16"/>
      <c r="E6" s="67"/>
      <c r="F6" s="16"/>
      <c r="G6" s="19"/>
    </row>
    <row r="7" spans="1:9" ht="30" customHeight="1" thickBot="1">
      <c r="A7" s="6" t="s">
        <v>1671</v>
      </c>
      <c r="B7" s="29">
        <v>55.475075551083563</v>
      </c>
      <c r="C7" s="68">
        <v>156.75732336103889</v>
      </c>
      <c r="D7" s="29">
        <v>227.23529748714893</v>
      </c>
      <c r="E7" s="68">
        <v>193.14204648614768</v>
      </c>
      <c r="F7" s="29">
        <v>166.52230260417264</v>
      </c>
      <c r="G7" s="25">
        <v>3.6798064478221718E-2</v>
      </c>
      <c r="I7" s="69">
        <v>147.6535284720232</v>
      </c>
    </row>
    <row r="8" spans="1:9" ht="20" customHeight="1" thickBot="1">
      <c r="A8" s="7" t="s">
        <v>1672</v>
      </c>
      <c r="B8" s="29">
        <v>47.419251131045577</v>
      </c>
      <c r="C8" s="68">
        <v>157.54969051129541</v>
      </c>
      <c r="D8" s="29">
        <v>220.15843629824826</v>
      </c>
      <c r="E8" s="68">
        <v>190.15725064824889</v>
      </c>
      <c r="F8" s="29">
        <v>161.34898052018511</v>
      </c>
      <c r="G8" s="25">
        <v>4.661460559941312E-2</v>
      </c>
      <c r="I8" s="69">
        <v>136.00843900520724</v>
      </c>
    </row>
    <row r="9" spans="1:9" ht="20" customHeight="1" thickBot="1">
      <c r="A9" s="7" t="s">
        <v>1673</v>
      </c>
      <c r="B9" s="29">
        <v>40.153331905347059</v>
      </c>
      <c r="C9" s="68">
        <v>131.93540773628862</v>
      </c>
      <c r="D9" s="29">
        <v>182.16127367341949</v>
      </c>
      <c r="E9" s="68">
        <v>157.71054273124119</v>
      </c>
      <c r="F9" s="29">
        <v>130.85854673833475</v>
      </c>
      <c r="G9" s="25">
        <v>3.1568103303578433E-2</v>
      </c>
      <c r="I9" s="69">
        <v>109.8632844875566</v>
      </c>
    </row>
    <row r="10" spans="1:9" ht="20" customHeight="1" thickBot="1">
      <c r="A10" s="7" t="s">
        <v>1674</v>
      </c>
      <c r="B10" s="29">
        <v>43.328150981044224</v>
      </c>
      <c r="C10" s="68">
        <v>119.7064027754913</v>
      </c>
      <c r="D10" s="29">
        <v>165.27009956365563</v>
      </c>
      <c r="E10" s="68">
        <v>142.62062067523209</v>
      </c>
      <c r="F10" s="29">
        <v>120.20080017833887</v>
      </c>
      <c r="G10" s="25">
        <v>-6.0217306346828592E-2</v>
      </c>
      <c r="I10" s="69">
        <v>106.3151780359856</v>
      </c>
    </row>
    <row r="11" spans="1:9" ht="20" customHeight="1" thickBot="1">
      <c r="A11" s="7" t="s">
        <v>1675</v>
      </c>
      <c r="B11" s="29">
        <v>47.688836869452267</v>
      </c>
      <c r="C11" s="68">
        <v>127.61810686734799</v>
      </c>
      <c r="D11" s="29">
        <v>180.06926384924495</v>
      </c>
      <c r="E11" s="68">
        <v>153.74168680168768</v>
      </c>
      <c r="F11" s="29">
        <v>129.15919328502812</v>
      </c>
      <c r="G11" s="25">
        <v>-6.2469679432053202E-3</v>
      </c>
      <c r="I11" s="69">
        <v>110.98351281141051</v>
      </c>
    </row>
    <row r="12" spans="1:9" ht="20" customHeight="1" thickBot="1">
      <c r="A12" s="7" t="s">
        <v>1676</v>
      </c>
      <c r="B12" s="29">
        <v>40.506147327112949</v>
      </c>
      <c r="C12" s="68">
        <v>107.27170116788419</v>
      </c>
      <c r="D12" s="29">
        <v>176.36754352983883</v>
      </c>
      <c r="E12" s="68">
        <v>141.9408707248451</v>
      </c>
      <c r="F12" s="29">
        <v>117.84006556580262</v>
      </c>
      <c r="G12" s="25">
        <v>7.2691535997880304E-3</v>
      </c>
      <c r="I12" s="69">
        <v>105.19977836100999</v>
      </c>
    </row>
    <row r="13" spans="1:9" ht="20" customHeight="1" thickBot="1">
      <c r="A13" s="7" t="s">
        <v>1677</v>
      </c>
      <c r="B13" s="29">
        <v>41.431310344827587</v>
      </c>
      <c r="C13" s="68">
        <v>109.96143382941271</v>
      </c>
      <c r="D13" s="29">
        <v>163.95737794112745</v>
      </c>
      <c r="E13" s="68">
        <v>136.87699362648371</v>
      </c>
      <c r="F13" s="29">
        <v>115.94587750816159</v>
      </c>
      <c r="G13" s="25">
        <v>1.5101834856028732E-2</v>
      </c>
      <c r="I13" s="69">
        <v>98.806061539893719</v>
      </c>
    </row>
    <row r="14" spans="1:9" ht="20" customHeight="1" thickBot="1">
      <c r="A14" s="7" t="s">
        <v>1678</v>
      </c>
      <c r="B14" s="29">
        <v>52.518858708144968</v>
      </c>
      <c r="C14" s="68">
        <v>134.88850961240573</v>
      </c>
      <c r="D14" s="29">
        <v>190.5415995067124</v>
      </c>
      <c r="E14" s="68">
        <v>163.27947397030462</v>
      </c>
      <c r="F14" s="29">
        <v>138.50703588741723</v>
      </c>
      <c r="G14" s="25">
        <v>1.37388080097538E-2</v>
      </c>
      <c r="I14" s="69">
        <v>118.50730828724598</v>
      </c>
    </row>
    <row r="15" spans="1:9" ht="20" customHeight="1" thickBot="1">
      <c r="A15" s="7" t="s">
        <v>1679</v>
      </c>
      <c r="B15" s="29">
        <v>44.579321395949478</v>
      </c>
      <c r="C15" s="68">
        <v>123.85639224648544</v>
      </c>
      <c r="D15" s="29">
        <v>199.6678721061173</v>
      </c>
      <c r="E15" s="68">
        <v>162.00468108908757</v>
      </c>
      <c r="F15" s="29">
        <v>137.43755771092029</v>
      </c>
      <c r="G15" s="25">
        <v>5.5621198969842175E-2</v>
      </c>
      <c r="I15" s="69">
        <v>109.7243161119399</v>
      </c>
    </row>
    <row r="16" spans="1:9" ht="20" customHeight="1" thickBot="1">
      <c r="A16" s="7" t="s">
        <v>1680</v>
      </c>
      <c r="B16" s="29">
        <v>49.167639596261559</v>
      </c>
      <c r="C16" s="68">
        <v>156.06052317417337</v>
      </c>
      <c r="D16" s="29">
        <v>220.78260957860292</v>
      </c>
      <c r="E16" s="68">
        <v>188.99488161257958</v>
      </c>
      <c r="F16" s="29">
        <v>155.49828347765239</v>
      </c>
      <c r="G16" s="25">
        <v>3.539239812814772E-2</v>
      </c>
      <c r="I16" s="69">
        <v>137.47395057718248</v>
      </c>
    </row>
    <row r="17" spans="1:9" ht="20" customHeight="1" thickBot="1">
      <c r="A17" s="7" t="s">
        <v>1681</v>
      </c>
      <c r="B17" s="29">
        <v>48.694036923668904</v>
      </c>
      <c r="C17" s="68">
        <v>148.45297467197966</v>
      </c>
      <c r="D17" s="29">
        <v>207.3323620867308</v>
      </c>
      <c r="E17" s="68">
        <v>178.67527640567232</v>
      </c>
      <c r="F17" s="29">
        <v>150.95106764857641</v>
      </c>
      <c r="G17" s="25">
        <v>5.0112860097067231E-2</v>
      </c>
      <c r="I17" s="69">
        <v>132.71022733455214</v>
      </c>
    </row>
    <row r="18" spans="1:9" ht="20" customHeight="1" thickBot="1">
      <c r="A18" s="7" t="s">
        <v>1682</v>
      </c>
      <c r="B18" s="29">
        <v>67.610398988487688</v>
      </c>
      <c r="C18" s="68">
        <v>214.7348280444472</v>
      </c>
      <c r="D18" s="29">
        <v>313.08451715400389</v>
      </c>
      <c r="E18" s="68">
        <v>267.26033089583746</v>
      </c>
      <c r="F18" s="29">
        <v>234.80782075520915</v>
      </c>
      <c r="G18" s="25">
        <v>1.5644890460342963E-2</v>
      </c>
      <c r="I18" s="69">
        <v>208.35408965566106</v>
      </c>
    </row>
    <row r="19" spans="1:9" ht="20" customHeight="1" thickBot="1">
      <c r="A19" s="7" t="s">
        <v>1683</v>
      </c>
      <c r="B19" s="29">
        <v>62.108894267322221</v>
      </c>
      <c r="C19" s="68">
        <v>167.95075642337582</v>
      </c>
      <c r="D19" s="29">
        <v>234.04774259752375</v>
      </c>
      <c r="E19" s="68">
        <v>201.97182959593815</v>
      </c>
      <c r="F19" s="29">
        <v>174.06919711276851</v>
      </c>
      <c r="G19" s="25">
        <v>3.1460701466404596E-2</v>
      </c>
      <c r="I19" s="69">
        <v>149.99608447175385</v>
      </c>
    </row>
    <row r="20" spans="1:9" ht="20" customHeight="1" thickBot="1">
      <c r="A20" s="7" t="s">
        <v>1684</v>
      </c>
      <c r="B20" s="29">
        <v>44.81726874232092</v>
      </c>
      <c r="C20" s="68">
        <v>151.67841631924111</v>
      </c>
      <c r="D20" s="29">
        <v>225.6970767549806</v>
      </c>
      <c r="E20" s="68">
        <v>190.11046604824264</v>
      </c>
      <c r="F20" s="29">
        <v>160.14781732201223</v>
      </c>
      <c r="G20" s="25">
        <v>2.2570790621033381E-2</v>
      </c>
      <c r="I20" s="69">
        <v>141.06151978810024</v>
      </c>
    </row>
    <row r="21" spans="1:9" ht="20" customHeight="1" thickBot="1">
      <c r="A21" s="7" t="s">
        <v>1685</v>
      </c>
      <c r="B21" s="29">
        <v>42.047411480242452</v>
      </c>
      <c r="C21" s="68">
        <v>117.25637448879915</v>
      </c>
      <c r="D21" s="29">
        <v>169.17907785324425</v>
      </c>
      <c r="E21" s="68">
        <v>143.83658164553768</v>
      </c>
      <c r="F21" s="29">
        <v>120.0482699363708</v>
      </c>
      <c r="G21" s="25">
        <v>3.2932195649538538E-2</v>
      </c>
      <c r="I21" s="69">
        <v>105.54236904359847</v>
      </c>
    </row>
    <row r="22" spans="1:9" ht="20" customHeight="1" thickBot="1">
      <c r="A22" s="7" t="s">
        <v>1686</v>
      </c>
      <c r="B22" s="29">
        <v>32.107107192181026</v>
      </c>
      <c r="C22" s="68">
        <v>122.72674375009375</v>
      </c>
      <c r="D22" s="29">
        <v>162.04050737121341</v>
      </c>
      <c r="E22" s="68">
        <v>142.2219408198134</v>
      </c>
      <c r="F22" s="29">
        <v>113.32385036160566</v>
      </c>
      <c r="G22" s="25">
        <v>7.4896539839491447E-2</v>
      </c>
      <c r="I22" s="69">
        <v>93.290141615544769</v>
      </c>
    </row>
    <row r="23" spans="1:9" ht="20" customHeight="1" thickBot="1">
      <c r="A23" s="7" t="s">
        <v>1687</v>
      </c>
      <c r="B23" s="29">
        <v>46.560692025678804</v>
      </c>
      <c r="C23" s="68">
        <v>129.63574327684711</v>
      </c>
      <c r="D23" s="29">
        <v>180.00376575497219</v>
      </c>
      <c r="E23" s="68">
        <v>155.43062679151853</v>
      </c>
      <c r="F23" s="29">
        <v>130.05068446722584</v>
      </c>
      <c r="G23" s="25">
        <v>5.8417099865875156E-2</v>
      </c>
      <c r="I23" s="69">
        <v>113.07027159885389</v>
      </c>
    </row>
    <row r="24" spans="1:9" ht="20" customHeight="1" thickBot="1">
      <c r="A24" s="7" t="s">
        <v>1688</v>
      </c>
      <c r="B24" s="29">
        <v>44.978126336682891</v>
      </c>
      <c r="C24" s="68">
        <v>129.21240027841733</v>
      </c>
      <c r="D24" s="29">
        <v>184.62967699777957</v>
      </c>
      <c r="E24" s="68">
        <v>157.1505138351057</v>
      </c>
      <c r="F24" s="29">
        <v>134.20623216763929</v>
      </c>
      <c r="G24" s="25">
        <v>3.5815493986402158E-2</v>
      </c>
      <c r="I24" s="69">
        <v>112.93207174435962</v>
      </c>
    </row>
    <row r="25" spans="1:9" ht="20" customHeight="1" thickBot="1">
      <c r="A25" s="7" t="s">
        <v>1689</v>
      </c>
      <c r="B25" s="29">
        <v>47.896919471110209</v>
      </c>
      <c r="C25" s="68">
        <v>141.47878189612456</v>
      </c>
      <c r="D25" s="29">
        <v>200.57744468183486</v>
      </c>
      <c r="E25" s="68">
        <v>171.44044008865907</v>
      </c>
      <c r="F25" s="29">
        <v>144.22426629484116</v>
      </c>
      <c r="G25" s="25">
        <v>5.0274342344779142E-2</v>
      </c>
      <c r="I25" s="69">
        <v>123.10137008461707</v>
      </c>
    </row>
    <row r="26" spans="1:9" ht="20" customHeight="1" thickBot="1">
      <c r="A26" s="7" t="s">
        <v>1690</v>
      </c>
      <c r="B26" s="29">
        <v>49.385499679673323</v>
      </c>
      <c r="C26" s="68">
        <v>151.15135913914906</v>
      </c>
      <c r="D26" s="29">
        <v>205.26755656302444</v>
      </c>
      <c r="E26" s="68">
        <v>178.70830217187279</v>
      </c>
      <c r="F26" s="29">
        <v>147.59361712012313</v>
      </c>
      <c r="G26" s="25">
        <v>7.0003525666121766E-2</v>
      </c>
      <c r="I26" s="69">
        <v>124.89094208425395</v>
      </c>
    </row>
    <row r="27" spans="1:9" ht="20" customHeight="1" thickBot="1">
      <c r="A27" s="7" t="s">
        <v>1691</v>
      </c>
      <c r="B27" s="29">
        <v>61.449517201771663</v>
      </c>
      <c r="C27" s="68">
        <v>196.88915915436834</v>
      </c>
      <c r="D27" s="29">
        <v>270.0221498315446</v>
      </c>
      <c r="E27" s="68">
        <v>235.63938964460874</v>
      </c>
      <c r="F27" s="29">
        <v>203.77522008337209</v>
      </c>
      <c r="G27" s="25">
        <v>6.6201316176128927E-2</v>
      </c>
      <c r="I27" s="69">
        <v>168.72622344599318</v>
      </c>
    </row>
    <row r="28" spans="1:9" ht="20" customHeight="1" thickBot="1">
      <c r="A28" s="7" t="s">
        <v>1692</v>
      </c>
      <c r="B28" s="29">
        <v>67.693515284564086</v>
      </c>
      <c r="C28" s="68">
        <v>191.82037276843712</v>
      </c>
      <c r="D28" s="29">
        <v>278.7193380679185</v>
      </c>
      <c r="E28" s="68">
        <v>237.39470275164808</v>
      </c>
      <c r="F28" s="29">
        <v>200.1636931771537</v>
      </c>
      <c r="G28" s="25">
        <v>2.8671855984117211E-2</v>
      </c>
      <c r="I28" s="69">
        <v>172.20627180427857</v>
      </c>
    </row>
    <row r="29" spans="1:9" ht="20" customHeight="1" thickBot="1">
      <c r="A29" s="7" t="s">
        <v>1693</v>
      </c>
      <c r="B29" s="29">
        <v>47.655291519576167</v>
      </c>
      <c r="C29" s="68">
        <v>144.11911734384498</v>
      </c>
      <c r="D29" s="29">
        <v>198.03986842687047</v>
      </c>
      <c r="E29" s="68">
        <v>171.73261520940889</v>
      </c>
      <c r="F29" s="29">
        <v>144.7409890860591</v>
      </c>
      <c r="G29" s="25">
        <v>4.757645210108076E-2</v>
      </c>
      <c r="I29" s="69">
        <v>121.13256050394979</v>
      </c>
    </row>
    <row r="30" spans="1:9" ht="20" customHeight="1" thickBot="1">
      <c r="A30" s="7" t="s">
        <v>1694</v>
      </c>
      <c r="B30" s="29">
        <v>59.234773820294826</v>
      </c>
      <c r="C30" s="68">
        <v>188.58124371068973</v>
      </c>
      <c r="D30" s="29">
        <v>276.55399302151875</v>
      </c>
      <c r="E30" s="68">
        <v>234.59260689814823</v>
      </c>
      <c r="F30" s="29">
        <v>196.95958223547203</v>
      </c>
      <c r="G30" s="25">
        <v>1.8149154721119311E-2</v>
      </c>
      <c r="I30" s="69">
        <v>157.34667902077535</v>
      </c>
    </row>
    <row r="31" spans="1:9" ht="20" customHeight="1" thickBot="1">
      <c r="A31" s="7" t="s">
        <v>1695</v>
      </c>
      <c r="B31" s="29">
        <v>81.314018408640962</v>
      </c>
      <c r="C31" s="68">
        <v>224.6500146924179</v>
      </c>
      <c r="D31" s="29">
        <v>325.81841765320024</v>
      </c>
      <c r="E31" s="68">
        <v>278.14254822427569</v>
      </c>
      <c r="F31" s="29">
        <v>236.27322737202772</v>
      </c>
      <c r="G31" s="25">
        <v>9.5344153728790671E-3</v>
      </c>
      <c r="I31" s="69">
        <v>209.96444334691634</v>
      </c>
    </row>
    <row r="32" spans="1:9" ht="20" customHeight="1" thickBot="1">
      <c r="A32" s="70" t="s">
        <v>1696</v>
      </c>
      <c r="B32" s="29">
        <v>56.383973125132236</v>
      </c>
      <c r="C32" s="68">
        <v>183.38814631137981</v>
      </c>
      <c r="D32" s="29">
        <v>261.94208406194412</v>
      </c>
      <c r="E32" s="68">
        <v>223.90769340260479</v>
      </c>
      <c r="F32" s="29">
        <v>185.2662887899892</v>
      </c>
      <c r="G32" s="25">
        <v>2.410189268595982E-2</v>
      </c>
      <c r="I32" s="69">
        <v>173.66487176423698</v>
      </c>
    </row>
    <row r="33" spans="1:9" ht="30" customHeight="1" thickBot="1">
      <c r="A33" s="13" t="s">
        <v>1697</v>
      </c>
      <c r="B33" s="71">
        <v>53.642115128261871</v>
      </c>
      <c r="C33" s="72">
        <v>160.03494279796706</v>
      </c>
      <c r="D33" s="71">
        <v>228.78561512093825</v>
      </c>
      <c r="E33" s="72">
        <v>195.54310764730329</v>
      </c>
      <c r="F33" s="71">
        <v>165.61421082537063</v>
      </c>
      <c r="G33" s="73">
        <v>3.7347073968475683E-2</v>
      </c>
      <c r="I33" s="69">
        <v>142.67390401114693</v>
      </c>
    </row>
    <row r="34" spans="1:9" ht="20" customHeight="1">
      <c r="A34" s="9" t="s">
        <v>636</v>
      </c>
      <c r="B34" s="31"/>
      <c r="C34" s="31"/>
      <c r="D34" s="31"/>
      <c r="E34" s="31"/>
      <c r="F34" s="31"/>
      <c r="G34" s="27"/>
    </row>
    <row r="35" spans="1:9" ht="14.25" customHeight="1">
      <c r="A35" s="38"/>
      <c r="B35" s="32"/>
      <c r="C35" s="32"/>
      <c r="D35" s="32"/>
      <c r="E35" s="32"/>
      <c r="F35" s="32"/>
      <c r="G35" s="28"/>
    </row>
    <row r="36" spans="1:9" ht="20" customHeight="1">
      <c r="A36" s="38" t="s">
        <v>1698</v>
      </c>
      <c r="B36" s="32"/>
      <c r="C36" s="32"/>
      <c r="D36" s="32"/>
      <c r="E36" s="32"/>
      <c r="F36" s="32"/>
      <c r="G36" s="28"/>
    </row>
    <row r="37" spans="1:9" ht="15.75" customHeight="1">
      <c r="A37" s="38"/>
      <c r="B37" s="32"/>
      <c r="C37" s="32"/>
      <c r="D37" s="32"/>
      <c r="E37" s="32"/>
      <c r="F37" s="32"/>
      <c r="G37" s="28"/>
    </row>
    <row r="38" spans="1:9" ht="15.75" customHeight="1">
      <c r="A38" s="38" t="s">
        <v>1662</v>
      </c>
    </row>
    <row r="39" spans="1:9" ht="12" customHeight="1"/>
    <row r="40" spans="1:9" ht="12" customHeight="1"/>
  </sheetData>
  <phoneticPr fontId="0" type="noConversion"/>
  <pageMargins left="0.78740157480314965" right="0.78740157480314965" top="1.45" bottom="0.49" header="0.92"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68A7-7629-2242-ABDE-03C2B9D0BAD5}">
  <dimension ref="A1:K42"/>
  <sheetViews>
    <sheetView topLeftCell="A3" zoomScale="75" workbookViewId="0">
      <selection activeCell="A25" sqref="A25"/>
    </sheetView>
  </sheetViews>
  <sheetFormatPr baseColWidth="10" defaultColWidth="11.3984375" defaultRowHeight="13"/>
  <cols>
    <col min="1" max="1" width="14.796875" style="3" customWidth="1"/>
    <col min="2" max="2" width="14.796875" style="21" customWidth="1"/>
    <col min="3" max="3" width="14.796875" style="22" customWidth="1"/>
    <col min="4" max="4" width="14.796875" style="21" customWidth="1"/>
    <col min="5" max="5" width="14.796875" style="22" customWidth="1"/>
    <col min="6" max="6" width="14.796875" style="21" customWidth="1"/>
    <col min="7" max="7" width="14.796875" style="22" customWidth="1"/>
    <col min="8" max="8" width="7.19921875" style="3" customWidth="1"/>
    <col min="9" max="9" width="7.59765625" style="3" customWidth="1"/>
    <col min="10" max="10" width="6.3984375" style="3" customWidth="1"/>
    <col min="11" max="11" width="8.796875" style="3" customWidth="1"/>
    <col min="12" max="16384" width="11.3984375" style="3"/>
  </cols>
  <sheetData>
    <row r="1" spans="1:11" s="1" customFormat="1" ht="25.5" customHeight="1">
      <c r="A1" s="12" t="s">
        <v>1660</v>
      </c>
      <c r="B1" s="23" t="s">
        <v>1661</v>
      </c>
      <c r="C1" s="57"/>
      <c r="D1" s="58"/>
      <c r="E1" s="57"/>
      <c r="F1" s="58"/>
      <c r="G1" s="57"/>
      <c r="H1" s="11"/>
    </row>
    <row r="2" spans="1:11" s="1" customFormat="1" ht="28" customHeight="1">
      <c r="A2" s="11"/>
      <c r="B2" s="23" t="s">
        <v>1440</v>
      </c>
      <c r="C2" s="57"/>
      <c r="D2" s="58"/>
      <c r="E2" s="57"/>
      <c r="F2" s="58"/>
      <c r="G2" s="57"/>
      <c r="H2" s="11"/>
    </row>
    <row r="3" spans="1:11" ht="27" customHeight="1">
      <c r="A3" s="2" t="s">
        <v>1217</v>
      </c>
      <c r="B3" s="14" t="s">
        <v>627</v>
      </c>
      <c r="C3" s="17" t="s">
        <v>609</v>
      </c>
      <c r="D3" s="14" t="s">
        <v>628</v>
      </c>
      <c r="E3" s="17" t="s">
        <v>609</v>
      </c>
      <c r="F3" s="14" t="s">
        <v>607</v>
      </c>
      <c r="G3" s="17" t="s">
        <v>609</v>
      </c>
    </row>
    <row r="4" spans="1:11" ht="15" customHeight="1">
      <c r="A4" s="4"/>
      <c r="B4" s="15"/>
      <c r="C4" s="18" t="s">
        <v>610</v>
      </c>
      <c r="D4" s="15"/>
      <c r="E4" s="18" t="s">
        <v>610</v>
      </c>
      <c r="F4" s="15"/>
      <c r="G4" s="18" t="s">
        <v>610</v>
      </c>
    </row>
    <row r="5" spans="1:11" ht="15" customHeight="1">
      <c r="A5" s="4"/>
      <c r="B5" s="15"/>
      <c r="C5" s="18" t="s">
        <v>611</v>
      </c>
      <c r="D5" s="15"/>
      <c r="E5" s="18" t="s">
        <v>611</v>
      </c>
      <c r="F5" s="15"/>
      <c r="G5" s="18" t="s">
        <v>611</v>
      </c>
    </row>
    <row r="6" spans="1:11" ht="23" customHeight="1">
      <c r="A6" s="5"/>
      <c r="B6" s="16"/>
      <c r="C6" s="19"/>
      <c r="D6" s="16"/>
      <c r="E6" s="19"/>
      <c r="F6" s="16"/>
      <c r="G6" s="19"/>
    </row>
    <row r="7" spans="1:11" ht="30" customHeight="1" thickBot="1">
      <c r="A7" s="6" t="s">
        <v>612</v>
      </c>
      <c r="B7" s="29">
        <v>54.925535091259654</v>
      </c>
      <c r="C7" s="25">
        <v>2.1219465765612015E-2</v>
      </c>
      <c r="D7" s="29">
        <v>52.293030002787503</v>
      </c>
      <c r="E7" s="25">
        <v>2.5715408119864173E-2</v>
      </c>
      <c r="F7" s="29">
        <v>53.642115128261885</v>
      </c>
      <c r="G7" s="25">
        <v>2.3407308923223694E-2</v>
      </c>
      <c r="I7" s="59"/>
      <c r="J7" s="59"/>
      <c r="K7" s="59"/>
    </row>
    <row r="8" spans="1:11" ht="20" customHeight="1" thickBot="1">
      <c r="A8" s="7" t="s">
        <v>613</v>
      </c>
      <c r="B8" s="30">
        <v>49.996189179697005</v>
      </c>
      <c r="C8" s="26">
        <v>2.172744978818645E-2</v>
      </c>
      <c r="D8" s="30">
        <v>88.358406074272523</v>
      </c>
      <c r="E8" s="26">
        <v>1.8173801300925326E-2</v>
      </c>
      <c r="F8" s="30">
        <v>69.00108664989655</v>
      </c>
      <c r="G8" s="26">
        <v>1.9455101293127035E-2</v>
      </c>
      <c r="I8" s="59"/>
      <c r="J8" s="59"/>
      <c r="K8" s="59"/>
    </row>
    <row r="9" spans="1:11" ht="20" customHeight="1" thickBot="1">
      <c r="A9" s="7" t="s">
        <v>614</v>
      </c>
      <c r="B9" s="30">
        <v>54.299350986554231</v>
      </c>
      <c r="C9" s="26">
        <v>2.673489430554795E-2</v>
      </c>
      <c r="D9" s="30">
        <v>124.73575587217613</v>
      </c>
      <c r="E9" s="26">
        <v>1.9965511154770008E-2</v>
      </c>
      <c r="F9" s="30">
        <v>89.491826194617829</v>
      </c>
      <c r="G9" s="26">
        <v>2.2009139852497327E-2</v>
      </c>
      <c r="I9" s="59"/>
      <c r="J9" s="59"/>
      <c r="K9" s="59"/>
    </row>
    <row r="10" spans="1:11" ht="20" customHeight="1" thickBot="1">
      <c r="A10" s="7" t="s">
        <v>615</v>
      </c>
      <c r="B10" s="30">
        <v>64.40077127022721</v>
      </c>
      <c r="C10" s="26">
        <v>3.4141402475663524E-2</v>
      </c>
      <c r="D10" s="30">
        <v>138.18598131589775</v>
      </c>
      <c r="E10" s="26">
        <v>2.3451143092419552E-2</v>
      </c>
      <c r="F10" s="30">
        <v>101.40373801310952</v>
      </c>
      <c r="G10" s="26">
        <v>2.682545300899648E-2</v>
      </c>
      <c r="I10" s="59"/>
      <c r="J10" s="59"/>
      <c r="K10" s="59"/>
    </row>
    <row r="11" spans="1:11" ht="20" customHeight="1" thickBot="1">
      <c r="A11" s="7" t="s">
        <v>616</v>
      </c>
      <c r="B11" s="30">
        <v>77.060752670790279</v>
      </c>
      <c r="C11" s="26">
        <v>3.5376616821902365E-2</v>
      </c>
      <c r="D11" s="30">
        <v>129.15434393719181</v>
      </c>
      <c r="E11" s="26">
        <v>3.2477895581251186E-2</v>
      </c>
      <c r="F11" s="30">
        <v>102.85370923694109</v>
      </c>
      <c r="G11" s="26">
        <v>3.3559220613035172E-2</v>
      </c>
      <c r="I11" s="59"/>
      <c r="J11" s="59"/>
      <c r="K11" s="59"/>
    </row>
    <row r="12" spans="1:11" ht="20" customHeight="1" thickBot="1">
      <c r="A12" s="7" t="s">
        <v>617</v>
      </c>
      <c r="B12" s="30">
        <v>92.778455368008792</v>
      </c>
      <c r="C12" s="26">
        <v>4.0574286876898159E-2</v>
      </c>
      <c r="D12" s="30">
        <v>130.42050074498232</v>
      </c>
      <c r="E12" s="26">
        <v>2.9139645911631488E-2</v>
      </c>
      <c r="F12" s="30">
        <v>111.37097297868264</v>
      </c>
      <c r="G12" s="26">
        <v>3.3862092266493685E-2</v>
      </c>
      <c r="I12" s="59"/>
      <c r="J12" s="59"/>
      <c r="K12" s="59"/>
    </row>
    <row r="13" spans="1:11" ht="20" customHeight="1" thickBot="1">
      <c r="A13" s="7" t="s">
        <v>618</v>
      </c>
      <c r="B13" s="30">
        <v>116.25734929652036</v>
      </c>
      <c r="C13" s="26">
        <v>4.3140515778105619E-2</v>
      </c>
      <c r="D13" s="30">
        <v>155.4158119886304</v>
      </c>
      <c r="E13" s="26">
        <v>3.8170222383632588E-2</v>
      </c>
      <c r="F13" s="30">
        <v>135.65801773951361</v>
      </c>
      <c r="G13" s="26">
        <v>4.0291355291425537E-2</v>
      </c>
      <c r="I13" s="59"/>
      <c r="J13" s="59"/>
      <c r="K13" s="59"/>
    </row>
    <row r="14" spans="1:11" ht="20" customHeight="1" thickBot="1">
      <c r="A14" s="7" t="s">
        <v>619</v>
      </c>
      <c r="B14" s="30">
        <v>149.05192015955035</v>
      </c>
      <c r="C14" s="26">
        <v>3.7108531457126191E-2</v>
      </c>
      <c r="D14" s="30">
        <v>186.84842504918029</v>
      </c>
      <c r="E14" s="26">
        <v>1.4788886633103834E-2</v>
      </c>
      <c r="F14" s="30">
        <v>167.87953746245924</v>
      </c>
      <c r="G14" s="26">
        <v>2.4573264500503865E-2</v>
      </c>
      <c r="I14" s="59"/>
      <c r="J14" s="59"/>
      <c r="K14" s="59"/>
    </row>
    <row r="15" spans="1:11" ht="20" customHeight="1" thickBot="1">
      <c r="A15" s="7" t="s">
        <v>620</v>
      </c>
      <c r="B15" s="30">
        <v>196.0518369559874</v>
      </c>
      <c r="C15" s="26">
        <v>4.9232851477540571E-2</v>
      </c>
      <c r="D15" s="30">
        <v>222.73183804793769</v>
      </c>
      <c r="E15" s="26">
        <v>3.369763915852083E-2</v>
      </c>
      <c r="F15" s="30">
        <v>209.38876614705376</v>
      </c>
      <c r="G15" s="26">
        <v>4.091271330091753E-2</v>
      </c>
      <c r="I15" s="59"/>
      <c r="J15" s="59"/>
      <c r="K15" s="59"/>
    </row>
    <row r="16" spans="1:11" ht="20" customHeight="1" thickBot="1">
      <c r="A16" s="7" t="s">
        <v>621</v>
      </c>
      <c r="B16" s="30">
        <v>246.21310248892169</v>
      </c>
      <c r="C16" s="26">
        <v>2.1925018157599726E-2</v>
      </c>
      <c r="D16" s="30">
        <v>256.50276538731754</v>
      </c>
      <c r="E16" s="26">
        <v>2.6047020764012399E-2</v>
      </c>
      <c r="F16" s="30">
        <v>251.52961045849969</v>
      </c>
      <c r="G16" s="26">
        <v>2.4024057681100892E-2</v>
      </c>
      <c r="I16" s="59"/>
      <c r="J16" s="59"/>
      <c r="K16" s="59"/>
    </row>
    <row r="17" spans="1:11" ht="20" customHeight="1" thickBot="1">
      <c r="A17" s="7" t="s">
        <v>622</v>
      </c>
      <c r="B17" s="30">
        <v>319.02130102766552</v>
      </c>
      <c r="C17" s="26">
        <v>3.4792526436978541E-2</v>
      </c>
      <c r="D17" s="30">
        <v>308.93683580473066</v>
      </c>
      <c r="E17" s="26">
        <v>4.1834334181334594E-2</v>
      </c>
      <c r="F17" s="30">
        <v>313.60783053165704</v>
      </c>
      <c r="G17" s="26">
        <v>3.824495203604826E-2</v>
      </c>
      <c r="I17" s="59"/>
      <c r="J17" s="59"/>
      <c r="K17" s="59"/>
    </row>
    <row r="18" spans="1:11" ht="20" customHeight="1" thickBot="1">
      <c r="A18" s="7" t="s">
        <v>623</v>
      </c>
      <c r="B18" s="30">
        <v>400.93179929072113</v>
      </c>
      <c r="C18" s="26">
        <v>4.7976149897518229E-2</v>
      </c>
      <c r="D18" s="30">
        <v>377.63437174596828</v>
      </c>
      <c r="E18" s="26">
        <v>3.8835205952490751E-2</v>
      </c>
      <c r="F18" s="30">
        <v>387.72933673812571</v>
      </c>
      <c r="G18" s="26">
        <v>4.3522437540644304E-2</v>
      </c>
      <c r="I18" s="59"/>
      <c r="J18" s="59"/>
      <c r="K18" s="59"/>
    </row>
    <row r="19" spans="1:11" ht="20" customHeight="1" thickBot="1">
      <c r="A19" s="7" t="s">
        <v>624</v>
      </c>
      <c r="B19" s="30">
        <v>474.78808487891735</v>
      </c>
      <c r="C19" s="26">
        <v>1.5366645047974248E-2</v>
      </c>
      <c r="D19" s="30">
        <v>479.43548375208678</v>
      </c>
      <c r="E19" s="26">
        <v>3.3774249228639773E-2</v>
      </c>
      <c r="F19" s="30">
        <v>477.58847373216901</v>
      </c>
      <c r="G19" s="26">
        <v>2.4532592657591341E-2</v>
      </c>
      <c r="I19" s="59"/>
      <c r="J19" s="59"/>
      <c r="K19" s="59"/>
    </row>
    <row r="20" spans="1:11" ht="20" customHeight="1" thickBot="1">
      <c r="A20" s="7" t="s">
        <v>625</v>
      </c>
      <c r="B20" s="30">
        <v>562.34648867296949</v>
      </c>
      <c r="C20" s="26">
        <v>3.1102991742669145E-2</v>
      </c>
      <c r="D20" s="30">
        <v>622.39820308018932</v>
      </c>
      <c r="E20" s="26">
        <v>3.2652876556871074E-2</v>
      </c>
      <c r="F20" s="30">
        <v>600.55606261735034</v>
      </c>
      <c r="G20" s="26">
        <v>3.1916633511833201E-2</v>
      </c>
      <c r="I20" s="59"/>
      <c r="J20" s="59"/>
      <c r="K20" s="59"/>
    </row>
    <row r="21" spans="1:11" ht="20" customHeight="1" thickBot="1">
      <c r="A21" s="7" t="s">
        <v>626</v>
      </c>
      <c r="B21" s="30">
        <v>692.89988378087355</v>
      </c>
      <c r="C21" s="26">
        <v>3.4311061352849677E-2</v>
      </c>
      <c r="D21" s="30">
        <v>851.52747398849453</v>
      </c>
      <c r="E21" s="26">
        <v>2.9688559545183048E-2</v>
      </c>
      <c r="F21" s="30">
        <v>802.34813553872175</v>
      </c>
      <c r="G21" s="26">
        <v>3.175730222379787E-2</v>
      </c>
      <c r="I21" s="59"/>
      <c r="J21" s="59"/>
      <c r="K21" s="59"/>
    </row>
    <row r="22" spans="1:11" ht="20" customHeight="1" thickBot="1">
      <c r="A22" s="7" t="s">
        <v>608</v>
      </c>
      <c r="B22" s="30">
        <v>915.78244185199298</v>
      </c>
      <c r="C22" s="26">
        <v>4.7487674319878562E-2</v>
      </c>
      <c r="D22" s="30">
        <v>1203.6209363673079</v>
      </c>
      <c r="E22" s="26">
        <v>4.0783471425304911E-2</v>
      </c>
      <c r="F22" s="30">
        <v>1134.5483093242156</v>
      </c>
      <c r="G22" s="26">
        <v>4.3669761786690915E-2</v>
      </c>
      <c r="I22" s="59"/>
      <c r="J22" s="59"/>
      <c r="K22" s="59"/>
    </row>
    <row r="23" spans="1:11" ht="30" customHeight="1" thickBot="1">
      <c r="A23" s="13" t="s">
        <v>607</v>
      </c>
      <c r="B23" s="34">
        <v>136.83161180168182</v>
      </c>
      <c r="C23" s="35">
        <v>4.1231369939406778E-2</v>
      </c>
      <c r="D23" s="34">
        <v>193.22699719953121</v>
      </c>
      <c r="E23" s="35">
        <v>3.4831403734301242E-2</v>
      </c>
      <c r="F23" s="34">
        <v>165.61421082537061</v>
      </c>
      <c r="G23" s="35">
        <v>3.7475050805521923E-2</v>
      </c>
      <c r="I23" s="59"/>
      <c r="J23" s="59"/>
      <c r="K23" s="59"/>
    </row>
    <row r="24" spans="1:11" ht="20" customHeight="1">
      <c r="A24" s="9" t="s">
        <v>1258</v>
      </c>
      <c r="B24" s="31"/>
      <c r="C24" s="27"/>
      <c r="D24" s="31"/>
      <c r="E24" s="27"/>
      <c r="F24" s="31"/>
      <c r="G24" s="27"/>
    </row>
    <row r="25" spans="1:11" ht="11.25" customHeight="1">
      <c r="A25" s="38"/>
      <c r="B25" s="32"/>
      <c r="C25" s="28"/>
      <c r="D25" s="32"/>
      <c r="E25" s="28"/>
      <c r="F25" s="32"/>
      <c r="G25" s="28"/>
    </row>
    <row r="26" spans="1:11" ht="20" customHeight="1">
      <c r="A26" s="38" t="s">
        <v>630</v>
      </c>
      <c r="B26" s="32"/>
      <c r="C26" s="28"/>
      <c r="D26" s="32"/>
      <c r="E26" s="28"/>
      <c r="F26" s="32"/>
      <c r="G26" s="28"/>
    </row>
    <row r="27" spans="1:11" ht="23.25" customHeight="1">
      <c r="A27" s="38"/>
      <c r="B27" s="32"/>
      <c r="C27" s="28"/>
      <c r="D27" s="32"/>
      <c r="E27" s="28"/>
      <c r="F27" s="32"/>
      <c r="G27" s="28"/>
    </row>
    <row r="28" spans="1:11" ht="21" customHeight="1">
      <c r="A28" s="425" t="s">
        <v>382</v>
      </c>
      <c r="B28" s="426"/>
      <c r="C28" s="427"/>
      <c r="D28" s="426"/>
      <c r="E28" s="427"/>
      <c r="F28" s="426"/>
      <c r="G28" s="427"/>
    </row>
    <row r="29" spans="1:11" ht="24" customHeight="1" thickBot="1">
      <c r="A29" s="6" t="s">
        <v>1327</v>
      </c>
      <c r="B29" s="29">
        <v>66.423333333333332</v>
      </c>
      <c r="C29" s="25">
        <v>1.3567839195980415E-3</v>
      </c>
      <c r="D29" s="29">
        <v>57.538333333333334</v>
      </c>
      <c r="E29" s="25">
        <v>2.7470238095238107E-2</v>
      </c>
      <c r="F29" s="29">
        <v>62.113333333333337</v>
      </c>
      <c r="G29" s="25">
        <v>1.2717391304347844E-2</v>
      </c>
    </row>
    <row r="30" spans="1:11" ht="24" customHeight="1" thickBot="1">
      <c r="A30" s="7" t="s">
        <v>1328</v>
      </c>
      <c r="B30" s="30">
        <v>50.055833333333332</v>
      </c>
      <c r="C30" s="26">
        <v>2.1547619047619027E-2</v>
      </c>
      <c r="D30" s="30">
        <v>39.551666666666669</v>
      </c>
      <c r="E30" s="26">
        <v>1.3080168776372003E-3</v>
      </c>
      <c r="F30" s="30">
        <v>44.924999999999997</v>
      </c>
      <c r="G30" s="26">
        <v>1.3345864661654017E-2</v>
      </c>
    </row>
    <row r="31" spans="1:11" ht="24" customHeight="1" thickBot="1">
      <c r="A31" s="7" t="s">
        <v>1329</v>
      </c>
      <c r="B31" s="30">
        <v>47.501666666666665</v>
      </c>
      <c r="C31" s="26">
        <v>3.2644927536231848E-2</v>
      </c>
      <c r="D31" s="30">
        <v>45.869166666666665</v>
      </c>
      <c r="E31" s="26">
        <v>2.8841121495327009E-2</v>
      </c>
      <c r="F31" s="30">
        <v>46.70333333333334</v>
      </c>
      <c r="G31" s="26">
        <v>3.0220588235294218E-2</v>
      </c>
    </row>
    <row r="32" spans="1:11" ht="24" customHeight="1" thickBot="1">
      <c r="A32" s="7" t="s">
        <v>1330</v>
      </c>
      <c r="B32" s="30">
        <v>54.406666666666666</v>
      </c>
      <c r="C32" s="26">
        <v>5.1336553945249587E-2</v>
      </c>
      <c r="D32" s="30">
        <v>73.865833333333327</v>
      </c>
      <c r="E32" s="26">
        <v>1.7669345579793327E-2</v>
      </c>
      <c r="F32" s="30">
        <v>63.858333333333327</v>
      </c>
      <c r="G32" s="26">
        <v>3.274932614555242E-2</v>
      </c>
    </row>
    <row r="33" spans="1:9" ht="24" customHeight="1" thickBot="1">
      <c r="A33" s="7" t="s">
        <v>1331</v>
      </c>
      <c r="B33" s="30">
        <v>47.02</v>
      </c>
      <c r="C33" s="26">
        <v>-1.1838879159369511E-2</v>
      </c>
      <c r="D33" s="30">
        <v>72.456666666666663</v>
      </c>
      <c r="E33" s="26">
        <v>4.0184757505772562E-3</v>
      </c>
      <c r="F33" s="30">
        <v>59.561666666666667</v>
      </c>
      <c r="G33" s="26">
        <v>-3.1520223152022189E-3</v>
      </c>
      <c r="I33" s="63"/>
    </row>
    <row r="34" spans="1:9" ht="24" customHeight="1" thickBot="1">
      <c r="A34" s="7" t="s">
        <v>383</v>
      </c>
      <c r="B34" s="30">
        <v>51.599166666666669</v>
      </c>
      <c r="C34" s="26">
        <v>2.1765676567656808E-2</v>
      </c>
      <c r="D34" s="30">
        <v>94.724166666666676</v>
      </c>
      <c r="E34" s="26">
        <v>1.7627573858549839E-2</v>
      </c>
      <c r="F34" s="30">
        <v>73.022499999999994</v>
      </c>
      <c r="G34" s="26">
        <v>1.8918604651162636E-2</v>
      </c>
    </row>
    <row r="35" spans="1:9" ht="24" customHeight="1" thickBot="1">
      <c r="A35" s="7" t="s">
        <v>1346</v>
      </c>
      <c r="B35" s="30">
        <v>928.38083333333327</v>
      </c>
      <c r="C35" s="26">
        <v>1.462386156648445E-2</v>
      </c>
      <c r="D35" s="30">
        <v>1215.6324999999999</v>
      </c>
      <c r="E35" s="26">
        <v>4.0113368983957162E-2</v>
      </c>
      <c r="F35" s="30">
        <v>1144.345</v>
      </c>
      <c r="G35" s="26">
        <v>3.365750846819731E-2</v>
      </c>
    </row>
    <row r="36" spans="1:9" ht="24" customHeight="1" thickBot="1">
      <c r="A36" s="7" t="s">
        <v>384</v>
      </c>
      <c r="B36" s="30">
        <v>1166.3125</v>
      </c>
      <c r="C36" s="26">
        <v>5.2251669898728719E-3</v>
      </c>
      <c r="D36" s="30">
        <v>1530.0433333333333</v>
      </c>
      <c r="E36" s="26">
        <v>4.481420360780735E-2</v>
      </c>
      <c r="F36" s="30">
        <v>1460.2066666666667</v>
      </c>
      <c r="G36" s="26">
        <v>3.6587789872219563E-2</v>
      </c>
    </row>
    <row r="37" spans="1:9" ht="24" customHeight="1" thickBot="1">
      <c r="A37" s="428" t="s">
        <v>385</v>
      </c>
      <c r="B37" s="429">
        <v>1457.3366666666668</v>
      </c>
      <c r="C37" s="430">
        <v>-2.616995211047991E-2</v>
      </c>
      <c r="D37" s="429">
        <v>2049.3433333333332</v>
      </c>
      <c r="E37" s="430">
        <v>5.3060420502719134E-2</v>
      </c>
      <c r="F37" s="429">
        <v>1956.5775000000001</v>
      </c>
      <c r="G37" s="430">
        <v>3.6231353164445243E-2</v>
      </c>
    </row>
    <row r="38" spans="1:9" ht="18" customHeight="1">
      <c r="A38" s="431" t="s">
        <v>386</v>
      </c>
    </row>
    <row r="39" spans="1:9" ht="12" customHeight="1">
      <c r="A39" s="124"/>
    </row>
    <row r="40" spans="1:9">
      <c r="A40" s="38" t="s">
        <v>387</v>
      </c>
    </row>
    <row r="42" spans="1:9">
      <c r="A42" s="61" t="s">
        <v>1662</v>
      </c>
      <c r="B42" s="32"/>
      <c r="C42" s="28"/>
      <c r="D42" s="32"/>
      <c r="E42" s="28"/>
      <c r="F42" s="32"/>
      <c r="G42" s="28"/>
    </row>
  </sheetData>
  <phoneticPr fontId="0" type="noConversion"/>
  <pageMargins left="0.78740157480314965" right="0.44" top="0.83" bottom="0.86614173228346458" header="0.51" footer="0.51181102362204722"/>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7575-71D4-8B4B-9236-6A87842BE14F}">
  <dimension ref="A1:I42"/>
  <sheetViews>
    <sheetView zoomScale="75" workbookViewId="0">
      <selection activeCell="A37" sqref="A37"/>
    </sheetView>
  </sheetViews>
  <sheetFormatPr baseColWidth="10" defaultColWidth="11.3984375" defaultRowHeight="13"/>
  <cols>
    <col min="1" max="1" width="14.796875" style="3" customWidth="1"/>
    <col min="2" max="4" width="14.796875" style="21" customWidth="1"/>
    <col min="5" max="5" width="15.59765625" style="21" customWidth="1"/>
    <col min="6" max="6" width="16.19921875" style="21" customWidth="1"/>
    <col min="7" max="7" width="14.796875" style="22" customWidth="1"/>
    <col min="8" max="8" width="11.3984375" style="3"/>
    <col min="9" max="9" width="15.19921875" style="3" hidden="1" customWidth="1"/>
    <col min="10" max="16384" width="11.3984375" style="3"/>
  </cols>
  <sheetData>
    <row r="1" spans="1:9" s="1" customFormat="1" ht="14" customHeight="1">
      <c r="B1" s="33"/>
      <c r="C1" s="33"/>
      <c r="D1" s="33"/>
      <c r="E1" s="33"/>
      <c r="F1" s="33"/>
      <c r="G1" s="24"/>
    </row>
    <row r="2" spans="1:9" s="1" customFormat="1" ht="28" customHeight="1">
      <c r="A2" s="64" t="s">
        <v>461</v>
      </c>
      <c r="B2" s="33"/>
      <c r="C2" s="33"/>
      <c r="D2" s="33"/>
      <c r="E2" s="33"/>
      <c r="F2" s="33"/>
      <c r="G2" s="24"/>
    </row>
    <row r="3" spans="1:9" ht="27" customHeight="1">
      <c r="A3" s="2" t="s">
        <v>1663</v>
      </c>
      <c r="B3" s="14" t="s">
        <v>1664</v>
      </c>
      <c r="C3" s="65" t="s">
        <v>1665</v>
      </c>
      <c r="D3" s="14" t="s">
        <v>1666</v>
      </c>
      <c r="E3" s="65" t="s">
        <v>607</v>
      </c>
      <c r="F3" s="14" t="s">
        <v>607</v>
      </c>
      <c r="G3" s="17" t="s">
        <v>609</v>
      </c>
    </row>
    <row r="4" spans="1:9" ht="15" customHeight="1">
      <c r="A4" s="4"/>
      <c r="B4" s="15"/>
      <c r="C4" s="66"/>
      <c r="D4" s="15"/>
      <c r="E4" s="66" t="s">
        <v>1667</v>
      </c>
      <c r="F4" s="15" t="s">
        <v>1668</v>
      </c>
      <c r="G4" s="18" t="s">
        <v>610</v>
      </c>
    </row>
    <row r="5" spans="1:9" ht="15" customHeight="1">
      <c r="A5" s="4"/>
      <c r="B5" s="15"/>
      <c r="C5" s="66"/>
      <c r="D5" s="15"/>
      <c r="E5" s="66" t="s">
        <v>1669</v>
      </c>
      <c r="F5" s="15" t="s">
        <v>1670</v>
      </c>
      <c r="G5" s="18" t="s">
        <v>611</v>
      </c>
    </row>
    <row r="6" spans="1:9" ht="24" customHeight="1">
      <c r="A6" s="5"/>
      <c r="B6" s="16"/>
      <c r="C6" s="67"/>
      <c r="D6" s="16"/>
      <c r="E6" s="67"/>
      <c r="F6" s="16"/>
      <c r="G6" s="19"/>
    </row>
    <row r="7" spans="1:9" ht="30" customHeight="1" thickBot="1">
      <c r="A7" s="6" t="s">
        <v>1671</v>
      </c>
      <c r="B7" s="29">
        <v>73.081960434319626</v>
      </c>
      <c r="C7" s="68">
        <v>345.52336769847511</v>
      </c>
      <c r="D7" s="29">
        <v>450.50050457348163</v>
      </c>
      <c r="E7" s="68">
        <v>399.71851316093148</v>
      </c>
      <c r="F7" s="29">
        <v>336.55898174235369</v>
      </c>
      <c r="G7" s="25">
        <v>3.7056861564292068E-2</v>
      </c>
      <c r="I7" s="43">
        <v>2156035045</v>
      </c>
    </row>
    <row r="8" spans="1:9" ht="20" customHeight="1" thickBot="1">
      <c r="A8" s="7" t="s">
        <v>1672</v>
      </c>
      <c r="B8" s="30">
        <v>66.397719742908777</v>
      </c>
      <c r="C8" s="122">
        <v>356.70138722149443</v>
      </c>
      <c r="D8" s="30">
        <v>459.65518192865761</v>
      </c>
      <c r="E8" s="122">
        <v>410.32124511906238</v>
      </c>
      <c r="F8" s="30">
        <v>340.90846186621809</v>
      </c>
      <c r="G8" s="26">
        <v>3.8400654002172477E-2</v>
      </c>
      <c r="I8" s="43">
        <v>1563935884</v>
      </c>
    </row>
    <row r="9" spans="1:9" ht="20" customHeight="1" thickBot="1">
      <c r="A9" s="7" t="s">
        <v>1673</v>
      </c>
      <c r="B9" s="30">
        <v>48.249191120931727</v>
      </c>
      <c r="C9" s="122">
        <v>285.56146489153923</v>
      </c>
      <c r="D9" s="30">
        <v>363.3551252354481</v>
      </c>
      <c r="E9" s="122">
        <v>325.48396417956792</v>
      </c>
      <c r="F9" s="30">
        <v>262.15899276382015</v>
      </c>
      <c r="G9" s="26">
        <v>2.7924912700742141E-2</v>
      </c>
      <c r="I9" s="43">
        <v>464604355</v>
      </c>
    </row>
    <row r="10" spans="1:9" ht="20" customHeight="1" thickBot="1">
      <c r="A10" s="7" t="s">
        <v>1674</v>
      </c>
      <c r="B10" s="30">
        <v>53.468490189557798</v>
      </c>
      <c r="C10" s="122">
        <v>297.4400117068173</v>
      </c>
      <c r="D10" s="30">
        <v>376.61698126853298</v>
      </c>
      <c r="E10" s="122">
        <v>337.25851769006249</v>
      </c>
      <c r="F10" s="30">
        <v>273.17992749117133</v>
      </c>
      <c r="G10" s="26">
        <v>-2.6790687645812349E-3</v>
      </c>
      <c r="I10" s="43">
        <v>45901795</v>
      </c>
    </row>
    <row r="11" spans="1:9" ht="20" customHeight="1" thickBot="1">
      <c r="A11" s="7" t="s">
        <v>1675</v>
      </c>
      <c r="B11" s="30">
        <v>59.645442736522966</v>
      </c>
      <c r="C11" s="122">
        <v>317.42200661779759</v>
      </c>
      <c r="D11" s="30">
        <v>397.46702888630512</v>
      </c>
      <c r="E11" s="122">
        <v>357.28885909350333</v>
      </c>
      <c r="F11" s="30">
        <v>288.29667870846822</v>
      </c>
      <c r="G11" s="26">
        <v>2.6615713412467448E-2</v>
      </c>
      <c r="I11" s="43">
        <v>171549320</v>
      </c>
    </row>
    <row r="12" spans="1:9" ht="20" customHeight="1" thickBot="1">
      <c r="A12" s="7" t="s">
        <v>1676</v>
      </c>
      <c r="B12" s="30">
        <v>52.189742626338528</v>
      </c>
      <c r="C12" s="122">
        <v>288.27856877068604</v>
      </c>
      <c r="D12" s="30">
        <v>379.52709027498668</v>
      </c>
      <c r="E12" s="122">
        <v>334.06295109694383</v>
      </c>
      <c r="F12" s="30">
        <v>267.09011330187315</v>
      </c>
      <c r="G12" s="26">
        <v>4.2243887290371658E-2</v>
      </c>
      <c r="I12" s="43">
        <v>41764939</v>
      </c>
    </row>
    <row r="13" spans="1:9" ht="20" customHeight="1" thickBot="1">
      <c r="A13" s="7" t="s">
        <v>1677</v>
      </c>
      <c r="B13" s="30">
        <v>54.940965517241409</v>
      </c>
      <c r="C13" s="122">
        <v>281.68304997765159</v>
      </c>
      <c r="D13" s="30">
        <v>365.56035487846839</v>
      </c>
      <c r="E13" s="122">
        <v>323.49368321714542</v>
      </c>
      <c r="F13" s="30">
        <v>264.60041612742219</v>
      </c>
      <c r="G13" s="26">
        <v>5.2391483782780093E-2</v>
      </c>
      <c r="I13" s="43">
        <v>44323506</v>
      </c>
    </row>
    <row r="14" spans="1:9" ht="20" customHeight="1" thickBot="1">
      <c r="A14" s="7" t="s">
        <v>1678</v>
      </c>
      <c r="B14" s="30">
        <v>62.859895793425835</v>
      </c>
      <c r="C14" s="122">
        <v>320.98315223820066</v>
      </c>
      <c r="D14" s="30">
        <v>403.16909163682806</v>
      </c>
      <c r="E14" s="122">
        <v>362.90963072516661</v>
      </c>
      <c r="F14" s="30">
        <v>295.80126858046242</v>
      </c>
      <c r="G14" s="26">
        <v>2.6009327995989314E-2</v>
      </c>
      <c r="I14" s="43">
        <v>55927154</v>
      </c>
    </row>
    <row r="15" spans="1:9" ht="20" customHeight="1" thickBot="1">
      <c r="A15" s="7" t="s">
        <v>1679</v>
      </c>
      <c r="B15" s="30">
        <v>55.101389020126589</v>
      </c>
      <c r="C15" s="122">
        <v>307.70591996980801</v>
      </c>
      <c r="D15" s="30">
        <v>406.26304938230703</v>
      </c>
      <c r="E15" s="122">
        <v>357.29980531919193</v>
      </c>
      <c r="F15" s="30">
        <v>294.07542348798415</v>
      </c>
      <c r="G15" s="26">
        <v>3.8093975338374421E-2</v>
      </c>
      <c r="I15" s="43">
        <v>128772453</v>
      </c>
    </row>
    <row r="16" spans="1:9" ht="20" customHeight="1" thickBot="1">
      <c r="A16" s="7" t="s">
        <v>1680</v>
      </c>
      <c r="B16" s="30">
        <v>73.373994326439345</v>
      </c>
      <c r="C16" s="122">
        <v>368.99275203886066</v>
      </c>
      <c r="D16" s="30">
        <v>478.30684304490876</v>
      </c>
      <c r="E16" s="122">
        <v>424.61811357410534</v>
      </c>
      <c r="F16" s="30">
        <v>340.47511725925006</v>
      </c>
      <c r="G16" s="26">
        <v>3.4621659780477487E-2</v>
      </c>
      <c r="I16" s="43">
        <v>391250033</v>
      </c>
    </row>
    <row r="17" spans="1:9" ht="20" customHeight="1" thickBot="1">
      <c r="A17" s="7" t="s">
        <v>1681</v>
      </c>
      <c r="B17" s="30">
        <v>62.813982864415067</v>
      </c>
      <c r="C17" s="122">
        <v>348.88747865320124</v>
      </c>
      <c r="D17" s="30">
        <v>441.78054991216288</v>
      </c>
      <c r="E17" s="122">
        <v>396.56872249464823</v>
      </c>
      <c r="F17" s="30">
        <v>325.38086406174011</v>
      </c>
      <c r="G17" s="26">
        <v>4.1215558830045365E-2</v>
      </c>
      <c r="I17" s="43">
        <v>393696828</v>
      </c>
    </row>
    <row r="18" spans="1:9" ht="20" customHeight="1" thickBot="1">
      <c r="A18" s="7" t="s">
        <v>1682</v>
      </c>
      <c r="B18" s="30">
        <v>89.976444157935362</v>
      </c>
      <c r="C18" s="122">
        <v>420.93430317056527</v>
      </c>
      <c r="D18" s="30">
        <v>543.21690061537288</v>
      </c>
      <c r="E18" s="122">
        <v>486.24162624311452</v>
      </c>
      <c r="F18" s="30">
        <v>421.82988456536168</v>
      </c>
      <c r="G18" s="26">
        <v>3.3505919387613568E-2</v>
      </c>
      <c r="I18" s="43">
        <v>473520714</v>
      </c>
    </row>
    <row r="19" spans="1:9" ht="20" customHeight="1" thickBot="1">
      <c r="A19" s="7" t="s">
        <v>1683</v>
      </c>
      <c r="B19" s="30">
        <v>80.755049673069976</v>
      </c>
      <c r="C19" s="122">
        <v>387.01437358968803</v>
      </c>
      <c r="D19" s="30">
        <v>491.25256770520093</v>
      </c>
      <c r="E19" s="122">
        <v>440.6672772188507</v>
      </c>
      <c r="F19" s="30">
        <v>368.86484730549728</v>
      </c>
      <c r="G19" s="26">
        <v>4.3340199354102243E-2</v>
      </c>
      <c r="I19" s="43">
        <v>469771093</v>
      </c>
    </row>
    <row r="20" spans="1:9" ht="20" customHeight="1" thickBot="1">
      <c r="A20" s="7" t="s">
        <v>1684</v>
      </c>
      <c r="B20" s="30">
        <v>55.227053969514401</v>
      </c>
      <c r="C20" s="122">
        <v>342.10924335639197</v>
      </c>
      <c r="D20" s="30">
        <v>451.46370574796572</v>
      </c>
      <c r="E20" s="122">
        <v>398.88838677752767</v>
      </c>
      <c r="F20" s="30">
        <v>328.01787124999157</v>
      </c>
      <c r="G20" s="26">
        <v>2.4402790919774073E-2</v>
      </c>
      <c r="I20" s="43">
        <v>127694959</v>
      </c>
    </row>
    <row r="21" spans="1:9" ht="20" customHeight="1" thickBot="1">
      <c r="A21" s="7" t="s">
        <v>1685</v>
      </c>
      <c r="B21" s="30">
        <v>50.638958630055384</v>
      </c>
      <c r="C21" s="122">
        <v>291.75197443581629</v>
      </c>
      <c r="D21" s="30">
        <v>373.02606684636567</v>
      </c>
      <c r="E21" s="122">
        <v>333.35770897520081</v>
      </c>
      <c r="F21" s="30">
        <v>267.28582973387205</v>
      </c>
      <c r="G21" s="26">
        <v>4.5859900144193423E-2</v>
      </c>
      <c r="I21" s="43">
        <v>69489100</v>
      </c>
    </row>
    <row r="22" spans="1:9" ht="20" customHeight="1" thickBot="1">
      <c r="A22" s="7" t="s">
        <v>1686</v>
      </c>
      <c r="B22" s="30">
        <v>39.60395198130243</v>
      </c>
      <c r="C22" s="122">
        <v>279.60066585684086</v>
      </c>
      <c r="D22" s="30">
        <v>346.38897443324743</v>
      </c>
      <c r="E22" s="122">
        <v>312.72014152441159</v>
      </c>
      <c r="F22" s="30">
        <v>241.04463613603315</v>
      </c>
      <c r="G22" s="26">
        <v>4.863340863264061E-2</v>
      </c>
      <c r="I22" s="43">
        <v>16712649</v>
      </c>
    </row>
    <row r="23" spans="1:9" ht="20" customHeight="1" thickBot="1">
      <c r="A23" s="7" t="s">
        <v>1687</v>
      </c>
      <c r="B23" s="30">
        <v>57.701373336281989</v>
      </c>
      <c r="C23" s="122">
        <v>320.21210543553411</v>
      </c>
      <c r="D23" s="30">
        <v>397.79844913942782</v>
      </c>
      <c r="E23" s="122">
        <v>359.94625817183407</v>
      </c>
      <c r="F23" s="30">
        <v>289.48642220851025</v>
      </c>
      <c r="G23" s="26">
        <v>5.1343864889439497E-2</v>
      </c>
      <c r="I23" s="43">
        <v>615853738</v>
      </c>
    </row>
    <row r="24" spans="1:9" ht="20" customHeight="1" thickBot="1">
      <c r="A24" s="7" t="s">
        <v>1688</v>
      </c>
      <c r="B24" s="30">
        <v>56.50227038553362</v>
      </c>
      <c r="C24" s="122">
        <v>300.00267490408942</v>
      </c>
      <c r="D24" s="30">
        <v>387.40762506206636</v>
      </c>
      <c r="E24" s="122">
        <v>344.06708166475289</v>
      </c>
      <c r="F24" s="30">
        <v>285.24718690469001</v>
      </c>
      <c r="G24" s="26">
        <v>5.8240696077263128E-2</v>
      </c>
      <c r="I24" s="43">
        <v>264690646</v>
      </c>
    </row>
    <row r="25" spans="1:9" ht="20" customHeight="1" thickBot="1">
      <c r="A25" s="7" t="s">
        <v>1689</v>
      </c>
      <c r="B25" s="30">
        <v>59.38050024809354</v>
      </c>
      <c r="C25" s="122">
        <v>325.74916023793048</v>
      </c>
      <c r="D25" s="30">
        <v>414.36499085368337</v>
      </c>
      <c r="E25" s="122">
        <v>370.67534134263587</v>
      </c>
      <c r="F25" s="30">
        <v>302.09825649028346</v>
      </c>
      <c r="G25" s="26">
        <v>5.026538411182669E-2</v>
      </c>
      <c r="I25" s="43">
        <v>819222625</v>
      </c>
    </row>
    <row r="26" spans="1:9" ht="20" customHeight="1" thickBot="1">
      <c r="A26" s="7" t="s">
        <v>1690</v>
      </c>
      <c r="B26" s="30">
        <v>57.750588263470235</v>
      </c>
      <c r="C26" s="122">
        <v>317.30472720104592</v>
      </c>
      <c r="D26" s="30">
        <v>406.68295463223569</v>
      </c>
      <c r="E26" s="122">
        <v>362.817731420379</v>
      </c>
      <c r="F26" s="30">
        <v>289.41947607761585</v>
      </c>
      <c r="G26" s="26">
        <v>5.4267642119421963E-2</v>
      </c>
      <c r="I26" s="43">
        <v>344655658</v>
      </c>
    </row>
    <row r="27" spans="1:9" ht="20" customHeight="1" thickBot="1">
      <c r="A27" s="7" t="s">
        <v>1691</v>
      </c>
      <c r="B27" s="30">
        <v>102.00823178955861</v>
      </c>
      <c r="C27" s="122">
        <v>436.6223435884574</v>
      </c>
      <c r="D27" s="30">
        <v>532.26029759431754</v>
      </c>
      <c r="E27" s="122">
        <v>487.29704903980564</v>
      </c>
      <c r="F27" s="30">
        <v>416.81701463402214</v>
      </c>
      <c r="G27" s="26">
        <v>4.1187005093434439E-2</v>
      </c>
      <c r="I27" s="43">
        <v>627641817</v>
      </c>
    </row>
    <row r="28" spans="1:9" ht="20" customHeight="1" thickBot="1">
      <c r="A28" s="7" t="s">
        <v>1692</v>
      </c>
      <c r="B28" s="30">
        <v>127.5027397795082</v>
      </c>
      <c r="C28" s="122">
        <v>432.4758793135029</v>
      </c>
      <c r="D28" s="30">
        <v>568.17405780382501</v>
      </c>
      <c r="E28" s="122">
        <v>503.64305079046312</v>
      </c>
      <c r="F28" s="30">
        <v>421.12103824816154</v>
      </c>
      <c r="G28" s="26">
        <v>1.5925066142160556E-2</v>
      </c>
      <c r="I28" s="43">
        <v>1280335377</v>
      </c>
    </row>
    <row r="29" spans="1:9" ht="20" customHeight="1" thickBot="1">
      <c r="A29" s="7" t="s">
        <v>1693</v>
      </c>
      <c r="B29" s="30">
        <v>70.101509802769698</v>
      </c>
      <c r="C29" s="122">
        <v>331.23798437403718</v>
      </c>
      <c r="D29" s="30">
        <v>430.8901061384604</v>
      </c>
      <c r="E29" s="122">
        <v>382.27109493668058</v>
      </c>
      <c r="F29" s="30">
        <v>314.36211303375956</v>
      </c>
      <c r="G29" s="26">
        <v>3.2088433030322029E-2</v>
      </c>
      <c r="I29" s="43">
        <v>410743307</v>
      </c>
    </row>
    <row r="30" spans="1:9" ht="20" customHeight="1" thickBot="1">
      <c r="A30" s="7" t="s">
        <v>1694</v>
      </c>
      <c r="B30" s="30">
        <v>92.47033959762129</v>
      </c>
      <c r="C30" s="122">
        <v>393.66470112670208</v>
      </c>
      <c r="D30" s="30">
        <v>520.32202527504364</v>
      </c>
      <c r="E30" s="122">
        <v>459.90880725495822</v>
      </c>
      <c r="F30" s="30">
        <v>381.05392707845954</v>
      </c>
      <c r="G30" s="26">
        <v>3.9467612631300213E-2</v>
      </c>
      <c r="I30" s="43">
        <v>318756043</v>
      </c>
    </row>
    <row r="31" spans="1:9" ht="20" customHeight="1" thickBot="1">
      <c r="A31" s="7" t="s">
        <v>1695</v>
      </c>
      <c r="B31" s="30">
        <v>123.52731169135711</v>
      </c>
      <c r="C31" s="122">
        <v>469.08803084159774</v>
      </c>
      <c r="D31" s="30">
        <v>614.25695022713626</v>
      </c>
      <c r="E31" s="122">
        <v>545.84572455575881</v>
      </c>
      <c r="F31" s="30">
        <v>456.01024620008354</v>
      </c>
      <c r="G31" s="26">
        <v>3.3813089499326265E-2</v>
      </c>
      <c r="I31" s="43">
        <v>966736347</v>
      </c>
    </row>
    <row r="32" spans="1:9" ht="20" customHeight="1" thickBot="1">
      <c r="A32" s="70" t="s">
        <v>1696</v>
      </c>
      <c r="B32" s="30">
        <v>84.507278610020251</v>
      </c>
      <c r="C32" s="122">
        <v>388.96581871167518</v>
      </c>
      <c r="D32" s="30">
        <v>490.95609138654459</v>
      </c>
      <c r="E32" s="122">
        <v>441.57425279958431</v>
      </c>
      <c r="F32" s="30">
        <v>359.21236756561188</v>
      </c>
      <c r="G32" s="26">
        <v>5.2095364699372981E-2</v>
      </c>
      <c r="I32" s="43">
        <v>146808815</v>
      </c>
    </row>
    <row r="33" spans="1:9" ht="30" customHeight="1" thickBot="1">
      <c r="A33" s="13" t="s">
        <v>1697</v>
      </c>
      <c r="B33" s="34">
        <v>75.882743871511707</v>
      </c>
      <c r="C33" s="123">
        <v>359.32478721836276</v>
      </c>
      <c r="D33" s="34">
        <v>464.0556260855069</v>
      </c>
      <c r="E33" s="123">
        <v>413.41589303088404</v>
      </c>
      <c r="F33" s="34">
        <v>342.22544808866655</v>
      </c>
      <c r="G33" s="35">
        <v>3.7277867576511685E-2</v>
      </c>
      <c r="I33" s="43">
        <v>12410394200</v>
      </c>
    </row>
    <row r="34" spans="1:9" ht="20" customHeight="1">
      <c r="A34" s="9" t="s">
        <v>636</v>
      </c>
      <c r="B34" s="31"/>
      <c r="C34" s="31"/>
      <c r="D34" s="31"/>
      <c r="E34" s="31"/>
      <c r="F34" s="31"/>
      <c r="G34" s="27"/>
    </row>
    <row r="35" spans="1:9" ht="14.25" customHeight="1">
      <c r="A35" s="38"/>
      <c r="B35" s="32"/>
      <c r="C35" s="32"/>
      <c r="D35" s="32"/>
      <c r="E35" s="32"/>
      <c r="F35" s="32"/>
      <c r="G35" s="28"/>
    </row>
    <row r="36" spans="1:9" ht="15.75" customHeight="1">
      <c r="A36" s="38" t="s">
        <v>1291</v>
      </c>
      <c r="B36" s="32"/>
      <c r="C36" s="32"/>
      <c r="D36" s="32"/>
      <c r="E36" s="32"/>
      <c r="F36" s="32"/>
      <c r="G36" s="28"/>
    </row>
    <row r="37" spans="1:9" ht="13.5" customHeight="1">
      <c r="A37" s="38"/>
      <c r="B37" s="32"/>
      <c r="C37" s="32"/>
      <c r="D37" s="32"/>
      <c r="E37" s="32"/>
      <c r="F37" s="32"/>
      <c r="G37" s="28"/>
    </row>
    <row r="38" spans="1:9" ht="11.25" customHeight="1">
      <c r="A38" s="124" t="s">
        <v>1659</v>
      </c>
      <c r="B38" s="125"/>
      <c r="C38" s="32"/>
      <c r="D38" s="32"/>
      <c r="E38" s="32"/>
      <c r="F38" s="32"/>
      <c r="G38" s="28"/>
    </row>
    <row r="39" spans="1:9" ht="12" customHeight="1"/>
    <row r="40" spans="1:9" ht="12" customHeight="1"/>
    <row r="41" spans="1:9" ht="12" customHeight="1"/>
    <row r="42" spans="1:9" ht="12" customHeight="1"/>
  </sheetData>
  <phoneticPr fontId="0" type="noConversion"/>
  <pageMargins left="0.78740157480314965" right="0.56000000000000005" top="0.93" bottom="0.49" header="0.56999999999999995"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57A9C-21AA-7F48-8D6B-352C9C84132A}">
  <dimension ref="A1:K42"/>
  <sheetViews>
    <sheetView zoomScale="75" workbookViewId="0">
      <selection activeCell="F20" sqref="F20"/>
    </sheetView>
  </sheetViews>
  <sheetFormatPr baseColWidth="10" defaultColWidth="11.3984375" defaultRowHeight="13"/>
  <cols>
    <col min="1" max="1" width="14.796875" style="3" customWidth="1"/>
    <col min="2" max="2" width="14.796875" style="21" customWidth="1"/>
    <col min="3" max="3" width="14.796875" style="22" customWidth="1"/>
    <col min="4" max="4" width="14.796875" style="21" customWidth="1"/>
    <col min="5" max="5" width="14.796875" style="22" customWidth="1"/>
    <col min="6" max="6" width="14.796875" style="21" customWidth="1"/>
    <col min="7" max="7" width="14.796875" style="22" customWidth="1"/>
    <col min="8" max="8" width="11.3984375" style="3"/>
    <col min="9" max="9" width="7.59765625" style="3" customWidth="1"/>
    <col min="10" max="10" width="6.3984375" style="3" customWidth="1"/>
    <col min="11" max="11" width="8.796875" style="3" customWidth="1"/>
    <col min="12" max="16384" width="11.3984375" style="3"/>
  </cols>
  <sheetData>
    <row r="1" spans="1:11" s="1" customFormat="1" ht="25.5" customHeight="1">
      <c r="A1" s="12" t="s">
        <v>663</v>
      </c>
      <c r="B1" s="23" t="s">
        <v>1657</v>
      </c>
      <c r="C1" s="57"/>
      <c r="D1" s="58"/>
      <c r="E1" s="57"/>
      <c r="F1" s="58"/>
      <c r="G1" s="57"/>
      <c r="H1" s="11"/>
    </row>
    <row r="2" spans="1:11" s="1" customFormat="1" ht="28" customHeight="1">
      <c r="A2" s="11"/>
      <c r="B2" s="23" t="s">
        <v>1440</v>
      </c>
      <c r="C2" s="57"/>
      <c r="D2" s="58"/>
      <c r="E2" s="57"/>
      <c r="F2" s="58"/>
      <c r="G2" s="57"/>
      <c r="H2" s="11"/>
    </row>
    <row r="3" spans="1:11" ht="27" customHeight="1">
      <c r="A3" s="2" t="s">
        <v>1217</v>
      </c>
      <c r="B3" s="14" t="s">
        <v>627</v>
      </c>
      <c r="C3" s="17" t="s">
        <v>609</v>
      </c>
      <c r="D3" s="14" t="s">
        <v>628</v>
      </c>
      <c r="E3" s="17" t="s">
        <v>609</v>
      </c>
      <c r="F3" s="14" t="s">
        <v>607</v>
      </c>
      <c r="G3" s="17" t="s">
        <v>609</v>
      </c>
    </row>
    <row r="4" spans="1:11" ht="15" customHeight="1">
      <c r="A4" s="4"/>
      <c r="B4" s="15"/>
      <c r="C4" s="18" t="s">
        <v>610</v>
      </c>
      <c r="D4" s="15"/>
      <c r="E4" s="18" t="s">
        <v>610</v>
      </c>
      <c r="F4" s="15"/>
      <c r="G4" s="18" t="s">
        <v>610</v>
      </c>
    </row>
    <row r="5" spans="1:11" ht="15" customHeight="1">
      <c r="A5" s="4"/>
      <c r="B5" s="15"/>
      <c r="C5" s="18" t="s">
        <v>611</v>
      </c>
      <c r="D5" s="15"/>
      <c r="E5" s="18" t="s">
        <v>611</v>
      </c>
      <c r="F5" s="15"/>
      <c r="G5" s="18" t="s">
        <v>611</v>
      </c>
    </row>
    <row r="6" spans="1:11" ht="23" customHeight="1">
      <c r="A6" s="5"/>
      <c r="B6" s="16"/>
      <c r="C6" s="19"/>
      <c r="D6" s="16"/>
      <c r="E6" s="19"/>
      <c r="F6" s="16"/>
      <c r="G6" s="19"/>
    </row>
    <row r="7" spans="1:11" ht="30" customHeight="1" thickBot="1">
      <c r="A7" s="6" t="s">
        <v>612</v>
      </c>
      <c r="B7" s="29">
        <v>77.61927629761098</v>
      </c>
      <c r="C7" s="25">
        <v>5.8617756855842782E-3</v>
      </c>
      <c r="D7" s="29">
        <v>74.057363143848335</v>
      </c>
      <c r="E7" s="25">
        <v>7.0175515184866871E-3</v>
      </c>
      <c r="F7" s="29">
        <v>75.882743871511536</v>
      </c>
      <c r="G7" s="25">
        <v>6.4257610846070595E-3</v>
      </c>
      <c r="I7" s="59"/>
      <c r="J7" s="59"/>
      <c r="K7" s="59"/>
    </row>
    <row r="8" spans="1:11" ht="20" customHeight="1" thickBot="1">
      <c r="A8" s="7" t="s">
        <v>613</v>
      </c>
      <c r="B8" s="30">
        <v>211.61550433654921</v>
      </c>
      <c r="C8" s="26">
        <v>2.3978691811003476E-2</v>
      </c>
      <c r="D8" s="30">
        <v>309.42773778126769</v>
      </c>
      <c r="E8" s="26">
        <v>3.88872963831738E-2</v>
      </c>
      <c r="F8" s="30">
        <v>260.07233552168725</v>
      </c>
      <c r="G8" s="26">
        <v>3.2780298947774608E-2</v>
      </c>
      <c r="I8" s="59"/>
      <c r="J8" s="59"/>
      <c r="K8" s="59"/>
    </row>
    <row r="9" spans="1:11" ht="20" customHeight="1" thickBot="1">
      <c r="A9" s="7" t="s">
        <v>614</v>
      </c>
      <c r="B9" s="30">
        <v>227.10638896532322</v>
      </c>
      <c r="C9" s="26">
        <v>4.86452220807089E-2</v>
      </c>
      <c r="D9" s="30">
        <v>365.52650335306282</v>
      </c>
      <c r="E9" s="26">
        <v>6.1394932512902969E-2</v>
      </c>
      <c r="F9" s="30">
        <v>296.26588754845187</v>
      </c>
      <c r="G9" s="26">
        <v>5.6472570340658147E-2</v>
      </c>
      <c r="I9" s="59"/>
      <c r="J9" s="59"/>
      <c r="K9" s="59"/>
    </row>
    <row r="10" spans="1:11" ht="20" customHeight="1" thickBot="1">
      <c r="A10" s="7" t="s">
        <v>615</v>
      </c>
      <c r="B10" s="30">
        <v>244.33176995551628</v>
      </c>
      <c r="C10" s="26">
        <v>3.453301438353671E-2</v>
      </c>
      <c r="D10" s="30">
        <v>376.97838002070159</v>
      </c>
      <c r="E10" s="26">
        <v>5.8849443772480546E-2</v>
      </c>
      <c r="F10" s="30">
        <v>310.85347664660037</v>
      </c>
      <c r="G10" s="26">
        <v>4.9151821133158358E-2</v>
      </c>
      <c r="I10" s="59"/>
      <c r="J10" s="59"/>
      <c r="K10" s="59"/>
    </row>
    <row r="11" spans="1:11" ht="20" customHeight="1" thickBot="1">
      <c r="A11" s="7" t="s">
        <v>616</v>
      </c>
      <c r="B11" s="30">
        <v>268.53872823698771</v>
      </c>
      <c r="C11" s="26">
        <v>4.0717126023210239E-2</v>
      </c>
      <c r="D11" s="30">
        <v>381.26286740126488</v>
      </c>
      <c r="E11" s="26">
        <v>4.1728485344690161E-2</v>
      </c>
      <c r="F11" s="30">
        <v>324.35152122628915</v>
      </c>
      <c r="G11" s="26">
        <v>4.1310290095623668E-2</v>
      </c>
      <c r="I11" s="59"/>
      <c r="J11" s="59"/>
      <c r="K11" s="59"/>
    </row>
    <row r="12" spans="1:11" ht="20" customHeight="1" thickBot="1">
      <c r="A12" s="7" t="s">
        <v>617</v>
      </c>
      <c r="B12" s="30">
        <v>294.27348906598053</v>
      </c>
      <c r="C12" s="26">
        <v>4.1570854952590275E-2</v>
      </c>
      <c r="D12" s="30">
        <v>392.30355546466444</v>
      </c>
      <c r="E12" s="26">
        <v>3.1598989597828808E-2</v>
      </c>
      <c r="F12" s="30">
        <v>342.693433243828</v>
      </c>
      <c r="G12" s="26">
        <v>3.5849549371886003E-2</v>
      </c>
      <c r="I12" s="59"/>
      <c r="J12" s="59"/>
      <c r="K12" s="59"/>
    </row>
    <row r="13" spans="1:11" ht="20" customHeight="1" thickBot="1">
      <c r="A13" s="7" t="s">
        <v>618</v>
      </c>
      <c r="B13" s="30">
        <v>331.86709652890403</v>
      </c>
      <c r="C13" s="26">
        <v>3.3638201582529802E-2</v>
      </c>
      <c r="D13" s="30">
        <v>430.58140425438523</v>
      </c>
      <c r="E13" s="26">
        <v>3.0333746207775725E-2</v>
      </c>
      <c r="F13" s="30">
        <v>380.77411235890861</v>
      </c>
      <c r="G13" s="26">
        <v>3.1769459393462346E-2</v>
      </c>
      <c r="I13" s="59"/>
      <c r="J13" s="59"/>
      <c r="K13" s="59"/>
    </row>
    <row r="14" spans="1:11" ht="20" customHeight="1" thickBot="1">
      <c r="A14" s="7" t="s">
        <v>619</v>
      </c>
      <c r="B14" s="30">
        <v>380.95579250567584</v>
      </c>
      <c r="C14" s="26">
        <v>3.5662649986855727E-2</v>
      </c>
      <c r="D14" s="30">
        <v>479.20839389167713</v>
      </c>
      <c r="E14" s="26">
        <v>2.3150737219724542E-2</v>
      </c>
      <c r="F14" s="30">
        <v>429.89847605042917</v>
      </c>
      <c r="G14" s="26">
        <v>2.865460756227256E-2</v>
      </c>
      <c r="I14" s="59"/>
      <c r="J14" s="59"/>
      <c r="K14" s="59"/>
    </row>
    <row r="15" spans="1:11" ht="20" customHeight="1" thickBot="1">
      <c r="A15" s="7" t="s">
        <v>620</v>
      </c>
      <c r="B15" s="30">
        <v>442.42848978352117</v>
      </c>
      <c r="C15" s="26">
        <v>3.7717314074933013E-2</v>
      </c>
      <c r="D15" s="30">
        <v>514.53787776196009</v>
      </c>
      <c r="E15" s="26">
        <v>3.3965049580248846E-2</v>
      </c>
      <c r="F15" s="30">
        <v>478.47488266653113</v>
      </c>
      <c r="G15" s="26">
        <v>3.5696433070463489E-2</v>
      </c>
      <c r="I15" s="59"/>
      <c r="J15" s="59"/>
      <c r="K15" s="59"/>
    </row>
    <row r="16" spans="1:11" ht="20" customHeight="1" thickBot="1">
      <c r="A16" s="7" t="s">
        <v>621</v>
      </c>
      <c r="B16" s="30">
        <v>497.26962614985916</v>
      </c>
      <c r="C16" s="26">
        <v>3.2275131547302958E-2</v>
      </c>
      <c r="D16" s="30">
        <v>534.76800701490697</v>
      </c>
      <c r="E16" s="26">
        <v>3.3261654250276267E-2</v>
      </c>
      <c r="F16" s="30">
        <v>516.6444533608053</v>
      </c>
      <c r="G16" s="26">
        <v>3.2786079932287909E-2</v>
      </c>
      <c r="I16" s="59"/>
      <c r="J16" s="59"/>
      <c r="K16" s="59"/>
    </row>
    <row r="17" spans="1:11" ht="20" customHeight="1" thickBot="1">
      <c r="A17" s="7" t="s">
        <v>622</v>
      </c>
      <c r="B17" s="30">
        <v>553.5491984599671</v>
      </c>
      <c r="C17" s="26">
        <v>3.3738363751740712E-2</v>
      </c>
      <c r="D17" s="30">
        <v>562.62320075297362</v>
      </c>
      <c r="E17" s="26">
        <v>3.0905465038367153E-2</v>
      </c>
      <c r="F17" s="30">
        <v>558.42023947284906</v>
      </c>
      <c r="G17" s="26">
        <v>3.2308455909377649E-2</v>
      </c>
      <c r="I17" s="59"/>
      <c r="J17" s="59"/>
      <c r="K17" s="59"/>
    </row>
    <row r="18" spans="1:11" ht="20" customHeight="1" thickBot="1">
      <c r="A18" s="7" t="s">
        <v>623</v>
      </c>
      <c r="B18" s="30">
        <v>607.02118381557102</v>
      </c>
      <c r="C18" s="26">
        <v>3.3802025392034231E-2</v>
      </c>
      <c r="D18" s="30">
        <v>604.11770786686566</v>
      </c>
      <c r="E18" s="26">
        <v>2.9809723118145188E-2</v>
      </c>
      <c r="F18" s="30">
        <v>605.37580762922994</v>
      </c>
      <c r="G18" s="26">
        <v>3.1806797861698911E-2</v>
      </c>
      <c r="I18" s="59"/>
      <c r="J18" s="59"/>
      <c r="K18" s="59"/>
    </row>
    <row r="19" spans="1:11" ht="20" customHeight="1" thickBot="1">
      <c r="A19" s="7" t="s">
        <v>624</v>
      </c>
      <c r="B19" s="30">
        <v>649.21983363940831</v>
      </c>
      <c r="C19" s="26">
        <v>2.2459155773646211E-2</v>
      </c>
      <c r="D19" s="30">
        <v>654.85401876804985</v>
      </c>
      <c r="E19" s="26">
        <v>2.59669763021638E-2</v>
      </c>
      <c r="F19" s="30">
        <v>652.61483149993023</v>
      </c>
      <c r="G19" s="26">
        <v>2.4217640274534605E-2</v>
      </c>
      <c r="I19" s="59"/>
      <c r="J19" s="59"/>
      <c r="K19" s="59"/>
    </row>
    <row r="20" spans="1:11" ht="20" customHeight="1" thickBot="1">
      <c r="A20" s="7" t="s">
        <v>625</v>
      </c>
      <c r="B20" s="30">
        <v>694.81917335965181</v>
      </c>
      <c r="C20" s="26">
        <v>2.7159086139851647E-2</v>
      </c>
      <c r="D20" s="30">
        <v>717.60947171071257</v>
      </c>
      <c r="E20" s="26">
        <v>2.2787151819357036E-2</v>
      </c>
      <c r="F20" s="30">
        <v>709.32013471696291</v>
      </c>
      <c r="G20" s="26">
        <v>2.4933186567001723E-2</v>
      </c>
      <c r="I20" s="59"/>
      <c r="J20" s="59"/>
      <c r="K20" s="59"/>
    </row>
    <row r="21" spans="1:11" ht="20" customHeight="1" thickBot="1">
      <c r="A21" s="7" t="s">
        <v>626</v>
      </c>
      <c r="B21" s="30">
        <v>758.36966223244372</v>
      </c>
      <c r="C21" s="26">
        <v>3.5979115829022613E-2</v>
      </c>
      <c r="D21" s="30">
        <v>792.8386896040347</v>
      </c>
      <c r="E21" s="26">
        <v>2.2576237856122738E-2</v>
      </c>
      <c r="F21" s="30">
        <v>782.15225125542793</v>
      </c>
      <c r="G21" s="26">
        <v>2.9085161786815882E-2</v>
      </c>
      <c r="I21" s="59"/>
      <c r="J21" s="59"/>
      <c r="K21" s="59"/>
    </row>
    <row r="22" spans="1:11" ht="20" customHeight="1" thickBot="1">
      <c r="A22" s="7" t="s">
        <v>608</v>
      </c>
      <c r="B22" s="30">
        <v>852.10997320293745</v>
      </c>
      <c r="C22" s="26">
        <v>2.9284066706270376E-2</v>
      </c>
      <c r="D22" s="30">
        <v>890.42626286380164</v>
      </c>
      <c r="E22" s="26">
        <v>2.1752692280595454E-2</v>
      </c>
      <c r="F22" s="30">
        <v>881.23149970372924</v>
      </c>
      <c r="G22" s="26">
        <v>2.5421756789152799E-2</v>
      </c>
      <c r="I22" s="59"/>
      <c r="J22" s="59"/>
      <c r="K22" s="59"/>
    </row>
    <row r="23" spans="1:11" ht="30" customHeight="1" thickBot="1">
      <c r="A23" s="13" t="s">
        <v>607</v>
      </c>
      <c r="B23" s="34">
        <v>297.1371452557039</v>
      </c>
      <c r="C23" s="35">
        <v>3.8112837359099774E-2</v>
      </c>
      <c r="D23" s="34">
        <v>385.48122471521037</v>
      </c>
      <c r="E23" s="35">
        <v>3.6744327212573917E-2</v>
      </c>
      <c r="F23" s="34">
        <v>342.22544808866689</v>
      </c>
      <c r="G23" s="35">
        <v>3.7339582669265049E-2</v>
      </c>
      <c r="I23" s="59"/>
      <c r="J23" s="59"/>
      <c r="K23" s="59"/>
    </row>
    <row r="24" spans="1:11" ht="20" customHeight="1">
      <c r="A24" s="9" t="s">
        <v>1258</v>
      </c>
      <c r="B24" s="31"/>
      <c r="C24" s="27"/>
      <c r="D24" s="31"/>
      <c r="E24" s="27"/>
      <c r="F24" s="31"/>
      <c r="G24" s="27"/>
    </row>
    <row r="25" spans="1:11" ht="14.25" customHeight="1">
      <c r="A25" s="38"/>
      <c r="B25" s="32"/>
      <c r="C25" s="28"/>
      <c r="D25" s="32"/>
      <c r="E25" s="28"/>
      <c r="F25" s="32"/>
      <c r="G25" s="28"/>
    </row>
    <row r="26" spans="1:11" ht="12.75" customHeight="1">
      <c r="A26" s="38" t="s">
        <v>1658</v>
      </c>
      <c r="B26" s="32"/>
      <c r="C26" s="28"/>
      <c r="D26" s="32"/>
      <c r="E26" s="28"/>
      <c r="F26" s="32"/>
      <c r="G26" s="28"/>
    </row>
    <row r="27" spans="1:11" ht="21" customHeight="1">
      <c r="A27" s="38"/>
      <c r="B27" s="32"/>
      <c r="C27" s="28"/>
      <c r="D27" s="32"/>
      <c r="E27" s="28"/>
      <c r="F27" s="32"/>
      <c r="G27" s="28"/>
    </row>
    <row r="28" spans="1:11" ht="24" customHeight="1">
      <c r="A28" s="425" t="s">
        <v>382</v>
      </c>
      <c r="B28" s="426"/>
      <c r="C28" s="427"/>
      <c r="D28" s="426"/>
      <c r="E28" s="427"/>
      <c r="F28" s="426"/>
      <c r="G28" s="427"/>
    </row>
    <row r="29" spans="1:11" ht="24" customHeight="1" thickBot="1">
      <c r="A29" s="6" t="s">
        <v>1327</v>
      </c>
      <c r="B29" s="29">
        <v>91.000000000000114</v>
      </c>
      <c r="C29" s="25">
        <v>-2.1973192704880014E-4</v>
      </c>
      <c r="D29" s="29">
        <v>81.260000000000005</v>
      </c>
      <c r="E29" s="25">
        <v>4.0775979241324724E-3</v>
      </c>
      <c r="F29" s="29">
        <v>86.269999999999897</v>
      </c>
      <c r="G29" s="25">
        <v>3.1395348837200588E-3</v>
      </c>
    </row>
    <row r="30" spans="1:11" ht="24" customHeight="1" thickBot="1">
      <c r="A30" s="7" t="s">
        <v>1328</v>
      </c>
      <c r="B30" s="30">
        <v>72.52</v>
      </c>
      <c r="C30" s="26">
        <v>-2.1850553007822709E-2</v>
      </c>
      <c r="D30" s="30">
        <v>61.13</v>
      </c>
      <c r="E30" s="26">
        <v>-2.0509533728568268E-2</v>
      </c>
      <c r="F30" s="30">
        <v>66.95</v>
      </c>
      <c r="G30" s="26">
        <v>-2.5473071324600118E-2</v>
      </c>
    </row>
    <row r="31" spans="1:11" ht="24" customHeight="1" thickBot="1">
      <c r="A31" s="7" t="s">
        <v>1329</v>
      </c>
      <c r="B31" s="30">
        <v>69.539999999999935</v>
      </c>
      <c r="C31" s="26">
        <v>1.5034301561814562E-2</v>
      </c>
      <c r="D31" s="30">
        <v>66.37</v>
      </c>
      <c r="E31" s="26">
        <v>1.8257134090212127E-2</v>
      </c>
      <c r="F31" s="30">
        <v>67.989999999999895</v>
      </c>
      <c r="G31" s="26">
        <v>1.4776119402984374E-2</v>
      </c>
    </row>
    <row r="32" spans="1:11" ht="24" customHeight="1" thickBot="1">
      <c r="A32" s="7" t="s">
        <v>1330</v>
      </c>
      <c r="B32" s="30">
        <v>72.48</v>
      </c>
      <c r="C32" s="26">
        <v>1.4131803553937781E-2</v>
      </c>
      <c r="D32" s="30">
        <v>91.800000000000068</v>
      </c>
      <c r="E32" s="26">
        <v>8.7912087912082812E-3</v>
      </c>
      <c r="F32" s="30">
        <v>81.860000000000156</v>
      </c>
      <c r="G32" s="26">
        <v>1.061728395062027E-2</v>
      </c>
    </row>
    <row r="33" spans="1:9" ht="24" customHeight="1" thickBot="1">
      <c r="A33" s="7" t="s">
        <v>1331</v>
      </c>
      <c r="B33" s="30">
        <v>207.46</v>
      </c>
      <c r="C33" s="26">
        <v>1.3631699809449458E-2</v>
      </c>
      <c r="D33" s="30">
        <v>284.13</v>
      </c>
      <c r="E33" s="26">
        <v>2.5740072202166054E-2</v>
      </c>
      <c r="F33" s="30">
        <v>245.26</v>
      </c>
      <c r="G33" s="26">
        <v>2.1916666666666629E-2</v>
      </c>
      <c r="I33" s="63"/>
    </row>
    <row r="34" spans="1:9" ht="24" customHeight="1" thickBot="1">
      <c r="A34" s="7" t="s">
        <v>383</v>
      </c>
      <c r="B34" s="30">
        <v>211.71</v>
      </c>
      <c r="C34" s="26">
        <v>2.2704217187575013E-2</v>
      </c>
      <c r="D34" s="30">
        <v>316.98</v>
      </c>
      <c r="E34" s="26">
        <v>3.5882352941176157E-2</v>
      </c>
      <c r="F34" s="30">
        <v>264</v>
      </c>
      <c r="G34" s="26">
        <v>2.7237354085603568E-2</v>
      </c>
    </row>
    <row r="35" spans="1:9" ht="24" customHeight="1" thickBot="1">
      <c r="A35" s="7" t="s">
        <v>1346</v>
      </c>
      <c r="B35" s="30">
        <v>891.65</v>
      </c>
      <c r="C35" s="26">
        <v>-7.0491547695928905E-3</v>
      </c>
      <c r="D35" s="30">
        <v>933.57000000000153</v>
      </c>
      <c r="E35" s="26">
        <v>7.0873786407783471E-3</v>
      </c>
      <c r="F35" s="30">
        <v>923.16000000000076</v>
      </c>
      <c r="G35" s="26">
        <v>4.5266594124036309E-3</v>
      </c>
    </row>
    <row r="36" spans="1:9" ht="24" customHeight="1" thickBot="1">
      <c r="A36" s="7" t="s">
        <v>384</v>
      </c>
      <c r="B36" s="30">
        <v>995.32000000000062</v>
      </c>
      <c r="C36" s="26">
        <v>-1.1716577964890154E-2</v>
      </c>
      <c r="D36" s="30">
        <v>1006.03</v>
      </c>
      <c r="E36" s="26">
        <v>2.6561224489797565E-2</v>
      </c>
      <c r="F36" s="30">
        <v>1003.98</v>
      </c>
      <c r="G36" s="26">
        <v>1.9269035532995422E-2</v>
      </c>
    </row>
    <row r="37" spans="1:9" ht="24" customHeight="1" thickBot="1">
      <c r="A37" s="428" t="s">
        <v>385</v>
      </c>
      <c r="B37" s="429">
        <v>1135.74</v>
      </c>
      <c r="C37" s="430">
        <v>-3.5424009512084291E-2</v>
      </c>
      <c r="D37" s="429">
        <v>1222.57</v>
      </c>
      <c r="E37" s="430">
        <v>3.1704641350209187E-2</v>
      </c>
      <c r="F37" s="429">
        <v>1208.97</v>
      </c>
      <c r="G37" s="430">
        <v>2.0227848101262966E-2</v>
      </c>
    </row>
    <row r="38" spans="1:9" ht="18.75" customHeight="1">
      <c r="A38" s="431" t="s">
        <v>386</v>
      </c>
    </row>
    <row r="39" spans="1:9" ht="12" customHeight="1">
      <c r="A39" s="124"/>
    </row>
    <row r="40" spans="1:9">
      <c r="A40" s="38" t="s">
        <v>1658</v>
      </c>
    </row>
    <row r="42" spans="1:9">
      <c r="A42" s="60" t="s">
        <v>1659</v>
      </c>
      <c r="B42" s="32"/>
      <c r="C42" s="28"/>
      <c r="D42" s="32"/>
      <c r="E42" s="28"/>
      <c r="F42" s="32"/>
      <c r="G42" s="28"/>
    </row>
  </sheetData>
  <phoneticPr fontId="0" type="noConversion"/>
  <pageMargins left="0.78740157480314965" right="0.78740157480314965" top="0.83" bottom="0.86614173228346458" header="0.51" footer="0.51181102362204722"/>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BD40-E4D1-3541-B6E7-0030F5A6BE5E}">
  <dimension ref="A1:K38"/>
  <sheetViews>
    <sheetView topLeftCell="A7" zoomScale="75" workbookViewId="0">
      <selection activeCell="A2" sqref="A2"/>
    </sheetView>
  </sheetViews>
  <sheetFormatPr baseColWidth="10" defaultColWidth="11.3984375" defaultRowHeight="13"/>
  <cols>
    <col min="1" max="1" width="13.796875" style="3" customWidth="1"/>
    <col min="2" max="2" width="14.796875" style="21" customWidth="1"/>
    <col min="3" max="3" width="14.796875" style="22" customWidth="1"/>
    <col min="4" max="4" width="14.796875" style="21" customWidth="1"/>
    <col min="5" max="5" width="14.796875" style="22" customWidth="1"/>
    <col min="6" max="6" width="14.796875" style="21" customWidth="1"/>
    <col min="7" max="7" width="14.796875" style="22" customWidth="1"/>
    <col min="8" max="8" width="7.3984375" style="3" customWidth="1"/>
    <col min="9" max="9" width="8" style="3" customWidth="1"/>
    <col min="10" max="10" width="7.796875" style="3" customWidth="1"/>
    <col min="11" max="11" width="9" style="3" customWidth="1"/>
    <col min="12" max="16384" width="11.3984375" style="3"/>
  </cols>
  <sheetData>
    <row r="1" spans="1:11" s="1" customFormat="1" ht="21.75" customHeight="1">
      <c r="A1" s="12" t="s">
        <v>631</v>
      </c>
      <c r="B1" s="23" t="s">
        <v>635</v>
      </c>
      <c r="C1" s="24"/>
      <c r="D1" s="33"/>
      <c r="E1" s="24"/>
      <c r="F1" s="33"/>
      <c r="G1" s="24"/>
    </row>
    <row r="2" spans="1:11" s="1" customFormat="1" ht="24" customHeight="1">
      <c r="A2" s="12"/>
      <c r="B2" s="23"/>
      <c r="C2" s="24"/>
      <c r="D2" s="33"/>
      <c r="E2" s="24"/>
      <c r="F2" s="33"/>
      <c r="G2" s="24"/>
    </row>
    <row r="3" spans="1:11" ht="27" customHeight="1">
      <c r="A3" s="2" t="s">
        <v>629</v>
      </c>
      <c r="B3" s="14" t="s">
        <v>627</v>
      </c>
      <c r="C3" s="17" t="s">
        <v>633</v>
      </c>
      <c r="D3" s="14" t="s">
        <v>628</v>
      </c>
      <c r="E3" s="17" t="s">
        <v>633</v>
      </c>
      <c r="F3" s="14" t="s">
        <v>607</v>
      </c>
      <c r="G3" s="17" t="s">
        <v>609</v>
      </c>
    </row>
    <row r="4" spans="1:11" ht="15" customHeight="1">
      <c r="A4" s="4"/>
      <c r="B4" s="15"/>
      <c r="C4" s="18" t="s">
        <v>634</v>
      </c>
      <c r="D4" s="15"/>
      <c r="E4" s="18" t="s">
        <v>634</v>
      </c>
      <c r="F4" s="15"/>
      <c r="G4" s="18" t="s">
        <v>610</v>
      </c>
    </row>
    <row r="5" spans="1:11" ht="15" customHeight="1">
      <c r="A5" s="4"/>
      <c r="B5" s="15"/>
      <c r="C5" s="18" t="s">
        <v>627</v>
      </c>
      <c r="D5" s="15"/>
      <c r="E5" s="18" t="s">
        <v>628</v>
      </c>
      <c r="F5" s="15"/>
      <c r="G5" s="18" t="s">
        <v>611</v>
      </c>
    </row>
    <row r="6" spans="1:11" ht="19.5" customHeight="1">
      <c r="A6" s="5"/>
      <c r="B6" s="16"/>
      <c r="C6" s="19"/>
      <c r="D6" s="16"/>
      <c r="E6" s="19"/>
      <c r="F6" s="16"/>
      <c r="G6" s="19"/>
    </row>
    <row r="7" spans="1:11" ht="30" customHeight="1" thickBot="1">
      <c r="A7" s="6" t="s">
        <v>612</v>
      </c>
      <c r="B7" s="29">
        <v>793482.25</v>
      </c>
      <c r="C7" s="25">
        <v>0.22075408379267805</v>
      </c>
      <c r="D7" s="29">
        <v>754860.41666666651</v>
      </c>
      <c r="E7" s="25">
        <v>0.20147372138950045</v>
      </c>
      <c r="F7" s="29">
        <v>1548342.6666666665</v>
      </c>
      <c r="G7" s="25">
        <v>-1.8703268688442878E-3</v>
      </c>
      <c r="I7" s="8"/>
      <c r="J7" s="8"/>
      <c r="K7" s="8"/>
    </row>
    <row r="8" spans="1:11" ht="20" customHeight="1" thickBot="1">
      <c r="A8" s="7" t="s">
        <v>613</v>
      </c>
      <c r="B8" s="30">
        <v>306320.75</v>
      </c>
      <c r="C8" s="26">
        <v>8.5221259219013371E-2</v>
      </c>
      <c r="D8" s="30">
        <v>300743.83333333331</v>
      </c>
      <c r="E8" s="26">
        <v>8.0269117241799609E-2</v>
      </c>
      <c r="F8" s="30">
        <v>607064.58333333326</v>
      </c>
      <c r="G8" s="26">
        <v>1.4701567372189141E-2</v>
      </c>
      <c r="I8" s="8"/>
      <c r="J8" s="8"/>
      <c r="K8" s="8"/>
    </row>
    <row r="9" spans="1:11" ht="20" customHeight="1" thickBot="1">
      <c r="A9" s="7" t="s">
        <v>614</v>
      </c>
      <c r="B9" s="30">
        <v>241674.5</v>
      </c>
      <c r="C9" s="26">
        <v>6.7236075946945972E-2</v>
      </c>
      <c r="D9" s="30">
        <v>241321.66666666669</v>
      </c>
      <c r="E9" s="26">
        <v>6.4409224754355676E-2</v>
      </c>
      <c r="F9" s="30">
        <v>482996.16666666669</v>
      </c>
      <c r="G9" s="26">
        <v>-1.8436077709616593E-2</v>
      </c>
      <c r="I9" s="8"/>
      <c r="J9" s="8"/>
      <c r="K9" s="8"/>
    </row>
    <row r="10" spans="1:11" ht="20" customHeight="1" thickBot="1">
      <c r="A10" s="7" t="s">
        <v>615</v>
      </c>
      <c r="B10" s="30">
        <v>289544</v>
      </c>
      <c r="C10" s="26">
        <v>8.0553812561865334E-2</v>
      </c>
      <c r="D10" s="30">
        <v>291281.5</v>
      </c>
      <c r="E10" s="26">
        <v>7.7743601970893014E-2</v>
      </c>
      <c r="F10" s="30">
        <v>580825.5</v>
      </c>
      <c r="G10" s="26">
        <v>-2.3546016172885074E-2</v>
      </c>
      <c r="I10" s="8"/>
      <c r="J10" s="8"/>
      <c r="K10" s="8"/>
    </row>
    <row r="11" spans="1:11" ht="20" customHeight="1" thickBot="1">
      <c r="A11" s="7" t="s">
        <v>616</v>
      </c>
      <c r="B11" s="30">
        <v>322197.08333333326</v>
      </c>
      <c r="C11" s="26">
        <v>8.9638201650916724E-2</v>
      </c>
      <c r="D11" s="30">
        <v>315977.75</v>
      </c>
      <c r="E11" s="26">
        <v>8.4335079391098758E-2</v>
      </c>
      <c r="F11" s="30">
        <v>638174.83333333326</v>
      </c>
      <c r="G11" s="26">
        <v>1.0808864033533873E-2</v>
      </c>
      <c r="I11" s="8"/>
      <c r="J11" s="8"/>
      <c r="K11" s="8"/>
    </row>
    <row r="12" spans="1:11" ht="20" customHeight="1" thickBot="1">
      <c r="A12" s="7" t="s">
        <v>617</v>
      </c>
      <c r="B12" s="30">
        <v>292253</v>
      </c>
      <c r="C12" s="26">
        <v>8.1307481359112352E-2</v>
      </c>
      <c r="D12" s="30">
        <v>285241.66666666669</v>
      </c>
      <c r="E12" s="26">
        <v>7.613155864291922E-2</v>
      </c>
      <c r="F12" s="30">
        <v>577494.66666666663</v>
      </c>
      <c r="G12" s="26">
        <v>2.0729207313937171E-2</v>
      </c>
      <c r="I12" s="8"/>
      <c r="J12" s="8"/>
      <c r="K12" s="8"/>
    </row>
    <row r="13" spans="1:11" ht="20" customHeight="1" thickBot="1">
      <c r="A13" s="7" t="s">
        <v>618</v>
      </c>
      <c r="B13" s="30">
        <v>259075.25</v>
      </c>
      <c r="C13" s="26">
        <v>7.2077125162042385E-2</v>
      </c>
      <c r="D13" s="30">
        <v>254392.41666666672</v>
      </c>
      <c r="E13" s="26">
        <v>6.7897833490101173E-2</v>
      </c>
      <c r="F13" s="30">
        <v>513467.66666666674</v>
      </c>
      <c r="G13" s="26">
        <v>2.1543910605452906E-2</v>
      </c>
      <c r="I13" s="8"/>
      <c r="J13" s="8"/>
      <c r="K13" s="8"/>
    </row>
    <row r="14" spans="1:11" ht="20" customHeight="1" thickBot="1">
      <c r="A14" s="7" t="s">
        <v>619</v>
      </c>
      <c r="B14" s="30">
        <v>245105.5</v>
      </c>
      <c r="C14" s="26">
        <v>6.8190611806434542E-2</v>
      </c>
      <c r="D14" s="30">
        <v>243280.08333333331</v>
      </c>
      <c r="E14" s="26">
        <v>6.4931929992506729E-2</v>
      </c>
      <c r="F14" s="30">
        <v>488385.58333333331</v>
      </c>
      <c r="G14" s="26">
        <v>-8.6563392699534874E-3</v>
      </c>
      <c r="I14" s="8"/>
      <c r="J14" s="8"/>
      <c r="K14" s="8"/>
    </row>
    <row r="15" spans="1:11" ht="20" customHeight="1" thickBot="1">
      <c r="A15" s="7" t="s">
        <v>620</v>
      </c>
      <c r="B15" s="30">
        <v>227173.83333333337</v>
      </c>
      <c r="C15" s="26">
        <v>6.3201856675647816E-2</v>
      </c>
      <c r="D15" s="30">
        <v>227069.25</v>
      </c>
      <c r="E15" s="26">
        <v>6.0605226874446867E-2</v>
      </c>
      <c r="F15" s="30">
        <v>454243.08333333337</v>
      </c>
      <c r="G15" s="26">
        <v>3.2792868442065311E-2</v>
      </c>
      <c r="I15" s="8"/>
      <c r="J15" s="8"/>
      <c r="K15" s="8"/>
    </row>
    <row r="16" spans="1:11" ht="20" customHeight="1" thickBot="1">
      <c r="A16" s="7" t="s">
        <v>621</v>
      </c>
      <c r="B16" s="30">
        <v>171751.08333333334</v>
      </c>
      <c r="C16" s="26">
        <v>4.7782736213254802E-2</v>
      </c>
      <c r="D16" s="30">
        <v>183609</v>
      </c>
      <c r="E16" s="26">
        <v>4.9005601159955905E-2</v>
      </c>
      <c r="F16" s="30">
        <v>355360.08333333337</v>
      </c>
      <c r="G16" s="26">
        <v>2.4148211795545257E-2</v>
      </c>
      <c r="I16" s="8"/>
      <c r="J16" s="8"/>
      <c r="K16" s="8"/>
    </row>
    <row r="17" spans="1:11" ht="20" customHeight="1" thickBot="1">
      <c r="A17" s="7" t="s">
        <v>622</v>
      </c>
      <c r="B17" s="30">
        <v>144996.91666666669</v>
      </c>
      <c r="C17" s="26">
        <v>4.0339480173013691E-2</v>
      </c>
      <c r="D17" s="30">
        <v>168044.83333333334</v>
      </c>
      <c r="E17" s="26">
        <v>4.4851494639830271E-2</v>
      </c>
      <c r="F17" s="30">
        <v>313041.75</v>
      </c>
      <c r="G17" s="26">
        <v>8.6158458450263722E-3</v>
      </c>
      <c r="I17" s="8"/>
      <c r="J17" s="8"/>
      <c r="K17" s="8"/>
    </row>
    <row r="18" spans="1:11" ht="20" customHeight="1" thickBot="1">
      <c r="A18" s="7" t="s">
        <v>623</v>
      </c>
      <c r="B18" s="30">
        <v>118101.16666666664</v>
      </c>
      <c r="C18" s="26">
        <v>3.2856834342981665E-2</v>
      </c>
      <c r="D18" s="30">
        <v>154455.83333333337</v>
      </c>
      <c r="E18" s="26">
        <v>4.1224563965611472E-2</v>
      </c>
      <c r="F18" s="30">
        <v>272557</v>
      </c>
      <c r="G18" s="26">
        <v>9.0120173187993539E-3</v>
      </c>
      <c r="I18" s="8"/>
      <c r="J18" s="8"/>
      <c r="K18" s="8"/>
    </row>
    <row r="19" spans="1:11" ht="20" customHeight="1" thickBot="1">
      <c r="A19" s="7" t="s">
        <v>624</v>
      </c>
      <c r="B19" s="30">
        <v>89484.333333333328</v>
      </c>
      <c r="C19" s="26">
        <v>2.4895367248351931E-2</v>
      </c>
      <c r="D19" s="30">
        <v>135673.83333333334</v>
      </c>
      <c r="E19" s="26">
        <v>3.6211611436126029E-2</v>
      </c>
      <c r="F19" s="30">
        <v>225158.16666666669</v>
      </c>
      <c r="G19" s="26">
        <v>4.0967654035039443E-3</v>
      </c>
      <c r="I19" s="8"/>
      <c r="J19" s="8"/>
      <c r="K19" s="8"/>
    </row>
    <row r="20" spans="1:11" ht="20" customHeight="1" thickBot="1">
      <c r="A20" s="7" t="s">
        <v>625</v>
      </c>
      <c r="B20" s="30">
        <v>55644.916666666664</v>
      </c>
      <c r="C20" s="26">
        <v>1.5480929279098454E-2</v>
      </c>
      <c r="D20" s="30">
        <v>97342.5</v>
      </c>
      <c r="E20" s="26">
        <v>2.5980903609915677E-2</v>
      </c>
      <c r="F20" s="30">
        <v>152987.41666666666</v>
      </c>
      <c r="G20" s="26">
        <v>5.4445038642845604E-2</v>
      </c>
      <c r="I20" s="8"/>
      <c r="J20" s="8"/>
      <c r="K20" s="8"/>
    </row>
    <row r="21" spans="1:11" ht="20" customHeight="1" thickBot="1">
      <c r="A21" s="7" t="s">
        <v>626</v>
      </c>
      <c r="B21" s="30">
        <v>27319.083333333336</v>
      </c>
      <c r="C21" s="26">
        <v>7.6004210696657944E-3</v>
      </c>
      <c r="D21" s="30">
        <v>60798.416666666679</v>
      </c>
      <c r="E21" s="26">
        <v>1.6227216303794926E-2</v>
      </c>
      <c r="F21" s="30">
        <v>88117.5</v>
      </c>
      <c r="G21" s="26">
        <v>-1.1305013427199747E-2</v>
      </c>
      <c r="I21" s="8"/>
      <c r="J21" s="8"/>
      <c r="K21" s="8"/>
    </row>
    <row r="22" spans="1:11" ht="20" customHeight="1" thickBot="1">
      <c r="A22" s="7" t="s">
        <v>608</v>
      </c>
      <c r="B22" s="30">
        <v>10293.416666666664</v>
      </c>
      <c r="C22" s="26">
        <v>2.863723498977175E-3</v>
      </c>
      <c r="D22" s="30">
        <v>32601.166666666668</v>
      </c>
      <c r="E22" s="26">
        <v>8.7013151371442346E-3</v>
      </c>
      <c r="F22" s="30">
        <v>42894.583333333328</v>
      </c>
      <c r="G22" s="26">
        <v>3.3718002106576675E-2</v>
      </c>
      <c r="I22" s="8"/>
      <c r="J22" s="8"/>
      <c r="K22" s="8"/>
    </row>
    <row r="23" spans="1:11" s="36" customFormat="1" ht="21" customHeight="1" thickBot="1">
      <c r="A23" s="13" t="s">
        <v>607</v>
      </c>
      <c r="B23" s="34">
        <v>3594417.083333333</v>
      </c>
      <c r="C23" s="35">
        <v>1</v>
      </c>
      <c r="D23" s="34">
        <v>3746694.1666666665</v>
      </c>
      <c r="E23" s="35">
        <v>1</v>
      </c>
      <c r="F23" s="34">
        <v>7341111.25</v>
      </c>
      <c r="G23" s="35">
        <v>6.1749394984636644E-3</v>
      </c>
      <c r="I23" s="37"/>
      <c r="J23" s="37"/>
      <c r="K23" s="37"/>
    </row>
    <row r="24" spans="1:11" ht="20" customHeight="1">
      <c r="A24" s="9" t="s">
        <v>636</v>
      </c>
      <c r="B24" s="31"/>
      <c r="C24" s="27"/>
      <c r="D24" s="31"/>
      <c r="E24" s="27"/>
      <c r="F24" s="31"/>
      <c r="G24" s="27"/>
    </row>
    <row r="25" spans="1:11" ht="12.75" customHeight="1">
      <c r="A25" s="38"/>
      <c r="B25" s="32"/>
      <c r="C25" s="28"/>
      <c r="D25" s="32"/>
      <c r="E25" s="28"/>
      <c r="F25" s="32"/>
      <c r="G25" s="28"/>
    </row>
    <row r="26" spans="1:11" ht="20" customHeight="1">
      <c r="A26" s="38" t="s">
        <v>630</v>
      </c>
      <c r="B26" s="32"/>
      <c r="C26" s="28"/>
      <c r="D26" s="32"/>
      <c r="E26" s="28"/>
      <c r="F26" s="32"/>
      <c r="G26" s="28"/>
    </row>
    <row r="27" spans="1:11" ht="11.25" customHeight="1">
      <c r="A27" s="38"/>
      <c r="B27" s="32"/>
      <c r="C27" s="28"/>
      <c r="D27" s="32"/>
      <c r="E27" s="28"/>
      <c r="F27" s="32"/>
      <c r="G27" s="28"/>
    </row>
    <row r="28" spans="1:11" ht="17.25" customHeight="1">
      <c r="A28" s="38" t="s">
        <v>632</v>
      </c>
      <c r="B28" s="32"/>
      <c r="C28" s="28"/>
      <c r="D28" s="32"/>
      <c r="E28" s="28"/>
      <c r="F28" s="32"/>
      <c r="G28" s="28"/>
    </row>
    <row r="29" spans="1:11" ht="18" customHeight="1">
      <c r="A29"/>
      <c r="B29" s="32"/>
      <c r="C29" s="28"/>
      <c r="D29" s="32"/>
      <c r="E29" s="28"/>
      <c r="F29" s="32"/>
      <c r="G29" s="28"/>
    </row>
    <row r="30" spans="1:11" ht="18" customHeight="1">
      <c r="A30"/>
    </row>
    <row r="31" spans="1:11" ht="30" customHeight="1"/>
    <row r="32" spans="1:11" ht="30" customHeight="1">
      <c r="I32" s="10"/>
    </row>
    <row r="33" ht="30" customHeight="1"/>
    <row r="34" ht="30" customHeight="1"/>
    <row r="35" ht="30" customHeight="1"/>
    <row r="36" ht="30" customHeight="1"/>
    <row r="37" ht="30" customHeight="1"/>
    <row r="38" ht="30" customHeight="1"/>
  </sheetData>
  <phoneticPr fontId="0" type="noConversion"/>
  <pageMargins left="0.78740157480314965" right="0.37" top="1.43" bottom="0.49" header="0.91" footer="0.4921259845"/>
  <pageSetup paperSize="9" scale="80" orientation="portrait" horizontalDpi="4294967292" verticalDpi="4294967292"/>
  <headerFooter alignWithMargins="0">
    <oddHeader>&amp;L&amp;"Arial,Bold"&amp;14Leistungen und Kostenbeteiligung in der OKP</oddHeader>
    <oddFooter>&amp;L&amp;"Arial,Regular"Statistik über die Krankenversicherung, Bundesamt für Sozialversicherung</oddFooter>
  </headerFooter>
  <rowBreaks count="1" manualBreakCount="1">
    <brk id="29"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29D4F-F9E5-FC46-A433-718BDB125AE9}">
  <dimension ref="A1:B15"/>
  <sheetViews>
    <sheetView workbookViewId="0"/>
  </sheetViews>
  <sheetFormatPr baseColWidth="10" defaultColWidth="11.3984375" defaultRowHeight="13"/>
  <cols>
    <col min="1" max="1" width="5.59765625" style="234" customWidth="1"/>
    <col min="2" max="16384" width="11.3984375" style="234"/>
  </cols>
  <sheetData>
    <row r="1" spans="1:2" ht="16">
      <c r="A1" s="233" t="s">
        <v>312</v>
      </c>
    </row>
    <row r="2" spans="1:2" ht="16">
      <c r="A2" s="233"/>
    </row>
    <row r="3" spans="1:2">
      <c r="A3" s="234">
        <v>3.01</v>
      </c>
      <c r="B3" s="235" t="s">
        <v>272</v>
      </c>
    </row>
    <row r="4" spans="1:2">
      <c r="A4" s="234">
        <v>3.02</v>
      </c>
      <c r="B4" s="235" t="s">
        <v>313</v>
      </c>
    </row>
    <row r="5" spans="1:2">
      <c r="A5" s="234">
        <v>3.03</v>
      </c>
      <c r="B5" s="235" t="s">
        <v>273</v>
      </c>
    </row>
    <row r="6" spans="1:2">
      <c r="A6" s="234">
        <v>3.04</v>
      </c>
      <c r="B6" s="235" t="s">
        <v>314</v>
      </c>
    </row>
    <row r="7" spans="1:2">
      <c r="A7" s="234">
        <v>3.05</v>
      </c>
      <c r="B7" s="235" t="s">
        <v>274</v>
      </c>
    </row>
    <row r="8" spans="1:2">
      <c r="A8" s="234">
        <v>3.06</v>
      </c>
      <c r="B8" s="235" t="s">
        <v>315</v>
      </c>
    </row>
    <row r="9" spans="1:2">
      <c r="A9" s="234">
        <v>3.07</v>
      </c>
      <c r="B9" s="234" t="s">
        <v>1285</v>
      </c>
    </row>
    <row r="10" spans="1:2">
      <c r="A10" s="234">
        <v>3.08</v>
      </c>
      <c r="B10" s="234" t="s">
        <v>1286</v>
      </c>
    </row>
    <row r="11" spans="1:2">
      <c r="A11" s="234">
        <v>3.09</v>
      </c>
      <c r="B11" s="234" t="s">
        <v>1287</v>
      </c>
    </row>
    <row r="12" spans="1:2">
      <c r="A12" s="729" t="s">
        <v>1288</v>
      </c>
      <c r="B12" s="234" t="s">
        <v>1289</v>
      </c>
    </row>
    <row r="13" spans="1:2">
      <c r="A13" s="234">
        <v>3.11</v>
      </c>
      <c r="B13" s="235" t="s">
        <v>1265</v>
      </c>
    </row>
    <row r="14" spans="1:2">
      <c r="A14" s="234">
        <v>3.12</v>
      </c>
      <c r="B14" s="235" t="s">
        <v>1266</v>
      </c>
    </row>
    <row r="15" spans="1:2">
      <c r="A15" s="234">
        <v>3.13</v>
      </c>
      <c r="B15" s="235" t="s">
        <v>1267</v>
      </c>
    </row>
  </sheetData>
  <phoneticPr fontId="23" type="noConversion"/>
  <pageMargins left="0.46" right="0.35" top="0.76" bottom="0.984251969" header="0.34" footer="0.4921259845"/>
  <pageSetup paperSize="9" orientation="portrait"/>
  <headerFooter alignWithMargins="0">
    <oddHeader>&amp;LPrämientarife in der OKP</oddHeader>
    <oddFooter>&amp;LStatistik der Krankenversicherung, Bundesamt für Sozialversicherung</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7EE7-FF5D-3045-976A-48C5F131B039}">
  <dimension ref="A1:K42"/>
  <sheetViews>
    <sheetView topLeftCell="A22" zoomScale="75" workbookViewId="0">
      <selection activeCell="A33" sqref="A33:A35"/>
    </sheetView>
  </sheetViews>
  <sheetFormatPr baseColWidth="10" defaultColWidth="11.3984375" defaultRowHeight="13"/>
  <cols>
    <col min="1" max="1" width="11.19921875" style="3" customWidth="1"/>
    <col min="2" max="2" width="11.19921875" style="3" hidden="1" customWidth="1"/>
    <col min="3" max="8" width="11.19921875" style="3" customWidth="1"/>
    <col min="9" max="9" width="12.796875" style="3" customWidth="1"/>
    <col min="10" max="16384" width="11.3984375" style="3"/>
  </cols>
  <sheetData>
    <row r="1" spans="1:11" s="1" customFormat="1" ht="14" customHeight="1"/>
    <row r="2" spans="1:11" s="1" customFormat="1" ht="28" customHeight="1">
      <c r="A2" s="64" t="s">
        <v>1487</v>
      </c>
    </row>
    <row r="3" spans="1:11" ht="24" customHeight="1">
      <c r="A3" s="2" t="s">
        <v>1663</v>
      </c>
      <c r="B3" s="74">
        <v>1996</v>
      </c>
      <c r="C3" s="74">
        <v>1996</v>
      </c>
      <c r="D3" s="17">
        <v>1997</v>
      </c>
      <c r="E3" s="74">
        <v>1998</v>
      </c>
      <c r="F3" s="17">
        <v>1999</v>
      </c>
      <c r="G3" s="74">
        <v>2000</v>
      </c>
      <c r="H3" s="17">
        <v>2001</v>
      </c>
      <c r="I3" s="74">
        <v>2002</v>
      </c>
      <c r="J3" s="17">
        <v>2003</v>
      </c>
      <c r="K3" s="74">
        <v>2004</v>
      </c>
    </row>
    <row r="4" spans="1:11" ht="15" customHeight="1">
      <c r="A4" s="82"/>
      <c r="B4" s="75"/>
      <c r="C4" s="75" t="s">
        <v>885</v>
      </c>
      <c r="D4" s="18"/>
      <c r="E4" s="75"/>
      <c r="F4" s="18"/>
      <c r="G4" s="15"/>
      <c r="H4" s="66"/>
      <c r="I4" s="75"/>
      <c r="J4" s="18"/>
      <c r="K4" s="75"/>
    </row>
    <row r="5" spans="1:11" ht="16" customHeight="1">
      <c r="A5" s="83"/>
      <c r="B5" s="78"/>
      <c r="C5" s="78"/>
      <c r="D5" s="19"/>
      <c r="E5" s="78"/>
      <c r="F5" s="19"/>
      <c r="G5" s="16"/>
      <c r="H5" s="67"/>
      <c r="I5" s="78"/>
      <c r="J5" s="19"/>
      <c r="K5" s="78"/>
    </row>
    <row r="6" spans="1:11" ht="30" customHeight="1" thickBot="1">
      <c r="A6" s="146" t="s">
        <v>1671</v>
      </c>
      <c r="B6" s="20">
        <v>153.29054508483716</v>
      </c>
      <c r="C6" s="20">
        <v>161.38999999999999</v>
      </c>
      <c r="D6" s="91">
        <v>181.74761941037556</v>
      </c>
      <c r="E6" s="20">
        <v>196.00202818343942</v>
      </c>
      <c r="F6" s="91">
        <v>204.56496440459452</v>
      </c>
      <c r="G6" s="20">
        <v>214.60878128536802</v>
      </c>
      <c r="H6" s="91">
        <v>225.83</v>
      </c>
      <c r="I6" s="20">
        <v>249.25184999999999</v>
      </c>
      <c r="J6" s="68">
        <v>275.28021999999999</v>
      </c>
      <c r="K6" s="29">
        <v>285.95999999999998</v>
      </c>
    </row>
    <row r="7" spans="1:11" ht="20" customHeight="1" thickBot="1">
      <c r="A7" s="148" t="s">
        <v>1672</v>
      </c>
      <c r="B7" s="30">
        <v>158.55113159342818</v>
      </c>
      <c r="C7" s="30">
        <v>164.94</v>
      </c>
      <c r="D7" s="122">
        <v>178.90407101057329</v>
      </c>
      <c r="E7" s="30">
        <v>188.61433433173246</v>
      </c>
      <c r="F7" s="122">
        <v>201.25978915744582</v>
      </c>
      <c r="G7" s="30">
        <v>206.27433629075489</v>
      </c>
      <c r="H7" s="122">
        <v>214.24</v>
      </c>
      <c r="I7" s="30">
        <v>236.81533999999999</v>
      </c>
      <c r="J7" s="68">
        <v>260.21762999999999</v>
      </c>
      <c r="K7" s="29">
        <v>272.43</v>
      </c>
    </row>
    <row r="8" spans="1:11" ht="20" customHeight="1" thickBot="1">
      <c r="A8" s="148" t="s">
        <v>1673</v>
      </c>
      <c r="B8" s="30">
        <v>134.67895033237539</v>
      </c>
      <c r="C8" s="30">
        <v>139.1</v>
      </c>
      <c r="D8" s="122">
        <v>143.57709006234506</v>
      </c>
      <c r="E8" s="30">
        <v>153.2386309546296</v>
      </c>
      <c r="F8" s="122">
        <v>153.08542492035309</v>
      </c>
      <c r="G8" s="30">
        <v>162.59231768593037</v>
      </c>
      <c r="H8" s="122">
        <v>174.18</v>
      </c>
      <c r="I8" s="30">
        <v>193.38892000000001</v>
      </c>
      <c r="J8" s="68">
        <v>213.69806</v>
      </c>
      <c r="K8" s="29">
        <v>226.05</v>
      </c>
    </row>
    <row r="9" spans="1:11" ht="20" customHeight="1" thickBot="1">
      <c r="A9" s="148" t="s">
        <v>1674</v>
      </c>
      <c r="B9" s="30">
        <v>134.95768672951414</v>
      </c>
      <c r="C9" s="30">
        <v>141.16</v>
      </c>
      <c r="D9" s="122">
        <v>145.5123971024037</v>
      </c>
      <c r="E9" s="30">
        <v>152.96870852349821</v>
      </c>
      <c r="F9" s="122">
        <v>151.85893279388182</v>
      </c>
      <c r="G9" s="30">
        <v>155.97839469348565</v>
      </c>
      <c r="H9" s="122">
        <v>162.32</v>
      </c>
      <c r="I9" s="30">
        <v>179.01891000000001</v>
      </c>
      <c r="J9" s="68">
        <v>198.10935000000001</v>
      </c>
      <c r="K9" s="29">
        <v>206.39</v>
      </c>
    </row>
    <row r="10" spans="1:11" ht="20" customHeight="1" thickBot="1">
      <c r="A10" s="148" t="s">
        <v>1675</v>
      </c>
      <c r="B10" s="30">
        <v>134.45660111580844</v>
      </c>
      <c r="C10" s="30">
        <v>140.25</v>
      </c>
      <c r="D10" s="122">
        <v>154.58932622469482</v>
      </c>
      <c r="E10" s="30">
        <v>160.06682962371025</v>
      </c>
      <c r="F10" s="122">
        <v>157.52798339248363</v>
      </c>
      <c r="G10" s="30">
        <v>161.03489102830923</v>
      </c>
      <c r="H10" s="122">
        <v>171.06</v>
      </c>
      <c r="I10" s="30">
        <v>192.22412</v>
      </c>
      <c r="J10" s="68">
        <v>213.82740999999999</v>
      </c>
      <c r="K10" s="29">
        <v>224.67</v>
      </c>
    </row>
    <row r="11" spans="1:11" ht="20" customHeight="1" thickBot="1">
      <c r="A11" s="148" t="s">
        <v>1676</v>
      </c>
      <c r="B11" s="30">
        <v>137.58390190437046</v>
      </c>
      <c r="C11" s="30">
        <v>141.9</v>
      </c>
      <c r="D11" s="122">
        <v>150.48059358036346</v>
      </c>
      <c r="E11" s="30">
        <v>151.75133379152348</v>
      </c>
      <c r="F11" s="122">
        <v>150.6541390130584</v>
      </c>
      <c r="G11" s="30">
        <v>155.42777867792469</v>
      </c>
      <c r="H11" s="122">
        <v>163.99</v>
      </c>
      <c r="I11" s="30">
        <v>177.7379</v>
      </c>
      <c r="J11" s="68">
        <v>189.19853000000001</v>
      </c>
      <c r="K11" s="29">
        <v>197.66</v>
      </c>
    </row>
    <row r="12" spans="1:11" ht="20" customHeight="1" thickBot="1">
      <c r="A12" s="148" t="s">
        <v>1677</v>
      </c>
      <c r="B12" s="30">
        <v>130.84504672897197</v>
      </c>
      <c r="C12" s="30">
        <v>135.5</v>
      </c>
      <c r="D12" s="122">
        <v>142.42034638479478</v>
      </c>
      <c r="E12" s="30">
        <v>144.8240287051961</v>
      </c>
      <c r="F12" s="122">
        <v>143.0851864701819</v>
      </c>
      <c r="G12" s="30">
        <v>147.03459410221294</v>
      </c>
      <c r="H12" s="122">
        <v>154.96</v>
      </c>
      <c r="I12" s="30">
        <v>168.07506000000001</v>
      </c>
      <c r="J12" s="68">
        <v>183.25393</v>
      </c>
      <c r="K12" s="29">
        <v>192.14</v>
      </c>
    </row>
    <row r="13" spans="1:11" ht="20" customHeight="1" thickBot="1">
      <c r="A13" s="148" t="s">
        <v>1678</v>
      </c>
      <c r="B13" s="30">
        <v>128.29419254148183</v>
      </c>
      <c r="C13" s="30">
        <v>129.91</v>
      </c>
      <c r="D13" s="122">
        <v>142.97885760257441</v>
      </c>
      <c r="E13" s="30">
        <v>151.98406510079528</v>
      </c>
      <c r="F13" s="122">
        <v>154.08716723613713</v>
      </c>
      <c r="G13" s="30">
        <v>157.45437633505952</v>
      </c>
      <c r="H13" s="122">
        <v>169.57</v>
      </c>
      <c r="I13" s="30">
        <v>190.28371000000001</v>
      </c>
      <c r="J13" s="68">
        <v>213.61912000000001</v>
      </c>
      <c r="K13" s="29">
        <v>225.57</v>
      </c>
    </row>
    <row r="14" spans="1:11" ht="20" customHeight="1" thickBot="1">
      <c r="A14" s="148" t="s">
        <v>1679</v>
      </c>
      <c r="B14" s="30">
        <v>136.59697114249281</v>
      </c>
      <c r="C14" s="30">
        <v>142.31</v>
      </c>
      <c r="D14" s="122">
        <v>153.72972946648645</v>
      </c>
      <c r="E14" s="30">
        <v>153.40230466967873</v>
      </c>
      <c r="F14" s="122">
        <v>151.61979283853594</v>
      </c>
      <c r="G14" s="30">
        <v>156.98032288444494</v>
      </c>
      <c r="H14" s="122">
        <v>166.33</v>
      </c>
      <c r="I14" s="30">
        <v>186.00414000000001</v>
      </c>
      <c r="J14" s="68">
        <v>209.53888000000001</v>
      </c>
      <c r="K14" s="29">
        <v>222.2</v>
      </c>
    </row>
    <row r="15" spans="1:11" ht="20" customHeight="1" thickBot="1">
      <c r="A15" s="148" t="s">
        <v>1680</v>
      </c>
      <c r="B15" s="30">
        <v>175.04105550901633</v>
      </c>
      <c r="C15" s="30">
        <v>178.52</v>
      </c>
      <c r="D15" s="122">
        <v>190.51005291406392</v>
      </c>
      <c r="E15" s="30">
        <v>191.13510846174776</v>
      </c>
      <c r="F15" s="122">
        <v>194.51130641123947</v>
      </c>
      <c r="G15" s="30">
        <v>204.74739109792625</v>
      </c>
      <c r="H15" s="122">
        <v>219</v>
      </c>
      <c r="I15" s="30">
        <v>237.39559</v>
      </c>
      <c r="J15" s="68">
        <v>253.22302999999999</v>
      </c>
      <c r="K15" s="29">
        <v>257.31</v>
      </c>
    </row>
    <row r="16" spans="1:11" ht="20" customHeight="1" thickBot="1">
      <c r="A16" s="148" t="s">
        <v>1681</v>
      </c>
      <c r="B16" s="30">
        <v>136.69143164527779</v>
      </c>
      <c r="C16" s="30">
        <v>153.49</v>
      </c>
      <c r="D16" s="122">
        <v>174.39784107055755</v>
      </c>
      <c r="E16" s="30">
        <v>189.81747980375937</v>
      </c>
      <c r="F16" s="122">
        <v>194.79505634054161</v>
      </c>
      <c r="G16" s="30">
        <v>203.28838173925092</v>
      </c>
      <c r="H16" s="122">
        <v>208.4</v>
      </c>
      <c r="I16" s="30">
        <v>220.08157</v>
      </c>
      <c r="J16" s="68">
        <v>240.44400999999999</v>
      </c>
      <c r="K16" s="29">
        <v>252.59</v>
      </c>
    </row>
    <row r="17" spans="1:11" ht="20" customHeight="1" thickBot="1">
      <c r="A17" s="148" t="s">
        <v>1682</v>
      </c>
      <c r="B17" s="30">
        <v>191.43963598784845</v>
      </c>
      <c r="C17" s="30">
        <v>197.47</v>
      </c>
      <c r="D17" s="122">
        <v>227.39206822581488</v>
      </c>
      <c r="E17" s="30">
        <v>249.08995494732562</v>
      </c>
      <c r="F17" s="122">
        <v>269.95984005961856</v>
      </c>
      <c r="G17" s="30">
        <v>283.15886833389669</v>
      </c>
      <c r="H17" s="122">
        <v>300.27999999999997</v>
      </c>
      <c r="I17" s="30">
        <v>326.16320000000002</v>
      </c>
      <c r="J17" s="68">
        <v>355.56977000000001</v>
      </c>
      <c r="K17" s="29">
        <v>377.5</v>
      </c>
    </row>
    <row r="18" spans="1:11" ht="20" customHeight="1" thickBot="1">
      <c r="A18" s="148" t="s">
        <v>1683</v>
      </c>
      <c r="B18" s="30">
        <v>160.8793210751939</v>
      </c>
      <c r="C18" s="30">
        <v>169.85</v>
      </c>
      <c r="D18" s="122">
        <v>193.34249054078401</v>
      </c>
      <c r="E18" s="30">
        <v>205.76685458807557</v>
      </c>
      <c r="F18" s="122">
        <v>207.25163370069049</v>
      </c>
      <c r="G18" s="30">
        <v>214.55458510182976</v>
      </c>
      <c r="H18" s="122">
        <v>225.18</v>
      </c>
      <c r="I18" s="30">
        <v>247.74626000000001</v>
      </c>
      <c r="J18" s="68">
        <v>272.16631999999998</v>
      </c>
      <c r="K18" s="29">
        <v>285.56</v>
      </c>
    </row>
    <row r="19" spans="1:11" ht="20" customHeight="1" thickBot="1">
      <c r="A19" s="148" t="s">
        <v>1684</v>
      </c>
      <c r="B19" s="30">
        <v>139.68868748220555</v>
      </c>
      <c r="C19" s="30">
        <v>143.76</v>
      </c>
      <c r="D19" s="122">
        <v>167.06871021092456</v>
      </c>
      <c r="E19" s="30">
        <v>175.44410487580495</v>
      </c>
      <c r="F19" s="122">
        <v>185.0638682097516</v>
      </c>
      <c r="G19" s="30">
        <v>192.3170919504424</v>
      </c>
      <c r="H19" s="122">
        <v>202.52</v>
      </c>
      <c r="I19" s="30">
        <v>234.57712000000001</v>
      </c>
      <c r="J19" s="68">
        <v>256.67111999999997</v>
      </c>
      <c r="K19" s="29">
        <v>268.14999999999998</v>
      </c>
    </row>
    <row r="20" spans="1:11" ht="20" customHeight="1" thickBot="1">
      <c r="A20" s="148" t="s">
        <v>1685</v>
      </c>
      <c r="B20" s="30">
        <v>117.66163332768265</v>
      </c>
      <c r="C20" s="30">
        <v>120.66</v>
      </c>
      <c r="D20" s="122">
        <v>134.57239758753036</v>
      </c>
      <c r="E20" s="30">
        <v>146.4983795331388</v>
      </c>
      <c r="F20" s="122">
        <v>146.59109792193715</v>
      </c>
      <c r="G20" s="30">
        <v>149.68480463866564</v>
      </c>
      <c r="H20" s="122">
        <v>160.36000000000001</v>
      </c>
      <c r="I20" s="30">
        <v>176.92891</v>
      </c>
      <c r="J20" s="68">
        <v>195.91064</v>
      </c>
      <c r="K20" s="29">
        <v>204.72</v>
      </c>
    </row>
    <row r="21" spans="1:11" ht="20" customHeight="1" thickBot="1">
      <c r="A21" s="148" t="s">
        <v>1686</v>
      </c>
      <c r="B21" s="30">
        <v>114.22864746826805</v>
      </c>
      <c r="C21" s="30">
        <v>117.49</v>
      </c>
      <c r="D21" s="122">
        <v>125.32828990016854</v>
      </c>
      <c r="E21" s="30">
        <v>133.14947357866239</v>
      </c>
      <c r="F21" s="122">
        <v>131.34777988963828</v>
      </c>
      <c r="G21" s="30">
        <v>132.89659199669521</v>
      </c>
      <c r="H21" s="122">
        <v>145.16999999999999</v>
      </c>
      <c r="I21" s="30">
        <v>158.90671</v>
      </c>
      <c r="J21" s="68">
        <v>173.64661000000001</v>
      </c>
      <c r="K21" s="29">
        <v>183.62</v>
      </c>
    </row>
    <row r="22" spans="1:11" ht="20" customHeight="1" thickBot="1">
      <c r="A22" s="148" t="s">
        <v>1687</v>
      </c>
      <c r="B22" s="30">
        <v>125.5704997780322</v>
      </c>
      <c r="C22" s="30">
        <v>129.91</v>
      </c>
      <c r="D22" s="122">
        <v>144.38414639400574</v>
      </c>
      <c r="E22" s="30">
        <v>157.70305244819662</v>
      </c>
      <c r="F22" s="122">
        <v>160.05901339082263</v>
      </c>
      <c r="G22" s="30">
        <v>164.68000692764107</v>
      </c>
      <c r="H22" s="122">
        <v>175.58</v>
      </c>
      <c r="I22" s="30">
        <v>193.89466999999999</v>
      </c>
      <c r="J22" s="68">
        <v>210.78359</v>
      </c>
      <c r="K22" s="29">
        <v>225.37</v>
      </c>
    </row>
    <row r="23" spans="1:11" ht="20" customHeight="1" thickBot="1">
      <c r="A23" s="148" t="s">
        <v>1688</v>
      </c>
      <c r="B23" s="30">
        <v>119.85956620265458</v>
      </c>
      <c r="C23" s="30">
        <v>122.63</v>
      </c>
      <c r="D23" s="122">
        <v>144.11893562856102</v>
      </c>
      <c r="E23" s="30">
        <v>144.77702993957635</v>
      </c>
      <c r="F23" s="122">
        <v>147.11126893343456</v>
      </c>
      <c r="G23" s="30">
        <v>155.12945645924145</v>
      </c>
      <c r="H23" s="122">
        <v>168</v>
      </c>
      <c r="I23" s="30">
        <v>190.35756000000001</v>
      </c>
      <c r="J23" s="68">
        <v>215.96934999999999</v>
      </c>
      <c r="K23" s="29">
        <v>228.95</v>
      </c>
    </row>
    <row r="24" spans="1:11" ht="20" customHeight="1" thickBot="1">
      <c r="A24" s="148" t="s">
        <v>1689</v>
      </c>
      <c r="B24" s="30">
        <v>106.68640035872531</v>
      </c>
      <c r="C24" s="30">
        <v>132.41999999999999</v>
      </c>
      <c r="D24" s="122">
        <v>149.28856926870534</v>
      </c>
      <c r="E24" s="30">
        <v>160.04363007055017</v>
      </c>
      <c r="F24" s="122">
        <v>165.54637553497736</v>
      </c>
      <c r="G24" s="30">
        <v>174.78444225248529</v>
      </c>
      <c r="H24" s="122">
        <v>190.11</v>
      </c>
      <c r="I24" s="30">
        <v>212.10615999999999</v>
      </c>
      <c r="J24" s="68">
        <v>232.59259</v>
      </c>
      <c r="K24" s="29">
        <v>244.4</v>
      </c>
    </row>
    <row r="25" spans="1:11" ht="20" customHeight="1" thickBot="1">
      <c r="A25" s="148" t="s">
        <v>1690</v>
      </c>
      <c r="B25" s="30">
        <v>125.89932433941615</v>
      </c>
      <c r="C25" s="30">
        <v>130.75</v>
      </c>
      <c r="D25" s="122">
        <v>152.67183076361556</v>
      </c>
      <c r="E25" s="30">
        <v>166.13212539894155</v>
      </c>
      <c r="F25" s="122">
        <v>173.91081430580377</v>
      </c>
      <c r="G25" s="30">
        <v>180.22488745415569</v>
      </c>
      <c r="H25" s="122">
        <v>198.02</v>
      </c>
      <c r="I25" s="30">
        <v>225.25766999999999</v>
      </c>
      <c r="J25" s="68">
        <v>250.03977</v>
      </c>
      <c r="K25" s="29">
        <v>262.89</v>
      </c>
    </row>
    <row r="26" spans="1:11" ht="20" customHeight="1" thickBot="1">
      <c r="A26" s="148" t="s">
        <v>1691</v>
      </c>
      <c r="B26" s="30">
        <v>195.20141418113619</v>
      </c>
      <c r="C26" s="30">
        <v>202.05</v>
      </c>
      <c r="D26" s="122">
        <v>221.64821956701763</v>
      </c>
      <c r="E26" s="30">
        <v>239.64824283614516</v>
      </c>
      <c r="F26" s="122">
        <v>242.63157967888316</v>
      </c>
      <c r="G26" s="30">
        <v>247.60432959342589</v>
      </c>
      <c r="H26" s="122">
        <v>257.93</v>
      </c>
      <c r="I26" s="30">
        <v>280.14476999999999</v>
      </c>
      <c r="J26" s="68">
        <v>306.45803000000001</v>
      </c>
      <c r="K26" s="29">
        <v>328.44</v>
      </c>
    </row>
    <row r="27" spans="1:11" ht="20" customHeight="1" thickBot="1">
      <c r="A27" s="148" t="s">
        <v>1692</v>
      </c>
      <c r="B27" s="30">
        <v>250.86297780951151</v>
      </c>
      <c r="C27" s="30">
        <v>254.22</v>
      </c>
      <c r="D27" s="122">
        <v>265.0439754536082</v>
      </c>
      <c r="E27" s="30">
        <v>263.08633335060824</v>
      </c>
      <c r="F27" s="122">
        <v>270.67558737547967</v>
      </c>
      <c r="G27" s="30">
        <v>274.83631654030387</v>
      </c>
      <c r="H27" s="122">
        <v>288.01</v>
      </c>
      <c r="I27" s="30">
        <v>309.12257</v>
      </c>
      <c r="J27" s="68">
        <v>338.71998000000002</v>
      </c>
      <c r="K27" s="29">
        <v>341.4</v>
      </c>
    </row>
    <row r="28" spans="1:11" ht="20" customHeight="1" thickBot="1">
      <c r="A28" s="148" t="s">
        <v>1693</v>
      </c>
      <c r="B28" s="30">
        <v>166.26105782296611</v>
      </c>
      <c r="C28" s="30">
        <v>171.56</v>
      </c>
      <c r="D28" s="122">
        <v>172.41864224466755</v>
      </c>
      <c r="E28" s="30">
        <v>167.16669943841148</v>
      </c>
      <c r="F28" s="122">
        <v>168.76751136732656</v>
      </c>
      <c r="G28" s="30">
        <v>170.7753395375473</v>
      </c>
      <c r="H28" s="122">
        <v>178.74</v>
      </c>
      <c r="I28" s="30">
        <v>193.50014999999999</v>
      </c>
      <c r="J28" s="68">
        <v>211.19194999999999</v>
      </c>
      <c r="K28" s="29">
        <v>226.02</v>
      </c>
    </row>
    <row r="29" spans="1:11" ht="20" customHeight="1" thickBot="1">
      <c r="A29" s="148" t="s">
        <v>1694</v>
      </c>
      <c r="B29" s="30">
        <v>182.19524165383032</v>
      </c>
      <c r="C29" s="30">
        <v>186.79</v>
      </c>
      <c r="D29" s="122">
        <v>209.60890775240387</v>
      </c>
      <c r="E29" s="30">
        <v>231.06217497794015</v>
      </c>
      <c r="F29" s="122">
        <v>247.3175692987063</v>
      </c>
      <c r="G29" s="30">
        <v>254.10089923369213</v>
      </c>
      <c r="H29" s="122">
        <v>263.48</v>
      </c>
      <c r="I29" s="30">
        <v>293.69824</v>
      </c>
      <c r="J29" s="68">
        <v>319.02927</v>
      </c>
      <c r="K29" s="29">
        <v>331.59</v>
      </c>
    </row>
    <row r="30" spans="1:11" ht="20" customHeight="1" thickBot="1">
      <c r="A30" s="148" t="s">
        <v>1695</v>
      </c>
      <c r="B30" s="30">
        <v>249.78789170339516</v>
      </c>
      <c r="C30" s="30">
        <v>262.29000000000002</v>
      </c>
      <c r="D30" s="122">
        <v>280.97595294559625</v>
      </c>
      <c r="E30" s="30">
        <v>292.53003148629085</v>
      </c>
      <c r="F30" s="122">
        <v>298.44549609980186</v>
      </c>
      <c r="G30" s="30">
        <v>320.43181073162663</v>
      </c>
      <c r="H30" s="122">
        <v>336.47</v>
      </c>
      <c r="I30" s="30">
        <v>363.55230999999998</v>
      </c>
      <c r="J30" s="68">
        <v>389.5677</v>
      </c>
      <c r="K30" s="29">
        <v>398.27</v>
      </c>
    </row>
    <row r="31" spans="1:11" ht="20" customHeight="1" thickBot="1">
      <c r="A31" s="148" t="s">
        <v>1696</v>
      </c>
      <c r="B31" s="30">
        <v>185.5585448541552</v>
      </c>
      <c r="C31" s="30">
        <v>187.76</v>
      </c>
      <c r="D31" s="122">
        <v>202.37524782381857</v>
      </c>
      <c r="E31" s="30">
        <v>221.92375082863774</v>
      </c>
      <c r="F31" s="122">
        <v>226.4991872043224</v>
      </c>
      <c r="G31" s="30">
        <v>237.61423548859224</v>
      </c>
      <c r="H31" s="122">
        <v>261.69</v>
      </c>
      <c r="I31" s="30">
        <v>285.07929000000001</v>
      </c>
      <c r="J31" s="68">
        <v>300.93169999999998</v>
      </c>
      <c r="K31" s="29">
        <v>309.3</v>
      </c>
    </row>
    <row r="32" spans="1:11" ht="30" customHeight="1" thickBot="1">
      <c r="A32" s="13" t="s">
        <v>1697</v>
      </c>
      <c r="B32" s="136">
        <v>166.16924861756607</v>
      </c>
      <c r="C32" s="136">
        <v>173.08</v>
      </c>
      <c r="D32" s="138">
        <v>188.06152293360134</v>
      </c>
      <c r="E32" s="136">
        <v>197.28646689698576</v>
      </c>
      <c r="F32" s="138">
        <v>203.88952141156713</v>
      </c>
      <c r="G32" s="136">
        <v>211.67614847185897</v>
      </c>
      <c r="H32" s="138">
        <v>223.27</v>
      </c>
      <c r="I32" s="136">
        <v>245.01247000000001</v>
      </c>
      <c r="J32" s="72">
        <v>268.54743999999999</v>
      </c>
      <c r="K32" s="270">
        <v>279.98</v>
      </c>
    </row>
    <row r="33" spans="1:10" ht="20" customHeight="1">
      <c r="A33" s="9" t="s">
        <v>463</v>
      </c>
      <c r="B33" s="151"/>
      <c r="C33" s="151"/>
      <c r="D33" s="151"/>
      <c r="E33" s="151"/>
      <c r="F33" s="151"/>
      <c r="G33" s="151"/>
      <c r="H33" s="151"/>
      <c r="I33" s="151"/>
      <c r="J33" s="271"/>
    </row>
    <row r="34" spans="1:10" ht="15.75" customHeight="1">
      <c r="A34" s="38"/>
      <c r="B34" s="152"/>
      <c r="C34" s="152"/>
      <c r="D34" s="152"/>
      <c r="E34" s="152"/>
      <c r="F34" s="152"/>
      <c r="G34" s="152"/>
      <c r="H34" s="152"/>
      <c r="I34" s="152"/>
      <c r="J34" s="272"/>
    </row>
    <row r="35" spans="1:10" ht="14.25" customHeight="1">
      <c r="A35" s="38" t="s">
        <v>870</v>
      </c>
      <c r="B35" s="152"/>
      <c r="C35" s="152"/>
      <c r="D35" s="152"/>
      <c r="E35" s="152"/>
      <c r="F35" s="152"/>
      <c r="G35" s="152"/>
      <c r="H35" s="152"/>
      <c r="I35" s="152"/>
      <c r="J35" s="272"/>
    </row>
    <row r="36" spans="1:10" ht="20" customHeight="1">
      <c r="A36" s="38"/>
      <c r="B36" s="152"/>
      <c r="C36" s="152"/>
      <c r="D36" s="152"/>
      <c r="E36" s="152"/>
      <c r="F36" s="152"/>
      <c r="G36" s="152"/>
      <c r="H36" s="152"/>
      <c r="I36" s="152"/>
      <c r="J36" s="272"/>
    </row>
    <row r="37" spans="1:10" ht="12.75" customHeight="1">
      <c r="A37" s="38" t="s">
        <v>1481</v>
      </c>
      <c r="B37" s="152"/>
      <c r="C37" s="152"/>
      <c r="D37" s="152"/>
      <c r="E37" s="152"/>
      <c r="F37" s="152"/>
      <c r="G37" s="152"/>
      <c r="H37" s="152"/>
      <c r="I37" s="152"/>
      <c r="J37" s="272"/>
    </row>
    <row r="38" spans="1:10">
      <c r="A38" s="3" t="s">
        <v>1482</v>
      </c>
    </row>
    <row r="39" spans="1:10">
      <c r="A39" s="3" t="s">
        <v>1483</v>
      </c>
    </row>
    <row r="40" spans="1:10">
      <c r="A40" s="3" t="s">
        <v>1484</v>
      </c>
    </row>
    <row r="41" spans="1:10">
      <c r="A41" s="38" t="s">
        <v>1485</v>
      </c>
    </row>
    <row r="42" spans="1:10">
      <c r="A42" s="38" t="s">
        <v>1486</v>
      </c>
    </row>
  </sheetData>
  <phoneticPr fontId="0" type="noConversion"/>
  <pageMargins left="0.45" right="0.49" top="1.28" bottom="0.49" header="0.93" footer="0.4921259845"/>
  <pageSetup paperSize="9" scale="80"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E144-A52D-A94F-9B65-3421E30D2500}">
  <dimension ref="A1:N42"/>
  <sheetViews>
    <sheetView zoomScale="75" workbookViewId="0">
      <selection activeCell="A35" sqref="A35:A37"/>
    </sheetView>
  </sheetViews>
  <sheetFormatPr baseColWidth="10" defaultColWidth="11.3984375" defaultRowHeight="13"/>
  <cols>
    <col min="1" max="1" width="10.59765625" style="3" customWidth="1"/>
    <col min="2" max="7" width="11.19921875" style="3" customWidth="1"/>
    <col min="8" max="8" width="12.59765625" style="3" customWidth="1"/>
    <col min="9" max="9" width="12.3984375" style="3" customWidth="1"/>
    <col min="10" max="10" width="13.19921875" style="3" customWidth="1"/>
    <col min="11" max="16384" width="11.3984375" style="3"/>
  </cols>
  <sheetData>
    <row r="1" spans="1:11" s="1" customFormat="1" ht="14" customHeight="1"/>
    <row r="2" spans="1:11" s="1" customFormat="1" ht="28" customHeight="1">
      <c r="A2" s="64" t="s">
        <v>1480</v>
      </c>
    </row>
    <row r="3" spans="1:11" ht="24" customHeight="1">
      <c r="A3" s="2" t="s">
        <v>1663</v>
      </c>
      <c r="B3" s="144" t="s">
        <v>873</v>
      </c>
      <c r="C3" s="96" t="s">
        <v>873</v>
      </c>
      <c r="D3" s="144" t="s">
        <v>873</v>
      </c>
      <c r="E3" s="96" t="s">
        <v>873</v>
      </c>
      <c r="F3" s="144" t="s">
        <v>873</v>
      </c>
      <c r="G3" s="96" t="s">
        <v>873</v>
      </c>
      <c r="H3" s="144" t="s">
        <v>873</v>
      </c>
      <c r="I3" s="96" t="s">
        <v>873</v>
      </c>
      <c r="J3" s="144" t="s">
        <v>1744</v>
      </c>
    </row>
    <row r="4" spans="1:11" ht="15" customHeight="1">
      <c r="A4" s="82"/>
      <c r="B4" s="76" t="s">
        <v>874</v>
      </c>
      <c r="C4" s="108" t="s">
        <v>874</v>
      </c>
      <c r="D4" s="109" t="s">
        <v>874</v>
      </c>
      <c r="E4" s="108" t="s">
        <v>874</v>
      </c>
      <c r="F4" s="109" t="s">
        <v>874</v>
      </c>
      <c r="G4" s="108" t="s">
        <v>874</v>
      </c>
      <c r="H4" s="76" t="s">
        <v>874</v>
      </c>
      <c r="I4" s="4" t="s">
        <v>874</v>
      </c>
      <c r="J4" s="76" t="s">
        <v>1745</v>
      </c>
    </row>
    <row r="5" spans="1:11" ht="15" customHeight="1">
      <c r="A5" s="82"/>
      <c r="B5" s="76" t="s">
        <v>875</v>
      </c>
      <c r="C5" s="4" t="s">
        <v>876</v>
      </c>
      <c r="D5" s="76" t="s">
        <v>877</v>
      </c>
      <c r="E5" s="4" t="s">
        <v>878</v>
      </c>
      <c r="F5" s="109" t="s">
        <v>879</v>
      </c>
      <c r="G5" s="4" t="s">
        <v>880</v>
      </c>
      <c r="H5" s="76" t="s">
        <v>881</v>
      </c>
      <c r="I5" s="4" t="s">
        <v>882</v>
      </c>
      <c r="J5" s="76" t="s">
        <v>1746</v>
      </c>
    </row>
    <row r="6" spans="1:11" ht="15" customHeight="1">
      <c r="A6" s="82"/>
      <c r="B6" s="248" t="s">
        <v>883</v>
      </c>
      <c r="C6" s="4"/>
      <c r="D6" s="76"/>
      <c r="E6" s="4"/>
      <c r="F6" s="109"/>
      <c r="G6" s="4"/>
      <c r="H6" s="76"/>
      <c r="I6" s="4"/>
      <c r="J6" s="76" t="s">
        <v>884</v>
      </c>
    </row>
    <row r="7" spans="1:11" ht="16" customHeight="1">
      <c r="A7" s="83"/>
      <c r="B7" s="77"/>
      <c r="C7" s="5"/>
      <c r="D7" s="77"/>
      <c r="E7" s="5"/>
      <c r="F7" s="110"/>
      <c r="G7" s="5"/>
      <c r="H7" s="77"/>
      <c r="I7" s="5"/>
      <c r="J7" s="249" t="s">
        <v>885</v>
      </c>
    </row>
    <row r="8" spans="1:11" ht="30" customHeight="1" thickBot="1">
      <c r="A8" s="146" t="s">
        <v>1671</v>
      </c>
      <c r="B8" s="251">
        <v>0.12613928626541648</v>
      </c>
      <c r="C8" s="252">
        <v>7.8429686283143063E-2</v>
      </c>
      <c r="D8" s="251">
        <v>4.3687998030005115E-2</v>
      </c>
      <c r="E8" s="252">
        <v>4.9098421667693515E-2</v>
      </c>
      <c r="F8" s="251">
        <v>5.2286857263827313E-2</v>
      </c>
      <c r="G8" s="252">
        <v>0.10371451977150947</v>
      </c>
      <c r="H8" s="251">
        <v>0.10442598520331936</v>
      </c>
      <c r="I8" s="252">
        <v>3.8796031185967417E-2</v>
      </c>
      <c r="J8" s="251">
        <v>7.4121929569863854E-2</v>
      </c>
      <c r="K8" s="43"/>
    </row>
    <row r="9" spans="1:11" ht="20" customHeight="1" thickBot="1">
      <c r="A9" s="148" t="s">
        <v>1672</v>
      </c>
      <c r="B9" s="206">
        <v>8.4661519404469976E-2</v>
      </c>
      <c r="C9" s="191">
        <v>5.4276368705915568E-2</v>
      </c>
      <c r="D9" s="206">
        <v>6.7043975583916726E-2</v>
      </c>
      <c r="E9" s="191">
        <v>2.4915792440715512E-2</v>
      </c>
      <c r="F9" s="206">
        <v>3.8616843241308985E-2</v>
      </c>
      <c r="G9" s="191">
        <v>0.10537406646751291</v>
      </c>
      <c r="H9" s="206">
        <v>9.8820836521823274E-2</v>
      </c>
      <c r="I9" s="191">
        <v>4.6931370484006196E-2</v>
      </c>
      <c r="J9" s="251">
        <v>6.4733987663932346E-2</v>
      </c>
      <c r="K9" s="43"/>
    </row>
    <row r="10" spans="1:11" ht="20" customHeight="1" thickBot="1">
      <c r="A10" s="148" t="s">
        <v>1673</v>
      </c>
      <c r="B10" s="206">
        <v>3.2186125538066657E-2</v>
      </c>
      <c r="C10" s="191">
        <v>6.729166114238172E-2</v>
      </c>
      <c r="D10" s="206">
        <v>-9.9978728158878205E-4</v>
      </c>
      <c r="E10" s="191">
        <v>6.2101880505760043E-2</v>
      </c>
      <c r="F10" s="206">
        <v>7.1268326074623412E-2</v>
      </c>
      <c r="G10" s="191">
        <v>0.11028200711907221</v>
      </c>
      <c r="H10" s="206">
        <v>0.10501708164045787</v>
      </c>
      <c r="I10" s="191">
        <v>5.7800899081629442E-2</v>
      </c>
      <c r="J10" s="251">
        <v>6.2575193166488852E-2</v>
      </c>
      <c r="K10" s="43"/>
    </row>
    <row r="11" spans="1:11" ht="20" customHeight="1" thickBot="1">
      <c r="A11" s="148" t="s">
        <v>1674</v>
      </c>
      <c r="B11" s="206">
        <v>3.083307666763746E-2</v>
      </c>
      <c r="C11" s="191">
        <v>5.1241760630519773E-2</v>
      </c>
      <c r="D11" s="206">
        <v>-7.2549199135449882E-3</v>
      </c>
      <c r="E11" s="191">
        <v>2.7126898785698517E-2</v>
      </c>
      <c r="F11" s="206">
        <v>4.06569468738045E-2</v>
      </c>
      <c r="G11" s="191">
        <v>0.10287647856086757</v>
      </c>
      <c r="H11" s="206">
        <v>0.10663923716215229</v>
      </c>
      <c r="I11" s="191">
        <v>4.1798380540847724E-2</v>
      </c>
      <c r="J11" s="251">
        <v>4.8629630546802805E-2</v>
      </c>
      <c r="K11" s="43"/>
    </row>
    <row r="12" spans="1:11" ht="20" customHeight="1" thickBot="1">
      <c r="A12" s="148" t="s">
        <v>1675</v>
      </c>
      <c r="B12" s="206">
        <v>0.10224118520281511</v>
      </c>
      <c r="C12" s="191">
        <v>3.543261059986702E-2</v>
      </c>
      <c r="D12" s="206">
        <v>-1.5861163972542003E-2</v>
      </c>
      <c r="E12" s="191">
        <v>2.2262124863796862E-2</v>
      </c>
      <c r="F12" s="206">
        <v>6.2254266188365381E-2</v>
      </c>
      <c r="G12" s="191">
        <v>0.12372337191628668</v>
      </c>
      <c r="H12" s="206">
        <v>0.11238594823584047</v>
      </c>
      <c r="I12" s="191">
        <v>5.0707203533915557E-2</v>
      </c>
      <c r="J12" s="251">
        <v>6.0669979206322111E-2</v>
      </c>
      <c r="K12" s="43"/>
    </row>
    <row r="13" spans="1:11" ht="20" customHeight="1" thickBot="1">
      <c r="A13" s="148" t="s">
        <v>1676</v>
      </c>
      <c r="B13" s="206">
        <v>6.0469299368311802E-2</v>
      </c>
      <c r="C13" s="191">
        <v>8.4445454455319702E-3</v>
      </c>
      <c r="D13" s="206">
        <v>-7.2302150567744583E-3</v>
      </c>
      <c r="E13" s="191">
        <v>3.1686083742130222E-2</v>
      </c>
      <c r="F13" s="206">
        <v>5.5088101978333137E-2</v>
      </c>
      <c r="G13" s="191">
        <v>8.3833770351850578E-2</v>
      </c>
      <c r="H13" s="206">
        <v>6.4480507533846154E-2</v>
      </c>
      <c r="I13" s="191">
        <v>4.4722704769429189E-2</v>
      </c>
      <c r="J13" s="251">
        <v>4.2298348044004008E-2</v>
      </c>
      <c r="K13" s="43"/>
    </row>
    <row r="14" spans="1:11" ht="20" customHeight="1" thickBot="1">
      <c r="A14" s="148" t="s">
        <v>1677</v>
      </c>
      <c r="B14" s="206">
        <v>5.1072667046455855E-2</v>
      </c>
      <c r="C14" s="191">
        <v>1.6877380103450967E-2</v>
      </c>
      <c r="D14" s="206">
        <v>-1.2006586548933718E-2</v>
      </c>
      <c r="E14" s="191">
        <v>2.760179253674222E-2</v>
      </c>
      <c r="F14" s="206">
        <v>5.3901640944971296E-2</v>
      </c>
      <c r="G14" s="191">
        <v>8.4635131646876527E-2</v>
      </c>
      <c r="H14" s="206">
        <v>9.0310067418687856E-2</v>
      </c>
      <c r="I14" s="191">
        <v>4.8490474392554495E-2</v>
      </c>
      <c r="J14" s="251">
        <v>4.4623547704069288E-2</v>
      </c>
      <c r="K14" s="43"/>
    </row>
    <row r="15" spans="1:11" ht="20" customHeight="1" thickBot="1">
      <c r="A15" s="148" t="s">
        <v>1678</v>
      </c>
      <c r="B15" s="206">
        <v>0.10059931954872159</v>
      </c>
      <c r="C15" s="191">
        <v>6.2982790946979339E-2</v>
      </c>
      <c r="D15" s="206">
        <v>1.3837648926860124E-2</v>
      </c>
      <c r="E15" s="191">
        <v>2.185262510382957E-2</v>
      </c>
      <c r="F15" s="206">
        <v>7.6946884214629252E-2</v>
      </c>
      <c r="G15" s="191">
        <v>0.12215433154449507</v>
      </c>
      <c r="H15" s="206">
        <v>0.12263482775272783</v>
      </c>
      <c r="I15" s="191">
        <v>5.5944804940681214E-2</v>
      </c>
      <c r="J15" s="251">
        <v>7.1407900711201844E-2</v>
      </c>
      <c r="K15" s="43"/>
    </row>
    <row r="16" spans="1:11" ht="20" customHeight="1" thickBot="1">
      <c r="A16" s="148" t="s">
        <v>1679</v>
      </c>
      <c r="B16" s="206">
        <v>8.0245446324829217E-2</v>
      </c>
      <c r="C16" s="191">
        <v>-2.1298729786621839E-3</v>
      </c>
      <c r="D16" s="206">
        <v>-1.1619850399125831E-2</v>
      </c>
      <c r="E16" s="191">
        <v>3.5355080926786187E-2</v>
      </c>
      <c r="F16" s="206">
        <v>5.9559548252665184E-2</v>
      </c>
      <c r="G16" s="191">
        <v>0.11828377322190819</v>
      </c>
      <c r="H16" s="206">
        <v>0.12652804394568862</v>
      </c>
      <c r="I16" s="191">
        <v>6.0423726613409334E-2</v>
      </c>
      <c r="J16" s="251">
        <v>5.7276500507718486E-2</v>
      </c>
      <c r="K16" s="43"/>
    </row>
    <row r="17" spans="1:11" ht="20" customHeight="1" thickBot="1">
      <c r="A17" s="148" t="s">
        <v>1680</v>
      </c>
      <c r="B17" s="206">
        <v>6.716363944691861E-2</v>
      </c>
      <c r="C17" s="191">
        <v>3.280958343787832E-3</v>
      </c>
      <c r="D17" s="206">
        <v>1.766393404468336E-2</v>
      </c>
      <c r="E17" s="191">
        <v>5.2624625660810942E-2</v>
      </c>
      <c r="F17" s="206">
        <v>6.9610698459434905E-2</v>
      </c>
      <c r="G17" s="191">
        <v>8.3998127853881277E-2</v>
      </c>
      <c r="H17" s="206">
        <v>6.6671162678295648E-2</v>
      </c>
      <c r="I17" s="191">
        <v>1.6139803713745904E-2</v>
      </c>
      <c r="J17" s="251">
        <v>4.6757842355278578E-2</v>
      </c>
      <c r="K17" s="43"/>
    </row>
    <row r="18" spans="1:11" ht="20" customHeight="1" thickBot="1">
      <c r="A18" s="148" t="s">
        <v>1681</v>
      </c>
      <c r="B18" s="206">
        <v>0.13621630771097482</v>
      </c>
      <c r="C18" s="191">
        <v>8.8416454232156383E-2</v>
      </c>
      <c r="D18" s="206">
        <v>2.6222961878580753E-2</v>
      </c>
      <c r="E18" s="191">
        <v>4.3601339573327014E-2</v>
      </c>
      <c r="F18" s="206">
        <v>2.514466501733259E-2</v>
      </c>
      <c r="G18" s="191">
        <v>5.605359884836858E-2</v>
      </c>
      <c r="H18" s="206">
        <v>9.2522240731016225E-2</v>
      </c>
      <c r="I18" s="191">
        <v>5.0514837113222466E-2</v>
      </c>
      <c r="J18" s="251">
        <v>6.4245955420886958E-2</v>
      </c>
      <c r="K18" s="43"/>
    </row>
    <row r="19" spans="1:11" ht="20" customHeight="1" thickBot="1">
      <c r="A19" s="148" t="s">
        <v>1682</v>
      </c>
      <c r="B19" s="206">
        <v>0.15152715969927022</v>
      </c>
      <c r="C19" s="191">
        <v>9.5420596201110097E-2</v>
      </c>
      <c r="D19" s="206">
        <v>8.3784531241760662E-2</v>
      </c>
      <c r="E19" s="191">
        <v>4.8892562209857715E-2</v>
      </c>
      <c r="F19" s="206">
        <v>6.0464755233850864E-2</v>
      </c>
      <c r="G19" s="191">
        <v>8.6196882909284733E-2</v>
      </c>
      <c r="H19" s="206">
        <v>9.015906760787229E-2</v>
      </c>
      <c r="I19" s="191">
        <v>6.1676306171922324E-2</v>
      </c>
      <c r="J19" s="251">
        <v>8.4368713543270246E-2</v>
      </c>
      <c r="K19" s="43"/>
    </row>
    <row r="20" spans="1:11" ht="20" customHeight="1" thickBot="1">
      <c r="A20" s="148" t="s">
        <v>1683</v>
      </c>
      <c r="B20" s="206">
        <v>0.138313161853306</v>
      </c>
      <c r="C20" s="191">
        <v>6.4260908259432759E-2</v>
      </c>
      <c r="D20" s="206">
        <v>7.2158322854636303E-3</v>
      </c>
      <c r="E20" s="191">
        <v>3.5237123446206775E-2</v>
      </c>
      <c r="F20" s="206">
        <v>4.9523131342671167E-2</v>
      </c>
      <c r="G20" s="191">
        <v>0.10021431743494102</v>
      </c>
      <c r="H20" s="206">
        <v>9.8568834096627533E-2</v>
      </c>
      <c r="I20" s="191">
        <v>4.9211379277200873E-2</v>
      </c>
      <c r="J20" s="251">
        <v>6.7097193651353804E-2</v>
      </c>
      <c r="K20" s="43"/>
    </row>
    <row r="21" spans="1:11" ht="20" customHeight="1" thickBot="1">
      <c r="A21" s="148" t="s">
        <v>1684</v>
      </c>
      <c r="B21" s="206">
        <v>0.16213627024850141</v>
      </c>
      <c r="C21" s="191">
        <v>5.013143786353802E-2</v>
      </c>
      <c r="D21" s="206">
        <v>5.4830929433373532E-2</v>
      </c>
      <c r="E21" s="191">
        <v>3.9193084046368121E-2</v>
      </c>
      <c r="F21" s="206">
        <v>5.3052528748650074E-2</v>
      </c>
      <c r="G21" s="191">
        <v>0.15829113174007503</v>
      </c>
      <c r="H21" s="206">
        <v>9.4186508897372345E-2</v>
      </c>
      <c r="I21" s="191">
        <v>4.4722133132858888E-2</v>
      </c>
      <c r="J21" s="251">
        <v>8.1041750877055341E-2</v>
      </c>
      <c r="K21" s="43"/>
    </row>
    <row r="22" spans="1:11" ht="20" customHeight="1" thickBot="1">
      <c r="A22" s="148" t="s">
        <v>1685</v>
      </c>
      <c r="B22" s="206">
        <v>0.11530248290676592</v>
      </c>
      <c r="C22" s="191">
        <v>8.8621308376789498E-2</v>
      </c>
      <c r="D22" s="206">
        <v>6.3289702653235302E-4</v>
      </c>
      <c r="E22" s="191">
        <v>2.1104328711528897E-2</v>
      </c>
      <c r="F22" s="206">
        <v>7.1317829402282706E-2</v>
      </c>
      <c r="G22" s="191">
        <v>0.10332321027687685</v>
      </c>
      <c r="H22" s="206">
        <v>0.10728450200704898</v>
      </c>
      <c r="I22" s="191">
        <v>4.4966215209138127E-2</v>
      </c>
      <c r="J22" s="251">
        <v>6.8315720027475324E-2</v>
      </c>
      <c r="K22" s="43"/>
    </row>
    <row r="23" spans="1:11" ht="20" customHeight="1" thickBot="1">
      <c r="A23" s="148" t="s">
        <v>1686</v>
      </c>
      <c r="B23" s="206">
        <v>6.6714528046374566E-2</v>
      </c>
      <c r="C23" s="191">
        <v>6.2405572474689475E-2</v>
      </c>
      <c r="D23" s="206">
        <v>-1.3531361714019141E-2</v>
      </c>
      <c r="E23" s="191">
        <v>1.17916885109004E-2</v>
      </c>
      <c r="F23" s="206">
        <v>9.2353068042632547E-2</v>
      </c>
      <c r="G23" s="191">
        <v>9.4624991389405722E-2</v>
      </c>
      <c r="H23" s="206">
        <v>9.2758197561323863E-2</v>
      </c>
      <c r="I23" s="191">
        <v>5.7434982462369888E-2</v>
      </c>
      <c r="J23" s="251">
        <v>5.7401409327763941E-2</v>
      </c>
      <c r="K23" s="43"/>
    </row>
    <row r="24" spans="1:11" ht="20" customHeight="1" thickBot="1">
      <c r="A24" s="148" t="s">
        <v>1687</v>
      </c>
      <c r="B24" s="206">
        <v>0.11141672230009814</v>
      </c>
      <c r="C24" s="191">
        <v>9.2246319189679626E-2</v>
      </c>
      <c r="D24" s="206">
        <v>1.4939222203069979E-2</v>
      </c>
      <c r="E24" s="191">
        <v>2.8870561169430431E-2</v>
      </c>
      <c r="F24" s="206">
        <v>6.6188927701152478E-2</v>
      </c>
      <c r="G24" s="191">
        <v>0.10430954550632188</v>
      </c>
      <c r="H24" s="206">
        <v>8.7103580516163737E-2</v>
      </c>
      <c r="I24" s="191">
        <v>6.9200880391115938E-2</v>
      </c>
      <c r="J24" s="251">
        <v>7.1289110121038224E-2</v>
      </c>
      <c r="K24" s="43"/>
    </row>
    <row r="25" spans="1:11" ht="20" customHeight="1" thickBot="1">
      <c r="A25" s="148" t="s">
        <v>1688</v>
      </c>
      <c r="B25" s="206">
        <v>0.1752339201546198</v>
      </c>
      <c r="C25" s="191">
        <v>4.5663278607013247E-3</v>
      </c>
      <c r="D25" s="206">
        <v>1.6122992679380221E-2</v>
      </c>
      <c r="E25" s="191">
        <v>5.4504237397578148E-2</v>
      </c>
      <c r="F25" s="206">
        <v>8.2966470936743919E-2</v>
      </c>
      <c r="G25" s="191">
        <v>0.13308071428571422</v>
      </c>
      <c r="H25" s="206">
        <v>0.13454569390362003</v>
      </c>
      <c r="I25" s="191">
        <v>6.0104130516668297E-2</v>
      </c>
      <c r="J25" s="251">
        <v>8.1167519073163774E-2</v>
      </c>
      <c r="K25" s="43"/>
    </row>
    <row r="26" spans="1:11" ht="20" customHeight="1" thickBot="1">
      <c r="A26" s="148" t="s">
        <v>1689</v>
      </c>
      <c r="B26" s="206">
        <v>0.12738686957185741</v>
      </c>
      <c r="C26" s="191">
        <v>7.2042091732333002E-2</v>
      </c>
      <c r="D26" s="206">
        <v>3.4382783382265636E-2</v>
      </c>
      <c r="E26" s="191">
        <v>5.5803497283793302E-2</v>
      </c>
      <c r="F26" s="206">
        <v>8.7682619516994187E-2</v>
      </c>
      <c r="G26" s="191">
        <v>0.11570227762874108</v>
      </c>
      <c r="H26" s="206">
        <v>9.6585738009683508E-2</v>
      </c>
      <c r="I26" s="191">
        <v>5.0764342922532402E-2</v>
      </c>
      <c r="J26" s="251">
        <v>7.9613862221420861E-2</v>
      </c>
      <c r="K26" s="43"/>
    </row>
    <row r="27" spans="1:11" ht="20" customHeight="1" thickBot="1">
      <c r="A27" s="148" t="s">
        <v>1690</v>
      </c>
      <c r="B27" s="206">
        <v>0.1676621855725855</v>
      </c>
      <c r="C27" s="191">
        <v>8.8164886528195208E-2</v>
      </c>
      <c r="D27" s="206">
        <v>4.6822304164127582E-2</v>
      </c>
      <c r="E27" s="191">
        <v>3.6306385968898347E-2</v>
      </c>
      <c r="F27" s="206">
        <v>9.8738375133517131E-2</v>
      </c>
      <c r="G27" s="191">
        <v>0.13755009594990386</v>
      </c>
      <c r="H27" s="206">
        <v>0.11001667556980421</v>
      </c>
      <c r="I27" s="191">
        <v>5.1392744442213978E-2</v>
      </c>
      <c r="J27" s="251">
        <v>9.1230625767211082E-2</v>
      </c>
      <c r="K27" s="43"/>
    </row>
    <row r="28" spans="1:11" ht="20" customHeight="1" thickBot="1">
      <c r="A28" s="148" t="s">
        <v>1691</v>
      </c>
      <c r="B28" s="206">
        <v>9.6996879816964254E-2</v>
      </c>
      <c r="C28" s="191">
        <v>8.1209870777622095E-2</v>
      </c>
      <c r="D28" s="206">
        <v>1.2448815845387928E-2</v>
      </c>
      <c r="E28" s="191">
        <v>2.0495064661920859E-2</v>
      </c>
      <c r="F28" s="206">
        <v>4.1702301504699779E-2</v>
      </c>
      <c r="G28" s="191">
        <v>8.6127127515217339E-2</v>
      </c>
      <c r="H28" s="206">
        <v>9.3927364769294197E-2</v>
      </c>
      <c r="I28" s="191">
        <v>7.1729136939240767E-2</v>
      </c>
      <c r="J28" s="251">
        <v>6.2611834911339592E-2</v>
      </c>
      <c r="K28" s="43"/>
    </row>
    <row r="29" spans="1:11" ht="20" customHeight="1" thickBot="1">
      <c r="A29" s="148" t="s">
        <v>1692</v>
      </c>
      <c r="B29" s="206">
        <v>4.2577198700370467E-2</v>
      </c>
      <c r="C29" s="191">
        <v>-7.3861030029056529E-3</v>
      </c>
      <c r="D29" s="206">
        <v>2.884700975613752E-2</v>
      </c>
      <c r="E29" s="191">
        <v>1.5371645463735373E-2</v>
      </c>
      <c r="F29" s="206">
        <v>4.7932833715460754E-2</v>
      </c>
      <c r="G29" s="191">
        <v>7.3304989410089894E-2</v>
      </c>
      <c r="H29" s="206">
        <v>9.5746518929368474E-2</v>
      </c>
      <c r="I29" s="191">
        <v>7.912199333502512E-3</v>
      </c>
      <c r="J29" s="251">
        <v>3.7544482665290424E-2</v>
      </c>
      <c r="K29" s="43"/>
    </row>
    <row r="30" spans="1:11" ht="20" customHeight="1" thickBot="1">
      <c r="A30" s="148" t="s">
        <v>1693</v>
      </c>
      <c r="B30" s="206">
        <v>5.0049093300743586E-3</v>
      </c>
      <c r="C30" s="191">
        <v>-3.046041157662871E-2</v>
      </c>
      <c r="D30" s="206">
        <v>9.5761412667292323E-3</v>
      </c>
      <c r="E30" s="191">
        <v>1.189700644367897E-2</v>
      </c>
      <c r="F30" s="206">
        <v>4.663823526289379E-2</v>
      </c>
      <c r="G30" s="191">
        <v>8.2578885532057722E-2</v>
      </c>
      <c r="H30" s="206">
        <v>9.1430420079777752E-2</v>
      </c>
      <c r="I30" s="191">
        <v>7.0211246214640477E-2</v>
      </c>
      <c r="J30" s="251">
        <v>3.5061974750259628E-2</v>
      </c>
      <c r="K30" s="43"/>
    </row>
    <row r="31" spans="1:11" ht="20" customHeight="1" thickBot="1">
      <c r="A31" s="148" t="s">
        <v>1694</v>
      </c>
      <c r="B31" s="206">
        <v>0.12216343354785519</v>
      </c>
      <c r="C31" s="191">
        <v>0.10234902445499827</v>
      </c>
      <c r="D31" s="206">
        <v>7.0350737078962E-2</v>
      </c>
      <c r="E31" s="191">
        <v>2.742761039670838E-2</v>
      </c>
      <c r="F31" s="206">
        <v>3.6910931030126326E-2</v>
      </c>
      <c r="G31" s="191">
        <v>0.11468893274631853</v>
      </c>
      <c r="H31" s="206">
        <v>8.6248490968144687E-2</v>
      </c>
      <c r="I31" s="191">
        <v>3.9371716582619509E-2</v>
      </c>
      <c r="J31" s="251">
        <v>7.4375201120326029E-2</v>
      </c>
      <c r="K31" s="43"/>
    </row>
    <row r="32" spans="1:11" ht="20" customHeight="1" thickBot="1">
      <c r="A32" s="148" t="s">
        <v>1695</v>
      </c>
      <c r="B32" s="206">
        <v>7.124157591061886E-2</v>
      </c>
      <c r="C32" s="191">
        <v>4.1121236246618453E-2</v>
      </c>
      <c r="D32" s="206">
        <v>2.0221734443659045E-2</v>
      </c>
      <c r="E32" s="191">
        <v>7.3669446914596426E-2</v>
      </c>
      <c r="F32" s="206">
        <v>5.0051801135955198E-2</v>
      </c>
      <c r="G32" s="191">
        <v>8.0489523583082923E-2</v>
      </c>
      <c r="H32" s="206">
        <v>7.1558863152320518E-2</v>
      </c>
      <c r="I32" s="191">
        <v>2.2338350946446539E-2</v>
      </c>
      <c r="J32" s="251">
        <v>5.3596896336563837E-2</v>
      </c>
    </row>
    <row r="33" spans="1:14" ht="20" customHeight="1" thickBot="1">
      <c r="A33" s="148" t="s">
        <v>1696</v>
      </c>
      <c r="B33" s="206">
        <v>7.7840050190767895E-2</v>
      </c>
      <c r="C33" s="191">
        <v>9.6595325836672741E-2</v>
      </c>
      <c r="D33" s="206">
        <v>2.0617155030052015E-2</v>
      </c>
      <c r="E33" s="191">
        <v>4.9073236957106969E-2</v>
      </c>
      <c r="F33" s="206">
        <v>0.10132290458903759</v>
      </c>
      <c r="G33" s="191">
        <v>8.9377851656540219E-2</v>
      </c>
      <c r="H33" s="206">
        <v>5.5607020769554927E-2</v>
      </c>
      <c r="I33" s="191">
        <v>2.780797104459265E-2</v>
      </c>
      <c r="J33" s="251">
        <v>6.438098029684336E-2</v>
      </c>
      <c r="L33" s="45"/>
      <c r="M33" s="45"/>
      <c r="N33" s="45"/>
    </row>
    <row r="34" spans="1:14" ht="30" customHeight="1" thickBot="1">
      <c r="A34" s="276" t="s">
        <v>1697</v>
      </c>
      <c r="B34" s="255">
        <v>8.6558371467537087E-2</v>
      </c>
      <c r="C34" s="256">
        <v>4.9052798358128147E-2</v>
      </c>
      <c r="D34" s="255">
        <v>3.3469373842196726E-2</v>
      </c>
      <c r="E34" s="256">
        <v>3.8190422962315562E-2</v>
      </c>
      <c r="F34" s="255">
        <v>5.4771648160833575E-2</v>
      </c>
      <c r="G34" s="256">
        <v>9.7381959063017831E-2</v>
      </c>
      <c r="H34" s="255">
        <v>9.6056212975608846E-2</v>
      </c>
      <c r="I34" s="256">
        <v>4.2571845034158562E-2</v>
      </c>
      <c r="J34" s="257">
        <v>6.1964539633052595E-2</v>
      </c>
    </row>
    <row r="35" spans="1:14" ht="20" customHeight="1">
      <c r="A35" s="9" t="s">
        <v>463</v>
      </c>
      <c r="B35" s="151"/>
      <c r="C35" s="151"/>
      <c r="D35" s="151"/>
      <c r="E35" s="151"/>
      <c r="F35" s="151"/>
      <c r="G35" s="151"/>
      <c r="H35" s="151"/>
      <c r="I35" s="271"/>
    </row>
    <row r="36" spans="1:14" ht="13.5" customHeight="1">
      <c r="A36" s="38"/>
      <c r="B36" s="152"/>
      <c r="C36" s="152"/>
      <c r="D36" s="152"/>
      <c r="E36" s="152"/>
      <c r="F36" s="152"/>
      <c r="G36" s="152"/>
      <c r="H36" s="152"/>
      <c r="I36" s="272"/>
    </row>
    <row r="37" spans="1:14" ht="20" customHeight="1">
      <c r="A37" s="38" t="s">
        <v>870</v>
      </c>
      <c r="B37" s="152"/>
      <c r="C37" s="152"/>
      <c r="D37" s="152"/>
      <c r="E37" s="152"/>
      <c r="F37" s="152"/>
      <c r="G37" s="152"/>
      <c r="H37" s="152"/>
      <c r="I37" s="272"/>
    </row>
    <row r="38" spans="1:14" ht="12.75" customHeight="1">
      <c r="A38" s="38"/>
      <c r="B38" s="152"/>
      <c r="C38" s="152"/>
      <c r="D38" s="152"/>
      <c r="E38" s="152"/>
      <c r="F38" s="152"/>
      <c r="G38" s="152"/>
      <c r="H38" s="152"/>
      <c r="I38" s="272"/>
    </row>
    <row r="39" spans="1:14" ht="12.75" customHeight="1">
      <c r="A39" s="38" t="s">
        <v>871</v>
      </c>
      <c r="B39" s="152"/>
      <c r="C39" s="152"/>
      <c r="D39" s="152"/>
      <c r="E39" s="152"/>
      <c r="F39" s="152"/>
      <c r="G39" s="152"/>
      <c r="H39" s="152"/>
      <c r="I39" s="272"/>
    </row>
    <row r="40" spans="1:14" ht="12.75" customHeight="1">
      <c r="A40" s="3" t="s">
        <v>886</v>
      </c>
      <c r="C40" s="152"/>
      <c r="D40" s="152"/>
      <c r="E40" s="152"/>
      <c r="F40" s="152"/>
      <c r="G40" s="152"/>
      <c r="H40" s="152"/>
      <c r="I40" s="272"/>
    </row>
    <row r="41" spans="1:14" ht="12.75" customHeight="1">
      <c r="A41" s="38" t="s">
        <v>1478</v>
      </c>
      <c r="B41" s="152"/>
      <c r="C41" s="152"/>
      <c r="D41" s="152"/>
      <c r="E41" s="152"/>
      <c r="F41" s="152"/>
      <c r="G41" s="152"/>
      <c r="H41" s="152"/>
      <c r="I41" s="272"/>
    </row>
    <row r="42" spans="1:14">
      <c r="A42" s="38" t="s">
        <v>1479</v>
      </c>
    </row>
  </sheetData>
  <phoneticPr fontId="0" type="noConversion"/>
  <pageMargins left="0.44" right="0.44" top="1.28" bottom="0.49" header="0.93" footer="0.4921259845"/>
  <pageSetup paperSize="9" scale="80"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FF7FA-09F0-0142-838B-4DCBC1BC0078}">
  <dimension ref="A1:K42"/>
  <sheetViews>
    <sheetView topLeftCell="A22" zoomScale="75" workbookViewId="0">
      <selection activeCell="A34" sqref="A34:A36"/>
    </sheetView>
  </sheetViews>
  <sheetFormatPr baseColWidth="10" defaultColWidth="11.3984375" defaultRowHeight="13"/>
  <cols>
    <col min="1" max="1" width="12.3984375" style="3" customWidth="1"/>
    <col min="2" max="2" width="11.19921875" style="3" hidden="1" customWidth="1"/>
    <col min="3" max="8" width="11.19921875" style="3" customWidth="1"/>
    <col min="9" max="9" width="11.796875" style="3" customWidth="1"/>
    <col min="10" max="10" width="11.59765625" style="3" customWidth="1"/>
    <col min="11" max="16384" width="11.3984375" style="3"/>
  </cols>
  <sheetData>
    <row r="1" spans="1:11" s="1" customFormat="1" ht="14" customHeight="1"/>
    <row r="2" spans="1:11" s="1" customFormat="1" ht="22.5" customHeight="1">
      <c r="A2" s="64" t="s">
        <v>1477</v>
      </c>
    </row>
    <row r="3" spans="1:11" s="1" customFormat="1" ht="28" customHeight="1">
      <c r="A3" s="64" t="s">
        <v>894</v>
      </c>
    </row>
    <row r="4" spans="1:11" ht="24" customHeight="1">
      <c r="A4" s="2" t="s">
        <v>1663</v>
      </c>
      <c r="B4" s="74">
        <v>1996</v>
      </c>
      <c r="C4" s="74">
        <v>1996</v>
      </c>
      <c r="D4" s="17">
        <v>1997</v>
      </c>
      <c r="E4" s="74">
        <v>1998</v>
      </c>
      <c r="F4" s="17">
        <v>1999</v>
      </c>
      <c r="G4" s="74">
        <v>2000</v>
      </c>
      <c r="H4" s="17">
        <v>2001</v>
      </c>
      <c r="I4" s="74">
        <v>2002</v>
      </c>
      <c r="J4" s="17">
        <v>2003</v>
      </c>
      <c r="K4" s="74">
        <v>2004</v>
      </c>
    </row>
    <row r="5" spans="1:11" ht="15" customHeight="1">
      <c r="A5" s="82"/>
      <c r="B5" s="75"/>
      <c r="C5" s="261" t="s">
        <v>883</v>
      </c>
      <c r="D5" s="18"/>
      <c r="E5" s="75"/>
      <c r="F5" s="18"/>
      <c r="G5" s="15"/>
      <c r="H5" s="66"/>
      <c r="I5" s="75"/>
      <c r="J5" s="18"/>
      <c r="K5" s="75"/>
    </row>
    <row r="6" spans="1:11" ht="16" customHeight="1">
      <c r="A6" s="83"/>
      <c r="B6" s="78"/>
      <c r="C6" s="78"/>
      <c r="D6" s="19"/>
      <c r="E6" s="78"/>
      <c r="F6" s="19"/>
      <c r="G6" s="16"/>
      <c r="H6" s="67"/>
      <c r="I6" s="78"/>
      <c r="J6" s="19"/>
      <c r="K6" s="78"/>
    </row>
    <row r="7" spans="1:11" ht="30" customHeight="1" thickBot="1">
      <c r="A7" s="146" t="s">
        <v>1671</v>
      </c>
      <c r="B7" s="20">
        <v>103.49267703996466</v>
      </c>
      <c r="C7" s="262">
        <v>108.96094823223416</v>
      </c>
      <c r="D7" s="263">
        <v>122.70520447305117</v>
      </c>
      <c r="E7" s="262">
        <v>125.59959640332212</v>
      </c>
      <c r="F7" s="263">
        <v>132.64596877205022</v>
      </c>
      <c r="G7" s="262">
        <v>138.98328369990259</v>
      </c>
      <c r="H7" s="263">
        <v>151.38</v>
      </c>
      <c r="I7" s="262">
        <v>174.09601000000001</v>
      </c>
      <c r="J7" s="264">
        <v>200.61509000000001</v>
      </c>
      <c r="K7" s="29">
        <v>213.43</v>
      </c>
    </row>
    <row r="8" spans="1:11" ht="20" customHeight="1" thickBot="1">
      <c r="A8" s="148" t="s">
        <v>1672</v>
      </c>
      <c r="B8" s="30">
        <v>103.61707928535405</v>
      </c>
      <c r="C8" s="265">
        <v>107.79236253672181</v>
      </c>
      <c r="D8" s="266">
        <v>116.91822772927814</v>
      </c>
      <c r="E8" s="265">
        <v>121.7744622665916</v>
      </c>
      <c r="F8" s="266">
        <v>130.77066160794996</v>
      </c>
      <c r="G8" s="265">
        <v>132.36579076296618</v>
      </c>
      <c r="H8" s="266">
        <v>139.02000000000001</v>
      </c>
      <c r="I8" s="265">
        <v>164.31093000000001</v>
      </c>
      <c r="J8" s="266">
        <v>188.46906000000001</v>
      </c>
      <c r="K8" s="29">
        <v>200.77</v>
      </c>
    </row>
    <row r="9" spans="1:11" ht="20" customHeight="1" thickBot="1">
      <c r="A9" s="148" t="s">
        <v>1673</v>
      </c>
      <c r="B9" s="30">
        <v>94.747957343608093</v>
      </c>
      <c r="C9" s="265">
        <v>97.858208977499629</v>
      </c>
      <c r="D9" s="266">
        <v>101.0078855765798</v>
      </c>
      <c r="E9" s="265">
        <v>99.27296670420948</v>
      </c>
      <c r="F9" s="266">
        <v>99.313871902013233</v>
      </c>
      <c r="G9" s="265">
        <v>103.31013455077574</v>
      </c>
      <c r="H9" s="266">
        <v>116.86</v>
      </c>
      <c r="I9" s="265">
        <v>132.45740000000001</v>
      </c>
      <c r="J9" s="266">
        <v>155.02828</v>
      </c>
      <c r="K9" s="29">
        <v>171.83</v>
      </c>
    </row>
    <row r="10" spans="1:11" ht="20" customHeight="1" thickBot="1">
      <c r="A10" s="148" t="s">
        <v>1674</v>
      </c>
      <c r="B10" s="30">
        <v>96.058782765650847</v>
      </c>
      <c r="C10" s="265">
        <v>100.47340098808827</v>
      </c>
      <c r="D10" s="266">
        <v>103.57130506381228</v>
      </c>
      <c r="E10" s="265">
        <v>99.811903817252784</v>
      </c>
      <c r="F10" s="266">
        <v>100.49972598737601</v>
      </c>
      <c r="G10" s="265">
        <v>101.53445060823319</v>
      </c>
      <c r="H10" s="266">
        <v>110.92</v>
      </c>
      <c r="I10" s="265">
        <v>124.09028000000001</v>
      </c>
      <c r="J10" s="266">
        <v>146.08038999999999</v>
      </c>
      <c r="K10" s="29">
        <v>159.94999999999999</v>
      </c>
    </row>
    <row r="11" spans="1:11" ht="20" customHeight="1" thickBot="1">
      <c r="A11" s="148" t="s">
        <v>1675</v>
      </c>
      <c r="B11" s="30">
        <v>95.28644266957194</v>
      </c>
      <c r="C11" s="265">
        <v>99.392097327352644</v>
      </c>
      <c r="D11" s="266">
        <v>109.55406315789473</v>
      </c>
      <c r="E11" s="265">
        <v>101.36691701799487</v>
      </c>
      <c r="F11" s="266">
        <v>101.42125446539846</v>
      </c>
      <c r="G11" s="265">
        <v>102.67209990843598</v>
      </c>
      <c r="H11" s="266">
        <v>116.22</v>
      </c>
      <c r="I11" s="265">
        <v>133.61651000000001</v>
      </c>
      <c r="J11" s="266">
        <v>157.78397000000001</v>
      </c>
      <c r="K11" s="29">
        <v>172.46</v>
      </c>
    </row>
    <row r="12" spans="1:11" ht="20" customHeight="1" thickBot="1">
      <c r="A12" s="148" t="s">
        <v>1676</v>
      </c>
      <c r="B12" s="30">
        <v>97.756294719266066</v>
      </c>
      <c r="C12" s="265">
        <v>100.82297440804891</v>
      </c>
      <c r="D12" s="266">
        <v>106.91966903073286</v>
      </c>
      <c r="E12" s="265">
        <v>98.293455290611035</v>
      </c>
      <c r="F12" s="266">
        <v>99.132544247391962</v>
      </c>
      <c r="G12" s="265">
        <v>101.33712050372301</v>
      </c>
      <c r="H12" s="266">
        <v>112.89</v>
      </c>
      <c r="I12" s="265">
        <v>124.3211</v>
      </c>
      <c r="J12" s="266">
        <v>139.16525999999999</v>
      </c>
      <c r="K12" s="29">
        <v>151.84</v>
      </c>
    </row>
    <row r="13" spans="1:11" ht="20" customHeight="1" thickBot="1">
      <c r="A13" s="148" t="s">
        <v>1677</v>
      </c>
      <c r="B13" s="30">
        <v>91.935864040502338</v>
      </c>
      <c r="C13" s="265">
        <v>95.206581287648731</v>
      </c>
      <c r="D13" s="266">
        <v>100.06903531438415</v>
      </c>
      <c r="E13" s="265">
        <v>94.474041396688264</v>
      </c>
      <c r="F13" s="266">
        <v>93.082203248380139</v>
      </c>
      <c r="G13" s="265">
        <v>94.932787628663803</v>
      </c>
      <c r="H13" s="266">
        <v>105.4</v>
      </c>
      <c r="I13" s="265">
        <v>117.36539999999999</v>
      </c>
      <c r="J13" s="266">
        <v>134.10787999999999</v>
      </c>
      <c r="K13" s="29">
        <v>146.78</v>
      </c>
    </row>
    <row r="14" spans="1:11" ht="20" customHeight="1" thickBot="1">
      <c r="A14" s="148" t="s">
        <v>1678</v>
      </c>
      <c r="B14" s="30">
        <v>89.157404789313702</v>
      </c>
      <c r="C14" s="265">
        <v>90.280302067724151</v>
      </c>
      <c r="D14" s="266">
        <v>99.362439024390241</v>
      </c>
      <c r="E14" s="265">
        <v>97.935286132455175</v>
      </c>
      <c r="F14" s="266">
        <v>101.95834029062087</v>
      </c>
      <c r="G14" s="265">
        <v>103.97293710447366</v>
      </c>
      <c r="H14" s="266">
        <v>114.51</v>
      </c>
      <c r="I14" s="265">
        <v>132.51589000000001</v>
      </c>
      <c r="J14" s="266">
        <v>158.82345000000001</v>
      </c>
      <c r="K14" s="29">
        <v>172.36</v>
      </c>
    </row>
    <row r="15" spans="1:11" ht="20" customHeight="1" thickBot="1">
      <c r="A15" s="148" t="s">
        <v>1679</v>
      </c>
      <c r="B15" s="30">
        <v>96.4234489986966</v>
      </c>
      <c r="C15" s="265">
        <v>100.45626130824101</v>
      </c>
      <c r="D15" s="266">
        <v>108.51741883304449</v>
      </c>
      <c r="E15" s="265">
        <v>100.13687301155676</v>
      </c>
      <c r="F15" s="266">
        <v>100.3815115692726</v>
      </c>
      <c r="G15" s="265">
        <v>103.3598685502174</v>
      </c>
      <c r="H15" s="266">
        <v>114.25</v>
      </c>
      <c r="I15" s="265">
        <v>130.75167999999999</v>
      </c>
      <c r="J15" s="266">
        <v>154.30319</v>
      </c>
      <c r="K15" s="29">
        <v>169.88</v>
      </c>
    </row>
    <row r="16" spans="1:11" ht="20" customHeight="1" thickBot="1">
      <c r="A16" s="148" t="s">
        <v>1680</v>
      </c>
      <c r="B16" s="30">
        <v>121.93927253792606</v>
      </c>
      <c r="C16" s="265">
        <v>124.36281802670725</v>
      </c>
      <c r="D16" s="266">
        <v>132.71547749725576</v>
      </c>
      <c r="E16" s="265">
        <v>124.35170593655391</v>
      </c>
      <c r="F16" s="266">
        <v>126.03065744109516</v>
      </c>
      <c r="G16" s="265">
        <v>134.54823356565456</v>
      </c>
      <c r="H16" s="266">
        <v>154.97999999999999</v>
      </c>
      <c r="I16" s="265">
        <v>176.73509999999999</v>
      </c>
      <c r="J16" s="266">
        <v>196.11358999999999</v>
      </c>
      <c r="K16" s="29">
        <v>206.37</v>
      </c>
    </row>
    <row r="17" spans="1:11" ht="20" customHeight="1" thickBot="1">
      <c r="A17" s="148" t="s">
        <v>1681</v>
      </c>
      <c r="B17" s="30">
        <v>94.55147795462733</v>
      </c>
      <c r="C17" s="265">
        <v>106.17129527852973</v>
      </c>
      <c r="D17" s="266">
        <v>120.6335571062627</v>
      </c>
      <c r="E17" s="265">
        <v>122.27340823970037</v>
      </c>
      <c r="F17" s="266">
        <v>125.57664769332453</v>
      </c>
      <c r="G17" s="265">
        <v>130.66324862664206</v>
      </c>
      <c r="H17" s="266">
        <v>137.36000000000001</v>
      </c>
      <c r="I17" s="265">
        <v>151.08682999999999</v>
      </c>
      <c r="J17" s="266">
        <v>175.06958</v>
      </c>
      <c r="K17" s="29">
        <v>189.51</v>
      </c>
    </row>
    <row r="18" spans="1:11" ht="20" customHeight="1" thickBot="1">
      <c r="A18" s="148" t="s">
        <v>1682</v>
      </c>
      <c r="B18" s="30">
        <v>126.81676675301063</v>
      </c>
      <c r="C18" s="265">
        <v>130.81150515928985</v>
      </c>
      <c r="D18" s="266">
        <v>150.63300099206347</v>
      </c>
      <c r="E18" s="265">
        <v>160.38187974892634</v>
      </c>
      <c r="F18" s="266">
        <v>174.90947829534193</v>
      </c>
      <c r="G18" s="265">
        <v>183.16173991706793</v>
      </c>
      <c r="H18" s="266">
        <v>197.67</v>
      </c>
      <c r="I18" s="265">
        <v>227.49455</v>
      </c>
      <c r="J18" s="266">
        <v>265.27109999999999</v>
      </c>
      <c r="K18" s="29">
        <v>304.58999999999997</v>
      </c>
    </row>
    <row r="19" spans="1:11" ht="20" customHeight="1" thickBot="1">
      <c r="A19" s="148" t="s">
        <v>1683</v>
      </c>
      <c r="B19" s="30">
        <v>108.66145246128281</v>
      </c>
      <c r="C19" s="265">
        <v>114.72044745839402</v>
      </c>
      <c r="D19" s="266">
        <v>130.58779527559057</v>
      </c>
      <c r="E19" s="265">
        <v>131.77250554712134</v>
      </c>
      <c r="F19" s="266">
        <v>134.34878019385729</v>
      </c>
      <c r="G19" s="265">
        <v>138.34368170410627</v>
      </c>
      <c r="H19" s="266">
        <v>150.65</v>
      </c>
      <c r="I19" s="265">
        <v>173.19712999999999</v>
      </c>
      <c r="J19" s="266">
        <v>201.31742</v>
      </c>
      <c r="K19" s="29">
        <v>219.13</v>
      </c>
    </row>
    <row r="20" spans="1:11" ht="20" customHeight="1" thickBot="1">
      <c r="A20" s="148" t="s">
        <v>1684</v>
      </c>
      <c r="B20" s="30">
        <v>94.893119817524862</v>
      </c>
      <c r="C20" s="265">
        <v>97.658838026559309</v>
      </c>
      <c r="D20" s="266">
        <v>113.49287778098815</v>
      </c>
      <c r="E20" s="265">
        <v>117.13302911275416</v>
      </c>
      <c r="F20" s="266">
        <v>125.57561326247689</v>
      </c>
      <c r="G20" s="265">
        <v>128.53692086322715</v>
      </c>
      <c r="H20" s="266">
        <v>136.82</v>
      </c>
      <c r="I20" s="265">
        <v>162.55437000000001</v>
      </c>
      <c r="J20" s="266">
        <v>184.15544</v>
      </c>
      <c r="K20" s="29">
        <v>197.5</v>
      </c>
    </row>
    <row r="21" spans="1:11" ht="20" customHeight="1" thickBot="1">
      <c r="A21" s="148" t="s">
        <v>1685</v>
      </c>
      <c r="B21" s="30">
        <v>84.640654218642027</v>
      </c>
      <c r="C21" s="265">
        <v>86.797548607703703</v>
      </c>
      <c r="D21" s="266">
        <v>96.805521472392641</v>
      </c>
      <c r="E21" s="265">
        <v>93.604905782975962</v>
      </c>
      <c r="F21" s="266">
        <v>92.427128057553958</v>
      </c>
      <c r="G21" s="265">
        <v>94.494371345497996</v>
      </c>
      <c r="H21" s="266">
        <v>105.99</v>
      </c>
      <c r="I21" s="265">
        <v>124.73943</v>
      </c>
      <c r="J21" s="266">
        <v>144.57185999999999</v>
      </c>
      <c r="K21" s="29">
        <v>154.80000000000001</v>
      </c>
    </row>
    <row r="22" spans="1:11" ht="20" customHeight="1" thickBot="1">
      <c r="A22" s="148" t="s">
        <v>1686</v>
      </c>
      <c r="B22" s="30">
        <v>84.70053836451649</v>
      </c>
      <c r="C22" s="265">
        <v>87.118831160208671</v>
      </c>
      <c r="D22" s="266">
        <v>92.930922865013784</v>
      </c>
      <c r="E22" s="265">
        <v>84.133407325194227</v>
      </c>
      <c r="F22" s="266">
        <v>83.653681081081089</v>
      </c>
      <c r="G22" s="265">
        <v>84.500495983783793</v>
      </c>
      <c r="H22" s="266">
        <v>98.49</v>
      </c>
      <c r="I22" s="265">
        <v>112.27669</v>
      </c>
      <c r="J22" s="266">
        <v>128.34836000000001</v>
      </c>
      <c r="K22" s="29">
        <v>139.65</v>
      </c>
    </row>
    <row r="23" spans="1:11" ht="20" customHeight="1" thickBot="1">
      <c r="A23" s="148" t="s">
        <v>1687</v>
      </c>
      <c r="B23" s="30">
        <v>88.224208027055212</v>
      </c>
      <c r="C23" s="265">
        <v>91.273084721765287</v>
      </c>
      <c r="D23" s="266">
        <v>101.44243265568353</v>
      </c>
      <c r="E23" s="265">
        <v>98.804830175187703</v>
      </c>
      <c r="F23" s="266">
        <v>101.19949759417557</v>
      </c>
      <c r="G23" s="265">
        <v>104.43936075457667</v>
      </c>
      <c r="H23" s="266">
        <v>117.91</v>
      </c>
      <c r="I23" s="265">
        <v>136.97377</v>
      </c>
      <c r="J23" s="266">
        <v>155.69031000000001</v>
      </c>
      <c r="K23" s="29">
        <v>171.18</v>
      </c>
    </row>
    <row r="24" spans="1:11" ht="20" customHeight="1" thickBot="1">
      <c r="A24" s="148" t="s">
        <v>1688</v>
      </c>
      <c r="B24" s="30">
        <v>83.604262707432284</v>
      </c>
      <c r="C24" s="265">
        <v>85.536691485083622</v>
      </c>
      <c r="D24" s="266">
        <v>100.52562125107112</v>
      </c>
      <c r="E24" s="265">
        <v>94.053581689331551</v>
      </c>
      <c r="F24" s="266">
        <v>92.058254503415654</v>
      </c>
      <c r="G24" s="265">
        <v>97.184198797041233</v>
      </c>
      <c r="H24" s="266">
        <v>110.24</v>
      </c>
      <c r="I24" s="265">
        <v>133.39986999999999</v>
      </c>
      <c r="J24" s="266">
        <v>159.97224</v>
      </c>
      <c r="K24" s="29">
        <v>176.82</v>
      </c>
    </row>
    <row r="25" spans="1:11" ht="20" customHeight="1" thickBot="1">
      <c r="A25" s="148" t="s">
        <v>1689</v>
      </c>
      <c r="B25" s="30">
        <v>74.567468820555504</v>
      </c>
      <c r="C25" s="265">
        <v>92.55372932273086</v>
      </c>
      <c r="D25" s="266">
        <v>104.34385916835457</v>
      </c>
      <c r="E25" s="265">
        <v>104.32416135479689</v>
      </c>
      <c r="F25" s="266">
        <v>108.48734022796025</v>
      </c>
      <c r="G25" s="265">
        <v>114.05383210655711</v>
      </c>
      <c r="H25" s="266">
        <v>128.36000000000001</v>
      </c>
      <c r="I25" s="265">
        <v>148.18475000000001</v>
      </c>
      <c r="J25" s="266">
        <v>171.21063000000001</v>
      </c>
      <c r="K25" s="29">
        <v>185.82</v>
      </c>
    </row>
    <row r="26" spans="1:11" ht="20" customHeight="1" thickBot="1">
      <c r="A26" s="148" t="s">
        <v>1690</v>
      </c>
      <c r="B26" s="30">
        <v>88.150775152880584</v>
      </c>
      <c r="C26" s="265">
        <v>91.547066767146291</v>
      </c>
      <c r="D26" s="266">
        <v>106.89604806408545</v>
      </c>
      <c r="E26" s="265">
        <v>106.37882387882388</v>
      </c>
      <c r="F26" s="266">
        <v>112.74856168670729</v>
      </c>
      <c r="G26" s="265">
        <v>116.21513892428332</v>
      </c>
      <c r="H26" s="266">
        <v>133.44</v>
      </c>
      <c r="I26" s="265">
        <v>158.80098000000001</v>
      </c>
      <c r="J26" s="266">
        <v>185.42766</v>
      </c>
      <c r="K26" s="29">
        <v>198.77</v>
      </c>
    </row>
    <row r="27" spans="1:11" ht="20" customHeight="1" thickBot="1">
      <c r="A27" s="148" t="s">
        <v>1691</v>
      </c>
      <c r="B27" s="30">
        <v>121.0827398004341</v>
      </c>
      <c r="C27" s="265">
        <v>125.33089311522994</v>
      </c>
      <c r="D27" s="266">
        <v>137.4875986920807</v>
      </c>
      <c r="E27" s="265">
        <v>154.14173754867801</v>
      </c>
      <c r="F27" s="266">
        <v>156.30024656591013</v>
      </c>
      <c r="G27" s="265">
        <v>157.88541656871067</v>
      </c>
      <c r="H27" s="266">
        <v>172.05</v>
      </c>
      <c r="I27" s="265">
        <v>199.00112999999999</v>
      </c>
      <c r="J27" s="266">
        <v>238.92483999999999</v>
      </c>
      <c r="K27" s="29">
        <v>258.85000000000002</v>
      </c>
    </row>
    <row r="28" spans="1:11" ht="20" customHeight="1" thickBot="1">
      <c r="A28" s="148" t="s">
        <v>1692</v>
      </c>
      <c r="B28" s="30">
        <v>160.87320031654653</v>
      </c>
      <c r="C28" s="265">
        <v>163.02598869541859</v>
      </c>
      <c r="D28" s="266">
        <v>169.96717860942778</v>
      </c>
      <c r="E28" s="265">
        <v>170.85231661111587</v>
      </c>
      <c r="F28" s="266">
        <v>173.83822945389281</v>
      </c>
      <c r="G28" s="265">
        <v>178.54078958477936</v>
      </c>
      <c r="H28" s="266">
        <v>203.85</v>
      </c>
      <c r="I28" s="265">
        <v>225.16328999999999</v>
      </c>
      <c r="J28" s="266">
        <v>263.77596</v>
      </c>
      <c r="K28" s="29">
        <v>275.74</v>
      </c>
    </row>
    <row r="29" spans="1:11" ht="20" customHeight="1" thickBot="1">
      <c r="A29" s="148" t="s">
        <v>1693</v>
      </c>
      <c r="B29" s="30">
        <v>118.66494682773886</v>
      </c>
      <c r="C29" s="265">
        <v>122.44694304449895</v>
      </c>
      <c r="D29" s="266">
        <v>123.05977889218144</v>
      </c>
      <c r="E29" s="265">
        <v>110.04930271084336</v>
      </c>
      <c r="F29" s="266">
        <v>111.6919165</v>
      </c>
      <c r="G29" s="265">
        <v>113.299991636161</v>
      </c>
      <c r="H29" s="266">
        <v>126.61</v>
      </c>
      <c r="I29" s="265">
        <v>143.85676000000001</v>
      </c>
      <c r="J29" s="266">
        <v>164.25402</v>
      </c>
      <c r="K29" s="29">
        <v>180.8</v>
      </c>
    </row>
    <row r="30" spans="1:11" ht="20" customHeight="1" thickBot="1">
      <c r="A30" s="148" t="s">
        <v>1694</v>
      </c>
      <c r="B30" s="30">
        <v>130.31729945526038</v>
      </c>
      <c r="C30" s="265">
        <v>133.60375465511694</v>
      </c>
      <c r="D30" s="266">
        <v>149.92524805867126</v>
      </c>
      <c r="E30" s="265">
        <v>147.83122423031514</v>
      </c>
      <c r="F30" s="266">
        <v>158.8659692707802</v>
      </c>
      <c r="G30" s="265">
        <v>165.95791946422477</v>
      </c>
      <c r="H30" s="266">
        <v>186.01</v>
      </c>
      <c r="I30" s="265">
        <v>216.13197</v>
      </c>
      <c r="J30" s="266">
        <v>257.2851</v>
      </c>
      <c r="K30" s="29">
        <v>273.58</v>
      </c>
    </row>
    <row r="31" spans="1:11" ht="20" customHeight="1" thickBot="1">
      <c r="A31" s="148" t="s">
        <v>1695</v>
      </c>
      <c r="B31" s="30">
        <v>174.81919294809606</v>
      </c>
      <c r="C31" s="265">
        <v>183.56905054790883</v>
      </c>
      <c r="D31" s="266">
        <v>196.64679899735791</v>
      </c>
      <c r="E31" s="265">
        <v>191.59177670950652</v>
      </c>
      <c r="F31" s="266">
        <v>200.04429547550032</v>
      </c>
      <c r="G31" s="265">
        <v>211.48209303003449</v>
      </c>
      <c r="H31" s="266">
        <v>243.57</v>
      </c>
      <c r="I31" s="265">
        <v>268.60239000000001</v>
      </c>
      <c r="J31" s="266">
        <v>303.51902000000001</v>
      </c>
      <c r="K31" s="29">
        <v>319.72000000000003</v>
      </c>
    </row>
    <row r="32" spans="1:11" ht="20" customHeight="1" thickBot="1">
      <c r="A32" s="148" t="s">
        <v>1696</v>
      </c>
      <c r="B32" s="30">
        <v>132.03341645615652</v>
      </c>
      <c r="C32" s="265">
        <v>133.59985277580608</v>
      </c>
      <c r="D32" s="266">
        <v>143.99927202135405</v>
      </c>
      <c r="E32" s="265">
        <v>142.07569398414986</v>
      </c>
      <c r="F32" s="266">
        <v>141.41483011996496</v>
      </c>
      <c r="G32" s="265">
        <v>149.07766646447803</v>
      </c>
      <c r="H32" s="266">
        <v>181.76</v>
      </c>
      <c r="I32" s="265">
        <v>202.59136000000001</v>
      </c>
      <c r="J32" s="266">
        <v>234.39028999999999</v>
      </c>
      <c r="K32" s="29">
        <v>252.56</v>
      </c>
    </row>
    <row r="33" spans="1:11" ht="30" customHeight="1" thickBot="1">
      <c r="A33" s="13" t="s">
        <v>1697</v>
      </c>
      <c r="B33" s="136">
        <v>110.14945460955127</v>
      </c>
      <c r="C33" s="267">
        <v>114.73041951160255</v>
      </c>
      <c r="D33" s="268">
        <v>124.66129778231421</v>
      </c>
      <c r="E33" s="267">
        <v>125.29607374124997</v>
      </c>
      <c r="F33" s="268">
        <v>130.21886901362492</v>
      </c>
      <c r="G33" s="267">
        <v>134.7191420153035</v>
      </c>
      <c r="H33" s="268">
        <v>149.77000000000001</v>
      </c>
      <c r="I33" s="267">
        <v>172.20867000000001</v>
      </c>
      <c r="J33" s="269">
        <v>198.72591</v>
      </c>
      <c r="K33" s="270">
        <v>213.29</v>
      </c>
    </row>
    <row r="34" spans="1:11" ht="20" customHeight="1">
      <c r="A34" s="9" t="s">
        <v>463</v>
      </c>
      <c r="B34" s="151"/>
      <c r="C34" s="151"/>
      <c r="D34" s="151"/>
      <c r="E34" s="151"/>
      <c r="F34" s="151"/>
      <c r="G34" s="151"/>
      <c r="H34" s="151"/>
      <c r="I34" s="151"/>
      <c r="J34" s="271"/>
    </row>
    <row r="35" spans="1:11" ht="13.5" customHeight="1">
      <c r="A35" s="38"/>
      <c r="B35" s="152"/>
      <c r="C35" s="152"/>
      <c r="D35" s="152"/>
      <c r="E35" s="152"/>
      <c r="F35" s="152"/>
      <c r="G35" s="152"/>
      <c r="H35" s="152"/>
      <c r="I35" s="152"/>
      <c r="J35" s="272"/>
    </row>
    <row r="36" spans="1:11" ht="20" customHeight="1">
      <c r="A36" s="38" t="s">
        <v>870</v>
      </c>
      <c r="B36" s="152"/>
      <c r="C36" s="152"/>
      <c r="D36" s="152"/>
      <c r="E36" s="152"/>
      <c r="F36" s="152"/>
      <c r="G36" s="152"/>
      <c r="H36" s="152"/>
      <c r="I36" s="152"/>
      <c r="J36" s="272"/>
    </row>
    <row r="37" spans="1:11" ht="16.5" customHeight="1">
      <c r="A37" s="38"/>
      <c r="B37" s="152"/>
      <c r="C37" s="152"/>
      <c r="D37" s="152"/>
      <c r="E37" s="152"/>
      <c r="F37" s="152"/>
      <c r="G37" s="152"/>
      <c r="H37" s="152"/>
      <c r="I37" s="152"/>
      <c r="J37" s="272"/>
    </row>
    <row r="38" spans="1:11" ht="12.75" customHeight="1">
      <c r="A38" s="38" t="s">
        <v>871</v>
      </c>
      <c r="B38" s="152"/>
      <c r="C38" s="152"/>
      <c r="D38" s="152"/>
      <c r="E38" s="152"/>
      <c r="F38" s="152"/>
      <c r="G38" s="152"/>
      <c r="H38" s="152"/>
      <c r="I38" s="152"/>
      <c r="J38" s="272"/>
    </row>
    <row r="39" spans="1:11">
      <c r="A39" s="3" t="s">
        <v>1473</v>
      </c>
    </row>
    <row r="40" spans="1:11">
      <c r="A40" s="3" t="s">
        <v>1474</v>
      </c>
    </row>
    <row r="41" spans="1:11">
      <c r="A41" s="3" t="s">
        <v>1475</v>
      </c>
    </row>
    <row r="42" spans="1:11">
      <c r="A42" s="260" t="s">
        <v>1476</v>
      </c>
    </row>
  </sheetData>
  <phoneticPr fontId="0" type="noConversion"/>
  <pageMargins left="0.49" right="0.43" top="1.28" bottom="0.49" header="0.93" footer="0.4921259845"/>
  <pageSetup paperSize="9" scale="80"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B59B-425D-FE44-BC29-255893C8E328}">
  <dimension ref="A1:M41"/>
  <sheetViews>
    <sheetView topLeftCell="A22" zoomScale="75" workbookViewId="0">
      <selection activeCell="A35" sqref="A35:A37"/>
    </sheetView>
  </sheetViews>
  <sheetFormatPr baseColWidth="10" defaultColWidth="11.3984375" defaultRowHeight="13"/>
  <cols>
    <col min="1" max="1" width="11.3984375" style="3"/>
    <col min="2" max="2" width="15.3984375" style="3" hidden="1" customWidth="1"/>
    <col min="3" max="4" width="12.796875" style="105" customWidth="1"/>
    <col min="5" max="5" width="12.19921875" style="105" customWidth="1"/>
    <col min="6" max="6" width="12.796875" style="105" customWidth="1"/>
    <col min="7" max="7" width="13.19921875" style="105" customWidth="1"/>
    <col min="8" max="8" width="12.796875" style="105" customWidth="1"/>
    <col min="9" max="9" width="11.796875" style="105" customWidth="1"/>
    <col min="10" max="10" width="12.796875" style="105" customWidth="1"/>
    <col min="11" max="11" width="13.19921875" style="3" customWidth="1"/>
    <col min="12" max="16384" width="11.3984375" style="3"/>
  </cols>
  <sheetData>
    <row r="1" spans="1:11" s="1" customFormat="1" ht="14" customHeight="1">
      <c r="C1" s="95"/>
      <c r="D1" s="95"/>
      <c r="E1" s="95"/>
      <c r="F1" s="95"/>
      <c r="G1" s="95"/>
      <c r="H1" s="95"/>
      <c r="I1" s="95"/>
      <c r="J1" s="95"/>
    </row>
    <row r="2" spans="1:11" s="1" customFormat="1" ht="28" customHeight="1">
      <c r="A2" s="64" t="s">
        <v>893</v>
      </c>
      <c r="C2" s="201"/>
      <c r="D2" s="201"/>
      <c r="E2" s="201"/>
      <c r="F2" s="201"/>
      <c r="G2" s="201"/>
      <c r="H2" s="201"/>
      <c r="I2" s="201"/>
      <c r="J2" s="201"/>
      <c r="K2" s="220"/>
    </row>
    <row r="3" spans="1:11" ht="24" customHeight="1">
      <c r="A3" s="2" t="s">
        <v>1663</v>
      </c>
      <c r="B3" s="74" t="s">
        <v>889</v>
      </c>
      <c r="C3" s="109" t="s">
        <v>873</v>
      </c>
      <c r="D3" s="4" t="s">
        <v>873</v>
      </c>
      <c r="E3" s="109" t="s">
        <v>873</v>
      </c>
      <c r="F3" s="4" t="s">
        <v>873</v>
      </c>
      <c r="G3" s="109" t="s">
        <v>873</v>
      </c>
      <c r="H3" s="4" t="s">
        <v>873</v>
      </c>
      <c r="I3" s="109" t="s">
        <v>873</v>
      </c>
      <c r="J3" s="108" t="s">
        <v>873</v>
      </c>
      <c r="K3" s="76" t="s">
        <v>1744</v>
      </c>
    </row>
    <row r="4" spans="1:11" ht="15" customHeight="1">
      <c r="A4" s="82"/>
      <c r="B4" s="75" t="s">
        <v>873</v>
      </c>
      <c r="C4" s="109" t="s">
        <v>874</v>
      </c>
      <c r="D4" s="4" t="s">
        <v>874</v>
      </c>
      <c r="E4" s="109" t="s">
        <v>874</v>
      </c>
      <c r="F4" s="4" t="s">
        <v>874</v>
      </c>
      <c r="G4" s="109" t="s">
        <v>874</v>
      </c>
      <c r="H4" s="4" t="s">
        <v>874</v>
      </c>
      <c r="I4" s="109" t="s">
        <v>874</v>
      </c>
      <c r="J4" s="108" t="s">
        <v>874</v>
      </c>
      <c r="K4" s="76" t="s">
        <v>1745</v>
      </c>
    </row>
    <row r="5" spans="1:11" ht="15" customHeight="1">
      <c r="A5" s="82"/>
      <c r="B5" s="75" t="s">
        <v>874</v>
      </c>
      <c r="C5" s="109" t="s">
        <v>875</v>
      </c>
      <c r="D5" s="4" t="s">
        <v>876</v>
      </c>
      <c r="E5" s="76" t="s">
        <v>877</v>
      </c>
      <c r="F5" s="4" t="s">
        <v>878</v>
      </c>
      <c r="G5" s="76" t="s">
        <v>879</v>
      </c>
      <c r="H5" s="4" t="s">
        <v>880</v>
      </c>
      <c r="I5" s="109" t="s">
        <v>881</v>
      </c>
      <c r="J5" s="108" t="s">
        <v>882</v>
      </c>
      <c r="K5" s="76" t="s">
        <v>1746</v>
      </c>
    </row>
    <row r="6" spans="1:11" ht="15" customHeight="1">
      <c r="A6" s="82"/>
      <c r="B6" s="75" t="s">
        <v>633</v>
      </c>
      <c r="C6" s="273" t="s">
        <v>883</v>
      </c>
      <c r="D6" s="4"/>
      <c r="E6" s="109"/>
      <c r="F6" s="4"/>
      <c r="G6" s="109"/>
      <c r="H6" s="4"/>
      <c r="I6" s="109"/>
      <c r="J6" s="108"/>
      <c r="K6" s="76" t="s">
        <v>884</v>
      </c>
    </row>
    <row r="7" spans="1:11" ht="16" customHeight="1">
      <c r="A7" s="83"/>
      <c r="B7" s="78"/>
      <c r="C7" s="110"/>
      <c r="D7" s="5"/>
      <c r="E7" s="110"/>
      <c r="F7" s="5"/>
      <c r="G7" s="110"/>
      <c r="H7" s="5"/>
      <c r="I7" s="110"/>
      <c r="J7" s="111"/>
      <c r="K7" s="249" t="s">
        <v>885</v>
      </c>
    </row>
    <row r="8" spans="1:11" ht="30" customHeight="1" thickBot="1">
      <c r="A8" s="146" t="s">
        <v>1671</v>
      </c>
      <c r="B8" s="250">
        <v>18.564141910898112</v>
      </c>
      <c r="C8" s="251">
        <v>0.12613928626541648</v>
      </c>
      <c r="D8" s="252">
        <v>2.3588175764025054E-2</v>
      </c>
      <c r="E8" s="251">
        <v>5.6101871108733325E-2</v>
      </c>
      <c r="F8" s="252">
        <v>4.7776159249459882E-2</v>
      </c>
      <c r="G8" s="251">
        <v>8.9195736135180281E-2</v>
      </c>
      <c r="H8" s="252">
        <v>0.15005951909102921</v>
      </c>
      <c r="I8" s="251">
        <v>0.15232445591372246</v>
      </c>
      <c r="J8" s="252">
        <v>6.3878096109320603E-2</v>
      </c>
      <c r="K8" s="251">
        <v>8.7672313517047851E-2</v>
      </c>
    </row>
    <row r="9" spans="1:11" ht="20" customHeight="1" thickBot="1">
      <c r="A9" s="148" t="s">
        <v>1672</v>
      </c>
      <c r="B9" s="253">
        <v>12.83683012073104</v>
      </c>
      <c r="C9" s="251">
        <v>8.4661519404469976E-2</v>
      </c>
      <c r="D9" s="252">
        <v>4.1535307467694071E-2</v>
      </c>
      <c r="E9" s="251">
        <v>7.3875911040064191E-2</v>
      </c>
      <c r="F9" s="252">
        <v>1.2197913013535233E-2</v>
      </c>
      <c r="G9" s="251">
        <v>5.0271366934601991E-2</v>
      </c>
      <c r="H9" s="252">
        <v>0.18192296072507563</v>
      </c>
      <c r="I9" s="251">
        <v>0.14702692024200692</v>
      </c>
      <c r="J9" s="252">
        <v>6.5267689030761744E-2</v>
      </c>
      <c r="K9" s="251">
        <v>8.0846084327826251E-2</v>
      </c>
    </row>
    <row r="10" spans="1:11" ht="20" customHeight="1" thickBot="1">
      <c r="A10" s="148" t="s">
        <v>1673</v>
      </c>
      <c r="B10" s="253">
        <v>6.6069268493776256</v>
      </c>
      <c r="C10" s="251">
        <v>3.2186125538066657E-2</v>
      </c>
      <c r="D10" s="252">
        <v>-1.7176073555712379E-2</v>
      </c>
      <c r="E10" s="251">
        <v>4.1204770202574181E-4</v>
      </c>
      <c r="F10" s="252">
        <v>4.0238715621775167E-2</v>
      </c>
      <c r="G10" s="251">
        <v>0.13115717550986883</v>
      </c>
      <c r="H10" s="252">
        <v>0.13347081978435749</v>
      </c>
      <c r="I10" s="251">
        <v>0.17040104969597758</v>
      </c>
      <c r="J10" s="252">
        <v>0.10837841973090345</v>
      </c>
      <c r="K10" s="251">
        <v>7.2908573962525258E-2</v>
      </c>
    </row>
    <row r="11" spans="1:11" ht="20" customHeight="1" thickBot="1">
      <c r="A11" s="148" t="s">
        <v>1674</v>
      </c>
      <c r="B11" s="253">
        <v>7.82075525200991</v>
      </c>
      <c r="C11" s="251">
        <v>3.083307666763746E-2</v>
      </c>
      <c r="D11" s="252">
        <v>-3.6297710492720459E-2</v>
      </c>
      <c r="E11" s="251">
        <v>6.8911837548211174E-3</v>
      </c>
      <c r="F11" s="252">
        <v>1.0295795443135303E-2</v>
      </c>
      <c r="G11" s="251">
        <v>9.2437092391237652E-2</v>
      </c>
      <c r="H11" s="252">
        <v>0.11873674720519301</v>
      </c>
      <c r="I11" s="251">
        <v>0.1772105760418945</v>
      </c>
      <c r="J11" s="252">
        <v>9.4945050461598512E-2</v>
      </c>
      <c r="K11" s="251">
        <v>5.9843260872351367E-2</v>
      </c>
    </row>
    <row r="12" spans="1:11" ht="20" customHeight="1" thickBot="1">
      <c r="A12" s="148" t="s">
        <v>1675</v>
      </c>
      <c r="B12" s="253">
        <v>14.973400295568917</v>
      </c>
      <c r="C12" s="251">
        <v>0.10224118520281511</v>
      </c>
      <c r="D12" s="252">
        <v>-7.47315608741973E-2</v>
      </c>
      <c r="E12" s="251">
        <v>5.3604715425992211E-4</v>
      </c>
      <c r="F12" s="252">
        <v>1.2333168719228071E-2</v>
      </c>
      <c r="G12" s="251">
        <v>0.13195308271328021</v>
      </c>
      <c r="H12" s="252">
        <v>0.14968602650146279</v>
      </c>
      <c r="I12" s="251">
        <v>0.18087180992827911</v>
      </c>
      <c r="J12" s="252">
        <v>9.3013441099244698E-2</v>
      </c>
      <c r="K12" s="251">
        <v>7.1314704293367503E-2</v>
      </c>
    </row>
    <row r="13" spans="1:11" ht="20" customHeight="1" thickBot="1">
      <c r="A13" s="148" t="s">
        <v>1676</v>
      </c>
      <c r="B13" s="253">
        <v>9.3736923415335358</v>
      </c>
      <c r="C13" s="251">
        <v>6.0469299368311802E-2</v>
      </c>
      <c r="D13" s="252">
        <v>-8.0679390595965295E-2</v>
      </c>
      <c r="E13" s="251">
        <v>8.5365699506656512E-3</v>
      </c>
      <c r="F13" s="252">
        <v>2.2238673213403892E-2</v>
      </c>
      <c r="G13" s="251">
        <v>0.11400441850775245</v>
      </c>
      <c r="H13" s="252">
        <v>0.10125874745327312</v>
      </c>
      <c r="I13" s="251">
        <v>0.11940177491994519</v>
      </c>
      <c r="J13" s="252">
        <v>9.1076896633542237E-2</v>
      </c>
      <c r="K13" s="251">
        <v>5.2515102415638504E-2</v>
      </c>
    </row>
    <row r="14" spans="1:11" ht="20" customHeight="1" thickBot="1">
      <c r="A14" s="148" t="s">
        <v>1677</v>
      </c>
      <c r="B14" s="253">
        <v>8.8465707683986601</v>
      </c>
      <c r="C14" s="251">
        <v>5.1072667046455855E-2</v>
      </c>
      <c r="D14" s="252">
        <v>-5.5911340607194271E-2</v>
      </c>
      <c r="E14" s="251">
        <v>-1.4732492944426023E-2</v>
      </c>
      <c r="F14" s="252">
        <v>1.9881183681756731E-2</v>
      </c>
      <c r="G14" s="251">
        <v>0.11025919108453275</v>
      </c>
      <c r="H14" s="252">
        <v>0.1135237191650853</v>
      </c>
      <c r="I14" s="251">
        <v>0.14265260460067442</v>
      </c>
      <c r="J14" s="252">
        <v>9.4491986600638178E-2</v>
      </c>
      <c r="K14" s="251">
        <v>5.5601476700986252E-2</v>
      </c>
    </row>
    <row r="15" spans="1:11" ht="20" customHeight="1" thickBot="1">
      <c r="A15" s="148" t="s">
        <v>1678</v>
      </c>
      <c r="B15" s="253">
        <v>11.44608713005036</v>
      </c>
      <c r="C15" s="251">
        <v>0.10059931954872159</v>
      </c>
      <c r="D15" s="252">
        <v>-1.436310245549377E-2</v>
      </c>
      <c r="E15" s="251">
        <v>4.1078699180238321E-2</v>
      </c>
      <c r="F15" s="252">
        <v>1.9759019302495684E-2</v>
      </c>
      <c r="G15" s="251">
        <v>0.10134428428176978</v>
      </c>
      <c r="H15" s="252">
        <v>0.15724294821412976</v>
      </c>
      <c r="I15" s="251">
        <v>0.19852381476666681</v>
      </c>
      <c r="J15" s="252">
        <v>8.5230172244715741E-2</v>
      </c>
      <c r="K15" s="251">
        <v>8.4190094814715843E-2</v>
      </c>
    </row>
    <row r="16" spans="1:11" ht="20" customHeight="1" thickBot="1">
      <c r="A16" s="148" t="s">
        <v>1679</v>
      </c>
      <c r="B16" s="253">
        <v>12.542560922614754</v>
      </c>
      <c r="C16" s="251">
        <v>8.0245446324829217E-2</v>
      </c>
      <c r="D16" s="252">
        <v>-7.7227655353481195E-2</v>
      </c>
      <c r="E16" s="251">
        <v>2.4430417123930681E-3</v>
      </c>
      <c r="F16" s="252">
        <v>2.9670373900371638E-2</v>
      </c>
      <c r="G16" s="251">
        <v>0.10536131288220085</v>
      </c>
      <c r="H16" s="252">
        <v>0.14443483588621442</v>
      </c>
      <c r="I16" s="251">
        <v>0.18012395710709028</v>
      </c>
      <c r="J16" s="252">
        <v>0.10094937116983771</v>
      </c>
      <c r="K16" s="251">
        <v>6.7875579806063291E-2</v>
      </c>
    </row>
    <row r="17" spans="1:11" ht="20" customHeight="1" thickBot="1">
      <c r="A17" s="148" t="s">
        <v>1680</v>
      </c>
      <c r="B17" s="253">
        <v>8.8373538196876176</v>
      </c>
      <c r="C17" s="251">
        <v>6.716363944691861E-2</v>
      </c>
      <c r="D17" s="252">
        <v>-6.3020317738560649E-2</v>
      </c>
      <c r="E17" s="251">
        <v>1.3501636281514795E-2</v>
      </c>
      <c r="F17" s="252">
        <v>6.758336659903863E-2</v>
      </c>
      <c r="G17" s="251">
        <v>0.15185458696026277</v>
      </c>
      <c r="H17" s="252">
        <v>0.14037359659310877</v>
      </c>
      <c r="I17" s="251">
        <v>0.1096470933051783</v>
      </c>
      <c r="J17" s="252">
        <v>5.2298313441715205E-2</v>
      </c>
      <c r="K17" s="251">
        <v>6.5355374662260157E-2</v>
      </c>
    </row>
    <row r="18" spans="1:11" ht="20" customHeight="1" thickBot="1">
      <c r="A18" s="148" t="s">
        <v>1681</v>
      </c>
      <c r="B18" s="253">
        <v>27.585057067168687</v>
      </c>
      <c r="C18" s="251">
        <v>0.13621630771097482</v>
      </c>
      <c r="D18" s="252">
        <v>1.3593656464868875E-2</v>
      </c>
      <c r="E18" s="251">
        <v>2.701519080214565E-2</v>
      </c>
      <c r="F18" s="252">
        <v>4.050594618308101E-2</v>
      </c>
      <c r="G18" s="251">
        <v>5.1251988939087889E-2</v>
      </c>
      <c r="H18" s="252">
        <v>9.993324111822921E-2</v>
      </c>
      <c r="I18" s="251">
        <v>0.15873488112762724</v>
      </c>
      <c r="J18" s="252">
        <v>8.2483890119574133E-2</v>
      </c>
      <c r="K18" s="251">
        <v>7.5110558409062111E-2</v>
      </c>
    </row>
    <row r="19" spans="1:11" ht="20" customHeight="1" thickBot="1">
      <c r="A19" s="148" t="s">
        <v>1682</v>
      </c>
      <c r="B19" s="253">
        <v>18.780035833461628</v>
      </c>
      <c r="C19" s="251">
        <v>0.15152715969927022</v>
      </c>
      <c r="D19" s="252">
        <v>6.4719408712945459E-2</v>
      </c>
      <c r="E19" s="251">
        <v>9.0581296148655843E-2</v>
      </c>
      <c r="F19" s="252">
        <v>4.718018544307645E-2</v>
      </c>
      <c r="G19" s="251">
        <v>7.9210101899562124E-2</v>
      </c>
      <c r="H19" s="252">
        <v>0.15088050791723595</v>
      </c>
      <c r="I19" s="251">
        <v>0.16605474724559333</v>
      </c>
      <c r="J19" s="252">
        <v>0.14822157408025216</v>
      </c>
      <c r="K19" s="251">
        <v>0.11143408715843317</v>
      </c>
    </row>
    <row r="20" spans="1:11" ht="20" customHeight="1" thickBot="1">
      <c r="A20" s="148" t="s">
        <v>1683</v>
      </c>
      <c r="B20" s="253">
        <v>20.178584325587163</v>
      </c>
      <c r="C20" s="251">
        <v>0.138313161853306</v>
      </c>
      <c r="D20" s="252">
        <v>9.0721362515584492E-3</v>
      </c>
      <c r="E20" s="251">
        <v>1.9550927077232272E-2</v>
      </c>
      <c r="F20" s="252">
        <v>2.9735301686286908E-2</v>
      </c>
      <c r="G20" s="251">
        <v>8.8954682601370072E-2</v>
      </c>
      <c r="H20" s="252">
        <v>0.1496656488549617</v>
      </c>
      <c r="I20" s="251">
        <v>0.16236002294033391</v>
      </c>
      <c r="J20" s="252">
        <v>8.8480072911723218E-2</v>
      </c>
      <c r="K20" s="251">
        <v>8.4257976566231463E-2</v>
      </c>
    </row>
    <row r="21" spans="1:11" ht="20" customHeight="1" thickBot="1">
      <c r="A21" s="148" t="s">
        <v>1684</v>
      </c>
      <c r="B21" s="253">
        <v>19.600744499948757</v>
      </c>
      <c r="C21" s="251">
        <v>0.16213627024850141</v>
      </c>
      <c r="D21" s="252">
        <v>3.2073830560456429E-2</v>
      </c>
      <c r="E21" s="251">
        <v>7.2076887396088418E-2</v>
      </c>
      <c r="F21" s="252">
        <v>2.3581868515828441E-2</v>
      </c>
      <c r="G21" s="251">
        <v>6.444124443891619E-2</v>
      </c>
      <c r="H21" s="252">
        <v>0.18808924133898564</v>
      </c>
      <c r="I21" s="251">
        <v>0.13288520019486394</v>
      </c>
      <c r="J21" s="252">
        <v>7.2463566647827493E-2</v>
      </c>
      <c r="K21" s="251">
        <v>9.2023397080634117E-2</v>
      </c>
    </row>
    <row r="22" spans="1:11" ht="20" customHeight="1" thickBot="1">
      <c r="A22" s="148" t="s">
        <v>1685</v>
      </c>
      <c r="B22" s="253">
        <v>14.372369124565809</v>
      </c>
      <c r="C22" s="251">
        <v>0.11530248290676592</v>
      </c>
      <c r="D22" s="252">
        <v>-3.3062325792330371E-2</v>
      </c>
      <c r="E22" s="251">
        <v>-1.2582435883784715E-2</v>
      </c>
      <c r="F22" s="252">
        <v>2.2366196282294748E-2</v>
      </c>
      <c r="G22" s="251">
        <v>0.12165411008948612</v>
      </c>
      <c r="H22" s="252">
        <v>0.17689810359467883</v>
      </c>
      <c r="I22" s="251">
        <v>0.15899086599962819</v>
      </c>
      <c r="J22" s="252">
        <v>7.0747792827733136E-2</v>
      </c>
      <c r="K22" s="251">
        <v>7.4998695098316137E-2</v>
      </c>
    </row>
    <row r="23" spans="1:11" ht="20" customHeight="1" thickBot="1">
      <c r="A23" s="148" t="s">
        <v>1686</v>
      </c>
      <c r="B23" s="253">
        <v>9.7170391822978548</v>
      </c>
      <c r="C23" s="251">
        <v>6.6714528046374566E-2</v>
      </c>
      <c r="D23" s="252">
        <v>-9.4667256803188438E-2</v>
      </c>
      <c r="E23" s="251">
        <v>-5.7019709454876333E-3</v>
      </c>
      <c r="F23" s="252">
        <v>1.0122864789200658E-2</v>
      </c>
      <c r="G23" s="251">
        <v>0.16555528879855186</v>
      </c>
      <c r="H23" s="252">
        <v>0.13998060716824057</v>
      </c>
      <c r="I23" s="251">
        <v>0.14314342540735758</v>
      </c>
      <c r="J23" s="252">
        <v>8.8054416901002686E-2</v>
      </c>
      <c r="K23" s="251">
        <v>6.0757503439069938E-2</v>
      </c>
    </row>
    <row r="24" spans="1:11" ht="20" customHeight="1" thickBot="1">
      <c r="A24" s="148" t="s">
        <v>1687</v>
      </c>
      <c r="B24" s="253">
        <v>14.982537020422743</v>
      </c>
      <c r="C24" s="251">
        <v>0.11141672230009814</v>
      </c>
      <c r="D24" s="252">
        <v>-2.6000978204538838E-2</v>
      </c>
      <c r="E24" s="251">
        <v>2.4236339607506707E-2</v>
      </c>
      <c r="F24" s="252">
        <v>3.2014617042798177E-2</v>
      </c>
      <c r="G24" s="251">
        <v>0.12898048348915259</v>
      </c>
      <c r="H24" s="252">
        <v>0.16168068866084306</v>
      </c>
      <c r="I24" s="251">
        <v>0.13664324198713373</v>
      </c>
      <c r="J24" s="252">
        <v>9.9490392176622811E-2</v>
      </c>
      <c r="K24" s="251">
        <v>8.1779598403393106E-2</v>
      </c>
    </row>
    <row r="25" spans="1:11" ht="20" customHeight="1" thickBot="1">
      <c r="A25" s="148" t="s">
        <v>1688</v>
      </c>
      <c r="B25" s="253">
        <v>20.239827486851993</v>
      </c>
      <c r="C25" s="251">
        <v>0.1752339201546198</v>
      </c>
      <c r="D25" s="252">
        <v>-6.4381990195067851E-2</v>
      </c>
      <c r="E25" s="251">
        <v>-2.1214792143766092E-2</v>
      </c>
      <c r="F25" s="252">
        <v>5.5681528194034824E-2</v>
      </c>
      <c r="G25" s="251">
        <v>0.13434078136739491</v>
      </c>
      <c r="H25" s="252">
        <v>0.21008590348330913</v>
      </c>
      <c r="I25" s="251">
        <v>0.19919337252727454</v>
      </c>
      <c r="J25" s="252">
        <v>0.10531677246002169</v>
      </c>
      <c r="K25" s="251">
        <v>9.5020796405333119E-2</v>
      </c>
    </row>
    <row r="26" spans="1:11" ht="20" customHeight="1" thickBot="1">
      <c r="A26" s="148" t="s">
        <v>1689</v>
      </c>
      <c r="B26" s="253">
        <v>39.932145771844695</v>
      </c>
      <c r="C26" s="251">
        <v>0.12738686957185741</v>
      </c>
      <c r="D26" s="252">
        <v>-1.887778898986836E-4</v>
      </c>
      <c r="E26" s="251">
        <v>3.9906181071561964E-2</v>
      </c>
      <c r="F26" s="252">
        <v>5.131005946777023E-2</v>
      </c>
      <c r="G26" s="251">
        <v>0.12543346969768687</v>
      </c>
      <c r="H26" s="252">
        <v>0.15444647865378625</v>
      </c>
      <c r="I26" s="251">
        <v>0.15538629987228769</v>
      </c>
      <c r="J26" s="252">
        <v>8.5329806916778272E-2</v>
      </c>
      <c r="K26" s="251">
        <v>9.1031567856646678E-2</v>
      </c>
    </row>
    <row r="27" spans="1:11" ht="20" customHeight="1" thickBot="1">
      <c r="A27" s="148" t="s">
        <v>1690</v>
      </c>
      <c r="B27" s="253">
        <v>21.265011996428605</v>
      </c>
      <c r="C27" s="251">
        <v>0.1676621855725855</v>
      </c>
      <c r="D27" s="252">
        <v>-4.8385716275637369E-3</v>
      </c>
      <c r="E27" s="251">
        <v>5.9877873956748928E-2</v>
      </c>
      <c r="F27" s="252">
        <v>3.074608833777015E-2</v>
      </c>
      <c r="G27" s="251">
        <v>0.14821529479854645</v>
      </c>
      <c r="H27" s="252">
        <v>0.19005530575539575</v>
      </c>
      <c r="I27" s="251">
        <v>0.1676732725452954</v>
      </c>
      <c r="J27" s="252">
        <v>7.1954421470885155E-2</v>
      </c>
      <c r="K27" s="251">
        <v>0.10176329662685157</v>
      </c>
    </row>
    <row r="28" spans="1:11" ht="20" customHeight="1" thickBot="1">
      <c r="A28" s="148" t="s">
        <v>1691</v>
      </c>
      <c r="B28" s="253">
        <v>13.548470177239732</v>
      </c>
      <c r="C28" s="251">
        <v>9.6996879816964254E-2</v>
      </c>
      <c r="D28" s="252">
        <v>0.12113193491651697</v>
      </c>
      <c r="E28" s="251">
        <v>1.4003403955080485E-2</v>
      </c>
      <c r="F28" s="252">
        <v>1.0141826629378237E-2</v>
      </c>
      <c r="G28" s="251">
        <v>8.9714324091009434E-2</v>
      </c>
      <c r="H28" s="252">
        <v>0.15664707933740174</v>
      </c>
      <c r="I28" s="251">
        <v>0.20062051908951473</v>
      </c>
      <c r="J28" s="252">
        <v>8.3395096131486435E-2</v>
      </c>
      <c r="K28" s="251">
        <v>9.4898231664435562E-2</v>
      </c>
    </row>
    <row r="29" spans="1:11" ht="20" customHeight="1" thickBot="1">
      <c r="A29" s="148" t="s">
        <v>1692</v>
      </c>
      <c r="B29" s="253">
        <v>5.6528857976264737</v>
      </c>
      <c r="C29" s="251">
        <v>4.2577198700370467E-2</v>
      </c>
      <c r="D29" s="252">
        <v>5.2076995625258693E-3</v>
      </c>
      <c r="E29" s="251">
        <v>1.7476572176503113E-2</v>
      </c>
      <c r="F29" s="252">
        <v>2.7051357722978953E-2</v>
      </c>
      <c r="G29" s="251">
        <v>0.1417559005652469</v>
      </c>
      <c r="H29" s="252">
        <v>0.10455378955114059</v>
      </c>
      <c r="I29" s="251">
        <v>0.17148741253514288</v>
      </c>
      <c r="J29" s="252">
        <v>4.5356824784184235E-2</v>
      </c>
      <c r="K29" s="251">
        <v>6.7899457938610741E-2</v>
      </c>
    </row>
    <row r="30" spans="1:11" ht="20" customHeight="1" thickBot="1">
      <c r="A30" s="148" t="s">
        <v>1693</v>
      </c>
      <c r="B30" s="253">
        <v>3.703563842507243</v>
      </c>
      <c r="C30" s="251">
        <v>5.0049093300743586E-3</v>
      </c>
      <c r="D30" s="252">
        <v>-0.1057248460745015</v>
      </c>
      <c r="E30" s="251">
        <v>1.4926162626151651E-2</v>
      </c>
      <c r="F30" s="252">
        <v>1.4397417347216779E-2</v>
      </c>
      <c r="G30" s="251">
        <v>0.11747581064772961</v>
      </c>
      <c r="H30" s="252">
        <v>0.13621957191375089</v>
      </c>
      <c r="I30" s="251">
        <v>0.1417886792389873</v>
      </c>
      <c r="J30" s="252">
        <v>0.10073409466629801</v>
      </c>
      <c r="K30" s="251">
        <v>4.9920244562524418E-2</v>
      </c>
    </row>
    <row r="31" spans="1:11" ht="20" customHeight="1" thickBot="1">
      <c r="A31" s="148" t="s">
        <v>1694</v>
      </c>
      <c r="B31" s="253">
        <v>15.046312872791335</v>
      </c>
      <c r="C31" s="251">
        <v>0.12216343354785519</v>
      </c>
      <c r="D31" s="252">
        <v>-1.3967119317599197E-2</v>
      </c>
      <c r="E31" s="251">
        <v>7.4644210638974196E-2</v>
      </c>
      <c r="F31" s="252">
        <v>4.4641091015261036E-2</v>
      </c>
      <c r="G31" s="251">
        <v>0.12082629500605302</v>
      </c>
      <c r="H31" s="252">
        <v>0.16193736895865807</v>
      </c>
      <c r="I31" s="251">
        <v>0.19040741635770031</v>
      </c>
      <c r="J31" s="252">
        <v>6.3334021286113984E-2</v>
      </c>
      <c r="K31" s="251">
        <v>9.3725178955692545E-2</v>
      </c>
    </row>
    <row r="32" spans="1:11" ht="20" customHeight="1" thickBot="1">
      <c r="A32" s="148" t="s">
        <v>1695</v>
      </c>
      <c r="B32" s="253">
        <v>12.485817879128682</v>
      </c>
      <c r="C32" s="251">
        <v>7.124157591061886E-2</v>
      </c>
      <c r="D32" s="252">
        <v>-2.5706100041421487E-2</v>
      </c>
      <c r="E32" s="251">
        <v>4.4117335885504039E-2</v>
      </c>
      <c r="F32" s="252">
        <v>5.7176324510263221E-2</v>
      </c>
      <c r="G32" s="251">
        <v>0.15172871854170844</v>
      </c>
      <c r="H32" s="252">
        <v>0.10277287843330463</v>
      </c>
      <c r="I32" s="251">
        <v>0.12999374279581044</v>
      </c>
      <c r="J32" s="252">
        <v>5.3377149148676084E-2</v>
      </c>
      <c r="K32" s="251">
        <v>7.1818608505624493E-2</v>
      </c>
    </row>
    <row r="33" spans="1:13" ht="20" customHeight="1" thickBot="1">
      <c r="A33" s="148" t="s">
        <v>1696</v>
      </c>
      <c r="B33" s="253">
        <v>9.0627478151873415</v>
      </c>
      <c r="C33" s="251">
        <v>7.7840050190767895E-2</v>
      </c>
      <c r="D33" s="252">
        <v>-1.3358248345303636E-2</v>
      </c>
      <c r="E33" s="251">
        <v>-4.6514913681057202E-3</v>
      </c>
      <c r="F33" s="252">
        <v>5.4186935967129646E-2</v>
      </c>
      <c r="G33" s="251">
        <v>0.21923024629118038</v>
      </c>
      <c r="H33" s="252">
        <v>0.11460915492957757</v>
      </c>
      <c r="I33" s="251">
        <v>0.15696093851188908</v>
      </c>
      <c r="J33" s="252">
        <v>7.7519038864621859E-2</v>
      </c>
      <c r="K33" s="251">
        <v>8.285379687889094E-2</v>
      </c>
      <c r="L33" s="45"/>
      <c r="M33" s="45"/>
    </row>
    <row r="34" spans="1:13" ht="30" customHeight="1" thickBot="1">
      <c r="A34" s="13" t="s">
        <v>1697</v>
      </c>
      <c r="B34" s="254">
        <v>13.174684544924281</v>
      </c>
      <c r="C34" s="274">
        <v>8.6558371467537087E-2</v>
      </c>
      <c r="D34" s="275">
        <v>5.0920050587330845E-3</v>
      </c>
      <c r="E34" s="274">
        <v>3.9289301934081866E-2</v>
      </c>
      <c r="F34" s="275">
        <v>3.4559300320813779E-2</v>
      </c>
      <c r="G34" s="274">
        <v>0.11172026305650617</v>
      </c>
      <c r="H34" s="275">
        <v>0.14982085864992989</v>
      </c>
      <c r="I34" s="257">
        <v>0.15398318795447397</v>
      </c>
      <c r="J34" s="210">
        <v>7.3287323228259371E-2</v>
      </c>
      <c r="K34" s="257">
        <v>8.0591355817302146E-2</v>
      </c>
    </row>
    <row r="35" spans="1:13" ht="20" customHeight="1">
      <c r="A35" s="9" t="s">
        <v>463</v>
      </c>
      <c r="B35" s="151"/>
      <c r="C35" s="197"/>
      <c r="D35" s="197"/>
      <c r="E35" s="197"/>
      <c r="F35" s="197"/>
      <c r="G35" s="197"/>
      <c r="H35" s="258"/>
    </row>
    <row r="36" spans="1:13" ht="15.75" customHeight="1">
      <c r="A36" s="38"/>
      <c r="B36" s="152"/>
      <c r="C36" s="199"/>
      <c r="D36" s="199"/>
      <c r="E36" s="199"/>
      <c r="F36" s="199"/>
      <c r="G36" s="199"/>
      <c r="H36" s="259"/>
    </row>
    <row r="37" spans="1:13" ht="20" customHeight="1">
      <c r="A37" s="38" t="s">
        <v>870</v>
      </c>
      <c r="B37" s="152"/>
      <c r="C37" s="199"/>
      <c r="D37" s="199"/>
      <c r="E37" s="199"/>
      <c r="F37" s="199"/>
      <c r="G37" s="199"/>
      <c r="H37" s="259"/>
    </row>
    <row r="38" spans="1:13" ht="12.75" customHeight="1">
      <c r="A38" s="38"/>
      <c r="B38" s="152"/>
      <c r="C38" s="199"/>
      <c r="D38" s="199"/>
      <c r="E38" s="199"/>
      <c r="F38" s="199"/>
      <c r="G38" s="199"/>
      <c r="H38" s="259"/>
    </row>
    <row r="39" spans="1:13" ht="12.75" customHeight="1">
      <c r="A39" s="38" t="s">
        <v>892</v>
      </c>
      <c r="B39" s="152"/>
      <c r="C39" s="199"/>
      <c r="D39" s="199"/>
      <c r="E39" s="199"/>
      <c r="F39" s="199"/>
      <c r="G39" s="199"/>
      <c r="H39" s="259"/>
    </row>
    <row r="40" spans="1:13">
      <c r="A40" s="3" t="s">
        <v>886</v>
      </c>
    </row>
    <row r="41" spans="1:13">
      <c r="A41" s="260" t="s">
        <v>887</v>
      </c>
    </row>
  </sheetData>
  <phoneticPr fontId="0" type="noConversion"/>
  <pageMargins left="0.38" right="0.23" top="1.28" bottom="0.49" header="0.93" footer="0.4921259845"/>
  <pageSetup paperSize="9" scale="75"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2404-CBFA-0B49-9680-DF0A0767C061}">
  <dimension ref="A1:K38"/>
  <sheetViews>
    <sheetView topLeftCell="A22" zoomScale="75" workbookViewId="0">
      <selection activeCell="A35" sqref="A35"/>
    </sheetView>
  </sheetViews>
  <sheetFormatPr baseColWidth="10" defaultColWidth="11.3984375" defaultRowHeight="13"/>
  <cols>
    <col min="1" max="1" width="11.19921875" style="3" customWidth="1"/>
    <col min="2" max="2" width="11.19921875" style="3" hidden="1" customWidth="1"/>
    <col min="3" max="6" width="11.19921875" style="3" customWidth="1"/>
    <col min="7" max="7" width="10.796875" style="3" customWidth="1"/>
    <col min="8" max="8" width="11.19921875" style="3" customWidth="1"/>
    <col min="9" max="9" width="11.3984375" style="3"/>
    <col min="10" max="10" width="11" style="3" customWidth="1"/>
    <col min="11" max="11" width="10.796875" style="3" customWidth="1"/>
    <col min="12" max="16384" width="11.3984375" style="3"/>
  </cols>
  <sheetData>
    <row r="1" spans="1:11" s="1" customFormat="1" ht="14" customHeight="1"/>
    <row r="2" spans="1:11" s="1" customFormat="1" ht="28" customHeight="1">
      <c r="A2" s="64" t="s">
        <v>891</v>
      </c>
    </row>
    <row r="3" spans="1:11" ht="24" customHeight="1">
      <c r="A3" s="2" t="s">
        <v>1663</v>
      </c>
      <c r="B3" s="74">
        <v>1996</v>
      </c>
      <c r="C3" s="74">
        <v>1996</v>
      </c>
      <c r="D3" s="17">
        <v>1997</v>
      </c>
      <c r="E3" s="74">
        <v>1998</v>
      </c>
      <c r="F3" s="17">
        <v>1999</v>
      </c>
      <c r="G3" s="74">
        <v>2000</v>
      </c>
      <c r="H3" s="17">
        <v>2001</v>
      </c>
      <c r="I3" s="74">
        <v>2002</v>
      </c>
      <c r="J3" s="17">
        <v>2003</v>
      </c>
      <c r="K3" s="74">
        <v>2004</v>
      </c>
    </row>
    <row r="4" spans="1:11" ht="15" customHeight="1">
      <c r="A4" s="82"/>
      <c r="B4" s="75"/>
      <c r="C4" s="261" t="s">
        <v>885</v>
      </c>
      <c r="D4" s="18"/>
      <c r="E4" s="75"/>
      <c r="F4" s="18"/>
      <c r="G4" s="75"/>
      <c r="H4" s="18"/>
      <c r="I4" s="75"/>
      <c r="J4" s="18"/>
      <c r="K4" s="75"/>
    </row>
    <row r="5" spans="1:11" ht="16" customHeight="1">
      <c r="A5" s="83"/>
      <c r="B5" s="78"/>
      <c r="C5" s="78"/>
      <c r="D5" s="19"/>
      <c r="E5" s="78"/>
      <c r="F5" s="19"/>
      <c r="G5" s="16"/>
      <c r="H5" s="67"/>
      <c r="I5" s="78"/>
      <c r="J5" s="19"/>
      <c r="K5" s="78"/>
    </row>
    <row r="6" spans="1:11" ht="30" customHeight="1" thickBot="1">
      <c r="A6" s="146" t="s">
        <v>1671</v>
      </c>
      <c r="B6" s="20">
        <v>41.718753671585276</v>
      </c>
      <c r="C6" s="262">
        <v>43.923058994479014</v>
      </c>
      <c r="D6" s="263">
        <v>49.463482306636379</v>
      </c>
      <c r="E6" s="262">
        <v>50.318363772724794</v>
      </c>
      <c r="F6" s="263">
        <v>53.013812330781704</v>
      </c>
      <c r="G6" s="262">
        <v>55.255514362971027</v>
      </c>
      <c r="H6" s="263">
        <v>57.87</v>
      </c>
      <c r="I6" s="262">
        <v>63.425809999999998</v>
      </c>
      <c r="J6" s="264">
        <v>69.532570000000007</v>
      </c>
      <c r="K6" s="29">
        <v>72.39</v>
      </c>
    </row>
    <row r="7" spans="1:11" ht="20" customHeight="1" thickBot="1">
      <c r="A7" s="148" t="s">
        <v>1672</v>
      </c>
      <c r="B7" s="30">
        <v>43.262386429302111</v>
      </c>
      <c r="C7" s="265">
        <v>45.005658086043326</v>
      </c>
      <c r="D7" s="266">
        <v>48.815905481405821</v>
      </c>
      <c r="E7" s="265">
        <v>49.800325535025237</v>
      </c>
      <c r="F7" s="266">
        <v>52.917628328055834</v>
      </c>
      <c r="G7" s="265">
        <v>54.167464738283748</v>
      </c>
      <c r="H7" s="266">
        <v>56.07</v>
      </c>
      <c r="I7" s="265">
        <v>62.33831</v>
      </c>
      <c r="J7" s="266">
        <v>68.851010000000002</v>
      </c>
      <c r="K7" s="29">
        <v>71.97</v>
      </c>
    </row>
    <row r="8" spans="1:11" ht="20" customHeight="1" thickBot="1">
      <c r="A8" s="148" t="s">
        <v>1673</v>
      </c>
      <c r="B8" s="30">
        <v>35.431055547687443</v>
      </c>
      <c r="C8" s="265">
        <v>36.594136013982386</v>
      </c>
      <c r="D8" s="266">
        <v>37.771959469685505</v>
      </c>
      <c r="E8" s="265">
        <v>39.024736967872208</v>
      </c>
      <c r="F8" s="266">
        <v>39.205738865192295</v>
      </c>
      <c r="G8" s="265">
        <v>41.56641556075305</v>
      </c>
      <c r="H8" s="266">
        <v>44.3</v>
      </c>
      <c r="I8" s="265">
        <v>48.980910000000002</v>
      </c>
      <c r="J8" s="266">
        <v>54.38438</v>
      </c>
      <c r="K8" s="29">
        <v>56.91</v>
      </c>
    </row>
    <row r="9" spans="1:11" ht="20" customHeight="1" thickBot="1">
      <c r="A9" s="148" t="s">
        <v>1674</v>
      </c>
      <c r="B9" s="30">
        <v>36.226433792447438</v>
      </c>
      <c r="C9" s="265">
        <v>37.891308884027801</v>
      </c>
      <c r="D9" s="266">
        <v>39.05961451588616</v>
      </c>
      <c r="E9" s="265">
        <v>38.924191837703162</v>
      </c>
      <c r="F9" s="266">
        <v>38.919598278799377</v>
      </c>
      <c r="G9" s="265">
        <v>39.98278042622718</v>
      </c>
      <c r="H9" s="266">
        <v>41.73</v>
      </c>
      <c r="I9" s="265">
        <v>46.114289999999997</v>
      </c>
      <c r="J9" s="266">
        <v>51.525869999999998</v>
      </c>
      <c r="K9" s="29">
        <v>53.28</v>
      </c>
    </row>
    <row r="10" spans="1:11" ht="20" customHeight="1" thickBot="1">
      <c r="A10" s="148" t="s">
        <v>1675</v>
      </c>
      <c r="B10" s="30">
        <v>35.409999042794709</v>
      </c>
      <c r="C10" s="265">
        <v>36.935727398571451</v>
      </c>
      <c r="D10" s="266">
        <v>40.712079944129485</v>
      </c>
      <c r="E10" s="265">
        <v>40.57161294540699</v>
      </c>
      <c r="F10" s="266">
        <v>40.587244523046742</v>
      </c>
      <c r="G10" s="265">
        <v>41.513266884274493</v>
      </c>
      <c r="H10" s="266">
        <v>43.94</v>
      </c>
      <c r="I10" s="265">
        <v>49.170670000000001</v>
      </c>
      <c r="J10" s="266">
        <v>54.933639999999997</v>
      </c>
      <c r="K10" s="29">
        <v>57.27</v>
      </c>
    </row>
    <row r="11" spans="1:11" ht="20" customHeight="1" thickBot="1">
      <c r="A11" s="148" t="s">
        <v>1676</v>
      </c>
      <c r="B11" s="30">
        <v>36.653282798397214</v>
      </c>
      <c r="C11" s="265">
        <v>37.803120547545305</v>
      </c>
      <c r="D11" s="266">
        <v>40.089048760991204</v>
      </c>
      <c r="E11" s="265">
        <v>39.102460115892001</v>
      </c>
      <c r="F11" s="266">
        <v>39.41021611490568</v>
      </c>
      <c r="G11" s="265">
        <v>40.642995823188755</v>
      </c>
      <c r="H11" s="266">
        <v>42.6</v>
      </c>
      <c r="I11" s="265">
        <v>45.837009999999999</v>
      </c>
      <c r="J11" s="266">
        <v>49.250610000000002</v>
      </c>
      <c r="K11" s="29">
        <v>51.14</v>
      </c>
    </row>
    <row r="12" spans="1:11" ht="20" customHeight="1" thickBot="1">
      <c r="A12" s="148" t="s">
        <v>1677</v>
      </c>
      <c r="B12" s="30">
        <v>35.740646131932074</v>
      </c>
      <c r="C12" s="265">
        <v>37.012158059816571</v>
      </c>
      <c r="D12" s="266">
        <v>38.902467685076381</v>
      </c>
      <c r="E12" s="265">
        <v>37.961333408374607</v>
      </c>
      <c r="F12" s="266">
        <v>37.488602413777578</v>
      </c>
      <c r="G12" s="265">
        <v>38.582415416158433</v>
      </c>
      <c r="H12" s="266">
        <v>40.46</v>
      </c>
      <c r="I12" s="265">
        <v>43.951790000000003</v>
      </c>
      <c r="J12" s="266">
        <v>48.316870000000002</v>
      </c>
      <c r="K12" s="29">
        <v>50.08</v>
      </c>
    </row>
    <row r="13" spans="1:11" ht="20" customHeight="1" thickBot="1">
      <c r="A13" s="148" t="s">
        <v>1678</v>
      </c>
      <c r="B13" s="30">
        <v>34.656615291496252</v>
      </c>
      <c r="C13" s="265">
        <v>35.093099721271884</v>
      </c>
      <c r="D13" s="266">
        <v>38.623441674087267</v>
      </c>
      <c r="E13" s="265">
        <v>38.550362907593978</v>
      </c>
      <c r="F13" s="266">
        <v>40.192322472448488</v>
      </c>
      <c r="G13" s="265">
        <v>41.094264828779039</v>
      </c>
      <c r="H13" s="266">
        <v>44.09</v>
      </c>
      <c r="I13" s="265">
        <v>49.420699999999997</v>
      </c>
      <c r="J13" s="266">
        <v>56.229599999999998</v>
      </c>
      <c r="K13" s="29">
        <v>58.87</v>
      </c>
    </row>
    <row r="14" spans="1:11" ht="20" customHeight="1" thickBot="1">
      <c r="A14" s="148" t="s">
        <v>1679</v>
      </c>
      <c r="B14" s="30">
        <v>36.639340808245812</v>
      </c>
      <c r="C14" s="265">
        <v>38.171743830119503</v>
      </c>
      <c r="D14" s="266">
        <v>41.234852450764485</v>
      </c>
      <c r="E14" s="265">
        <v>39.579025737059446</v>
      </c>
      <c r="F14" s="266">
        <v>39.824251186401611</v>
      </c>
      <c r="G14" s="265">
        <v>41.290124723913671</v>
      </c>
      <c r="H14" s="266">
        <v>43.54</v>
      </c>
      <c r="I14" s="265">
        <v>48.346510000000002</v>
      </c>
      <c r="J14" s="266">
        <v>54.650489999999998</v>
      </c>
      <c r="K14" s="29">
        <v>57.49</v>
      </c>
    </row>
    <row r="15" spans="1:11" ht="20" customHeight="1" thickBot="1">
      <c r="A15" s="148" t="s">
        <v>1680</v>
      </c>
      <c r="B15" s="30">
        <v>48.51028508862985</v>
      </c>
      <c r="C15" s="265">
        <v>49.474427978275777</v>
      </c>
      <c r="D15" s="266">
        <v>52.797310620851235</v>
      </c>
      <c r="E15" s="265">
        <v>52.460471481951494</v>
      </c>
      <c r="F15" s="266">
        <v>52.488688974196272</v>
      </c>
      <c r="G15" s="265">
        <v>54.825350997568805</v>
      </c>
      <c r="H15" s="266">
        <v>56.92</v>
      </c>
      <c r="I15" s="265">
        <v>61.386839999999999</v>
      </c>
      <c r="J15" s="266">
        <v>65.283850000000001</v>
      </c>
      <c r="K15" s="29">
        <v>66.430000000000007</v>
      </c>
    </row>
    <row r="16" spans="1:11" ht="20" customHeight="1" thickBot="1">
      <c r="A16" s="148" t="s">
        <v>1681</v>
      </c>
      <c r="B16" s="30">
        <v>35.379722200083393</v>
      </c>
      <c r="C16" s="265">
        <v>39.727680770679839</v>
      </c>
      <c r="D16" s="266">
        <v>45.139238759182142</v>
      </c>
      <c r="E16" s="265">
        <v>46.627131804164158</v>
      </c>
      <c r="F16" s="266">
        <v>48.122314081303209</v>
      </c>
      <c r="G16" s="265">
        <v>50.2937322719145</v>
      </c>
      <c r="H16" s="266">
        <v>52.23</v>
      </c>
      <c r="I16" s="265">
        <v>55.529260000000001</v>
      </c>
      <c r="J16" s="266">
        <v>61.430140000000002</v>
      </c>
      <c r="K16" s="29">
        <v>64.650000000000006</v>
      </c>
    </row>
    <row r="17" spans="1:11" ht="20" customHeight="1" thickBot="1">
      <c r="A17" s="148" t="s">
        <v>1682</v>
      </c>
      <c r="B17" s="30">
        <v>49.802437633137387</v>
      </c>
      <c r="C17" s="265">
        <v>51.371218445274728</v>
      </c>
      <c r="D17" s="266">
        <v>59.155353266577968</v>
      </c>
      <c r="E17" s="265">
        <v>62.92857388854101</v>
      </c>
      <c r="F17" s="266">
        <v>68.475240112711333</v>
      </c>
      <c r="G17" s="265">
        <v>71.798648406979126</v>
      </c>
      <c r="H17" s="266">
        <v>75.72</v>
      </c>
      <c r="I17" s="265">
        <v>82.667259999999999</v>
      </c>
      <c r="J17" s="266">
        <v>90.215479999999999</v>
      </c>
      <c r="K17" s="29">
        <v>95.33</v>
      </c>
    </row>
    <row r="18" spans="1:11" ht="20" customHeight="1" thickBot="1">
      <c r="A18" s="148" t="s">
        <v>1683</v>
      </c>
      <c r="B18" s="30">
        <v>41.943975664072163</v>
      </c>
      <c r="C18" s="265">
        <v>44.28278425673404</v>
      </c>
      <c r="D18" s="266">
        <v>50.407676162950722</v>
      </c>
      <c r="E18" s="265">
        <v>52.13367219996919</v>
      </c>
      <c r="F18" s="266">
        <v>53.269683230627017</v>
      </c>
      <c r="G18" s="265">
        <v>55.417669457793103</v>
      </c>
      <c r="H18" s="266">
        <v>57.9</v>
      </c>
      <c r="I18" s="265">
        <v>63.903820000000003</v>
      </c>
      <c r="J18" s="266">
        <v>70.882249999999999</v>
      </c>
      <c r="K18" s="29">
        <v>73.53</v>
      </c>
    </row>
    <row r="19" spans="1:11" ht="20" customHeight="1" thickBot="1">
      <c r="A19" s="148" t="s">
        <v>1684</v>
      </c>
      <c r="B19" s="30">
        <v>36.575020697081818</v>
      </c>
      <c r="C19" s="265">
        <v>37.641022119864097</v>
      </c>
      <c r="D19" s="266">
        <v>43.743997054720204</v>
      </c>
      <c r="E19" s="265">
        <v>44.128326631611507</v>
      </c>
      <c r="F19" s="266">
        <v>47.147867343025055</v>
      </c>
      <c r="G19" s="265">
        <v>49.138359447703145</v>
      </c>
      <c r="H19" s="266">
        <v>51.27</v>
      </c>
      <c r="I19" s="265">
        <v>59.141860000000001</v>
      </c>
      <c r="J19" s="266">
        <v>64.781949999999995</v>
      </c>
      <c r="K19" s="29">
        <v>67.66</v>
      </c>
    </row>
    <row r="20" spans="1:11" ht="20" customHeight="1" thickBot="1">
      <c r="A20" s="148" t="s">
        <v>1685</v>
      </c>
      <c r="B20" s="30">
        <v>33.407080929158951</v>
      </c>
      <c r="C20" s="265">
        <v>34.258392229576131</v>
      </c>
      <c r="D20" s="266">
        <v>38.208469914040116</v>
      </c>
      <c r="E20" s="265">
        <v>37.501872392913214</v>
      </c>
      <c r="F20" s="266">
        <v>37.487556354175133</v>
      </c>
      <c r="G20" s="265">
        <v>38.283417332687009</v>
      </c>
      <c r="H20" s="266">
        <v>40.82</v>
      </c>
      <c r="I20" s="265">
        <v>45.358510000000003</v>
      </c>
      <c r="J20" s="266">
        <v>50.411659999999998</v>
      </c>
      <c r="K20" s="29">
        <v>52.4</v>
      </c>
    </row>
    <row r="21" spans="1:11" ht="20" customHeight="1" thickBot="1">
      <c r="A21" s="148" t="s">
        <v>1686</v>
      </c>
      <c r="B21" s="30">
        <v>32.853731323273763</v>
      </c>
      <c r="C21" s="265">
        <v>33.791741202606048</v>
      </c>
      <c r="D21" s="266">
        <v>36.04614126880314</v>
      </c>
      <c r="E21" s="265">
        <v>34.349443344878779</v>
      </c>
      <c r="F21" s="266">
        <v>34.115438111975898</v>
      </c>
      <c r="G21" s="265">
        <v>34.538117356336265</v>
      </c>
      <c r="H21" s="266">
        <v>37.409999999999997</v>
      </c>
      <c r="I21" s="265">
        <v>40.66377</v>
      </c>
      <c r="J21" s="266">
        <v>44.770470000000003</v>
      </c>
      <c r="K21" s="29">
        <v>46.87</v>
      </c>
    </row>
    <row r="22" spans="1:11" ht="20" customHeight="1" thickBot="1">
      <c r="A22" s="148" t="s">
        <v>1687</v>
      </c>
      <c r="B22" s="30">
        <v>34.998635932327019</v>
      </c>
      <c r="C22" s="265">
        <v>36.208128517491303</v>
      </c>
      <c r="D22" s="266">
        <v>40.242319517530895</v>
      </c>
      <c r="E22" s="265">
        <v>40.312091985269127</v>
      </c>
      <c r="F22" s="266">
        <v>40.988240996996879</v>
      </c>
      <c r="G22" s="265">
        <v>42.319009021309192</v>
      </c>
      <c r="H22" s="266">
        <v>44.87</v>
      </c>
      <c r="I22" s="265">
        <v>49.452069999999999</v>
      </c>
      <c r="J22" s="266">
        <v>53.806179999999998</v>
      </c>
      <c r="K22" s="29">
        <v>57.16</v>
      </c>
    </row>
    <row r="23" spans="1:11" ht="20" customHeight="1" thickBot="1">
      <c r="A23" s="148" t="s">
        <v>1688</v>
      </c>
      <c r="B23" s="30">
        <v>32.952640897764887</v>
      </c>
      <c r="C23" s="265">
        <v>33.714308180129308</v>
      </c>
      <c r="D23" s="266">
        <v>39.622198567834332</v>
      </c>
      <c r="E23" s="265">
        <v>37.525989318950934</v>
      </c>
      <c r="F23" s="266">
        <v>37.77391368135067</v>
      </c>
      <c r="G23" s="265">
        <v>39.750026255583869</v>
      </c>
      <c r="H23" s="266">
        <v>42.77</v>
      </c>
      <c r="I23" s="265">
        <v>49.12473</v>
      </c>
      <c r="J23" s="266">
        <v>55.57593</v>
      </c>
      <c r="K23" s="29">
        <v>58.57</v>
      </c>
    </row>
    <row r="24" spans="1:11" ht="20" customHeight="1" thickBot="1">
      <c r="A24" s="148" t="s">
        <v>1689</v>
      </c>
      <c r="B24" s="30">
        <v>28.585234891458057</v>
      </c>
      <c r="C24" s="265">
        <v>35.480218580805271</v>
      </c>
      <c r="D24" s="266">
        <v>39.999932557539303</v>
      </c>
      <c r="E24" s="265">
        <v>40.867760275814078</v>
      </c>
      <c r="F24" s="266">
        <v>43.09740090145656</v>
      </c>
      <c r="G24" s="265">
        <v>45.488728140942797</v>
      </c>
      <c r="H24" s="266">
        <v>49.16</v>
      </c>
      <c r="I24" s="265">
        <v>54.710949999999997</v>
      </c>
      <c r="J24" s="266">
        <v>60.209690000000002</v>
      </c>
      <c r="K24" s="29">
        <v>63.06</v>
      </c>
    </row>
    <row r="25" spans="1:11" ht="20" customHeight="1" thickBot="1">
      <c r="A25" s="148" t="s">
        <v>1690</v>
      </c>
      <c r="B25" s="30">
        <v>34.888516622037422</v>
      </c>
      <c r="C25" s="265">
        <v>36.232708731886646</v>
      </c>
      <c r="D25" s="266">
        <v>42.307563867089662</v>
      </c>
      <c r="E25" s="265">
        <v>42.774392996751637</v>
      </c>
      <c r="F25" s="266">
        <v>45.224448958677044</v>
      </c>
      <c r="G25" s="265">
        <v>46.859517817001347</v>
      </c>
      <c r="H25" s="266">
        <v>51.33</v>
      </c>
      <c r="I25" s="265">
        <v>58.294269999999997</v>
      </c>
      <c r="J25" s="266">
        <v>64.791269999999997</v>
      </c>
      <c r="K25" s="29">
        <v>67.77</v>
      </c>
    </row>
    <row r="26" spans="1:11" ht="20" customHeight="1" thickBot="1">
      <c r="A26" s="148" t="s">
        <v>1691</v>
      </c>
      <c r="B26" s="30">
        <v>60.9754826368548</v>
      </c>
      <c r="C26" s="265">
        <v>63.114790015527959</v>
      </c>
      <c r="D26" s="266">
        <v>69.236727717337061</v>
      </c>
      <c r="E26" s="265">
        <v>65.762853749458174</v>
      </c>
      <c r="F26" s="266">
        <v>66.363292805326296</v>
      </c>
      <c r="G26" s="265">
        <v>67.274446818129505</v>
      </c>
      <c r="H26" s="266">
        <v>69.28</v>
      </c>
      <c r="I26" s="265">
        <v>75.362449999999995</v>
      </c>
      <c r="J26" s="266">
        <v>81.438580000000002</v>
      </c>
      <c r="K26" s="29">
        <v>86.57</v>
      </c>
    </row>
    <row r="27" spans="1:11" ht="20" customHeight="1" thickBot="1">
      <c r="A27" s="148" t="s">
        <v>1692</v>
      </c>
      <c r="B27" s="30">
        <v>75.856129550277231</v>
      </c>
      <c r="C27" s="265">
        <v>76.87122836002753</v>
      </c>
      <c r="D27" s="266">
        <v>80.144189924253979</v>
      </c>
      <c r="E27" s="265">
        <v>77.605631440918998</v>
      </c>
      <c r="F27" s="266">
        <v>78.121876774646324</v>
      </c>
      <c r="G27" s="265">
        <v>79.210640099703042</v>
      </c>
      <c r="H27" s="266">
        <v>80.73</v>
      </c>
      <c r="I27" s="265">
        <v>85.726100000000002</v>
      </c>
      <c r="J27" s="266">
        <v>91.803979999999996</v>
      </c>
      <c r="K27" s="29">
        <v>93.22</v>
      </c>
    </row>
    <row r="28" spans="1:11" ht="20" customHeight="1" thickBot="1">
      <c r="A28" s="148" t="s">
        <v>1693</v>
      </c>
      <c r="B28" s="30">
        <v>48.560499657043145</v>
      </c>
      <c r="C28" s="265">
        <v>50.108181857192136</v>
      </c>
      <c r="D28" s="266">
        <v>50.358968764082256</v>
      </c>
      <c r="E28" s="265">
        <v>47.254479039937515</v>
      </c>
      <c r="F28" s="266">
        <v>47.200711518046234</v>
      </c>
      <c r="G28" s="265">
        <v>47.401333618583557</v>
      </c>
      <c r="H28" s="266">
        <v>48.57</v>
      </c>
      <c r="I28" s="265">
        <v>51.963740000000001</v>
      </c>
      <c r="J28" s="266">
        <v>56.395269999999996</v>
      </c>
      <c r="K28" s="29">
        <v>59.45</v>
      </c>
    </row>
    <row r="29" spans="1:11" ht="20" customHeight="1" thickBot="1">
      <c r="A29" s="148" t="s">
        <v>1694</v>
      </c>
      <c r="B29" s="30">
        <v>53.187830680760385</v>
      </c>
      <c r="C29" s="265">
        <v>54.529167736090365</v>
      </c>
      <c r="D29" s="266">
        <v>61.190638095238093</v>
      </c>
      <c r="E29" s="265">
        <v>63.349411602742357</v>
      </c>
      <c r="F29" s="266">
        <v>66.14797337310975</v>
      </c>
      <c r="G29" s="265">
        <v>68.133447129993144</v>
      </c>
      <c r="H29" s="266">
        <v>68.64</v>
      </c>
      <c r="I29" s="265">
        <v>75.354849999999999</v>
      </c>
      <c r="J29" s="266">
        <v>81.656689999999998</v>
      </c>
      <c r="K29" s="29">
        <v>83.8</v>
      </c>
    </row>
    <row r="30" spans="1:11" ht="20" customHeight="1" thickBot="1">
      <c r="A30" s="148" t="s">
        <v>1695</v>
      </c>
      <c r="B30" s="30">
        <v>73.007835599444448</v>
      </c>
      <c r="C30" s="265">
        <v>76.661943334373419</v>
      </c>
      <c r="D30" s="266">
        <v>82.123460989884748</v>
      </c>
      <c r="E30" s="265">
        <v>81.819434733953273</v>
      </c>
      <c r="F30" s="266">
        <v>81.408749890372022</v>
      </c>
      <c r="G30" s="265">
        <v>85.543589877557864</v>
      </c>
      <c r="H30" s="266">
        <v>88.63</v>
      </c>
      <c r="I30" s="265">
        <v>94.694569999999999</v>
      </c>
      <c r="J30" s="266">
        <v>100.62352</v>
      </c>
      <c r="K30" s="29">
        <v>103.25</v>
      </c>
    </row>
    <row r="31" spans="1:11" ht="20" customHeight="1" thickBot="1">
      <c r="A31" s="148" t="s">
        <v>1696</v>
      </c>
      <c r="B31" s="30">
        <v>50.87956011667579</v>
      </c>
      <c r="C31" s="265">
        <v>51.48319208374695</v>
      </c>
      <c r="D31" s="266">
        <v>55.490646339526755</v>
      </c>
      <c r="E31" s="265">
        <v>59.093285871089705</v>
      </c>
      <c r="F31" s="266">
        <v>58.959970294368595</v>
      </c>
      <c r="G31" s="265">
        <v>61.71005554804438</v>
      </c>
      <c r="H31" s="266">
        <v>66.92</v>
      </c>
      <c r="I31" s="265">
        <v>72.339150000000004</v>
      </c>
      <c r="J31" s="266">
        <v>76.573120000000003</v>
      </c>
      <c r="K31" s="29">
        <v>78.62</v>
      </c>
    </row>
    <row r="32" spans="1:11" ht="30" customHeight="1" thickBot="1">
      <c r="A32" s="13" t="s">
        <v>1697</v>
      </c>
      <c r="B32" s="136">
        <v>45.818020396587798</v>
      </c>
      <c r="C32" s="267">
        <v>47.723529089864961</v>
      </c>
      <c r="D32" s="268">
        <v>51.854400048567307</v>
      </c>
      <c r="E32" s="267">
        <v>51.799576777497641</v>
      </c>
      <c r="F32" s="268">
        <v>53.348085764350309</v>
      </c>
      <c r="G32" s="267">
        <v>55.173206027906794</v>
      </c>
      <c r="H32" s="268">
        <v>57.65</v>
      </c>
      <c r="I32" s="267">
        <v>63.127989999999997</v>
      </c>
      <c r="J32" s="269">
        <v>68.990499999999997</v>
      </c>
      <c r="K32" s="270">
        <v>71.84</v>
      </c>
    </row>
    <row r="33" spans="1:10" ht="20" customHeight="1">
      <c r="A33" s="9" t="s">
        <v>463</v>
      </c>
      <c r="B33" s="151"/>
      <c r="C33" s="151"/>
      <c r="D33" s="151"/>
      <c r="E33" s="151"/>
      <c r="F33" s="151"/>
      <c r="G33" s="151"/>
      <c r="H33" s="151"/>
      <c r="I33" s="151"/>
      <c r="J33" s="271"/>
    </row>
    <row r="34" spans="1:10" ht="11.25" customHeight="1">
      <c r="A34" s="38"/>
      <c r="B34" s="152"/>
      <c r="C34" s="152"/>
      <c r="D34" s="152"/>
      <c r="E34" s="152"/>
      <c r="F34" s="152"/>
      <c r="G34" s="152"/>
      <c r="H34" s="152"/>
      <c r="I34" s="152"/>
      <c r="J34" s="272"/>
    </row>
    <row r="35" spans="1:10" ht="20" customHeight="1">
      <c r="A35" s="38" t="s">
        <v>870</v>
      </c>
      <c r="B35" s="152"/>
      <c r="C35" s="152"/>
      <c r="D35" s="152"/>
      <c r="E35" s="152"/>
      <c r="F35" s="152"/>
      <c r="G35" s="152"/>
      <c r="H35" s="152"/>
      <c r="I35" s="152"/>
      <c r="J35" s="272"/>
    </row>
    <row r="36" spans="1:10" ht="13.5" customHeight="1">
      <c r="A36" s="38"/>
      <c r="B36" s="152"/>
      <c r="C36" s="152"/>
      <c r="D36" s="152"/>
      <c r="E36" s="152"/>
      <c r="F36" s="152"/>
      <c r="G36" s="152"/>
      <c r="H36" s="152"/>
      <c r="I36" s="152"/>
      <c r="J36" s="272"/>
    </row>
    <row r="37" spans="1:10" ht="12.75" customHeight="1">
      <c r="A37" s="38" t="s">
        <v>871</v>
      </c>
      <c r="B37" s="152"/>
      <c r="C37" s="152"/>
      <c r="D37" s="152"/>
      <c r="E37" s="152"/>
      <c r="F37" s="152"/>
      <c r="G37" s="152"/>
      <c r="H37" s="152"/>
      <c r="I37" s="152"/>
      <c r="J37" s="272"/>
    </row>
    <row r="38" spans="1:10">
      <c r="A38" s="260" t="s">
        <v>890</v>
      </c>
    </row>
  </sheetData>
  <phoneticPr fontId="0" type="noConversion"/>
  <pageMargins left="0.57999999999999996" right="0.45" top="1.28" bottom="0.49" header="0.93" footer="0.4921259845"/>
  <pageSetup paperSize="9" scale="80"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2E2B-6121-9440-B3C2-A9C519B1F885}">
  <dimension ref="A1:M41"/>
  <sheetViews>
    <sheetView topLeftCell="A22" zoomScale="75" workbookViewId="0"/>
  </sheetViews>
  <sheetFormatPr baseColWidth="10" defaultColWidth="11.3984375" defaultRowHeight="13"/>
  <cols>
    <col min="1" max="1" width="12.796875" style="3" customWidth="1"/>
    <col min="2" max="2" width="15.3984375" style="3" hidden="1" customWidth="1"/>
    <col min="3" max="3" width="13.796875" style="105" customWidth="1"/>
    <col min="4" max="4" width="12.796875" style="105" customWidth="1"/>
    <col min="5" max="5" width="12.59765625" style="105" customWidth="1"/>
    <col min="6" max="6" width="12.796875" style="105" customWidth="1"/>
    <col min="7" max="7" width="12.19921875" style="105" customWidth="1"/>
    <col min="8" max="8" width="12" style="105" customWidth="1"/>
    <col min="9" max="9" width="11.3984375" style="105"/>
    <col min="10" max="10" width="12.796875" style="105" customWidth="1"/>
    <col min="11" max="11" width="13.3984375" style="3" customWidth="1"/>
    <col min="12" max="16384" width="11.3984375" style="3"/>
  </cols>
  <sheetData>
    <row r="1" spans="1:11" s="1" customFormat="1" ht="14" customHeight="1">
      <c r="C1" s="95"/>
      <c r="D1" s="95"/>
      <c r="E1" s="95"/>
      <c r="F1" s="95"/>
      <c r="G1" s="95"/>
      <c r="H1" s="95"/>
      <c r="I1" s="95"/>
      <c r="J1" s="95"/>
    </row>
    <row r="2" spans="1:11" s="1" customFormat="1" ht="28" customHeight="1">
      <c r="A2" s="64" t="s">
        <v>888</v>
      </c>
      <c r="C2" s="95"/>
      <c r="D2" s="95"/>
      <c r="E2" s="95"/>
      <c r="F2" s="95"/>
      <c r="G2" s="95"/>
      <c r="H2" s="95"/>
      <c r="I2" s="95"/>
      <c r="J2" s="95"/>
    </row>
    <row r="3" spans="1:11" ht="24" customHeight="1">
      <c r="A3" s="2" t="s">
        <v>1663</v>
      </c>
      <c r="B3" s="74" t="s">
        <v>889</v>
      </c>
      <c r="C3" s="144" t="s">
        <v>873</v>
      </c>
      <c r="D3" s="96" t="s">
        <v>873</v>
      </c>
      <c r="E3" s="144" t="s">
        <v>873</v>
      </c>
      <c r="F3" s="96" t="s">
        <v>873</v>
      </c>
      <c r="G3" s="144" t="s">
        <v>873</v>
      </c>
      <c r="H3" s="96" t="s">
        <v>873</v>
      </c>
      <c r="I3" s="144" t="s">
        <v>873</v>
      </c>
      <c r="J3" s="96" t="s">
        <v>873</v>
      </c>
      <c r="K3" s="144" t="s">
        <v>1744</v>
      </c>
    </row>
    <row r="4" spans="1:11" ht="15" customHeight="1">
      <c r="A4" s="82"/>
      <c r="B4" s="75" t="s">
        <v>873</v>
      </c>
      <c r="C4" s="76" t="s">
        <v>874</v>
      </c>
      <c r="D4" s="108" t="s">
        <v>874</v>
      </c>
      <c r="E4" s="109" t="s">
        <v>874</v>
      </c>
      <c r="F4" s="108" t="s">
        <v>874</v>
      </c>
      <c r="G4" s="109" t="s">
        <v>874</v>
      </c>
      <c r="H4" s="108" t="s">
        <v>874</v>
      </c>
      <c r="I4" s="76" t="s">
        <v>874</v>
      </c>
      <c r="J4" s="4" t="s">
        <v>874</v>
      </c>
      <c r="K4" s="76" t="s">
        <v>1745</v>
      </c>
    </row>
    <row r="5" spans="1:11" ht="15" customHeight="1">
      <c r="A5" s="82"/>
      <c r="B5" s="75" t="s">
        <v>874</v>
      </c>
      <c r="C5" s="76" t="s">
        <v>875</v>
      </c>
      <c r="D5" s="4" t="s">
        <v>876</v>
      </c>
      <c r="E5" s="76" t="s">
        <v>877</v>
      </c>
      <c r="F5" s="4" t="s">
        <v>878</v>
      </c>
      <c r="G5" s="109" t="s">
        <v>879</v>
      </c>
      <c r="H5" s="4" t="s">
        <v>880</v>
      </c>
      <c r="I5" s="76" t="s">
        <v>881</v>
      </c>
      <c r="J5" s="4" t="s">
        <v>882</v>
      </c>
      <c r="K5" s="76" t="s">
        <v>1746</v>
      </c>
    </row>
    <row r="6" spans="1:11" ht="15" customHeight="1">
      <c r="A6" s="82"/>
      <c r="B6" s="75" t="s">
        <v>633</v>
      </c>
      <c r="C6" s="248" t="s">
        <v>883</v>
      </c>
      <c r="D6" s="4"/>
      <c r="E6" s="76"/>
      <c r="F6" s="4"/>
      <c r="G6" s="109"/>
      <c r="H6" s="4"/>
      <c r="I6" s="76"/>
      <c r="J6" s="4"/>
      <c r="K6" s="76" t="s">
        <v>884</v>
      </c>
    </row>
    <row r="7" spans="1:11" ht="16" customHeight="1">
      <c r="A7" s="83"/>
      <c r="B7" s="78"/>
      <c r="C7" s="77"/>
      <c r="D7" s="5"/>
      <c r="E7" s="77"/>
      <c r="F7" s="5"/>
      <c r="G7" s="110"/>
      <c r="H7" s="5"/>
      <c r="I7" s="77"/>
      <c r="J7" s="5"/>
      <c r="K7" s="249" t="s">
        <v>885</v>
      </c>
    </row>
    <row r="8" spans="1:11" ht="30" customHeight="1" thickBot="1">
      <c r="A8" s="146" t="s">
        <v>1671</v>
      </c>
      <c r="B8" s="250">
        <v>18.564141910898105</v>
      </c>
      <c r="C8" s="251">
        <v>0.12613928626541648</v>
      </c>
      <c r="D8" s="252">
        <v>1.7283082917389336E-2</v>
      </c>
      <c r="E8" s="251">
        <v>5.3567889652206491E-2</v>
      </c>
      <c r="F8" s="252">
        <v>4.2285244800018162E-2</v>
      </c>
      <c r="G8" s="251">
        <v>4.7316284486187854E-2</v>
      </c>
      <c r="H8" s="252">
        <v>9.6005011232071835E-2</v>
      </c>
      <c r="I8" s="251">
        <v>9.6281939481734691E-2</v>
      </c>
      <c r="J8" s="252">
        <v>4.1094842316341751E-2</v>
      </c>
      <c r="K8" s="251">
        <v>6.444505744753215E-2</v>
      </c>
    </row>
    <row r="9" spans="1:11" ht="20" customHeight="1" thickBot="1">
      <c r="A9" s="148" t="s">
        <v>1672</v>
      </c>
      <c r="B9" s="253">
        <v>12.836830120731035</v>
      </c>
      <c r="C9" s="251">
        <v>8.4661519404469976E-2</v>
      </c>
      <c r="D9" s="191">
        <v>2.0165969347723856E-2</v>
      </c>
      <c r="E9" s="206">
        <v>6.2596032446377459E-2</v>
      </c>
      <c r="F9" s="191">
        <v>2.3618526561313802E-2</v>
      </c>
      <c r="G9" s="206">
        <v>3.5123210416226236E-2</v>
      </c>
      <c r="H9" s="191">
        <v>0.11179436418762267</v>
      </c>
      <c r="I9" s="206">
        <v>0.10447347706410404</v>
      </c>
      <c r="J9" s="191">
        <v>4.5300570027948739E-2</v>
      </c>
      <c r="K9" s="206">
        <v>6.0438650288970663E-2</v>
      </c>
    </row>
    <row r="10" spans="1:11" ht="20" customHeight="1" thickBot="1">
      <c r="A10" s="148" t="s">
        <v>1673</v>
      </c>
      <c r="B10" s="253">
        <v>6.6069268493776274</v>
      </c>
      <c r="C10" s="251">
        <v>3.2186125538066657E-2</v>
      </c>
      <c r="D10" s="191">
        <v>3.316686546781189E-2</v>
      </c>
      <c r="E10" s="206">
        <v>4.6381324099404875E-3</v>
      </c>
      <c r="F10" s="191">
        <v>6.0212529182981811E-2</v>
      </c>
      <c r="G10" s="206">
        <v>6.5764257089995448E-2</v>
      </c>
      <c r="H10" s="191">
        <v>0.10566388261851034</v>
      </c>
      <c r="I10" s="206">
        <v>0.11031787690347117</v>
      </c>
      <c r="J10" s="191">
        <v>4.6440172711355698E-2</v>
      </c>
      <c r="K10" s="206">
        <v>5.6749706688923318E-2</v>
      </c>
    </row>
    <row r="11" spans="1:11" ht="20" customHeight="1" thickBot="1">
      <c r="A11" s="148" t="s">
        <v>1674</v>
      </c>
      <c r="B11" s="253">
        <v>7.820755252009902</v>
      </c>
      <c r="C11" s="251">
        <v>3.083307666763746E-2</v>
      </c>
      <c r="D11" s="191">
        <v>-3.4670766688678079E-3</v>
      </c>
      <c r="E11" s="206">
        <v>-1.1801295510360799E-4</v>
      </c>
      <c r="F11" s="191">
        <v>2.7317397775067809E-2</v>
      </c>
      <c r="G11" s="206">
        <v>4.369930142793943E-2</v>
      </c>
      <c r="H11" s="191">
        <v>0.1050632638389648</v>
      </c>
      <c r="I11" s="206">
        <v>0.11735147608257668</v>
      </c>
      <c r="J11" s="191">
        <v>3.404367553619192E-2</v>
      </c>
      <c r="K11" s="206">
        <v>4.352552395746212E-2</v>
      </c>
    </row>
    <row r="12" spans="1:11" ht="20" customHeight="1" thickBot="1">
      <c r="A12" s="148" t="s">
        <v>1675</v>
      </c>
      <c r="B12" s="253">
        <v>14.973400295568922</v>
      </c>
      <c r="C12" s="251">
        <v>0.10224118520281511</v>
      </c>
      <c r="D12" s="191">
        <v>-3.4502535590238415E-3</v>
      </c>
      <c r="E12" s="206">
        <v>3.8528361346612527E-4</v>
      </c>
      <c r="F12" s="191">
        <v>2.2815600618118381E-2</v>
      </c>
      <c r="G12" s="206">
        <v>5.8456809060352777E-2</v>
      </c>
      <c r="H12" s="191">
        <v>0.11904119253527545</v>
      </c>
      <c r="I12" s="206">
        <v>0.11720340601419488</v>
      </c>
      <c r="J12" s="191">
        <v>4.2530587814679777E-2</v>
      </c>
      <c r="K12" s="206">
        <v>5.6355422190818016E-2</v>
      </c>
    </row>
    <row r="13" spans="1:11" ht="20" customHeight="1" thickBot="1">
      <c r="A13" s="148" t="s">
        <v>1676</v>
      </c>
      <c r="B13" s="253">
        <v>9.3736923415335411</v>
      </c>
      <c r="C13" s="251">
        <v>6.0469299368311802E-2</v>
      </c>
      <c r="D13" s="191">
        <v>-2.4609929035263267E-2</v>
      </c>
      <c r="E13" s="206">
        <v>7.8705022165241889E-3</v>
      </c>
      <c r="F13" s="191">
        <v>3.1280714236347817E-2</v>
      </c>
      <c r="G13" s="206">
        <v>4.8151080823984893E-2</v>
      </c>
      <c r="H13" s="191">
        <v>7.5986150234741645E-2</v>
      </c>
      <c r="I13" s="206">
        <v>7.4472571400272525E-2</v>
      </c>
      <c r="J13" s="191">
        <v>3.8362773577829801E-2</v>
      </c>
      <c r="K13" s="206">
        <v>3.8494340424707563E-2</v>
      </c>
    </row>
    <row r="14" spans="1:11" ht="20" customHeight="1" thickBot="1">
      <c r="A14" s="148" t="s">
        <v>1677</v>
      </c>
      <c r="B14" s="253">
        <v>8.846570768398653</v>
      </c>
      <c r="C14" s="251">
        <v>5.1072667046455855E-2</v>
      </c>
      <c r="D14" s="191">
        <v>-2.4192148537220182E-2</v>
      </c>
      <c r="E14" s="206">
        <v>-1.2452960740645169E-2</v>
      </c>
      <c r="F14" s="191">
        <v>2.9177214725371048E-2</v>
      </c>
      <c r="G14" s="206">
        <v>4.8664257112716491E-2</v>
      </c>
      <c r="H14" s="191">
        <v>8.6302273850716871E-2</v>
      </c>
      <c r="I14" s="206">
        <v>9.9315181474975089E-2</v>
      </c>
      <c r="J14" s="191">
        <v>3.6490981307357062E-2</v>
      </c>
      <c r="K14" s="206">
        <v>3.8520297322573116E-2</v>
      </c>
    </row>
    <row r="15" spans="1:11" ht="20" customHeight="1" thickBot="1">
      <c r="A15" s="148" t="s">
        <v>1678</v>
      </c>
      <c r="B15" s="253">
        <v>11.446087130050357</v>
      </c>
      <c r="C15" s="251">
        <v>0.10059931954872159</v>
      </c>
      <c r="D15" s="191">
        <v>-1.8920832356148498E-3</v>
      </c>
      <c r="E15" s="206">
        <v>4.2592583856871036E-2</v>
      </c>
      <c r="F15" s="191">
        <v>2.2440662814367629E-2</v>
      </c>
      <c r="G15" s="206">
        <v>7.289910608457939E-2</v>
      </c>
      <c r="H15" s="191">
        <v>0.1209049671127238</v>
      </c>
      <c r="I15" s="206">
        <v>0.1377742524893415</v>
      </c>
      <c r="J15" s="191">
        <v>4.6957474355143969E-2</v>
      </c>
      <c r="K15" s="206">
        <v>6.6802532909754575E-2</v>
      </c>
    </row>
    <row r="16" spans="1:11" ht="20" customHeight="1" thickBot="1">
      <c r="A16" s="148" t="s">
        <v>1679</v>
      </c>
      <c r="B16" s="253">
        <v>12.542560922614735</v>
      </c>
      <c r="C16" s="251">
        <v>8.0245446324829217E-2</v>
      </c>
      <c r="D16" s="191">
        <v>-4.01559994832561E-2</v>
      </c>
      <c r="E16" s="206">
        <v>6.1958434998199419E-3</v>
      </c>
      <c r="F16" s="191">
        <v>3.680856497843199E-2</v>
      </c>
      <c r="G16" s="206">
        <v>5.4489427947484126E-2</v>
      </c>
      <c r="H16" s="191">
        <v>0.1103929719797887</v>
      </c>
      <c r="I16" s="206">
        <v>0.13039162495907131</v>
      </c>
      <c r="J16" s="191">
        <v>5.1957631120965297E-2</v>
      </c>
      <c r="K16" s="206">
        <v>5.2522257379732817E-2</v>
      </c>
    </row>
    <row r="17" spans="1:11" ht="20" customHeight="1" thickBot="1">
      <c r="A17" s="148" t="s">
        <v>1680</v>
      </c>
      <c r="B17" s="253">
        <v>8.8373538196876229</v>
      </c>
      <c r="C17" s="251">
        <v>6.716363944691861E-2</v>
      </c>
      <c r="D17" s="191">
        <v>-6.3798541050443802E-3</v>
      </c>
      <c r="E17" s="206">
        <v>5.3788102637408741E-4</v>
      </c>
      <c r="F17" s="191">
        <v>4.4517439262414138E-2</v>
      </c>
      <c r="G17" s="206">
        <v>3.8205847556253447E-2</v>
      </c>
      <c r="H17" s="191">
        <v>7.8475755446240303E-2</v>
      </c>
      <c r="I17" s="206">
        <v>6.3482824657532522E-2</v>
      </c>
      <c r="J17" s="191">
        <v>1.7556409433573616E-2</v>
      </c>
      <c r="K17" s="206">
        <v>3.7523479812420213E-2</v>
      </c>
    </row>
    <row r="18" spans="1:11" ht="20" customHeight="1" thickBot="1">
      <c r="A18" s="148" t="s">
        <v>1681</v>
      </c>
      <c r="B18" s="253">
        <v>27.585057067168677</v>
      </c>
      <c r="C18" s="251">
        <v>0.13621630771097482</v>
      </c>
      <c r="D18" s="191">
        <v>3.2962298122038103E-2</v>
      </c>
      <c r="E18" s="206">
        <v>3.2066786424240767E-2</v>
      </c>
      <c r="F18" s="191">
        <v>4.5122896354125031E-2</v>
      </c>
      <c r="G18" s="206">
        <v>3.8499185497250732E-2</v>
      </c>
      <c r="H18" s="191">
        <v>6.3167911162167467E-2</v>
      </c>
      <c r="I18" s="206">
        <v>0.10626613788838535</v>
      </c>
      <c r="J18" s="191">
        <v>5.2414987170792848E-2</v>
      </c>
      <c r="K18" s="206">
        <v>6.2758077701694504E-2</v>
      </c>
    </row>
    <row r="19" spans="1:11" ht="20" customHeight="1" thickBot="1">
      <c r="A19" s="148" t="s">
        <v>1682</v>
      </c>
      <c r="B19" s="253">
        <v>18.780035833461632</v>
      </c>
      <c r="C19" s="251">
        <v>0.15152715969927022</v>
      </c>
      <c r="D19" s="191">
        <v>6.3784939377496075E-2</v>
      </c>
      <c r="E19" s="206">
        <v>8.814225210306792E-2</v>
      </c>
      <c r="F19" s="191">
        <v>4.8534452581654453E-2</v>
      </c>
      <c r="G19" s="206">
        <v>5.461595280726339E-2</v>
      </c>
      <c r="H19" s="191">
        <v>9.1749339672477559E-2</v>
      </c>
      <c r="I19" s="206">
        <v>9.1308457544135413E-2</v>
      </c>
      <c r="J19" s="191">
        <v>5.6692266116635359E-2</v>
      </c>
      <c r="K19" s="206">
        <v>8.0348108258367468E-2</v>
      </c>
    </row>
    <row r="20" spans="1:11" ht="20" customHeight="1" thickBot="1">
      <c r="A20" s="148" t="s">
        <v>1683</v>
      </c>
      <c r="B20" s="253">
        <v>20.178584325587163</v>
      </c>
      <c r="C20" s="251">
        <v>0.138313161853306</v>
      </c>
      <c r="D20" s="191">
        <v>3.4240738085979494E-2</v>
      </c>
      <c r="E20" s="206">
        <v>2.179035127816098E-2</v>
      </c>
      <c r="F20" s="191">
        <v>4.032286465580337E-2</v>
      </c>
      <c r="G20" s="206">
        <v>4.4793124043180477E-2</v>
      </c>
      <c r="H20" s="191">
        <v>0.10369291882556131</v>
      </c>
      <c r="I20" s="206">
        <v>0.1092020789993462</v>
      </c>
      <c r="J20" s="191">
        <v>3.7354203626436933E-2</v>
      </c>
      <c r="K20" s="206">
        <v>6.5439284407634579E-2</v>
      </c>
    </row>
    <row r="21" spans="1:11" ht="20" customHeight="1" thickBot="1">
      <c r="A21" s="148" t="s">
        <v>1684</v>
      </c>
      <c r="B21" s="253">
        <v>19.60074449994876</v>
      </c>
      <c r="C21" s="251">
        <v>0.16213627024850141</v>
      </c>
      <c r="D21" s="191">
        <v>8.7858815556003389E-3</v>
      </c>
      <c r="E21" s="206">
        <v>6.8426358801706444E-2</v>
      </c>
      <c r="F21" s="191">
        <v>4.2218072987187938E-2</v>
      </c>
      <c r="G21" s="206">
        <v>4.3380376883878524E-2</v>
      </c>
      <c r="H21" s="191">
        <v>0.15353735127755019</v>
      </c>
      <c r="I21" s="206">
        <v>9.5365448431956601E-2</v>
      </c>
      <c r="J21" s="191">
        <v>4.4426726889202905E-2</v>
      </c>
      <c r="K21" s="206">
        <v>7.605339781642928E-2</v>
      </c>
    </row>
    <row r="22" spans="1:11" ht="20" customHeight="1" thickBot="1">
      <c r="A22" s="148" t="s">
        <v>1685</v>
      </c>
      <c r="B22" s="253">
        <v>14.372369124565839</v>
      </c>
      <c r="C22" s="251">
        <v>0.11530248290676592</v>
      </c>
      <c r="D22" s="191">
        <v>-1.8493216889254538E-2</v>
      </c>
      <c r="E22" s="206">
        <v>-3.817419724564397E-4</v>
      </c>
      <c r="F22" s="191">
        <v>2.12300041910638E-2</v>
      </c>
      <c r="G22" s="206">
        <v>6.6258000043982967E-2</v>
      </c>
      <c r="H22" s="191">
        <v>0.11118348848603632</v>
      </c>
      <c r="I22" s="206">
        <v>0.11140467356621708</v>
      </c>
      <c r="J22" s="191">
        <v>3.9442065585620467E-2</v>
      </c>
      <c r="K22" s="206">
        <v>5.455816525891799E-2</v>
      </c>
    </row>
    <row r="23" spans="1:11" ht="20" customHeight="1" thickBot="1">
      <c r="A23" s="148" t="s">
        <v>1686</v>
      </c>
      <c r="B23" s="253">
        <v>9.7170391822978619</v>
      </c>
      <c r="C23" s="251">
        <v>6.6714528046374566E-2</v>
      </c>
      <c r="D23" s="191">
        <v>-4.7070167962549814E-2</v>
      </c>
      <c r="E23" s="206">
        <v>-6.8124898139803047E-3</v>
      </c>
      <c r="F23" s="191">
        <v>1.2389676573199004E-2</v>
      </c>
      <c r="G23" s="206">
        <v>8.3151105604106323E-2</v>
      </c>
      <c r="H23" s="191">
        <v>8.6975942261427575E-2</v>
      </c>
      <c r="I23" s="206">
        <v>0.10099161981291949</v>
      </c>
      <c r="J23" s="191">
        <v>4.6895420128490795E-2</v>
      </c>
      <c r="K23" s="206">
        <v>4.1742896833225851E-2</v>
      </c>
    </row>
    <row r="24" spans="1:11" ht="20" customHeight="1" thickBot="1">
      <c r="A24" s="148" t="s">
        <v>1687</v>
      </c>
      <c r="B24" s="253">
        <v>14.982537020422754</v>
      </c>
      <c r="C24" s="251">
        <v>0.11141672230009814</v>
      </c>
      <c r="D24" s="191">
        <v>1.7338083036648744E-3</v>
      </c>
      <c r="E24" s="206">
        <v>1.6772858426073123E-2</v>
      </c>
      <c r="F24" s="191">
        <v>3.2467068406517363E-2</v>
      </c>
      <c r="G24" s="206">
        <v>6.0280026344810889E-2</v>
      </c>
      <c r="H24" s="191">
        <v>0.10211878760864734</v>
      </c>
      <c r="I24" s="206">
        <v>8.8047072650345948E-2</v>
      </c>
      <c r="J24" s="191">
        <v>6.2331501697388658E-2</v>
      </c>
      <c r="K24" s="206">
        <v>5.873133690080623E-2</v>
      </c>
    </row>
    <row r="25" spans="1:11" ht="20" customHeight="1" thickBot="1">
      <c r="A25" s="148" t="s">
        <v>1688</v>
      </c>
      <c r="B25" s="253">
        <v>20.239827486851979</v>
      </c>
      <c r="C25" s="251">
        <v>0.1752339201546198</v>
      </c>
      <c r="D25" s="191">
        <v>-5.2904920086517371E-2</v>
      </c>
      <c r="E25" s="206">
        <v>6.6067375410814311E-3</v>
      </c>
      <c r="F25" s="191">
        <v>5.2314213213464855E-2</v>
      </c>
      <c r="G25" s="206">
        <v>7.597413206719339E-2</v>
      </c>
      <c r="H25" s="191">
        <v>0.1485791442599953</v>
      </c>
      <c r="I25" s="206">
        <v>0.13132285917907338</v>
      </c>
      <c r="J25" s="191">
        <v>5.387350243171829E-2</v>
      </c>
      <c r="K25" s="206">
        <v>7.1476428641491063E-2</v>
      </c>
    </row>
    <row r="26" spans="1:11" ht="20" customHeight="1" thickBot="1">
      <c r="A26" s="148" t="s">
        <v>1689</v>
      </c>
      <c r="B26" s="253">
        <v>39.932145771844702</v>
      </c>
      <c r="C26" s="251">
        <v>0.12738686957185741</v>
      </c>
      <c r="D26" s="191">
        <v>2.1695729537204E-2</v>
      </c>
      <c r="E26" s="206">
        <v>5.455744603067969E-2</v>
      </c>
      <c r="F26" s="191">
        <v>5.5486576672084675E-2</v>
      </c>
      <c r="G26" s="206">
        <v>8.0707287477506329E-2</v>
      </c>
      <c r="H26" s="191">
        <v>0.11291598860862484</v>
      </c>
      <c r="I26" s="206">
        <v>0.10050529190226087</v>
      </c>
      <c r="J26" s="191">
        <v>4.7339722227435432E-2</v>
      </c>
      <c r="K26" s="206">
        <v>7.4535974756710033E-2</v>
      </c>
    </row>
    <row r="27" spans="1:11" ht="20" customHeight="1" thickBot="1">
      <c r="A27" s="148" t="s">
        <v>1690</v>
      </c>
      <c r="B27" s="253">
        <v>21.265011996428591</v>
      </c>
      <c r="C27" s="251">
        <v>0.1676621855725855</v>
      </c>
      <c r="D27" s="191">
        <v>1.1034176563049725E-2</v>
      </c>
      <c r="E27" s="206">
        <v>5.7278567625996812E-2</v>
      </c>
      <c r="F27" s="191">
        <v>3.6154533575816883E-2</v>
      </c>
      <c r="G27" s="206">
        <v>9.5401796502837533E-2</v>
      </c>
      <c r="H27" s="191">
        <v>0.13567640755893229</v>
      </c>
      <c r="I27" s="206">
        <v>0.11145177733592004</v>
      </c>
      <c r="J27" s="191">
        <v>4.5974249308587289E-2</v>
      </c>
      <c r="K27" s="206">
        <v>8.1414243270216735E-2</v>
      </c>
    </row>
    <row r="28" spans="1:11" ht="20" customHeight="1" thickBot="1">
      <c r="A28" s="148" t="s">
        <v>1691</v>
      </c>
      <c r="B28" s="253">
        <v>13.54847017723973</v>
      </c>
      <c r="C28" s="251">
        <v>9.6996879816964254E-2</v>
      </c>
      <c r="D28" s="191">
        <v>-5.0173861220899618E-2</v>
      </c>
      <c r="E28" s="206">
        <v>9.1303680061645132E-3</v>
      </c>
      <c r="F28" s="191">
        <v>1.3729789078972265E-2</v>
      </c>
      <c r="G28" s="206">
        <v>2.9811515021332502E-2</v>
      </c>
      <c r="H28" s="191">
        <v>8.7795178983833599E-2</v>
      </c>
      <c r="I28" s="206">
        <v>8.0625430834586842E-2</v>
      </c>
      <c r="J28" s="191">
        <v>6.3009693931303623E-2</v>
      </c>
      <c r="K28" s="206">
        <v>4.0290265215209287E-2</v>
      </c>
    </row>
    <row r="29" spans="1:11" ht="20" customHeight="1" thickBot="1">
      <c r="A29" s="148" t="s">
        <v>1692</v>
      </c>
      <c r="B29" s="253">
        <v>5.6528857976264577</v>
      </c>
      <c r="C29" s="251">
        <v>4.2577198700370467E-2</v>
      </c>
      <c r="D29" s="191">
        <v>-3.1674891039939701E-2</v>
      </c>
      <c r="E29" s="206">
        <v>6.6521633049316797E-3</v>
      </c>
      <c r="F29" s="191">
        <v>1.3936727713255159E-2</v>
      </c>
      <c r="G29" s="206">
        <v>1.9181260224441221E-2</v>
      </c>
      <c r="H29" s="191">
        <v>6.1886535364796158E-2</v>
      </c>
      <c r="I29" s="206">
        <v>7.0898827778237861E-2</v>
      </c>
      <c r="J29" s="191">
        <v>1.5424385740139046E-2</v>
      </c>
      <c r="K29" s="206">
        <v>2.4396673939815594E-2</v>
      </c>
    </row>
    <row r="30" spans="1:11" ht="20" customHeight="1" thickBot="1">
      <c r="A30" s="148" t="s">
        <v>1693</v>
      </c>
      <c r="B30" s="253">
        <v>3.7035638425072577</v>
      </c>
      <c r="C30" s="251">
        <v>5.0049093300743586E-3</v>
      </c>
      <c r="D30" s="191">
        <v>-6.1647206055557069E-2</v>
      </c>
      <c r="E30" s="206">
        <v>-1.1378291113068872E-3</v>
      </c>
      <c r="F30" s="191">
        <v>4.2504041588571351E-3</v>
      </c>
      <c r="G30" s="206">
        <v>2.4654715220043366E-2</v>
      </c>
      <c r="H30" s="191">
        <v>6.9873172740374745E-2</v>
      </c>
      <c r="I30" s="206">
        <v>8.5281198004608427E-2</v>
      </c>
      <c r="J30" s="191">
        <v>5.416642211306022E-2</v>
      </c>
      <c r="K30" s="206">
        <v>2.1598864998860545E-2</v>
      </c>
    </row>
    <row r="31" spans="1:11" ht="20" customHeight="1" thickBot="1">
      <c r="A31" s="148" t="s">
        <v>1694</v>
      </c>
      <c r="B31" s="253">
        <v>15.046312872791335</v>
      </c>
      <c r="C31" s="251">
        <v>0.12216343354785519</v>
      </c>
      <c r="D31" s="191">
        <v>3.5279473702240383E-2</v>
      </c>
      <c r="E31" s="206">
        <v>4.4176602427136835E-2</v>
      </c>
      <c r="F31" s="191">
        <v>3.0015640020961243E-2</v>
      </c>
      <c r="G31" s="206">
        <v>7.4347165943386972E-3</v>
      </c>
      <c r="H31" s="191">
        <v>9.7827068764568814E-2</v>
      </c>
      <c r="I31" s="206">
        <v>8.3628857333005069E-2</v>
      </c>
      <c r="J31" s="191">
        <v>2.6247818764145281E-2</v>
      </c>
      <c r="K31" s="206">
        <v>5.5180832702825811E-2</v>
      </c>
    </row>
    <row r="32" spans="1:11" ht="20" customHeight="1" thickBot="1">
      <c r="A32" s="148" t="s">
        <v>1695</v>
      </c>
      <c r="B32" s="253">
        <v>12.485817879128669</v>
      </c>
      <c r="C32" s="251">
        <v>7.124157591061886E-2</v>
      </c>
      <c r="D32" s="191">
        <v>-3.7020633600539643E-3</v>
      </c>
      <c r="E32" s="206">
        <v>-5.0194045573236368E-3</v>
      </c>
      <c r="F32" s="191">
        <v>5.0791100376236908E-2</v>
      </c>
      <c r="G32" s="206">
        <v>3.607996960216231E-2</v>
      </c>
      <c r="H32" s="191">
        <v>6.8425702358118068E-2</v>
      </c>
      <c r="I32" s="206">
        <v>6.2611298620396161E-2</v>
      </c>
      <c r="J32" s="191">
        <v>2.6102048507148146E-2</v>
      </c>
      <c r="K32" s="206">
        <v>3.7919758463740738E-2</v>
      </c>
    </row>
    <row r="33" spans="1:13" ht="20" customHeight="1" thickBot="1">
      <c r="A33" s="148" t="s">
        <v>1696</v>
      </c>
      <c r="B33" s="253">
        <v>9.0627478151873397</v>
      </c>
      <c r="C33" s="251">
        <v>7.7840050190767895E-2</v>
      </c>
      <c r="D33" s="191">
        <v>6.4923365814118172E-2</v>
      </c>
      <c r="E33" s="206">
        <v>-2.2560190173200878E-3</v>
      </c>
      <c r="F33" s="191">
        <v>4.6643260502769568E-2</v>
      </c>
      <c r="G33" s="206">
        <v>8.4426183150968281E-2</v>
      </c>
      <c r="H33" s="191">
        <v>8.0979527794381445E-2</v>
      </c>
      <c r="I33" s="206">
        <v>5.8529440835287661E-2</v>
      </c>
      <c r="J33" s="191">
        <v>2.673105131409037E-2</v>
      </c>
      <c r="K33" s="206">
        <v>5.4346708645514941E-2</v>
      </c>
      <c r="L33" s="45"/>
      <c r="M33" s="45"/>
    </row>
    <row r="34" spans="1:13" ht="30" customHeight="1" thickBot="1">
      <c r="A34" s="13" t="s">
        <v>1697</v>
      </c>
      <c r="B34" s="254">
        <v>13.174684544924284</v>
      </c>
      <c r="C34" s="255">
        <v>8.6558371467537087E-2</v>
      </c>
      <c r="D34" s="256">
        <v>-1.0572539845860041E-3</v>
      </c>
      <c r="E34" s="255">
        <v>2.9894240130652117E-2</v>
      </c>
      <c r="F34" s="256">
        <v>3.4211541752752428E-2</v>
      </c>
      <c r="G34" s="255">
        <v>4.4891246139302288E-2</v>
      </c>
      <c r="H34" s="256">
        <v>9.502150910667817E-2</v>
      </c>
      <c r="I34" s="257">
        <v>9.2867046772754813E-2</v>
      </c>
      <c r="J34" s="210">
        <v>4.1302788065023632E-2</v>
      </c>
      <c r="K34" s="257">
        <v>5.2456661941773675E-2</v>
      </c>
    </row>
    <row r="35" spans="1:13" ht="20" customHeight="1">
      <c r="A35" s="9" t="s">
        <v>463</v>
      </c>
      <c r="B35" s="151"/>
      <c r="C35" s="197"/>
      <c r="D35" s="197"/>
      <c r="E35" s="197"/>
      <c r="F35" s="197"/>
      <c r="G35" s="197"/>
      <c r="H35" s="258"/>
    </row>
    <row r="36" spans="1:13" ht="11.25" customHeight="1">
      <c r="A36" s="38"/>
      <c r="B36" s="152"/>
      <c r="C36" s="199"/>
      <c r="D36" s="199"/>
      <c r="E36" s="199"/>
      <c r="F36" s="199"/>
      <c r="G36" s="199"/>
      <c r="H36" s="259"/>
    </row>
    <row r="37" spans="1:13" ht="20" customHeight="1">
      <c r="A37" s="38" t="s">
        <v>870</v>
      </c>
      <c r="B37" s="152"/>
      <c r="C37" s="199"/>
      <c r="D37" s="199"/>
      <c r="E37" s="199"/>
      <c r="F37" s="199"/>
      <c r="G37" s="199"/>
      <c r="H37" s="259"/>
    </row>
    <row r="38" spans="1:13" ht="13.5" customHeight="1">
      <c r="A38" s="38"/>
      <c r="B38" s="152"/>
      <c r="C38" s="199"/>
      <c r="D38" s="199"/>
      <c r="E38" s="199"/>
      <c r="F38" s="199"/>
      <c r="G38" s="199"/>
      <c r="H38" s="259"/>
    </row>
    <row r="39" spans="1:13" ht="12.75" customHeight="1">
      <c r="A39" s="38" t="s">
        <v>871</v>
      </c>
      <c r="B39" s="152"/>
      <c r="C39" s="199"/>
      <c r="D39" s="199"/>
      <c r="E39" s="199"/>
      <c r="F39" s="199"/>
      <c r="G39" s="199"/>
      <c r="H39" s="259"/>
    </row>
    <row r="40" spans="1:13">
      <c r="A40" s="3" t="s">
        <v>886</v>
      </c>
    </row>
    <row r="41" spans="1:13">
      <c r="A41" s="260" t="s">
        <v>887</v>
      </c>
    </row>
  </sheetData>
  <phoneticPr fontId="0" type="noConversion"/>
  <pageMargins left="0.35" right="0.33" top="1.28" bottom="0.49" header="0.93" footer="0.4921259845"/>
  <pageSetup paperSize="9" scale="75"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0F83-5B7F-5546-B888-4B8947427D16}">
  <dimension ref="A1:F42"/>
  <sheetViews>
    <sheetView zoomScale="75" workbookViewId="0">
      <selection activeCell="A2" sqref="A2"/>
    </sheetView>
  </sheetViews>
  <sheetFormatPr baseColWidth="10" defaultColWidth="11.3984375" defaultRowHeight="13"/>
  <cols>
    <col min="1" max="1" width="13.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62"/>
      <c r="B1" s="62"/>
      <c r="C1" s="62"/>
      <c r="D1" s="62"/>
      <c r="E1" s="62"/>
      <c r="F1" s="62"/>
    </row>
    <row r="2" spans="1:6" s="1" customFormat="1" ht="18.75" customHeight="1">
      <c r="A2" s="240" t="s">
        <v>767</v>
      </c>
      <c r="B2" s="62"/>
      <c r="C2" s="62"/>
      <c r="D2" s="62"/>
      <c r="E2" s="62"/>
      <c r="F2" s="62"/>
    </row>
    <row r="3" spans="1:6" s="1" customFormat="1" ht="24" customHeight="1">
      <c r="A3" s="240" t="s">
        <v>465</v>
      </c>
      <c r="B3" s="62"/>
      <c r="C3" s="62"/>
      <c r="D3" s="62"/>
      <c r="E3" s="62"/>
      <c r="F3" s="62"/>
    </row>
    <row r="4" spans="1:6" ht="24" customHeight="1">
      <c r="A4" s="2" t="s">
        <v>1663</v>
      </c>
      <c r="B4" s="241">
        <v>0.05</v>
      </c>
      <c r="C4" s="242">
        <v>0.25</v>
      </c>
      <c r="D4" s="241">
        <v>0.5</v>
      </c>
      <c r="E4" s="242">
        <v>0.25</v>
      </c>
      <c r="F4" s="241">
        <v>0.05</v>
      </c>
    </row>
    <row r="5" spans="1:6" ht="73.5" customHeight="1">
      <c r="A5" s="82"/>
      <c r="B5" s="243" t="s">
        <v>867</v>
      </c>
      <c r="C5" s="244" t="s">
        <v>867</v>
      </c>
      <c r="D5" s="243" t="s">
        <v>868</v>
      </c>
      <c r="E5" s="244" t="s">
        <v>869</v>
      </c>
      <c r="F5" s="243" t="s">
        <v>869</v>
      </c>
    </row>
    <row r="6" spans="1:6" ht="16" customHeight="1">
      <c r="A6" s="83"/>
      <c r="B6" s="78"/>
      <c r="C6" s="19"/>
      <c r="D6" s="78"/>
      <c r="E6" s="19"/>
      <c r="F6" s="16"/>
    </row>
    <row r="7" spans="1:6" ht="30" customHeight="1" thickBot="1">
      <c r="A7" s="146" t="s">
        <v>1671</v>
      </c>
      <c r="B7" s="20">
        <v>234</v>
      </c>
      <c r="C7" s="91">
        <v>246</v>
      </c>
      <c r="D7" s="20">
        <v>259.10000000000002</v>
      </c>
      <c r="E7" s="91">
        <v>275</v>
      </c>
      <c r="F7" s="20">
        <v>300</v>
      </c>
    </row>
    <row r="8" spans="1:6" ht="20" customHeight="1" thickBot="1">
      <c r="A8" s="148" t="s">
        <v>1672</v>
      </c>
      <c r="B8" s="30">
        <v>227</v>
      </c>
      <c r="C8" s="122">
        <v>238</v>
      </c>
      <c r="D8" s="30">
        <v>251.7</v>
      </c>
      <c r="E8" s="122">
        <v>262.2</v>
      </c>
      <c r="F8" s="30">
        <v>280.7</v>
      </c>
    </row>
    <row r="9" spans="1:6" ht="20" customHeight="1" thickBot="1">
      <c r="A9" s="148" t="s">
        <v>1673</v>
      </c>
      <c r="B9" s="30">
        <v>185</v>
      </c>
      <c r="C9" s="122">
        <v>199</v>
      </c>
      <c r="D9" s="30">
        <v>210.8</v>
      </c>
      <c r="E9" s="122">
        <v>220</v>
      </c>
      <c r="F9" s="30">
        <v>233.9</v>
      </c>
    </row>
    <row r="10" spans="1:6" ht="20" customHeight="1" thickBot="1">
      <c r="A10" s="148" t="s">
        <v>1674</v>
      </c>
      <c r="B10" s="30">
        <v>176</v>
      </c>
      <c r="C10" s="122">
        <v>182.3</v>
      </c>
      <c r="D10" s="30">
        <v>206.6</v>
      </c>
      <c r="E10" s="122">
        <v>210.2</v>
      </c>
      <c r="F10" s="30">
        <v>212</v>
      </c>
    </row>
    <row r="11" spans="1:6" ht="20" customHeight="1" thickBot="1">
      <c r="A11" s="148" t="s">
        <v>1675</v>
      </c>
      <c r="B11" s="30">
        <v>192</v>
      </c>
      <c r="C11" s="122">
        <v>206.7</v>
      </c>
      <c r="D11" s="30">
        <v>213</v>
      </c>
      <c r="E11" s="122">
        <v>222</v>
      </c>
      <c r="F11" s="30">
        <v>230.8</v>
      </c>
    </row>
    <row r="12" spans="1:6" ht="20" customHeight="1" thickBot="1">
      <c r="A12" s="148" t="s">
        <v>1676</v>
      </c>
      <c r="B12" s="30">
        <v>186</v>
      </c>
      <c r="C12" s="122">
        <v>189</v>
      </c>
      <c r="D12" s="30">
        <v>190</v>
      </c>
      <c r="E12" s="122">
        <v>195</v>
      </c>
      <c r="F12" s="30">
        <v>206.9</v>
      </c>
    </row>
    <row r="13" spans="1:6" ht="20" customHeight="1" thickBot="1">
      <c r="A13" s="148" t="s">
        <v>1677</v>
      </c>
      <c r="B13" s="30">
        <v>165.8</v>
      </c>
      <c r="C13" s="122">
        <v>169</v>
      </c>
      <c r="D13" s="30">
        <v>187.8</v>
      </c>
      <c r="E13" s="122">
        <v>194</v>
      </c>
      <c r="F13" s="30">
        <v>198</v>
      </c>
    </row>
    <row r="14" spans="1:6" ht="20" customHeight="1" thickBot="1">
      <c r="A14" s="148" t="s">
        <v>1678</v>
      </c>
      <c r="B14" s="30">
        <v>188.5</v>
      </c>
      <c r="C14" s="122">
        <v>188.5</v>
      </c>
      <c r="D14" s="30">
        <v>221.9</v>
      </c>
      <c r="E14" s="122">
        <v>229</v>
      </c>
      <c r="F14" s="30">
        <v>229</v>
      </c>
    </row>
    <row r="15" spans="1:6" ht="20" customHeight="1" thickBot="1">
      <c r="A15" s="148" t="s">
        <v>1679</v>
      </c>
      <c r="B15" s="30">
        <v>189</v>
      </c>
      <c r="C15" s="122">
        <v>203.3</v>
      </c>
      <c r="D15" s="30">
        <v>219.4</v>
      </c>
      <c r="E15" s="122">
        <v>226</v>
      </c>
      <c r="F15" s="30">
        <v>227</v>
      </c>
    </row>
    <row r="16" spans="1:6" ht="20" customHeight="1" thickBot="1">
      <c r="A16" s="148" t="s">
        <v>1680</v>
      </c>
      <c r="B16" s="30">
        <v>205</v>
      </c>
      <c r="C16" s="122">
        <v>235</v>
      </c>
      <c r="D16" s="30">
        <v>244</v>
      </c>
      <c r="E16" s="122">
        <v>251</v>
      </c>
      <c r="F16" s="30">
        <v>276.10000000000002</v>
      </c>
    </row>
    <row r="17" spans="1:6" ht="20" customHeight="1" thickBot="1">
      <c r="A17" s="148" t="s">
        <v>1681</v>
      </c>
      <c r="B17" s="30">
        <v>217.8</v>
      </c>
      <c r="C17" s="122">
        <v>231.6</v>
      </c>
      <c r="D17" s="30">
        <v>241</v>
      </c>
      <c r="E17" s="122">
        <v>248.3</v>
      </c>
      <c r="F17" s="30">
        <v>262</v>
      </c>
    </row>
    <row r="18" spans="1:6" ht="20" customHeight="1" thickBot="1">
      <c r="A18" s="148" t="s">
        <v>1682</v>
      </c>
      <c r="B18" s="30">
        <v>299</v>
      </c>
      <c r="C18" s="122">
        <v>323.8</v>
      </c>
      <c r="D18" s="30">
        <v>372.3</v>
      </c>
      <c r="E18" s="122">
        <v>387</v>
      </c>
      <c r="F18" s="30">
        <v>387</v>
      </c>
    </row>
    <row r="19" spans="1:6" ht="20" customHeight="1" thickBot="1">
      <c r="A19" s="148" t="s">
        <v>1683</v>
      </c>
      <c r="B19" s="30">
        <v>245.6</v>
      </c>
      <c r="C19" s="122">
        <v>259.10000000000002</v>
      </c>
      <c r="D19" s="30">
        <v>270.5</v>
      </c>
      <c r="E19" s="122">
        <v>285.7</v>
      </c>
      <c r="F19" s="30">
        <v>300.10000000000002</v>
      </c>
    </row>
    <row r="20" spans="1:6" ht="20" customHeight="1" thickBot="1">
      <c r="A20" s="148" t="s">
        <v>1684</v>
      </c>
      <c r="B20" s="30">
        <v>222</v>
      </c>
      <c r="C20" s="122">
        <v>238.9</v>
      </c>
      <c r="D20" s="30">
        <v>256</v>
      </c>
      <c r="E20" s="122">
        <v>265</v>
      </c>
      <c r="F20" s="30">
        <v>280.7</v>
      </c>
    </row>
    <row r="21" spans="1:6" ht="20" customHeight="1" thickBot="1">
      <c r="A21" s="148" t="s">
        <v>1685</v>
      </c>
      <c r="B21" s="30">
        <v>180.8</v>
      </c>
      <c r="C21" s="122">
        <v>188</v>
      </c>
      <c r="D21" s="30">
        <v>202.8</v>
      </c>
      <c r="E21" s="122">
        <v>205.1</v>
      </c>
      <c r="F21" s="30">
        <v>208.4</v>
      </c>
    </row>
    <row r="22" spans="1:6" ht="20" customHeight="1" thickBot="1">
      <c r="A22" s="148" t="s">
        <v>1686</v>
      </c>
      <c r="B22" s="30">
        <v>172</v>
      </c>
      <c r="C22" s="122">
        <v>173</v>
      </c>
      <c r="D22" s="30">
        <v>182.6</v>
      </c>
      <c r="E22" s="122">
        <v>183.5</v>
      </c>
      <c r="F22" s="30">
        <v>185</v>
      </c>
    </row>
    <row r="23" spans="1:6" ht="20" customHeight="1" thickBot="1">
      <c r="A23" s="148" t="s">
        <v>1687</v>
      </c>
      <c r="B23" s="30">
        <v>196</v>
      </c>
      <c r="C23" s="122">
        <v>203</v>
      </c>
      <c r="D23" s="30">
        <v>213.8</v>
      </c>
      <c r="E23" s="122">
        <v>219.2</v>
      </c>
      <c r="F23" s="30">
        <v>233</v>
      </c>
    </row>
    <row r="24" spans="1:6" ht="20" customHeight="1" thickBot="1">
      <c r="A24" s="148" t="s">
        <v>1688</v>
      </c>
      <c r="B24" s="30">
        <v>195</v>
      </c>
      <c r="C24" s="122">
        <v>210</v>
      </c>
      <c r="D24" s="30">
        <v>223</v>
      </c>
      <c r="E24" s="122">
        <v>227</v>
      </c>
      <c r="F24" s="30">
        <v>234.7</v>
      </c>
    </row>
    <row r="25" spans="1:6" ht="20" customHeight="1" thickBot="1">
      <c r="A25" s="148" t="s">
        <v>1689</v>
      </c>
      <c r="B25" s="30">
        <v>215.8</v>
      </c>
      <c r="C25" s="122">
        <v>226.2</v>
      </c>
      <c r="D25" s="30">
        <v>240</v>
      </c>
      <c r="E25" s="122">
        <v>246</v>
      </c>
      <c r="F25" s="30">
        <v>250.7</v>
      </c>
    </row>
    <row r="26" spans="1:6" ht="20" customHeight="1" thickBot="1">
      <c r="A26" s="148" t="s">
        <v>1690</v>
      </c>
      <c r="B26" s="30">
        <v>228.8</v>
      </c>
      <c r="C26" s="122">
        <v>240</v>
      </c>
      <c r="D26" s="30">
        <v>258</v>
      </c>
      <c r="E26" s="122">
        <v>264.5</v>
      </c>
      <c r="F26" s="30">
        <v>270.7</v>
      </c>
    </row>
    <row r="27" spans="1:6" ht="20" customHeight="1" thickBot="1">
      <c r="A27" s="148" t="s">
        <v>1691</v>
      </c>
      <c r="B27" s="30">
        <v>269</v>
      </c>
      <c r="C27" s="122">
        <v>294.5</v>
      </c>
      <c r="D27" s="30">
        <v>315</v>
      </c>
      <c r="E27" s="122">
        <v>335</v>
      </c>
      <c r="F27" s="30">
        <v>345</v>
      </c>
    </row>
    <row r="28" spans="1:6" ht="20" customHeight="1" thickBot="1">
      <c r="A28" s="148" t="s">
        <v>1692</v>
      </c>
      <c r="B28" s="30">
        <v>288</v>
      </c>
      <c r="C28" s="122">
        <v>297</v>
      </c>
      <c r="D28" s="30">
        <v>316.3</v>
      </c>
      <c r="E28" s="122">
        <v>340</v>
      </c>
      <c r="F28" s="30">
        <v>359</v>
      </c>
    </row>
    <row r="29" spans="1:6" ht="20" customHeight="1" thickBot="1">
      <c r="A29" s="148" t="s">
        <v>1693</v>
      </c>
      <c r="B29" s="30">
        <v>165</v>
      </c>
      <c r="C29" s="122">
        <v>186</v>
      </c>
      <c r="D29" s="30">
        <v>214.8</v>
      </c>
      <c r="E29" s="122">
        <v>229.8</v>
      </c>
      <c r="F29" s="30">
        <v>241</v>
      </c>
    </row>
    <row r="30" spans="1:6" ht="20" customHeight="1" thickBot="1">
      <c r="A30" s="148" t="s">
        <v>1694</v>
      </c>
      <c r="B30" s="30">
        <v>285</v>
      </c>
      <c r="C30" s="122">
        <v>285</v>
      </c>
      <c r="D30" s="30">
        <v>314.8</v>
      </c>
      <c r="E30" s="122">
        <v>322.8</v>
      </c>
      <c r="F30" s="30">
        <v>347</v>
      </c>
    </row>
    <row r="31" spans="1:6" ht="20" customHeight="1" thickBot="1">
      <c r="A31" s="148" t="s">
        <v>1695</v>
      </c>
      <c r="B31" s="30">
        <v>349</v>
      </c>
      <c r="C31" s="122">
        <v>349</v>
      </c>
      <c r="D31" s="30">
        <v>370.8</v>
      </c>
      <c r="E31" s="122">
        <v>399</v>
      </c>
      <c r="F31" s="30">
        <v>429.3</v>
      </c>
    </row>
    <row r="32" spans="1:6" ht="20" customHeight="1" thickBot="1">
      <c r="A32" s="148" t="s">
        <v>1696</v>
      </c>
      <c r="B32" s="30">
        <v>266</v>
      </c>
      <c r="C32" s="122">
        <v>266</v>
      </c>
      <c r="D32" s="30">
        <v>276</v>
      </c>
      <c r="E32" s="122">
        <v>319.8</v>
      </c>
      <c r="F32" s="30">
        <v>320</v>
      </c>
    </row>
    <row r="33" spans="1:6" ht="30" customHeight="1" thickBot="1">
      <c r="A33" s="13" t="s">
        <v>1697</v>
      </c>
      <c r="B33" s="136">
        <v>210</v>
      </c>
      <c r="C33" s="138">
        <v>241</v>
      </c>
      <c r="D33" s="136">
        <v>264.5</v>
      </c>
      <c r="E33" s="138">
        <v>316.3</v>
      </c>
      <c r="F33" s="136">
        <v>387</v>
      </c>
    </row>
    <row r="34" spans="1:6" ht="20" customHeight="1">
      <c r="A34" s="9" t="s">
        <v>766</v>
      </c>
      <c r="B34" s="245"/>
      <c r="C34" s="245"/>
      <c r="D34" s="245"/>
      <c r="E34" s="245"/>
      <c r="F34" s="245"/>
    </row>
    <row r="35" spans="1:6" ht="12.75" customHeight="1">
      <c r="A35" s="38"/>
      <c r="B35" s="246"/>
      <c r="C35" s="246"/>
      <c r="D35" s="246"/>
      <c r="E35" s="246"/>
      <c r="F35" s="246"/>
    </row>
    <row r="36" spans="1:6" ht="15.75" customHeight="1">
      <c r="A36" s="38" t="s">
        <v>1272</v>
      </c>
      <c r="B36" s="246"/>
      <c r="C36" s="246"/>
      <c r="D36" s="246"/>
      <c r="E36" s="246"/>
      <c r="F36" s="246"/>
    </row>
    <row r="37" spans="1:6" ht="13.5" customHeight="1">
      <c r="A37" s="38"/>
      <c r="B37" s="246"/>
      <c r="C37" s="246"/>
      <c r="D37" s="246"/>
      <c r="E37" s="246"/>
      <c r="F37" s="246"/>
    </row>
    <row r="38" spans="1:6" ht="12.75" customHeight="1">
      <c r="A38" s="38" t="s">
        <v>871</v>
      </c>
      <c r="B38" s="246"/>
      <c r="C38" s="246"/>
      <c r="D38" s="246"/>
      <c r="E38" s="246"/>
      <c r="F38" s="246"/>
    </row>
    <row r="39" spans="1:6">
      <c r="A39" s="3" t="s">
        <v>872</v>
      </c>
      <c r="B39" s="247"/>
      <c r="C39" s="247"/>
      <c r="D39" s="247"/>
      <c r="E39" s="247"/>
      <c r="F39" s="247"/>
    </row>
    <row r="40" spans="1:6">
      <c r="B40" s="247"/>
      <c r="C40" s="247"/>
      <c r="D40" s="247"/>
      <c r="E40" s="247"/>
      <c r="F40" s="247"/>
    </row>
    <row r="41" spans="1:6">
      <c r="B41" s="247"/>
      <c r="C41" s="247"/>
      <c r="D41" s="247"/>
      <c r="E41" s="247"/>
      <c r="F41" s="247"/>
    </row>
    <row r="42" spans="1:6">
      <c r="B42" s="247"/>
      <c r="C42" s="247"/>
      <c r="D42" s="247"/>
      <c r="E42" s="247"/>
      <c r="F42" s="247"/>
    </row>
  </sheetData>
  <phoneticPr fontId="0" type="noConversion"/>
  <pageMargins left="0.78740157480314965" right="0.54" top="1.299212598425197" bottom="0.47244094488188981" header="0.94488188976377963" footer="0.51181102362204722"/>
  <pageSetup paperSize="9" scale="80" orientation="portrait" horizontalDpi="4294967292" verticalDpi="4294967292"/>
  <headerFooter alignWithMargins="0">
    <oddHeader>&amp;L&amp;"Arial,Bold"&amp;14Prämientarife in der OKP</oddHeader>
    <oddFooter>&amp;L&amp;"Arial,Regular"Statistik der Krankenversicherung, Bundesamt für Sozialversicherung</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E8C01-BD7A-D448-80F0-1B90F4FEBBE6}">
  <dimension ref="A1:G42"/>
  <sheetViews>
    <sheetView zoomScale="75" workbookViewId="0">
      <selection sqref="A1:G43"/>
    </sheetView>
  </sheetViews>
  <sheetFormatPr baseColWidth="10" defaultColWidth="11.3984375" defaultRowHeight="13"/>
  <cols>
    <col min="1" max="1" width="11.19921875" style="3" customWidth="1"/>
    <col min="2" max="2" width="13.19921875" style="3" customWidth="1"/>
    <col min="3" max="3" width="15.19921875" style="3" customWidth="1"/>
    <col min="4" max="4" width="14.19921875" style="3" customWidth="1"/>
    <col min="5" max="5" width="15.59765625" style="3" customWidth="1"/>
    <col min="6" max="6" width="15.19921875" style="3" customWidth="1"/>
    <col min="7" max="7" width="10.796875" style="3" customWidth="1"/>
    <col min="8" max="8" width="11.3984375" style="3"/>
    <col min="9" max="9" width="6.796875" style="3" customWidth="1"/>
    <col min="10" max="16384" width="11.3984375" style="3"/>
  </cols>
  <sheetData>
    <row r="1" spans="1:6" s="1" customFormat="1" ht="14" customHeight="1">
      <c r="A1" s="62"/>
      <c r="B1" s="62"/>
      <c r="C1" s="62"/>
      <c r="D1" s="62"/>
      <c r="E1" s="62"/>
      <c r="F1" s="62"/>
    </row>
    <row r="2" spans="1:6" s="1" customFormat="1" ht="18.75" customHeight="1">
      <c r="A2" s="240" t="s">
        <v>768</v>
      </c>
      <c r="B2" s="62"/>
      <c r="C2" s="62"/>
      <c r="D2" s="62"/>
      <c r="E2" s="62"/>
      <c r="F2" s="62"/>
    </row>
    <row r="3" spans="1:6" s="1" customFormat="1" ht="24" customHeight="1">
      <c r="A3" s="240" t="s">
        <v>464</v>
      </c>
      <c r="B3" s="62"/>
      <c r="C3" s="62"/>
      <c r="D3" s="62"/>
      <c r="E3" s="62"/>
      <c r="F3" s="62"/>
    </row>
    <row r="4" spans="1:6" ht="24" customHeight="1">
      <c r="A4" s="2" t="s">
        <v>1663</v>
      </c>
      <c r="B4" s="241">
        <v>0.05</v>
      </c>
      <c r="C4" s="242">
        <v>0.25</v>
      </c>
      <c r="D4" s="241">
        <v>0.5</v>
      </c>
      <c r="E4" s="242">
        <v>0.25</v>
      </c>
      <c r="F4" s="241">
        <v>0.05</v>
      </c>
    </row>
    <row r="5" spans="1:6" ht="73.5" customHeight="1">
      <c r="A5" s="82"/>
      <c r="B5" s="243" t="s">
        <v>867</v>
      </c>
      <c r="C5" s="244" t="s">
        <v>867</v>
      </c>
      <c r="D5" s="243" t="s">
        <v>868</v>
      </c>
      <c r="E5" s="244" t="s">
        <v>869</v>
      </c>
      <c r="F5" s="243" t="s">
        <v>869</v>
      </c>
    </row>
    <row r="6" spans="1:6" ht="16" customHeight="1">
      <c r="A6" s="83"/>
      <c r="B6" s="78"/>
      <c r="C6" s="19"/>
      <c r="D6" s="78"/>
      <c r="E6" s="19"/>
      <c r="F6" s="16"/>
    </row>
    <row r="7" spans="1:6" ht="30" customHeight="1" thickBot="1">
      <c r="A7" s="146" t="s">
        <v>1671</v>
      </c>
      <c r="B7" s="20">
        <v>175.9</v>
      </c>
      <c r="C7" s="91">
        <v>177.8</v>
      </c>
      <c r="D7" s="20">
        <v>194</v>
      </c>
      <c r="E7" s="91">
        <v>209.5</v>
      </c>
      <c r="F7" s="20">
        <v>227.8</v>
      </c>
    </row>
    <row r="8" spans="1:6" ht="20" customHeight="1" thickBot="1">
      <c r="A8" s="148" t="s">
        <v>1672</v>
      </c>
      <c r="B8" s="30">
        <v>166.7</v>
      </c>
      <c r="C8" s="122">
        <v>168.5</v>
      </c>
      <c r="D8" s="30">
        <v>182.7</v>
      </c>
      <c r="E8" s="122">
        <v>195</v>
      </c>
      <c r="F8" s="30">
        <v>220</v>
      </c>
    </row>
    <row r="9" spans="1:6" ht="20" customHeight="1" thickBot="1">
      <c r="A9" s="148" t="s">
        <v>1673</v>
      </c>
      <c r="B9" s="30">
        <v>135</v>
      </c>
      <c r="C9" s="122">
        <v>143.5</v>
      </c>
      <c r="D9" s="30">
        <v>158.80000000000001</v>
      </c>
      <c r="E9" s="122">
        <v>171.3</v>
      </c>
      <c r="F9" s="30">
        <v>182.7</v>
      </c>
    </row>
    <row r="10" spans="1:6" ht="20" customHeight="1" thickBot="1">
      <c r="A10" s="148" t="s">
        <v>1674</v>
      </c>
      <c r="B10" s="30">
        <v>130.4</v>
      </c>
      <c r="C10" s="122">
        <v>144.69999999999999</v>
      </c>
      <c r="D10" s="30">
        <v>156.30000000000001</v>
      </c>
      <c r="E10" s="122">
        <v>157.69999999999999</v>
      </c>
      <c r="F10" s="30">
        <v>169.6</v>
      </c>
    </row>
    <row r="11" spans="1:6" ht="20" customHeight="1" thickBot="1">
      <c r="A11" s="148" t="s">
        <v>1675</v>
      </c>
      <c r="B11" s="30">
        <v>146</v>
      </c>
      <c r="C11" s="122">
        <v>160.9</v>
      </c>
      <c r="D11" s="30">
        <v>161.5</v>
      </c>
      <c r="E11" s="122">
        <v>174</v>
      </c>
      <c r="F11" s="30">
        <v>177.6</v>
      </c>
    </row>
    <row r="12" spans="1:6" ht="20" customHeight="1" thickBot="1">
      <c r="A12" s="148" t="s">
        <v>1676</v>
      </c>
      <c r="B12" s="30">
        <v>128.5</v>
      </c>
      <c r="C12" s="122">
        <v>128.5</v>
      </c>
      <c r="D12" s="30">
        <v>149.80000000000001</v>
      </c>
      <c r="E12" s="122">
        <v>152</v>
      </c>
      <c r="F12" s="30">
        <v>155.19999999999999</v>
      </c>
    </row>
    <row r="13" spans="1:6" ht="20" customHeight="1" thickBot="1">
      <c r="A13" s="148" t="s">
        <v>1677</v>
      </c>
      <c r="B13" s="30">
        <v>116.1</v>
      </c>
      <c r="C13" s="122">
        <v>130.5</v>
      </c>
      <c r="D13" s="30">
        <v>143.80000000000001</v>
      </c>
      <c r="E13" s="122">
        <v>145.5</v>
      </c>
      <c r="F13" s="30">
        <v>154.80000000000001</v>
      </c>
    </row>
    <row r="14" spans="1:6" ht="20" customHeight="1" thickBot="1">
      <c r="A14" s="148" t="s">
        <v>1678</v>
      </c>
      <c r="B14" s="30">
        <v>150</v>
      </c>
      <c r="C14" s="122">
        <v>150</v>
      </c>
      <c r="D14" s="30">
        <v>167.7</v>
      </c>
      <c r="E14" s="122">
        <v>171.8</v>
      </c>
      <c r="F14" s="30">
        <v>172</v>
      </c>
    </row>
    <row r="15" spans="1:6" ht="20" customHeight="1" thickBot="1">
      <c r="A15" s="148" t="s">
        <v>1679</v>
      </c>
      <c r="B15" s="30">
        <v>142.4</v>
      </c>
      <c r="C15" s="122">
        <v>149.19999999999999</v>
      </c>
      <c r="D15" s="30">
        <v>164</v>
      </c>
      <c r="E15" s="122">
        <v>169.7</v>
      </c>
      <c r="F15" s="30">
        <v>181.6</v>
      </c>
    </row>
    <row r="16" spans="1:6" ht="20" customHeight="1" thickBot="1">
      <c r="A16" s="148" t="s">
        <v>1680</v>
      </c>
      <c r="B16" s="30">
        <v>164.6</v>
      </c>
      <c r="C16" s="122">
        <v>167.4</v>
      </c>
      <c r="D16" s="30">
        <v>193.3</v>
      </c>
      <c r="E16" s="122">
        <v>197.1</v>
      </c>
      <c r="F16" s="30">
        <v>224.8</v>
      </c>
    </row>
    <row r="17" spans="1:6" ht="20" customHeight="1" thickBot="1">
      <c r="A17" s="148" t="s">
        <v>1681</v>
      </c>
      <c r="B17" s="30">
        <v>162.19999999999999</v>
      </c>
      <c r="C17" s="122">
        <v>172.5</v>
      </c>
      <c r="D17" s="30">
        <v>178.6</v>
      </c>
      <c r="E17" s="122">
        <v>191.2</v>
      </c>
      <c r="F17" s="30">
        <v>193</v>
      </c>
    </row>
    <row r="18" spans="1:6" ht="20" customHeight="1" thickBot="1">
      <c r="A18" s="148" t="s">
        <v>1682</v>
      </c>
      <c r="B18" s="30">
        <v>253.2</v>
      </c>
      <c r="C18" s="122">
        <v>253.2</v>
      </c>
      <c r="D18" s="30">
        <v>276.8</v>
      </c>
      <c r="E18" s="122">
        <v>328.8</v>
      </c>
      <c r="F18" s="30">
        <v>329</v>
      </c>
    </row>
    <row r="19" spans="1:6" ht="20" customHeight="1" thickBot="1">
      <c r="A19" s="148" t="s">
        <v>1683</v>
      </c>
      <c r="B19" s="30">
        <v>177</v>
      </c>
      <c r="C19" s="122">
        <v>186.8</v>
      </c>
      <c r="D19" s="30">
        <v>200</v>
      </c>
      <c r="E19" s="122">
        <v>218.8</v>
      </c>
      <c r="F19" s="30">
        <v>234.4</v>
      </c>
    </row>
    <row r="20" spans="1:6" ht="20" customHeight="1" thickBot="1">
      <c r="A20" s="148" t="s">
        <v>1684</v>
      </c>
      <c r="B20" s="30">
        <v>173</v>
      </c>
      <c r="C20" s="122">
        <v>173</v>
      </c>
      <c r="D20" s="30">
        <v>184.5</v>
      </c>
      <c r="E20" s="122">
        <v>195.1</v>
      </c>
      <c r="F20" s="30">
        <v>210.6</v>
      </c>
    </row>
    <row r="21" spans="1:6" ht="20" customHeight="1" thickBot="1">
      <c r="A21" s="148" t="s">
        <v>1685</v>
      </c>
      <c r="B21" s="30">
        <v>131</v>
      </c>
      <c r="C21" s="122">
        <v>131</v>
      </c>
      <c r="D21" s="30">
        <v>152.1</v>
      </c>
      <c r="E21" s="122">
        <v>153.9</v>
      </c>
      <c r="F21" s="30">
        <v>159.80000000000001</v>
      </c>
    </row>
    <row r="22" spans="1:6" ht="20" customHeight="1" thickBot="1">
      <c r="A22" s="148" t="s">
        <v>1686</v>
      </c>
      <c r="B22" s="30">
        <v>120.4</v>
      </c>
      <c r="C22" s="122">
        <v>124</v>
      </c>
      <c r="D22" s="30">
        <v>137.69999999999999</v>
      </c>
      <c r="E22" s="122">
        <v>137.69999999999999</v>
      </c>
      <c r="F22" s="30">
        <v>148</v>
      </c>
    </row>
    <row r="23" spans="1:6" ht="20" customHeight="1" thickBot="1">
      <c r="A23" s="148" t="s">
        <v>1687</v>
      </c>
      <c r="B23" s="30">
        <v>141.5</v>
      </c>
      <c r="C23" s="122">
        <v>156</v>
      </c>
      <c r="D23" s="30">
        <v>161.19999999999999</v>
      </c>
      <c r="E23" s="122">
        <v>168</v>
      </c>
      <c r="F23" s="30">
        <v>183</v>
      </c>
    </row>
    <row r="24" spans="1:6" ht="20" customHeight="1" thickBot="1">
      <c r="A24" s="148" t="s">
        <v>1688</v>
      </c>
      <c r="B24" s="30">
        <v>148.69999999999999</v>
      </c>
      <c r="C24" s="122">
        <v>149.19999999999999</v>
      </c>
      <c r="D24" s="30">
        <v>170.1</v>
      </c>
      <c r="E24" s="122">
        <v>178.4</v>
      </c>
      <c r="F24" s="30">
        <v>181.8</v>
      </c>
    </row>
    <row r="25" spans="1:6" ht="20" customHeight="1" thickBot="1">
      <c r="A25" s="148" t="s">
        <v>1689</v>
      </c>
      <c r="B25" s="30">
        <v>166.4</v>
      </c>
      <c r="C25" s="122">
        <v>170</v>
      </c>
      <c r="D25" s="30">
        <v>178</v>
      </c>
      <c r="E25" s="122">
        <v>186.3</v>
      </c>
      <c r="F25" s="30">
        <v>192</v>
      </c>
    </row>
    <row r="26" spans="1:6" ht="20" customHeight="1" thickBot="1">
      <c r="A26" s="148" t="s">
        <v>1690</v>
      </c>
      <c r="B26" s="30">
        <v>173</v>
      </c>
      <c r="C26" s="122">
        <v>173.5</v>
      </c>
      <c r="D26" s="30">
        <v>192.9</v>
      </c>
      <c r="E26" s="122">
        <v>198.4</v>
      </c>
      <c r="F26" s="30">
        <v>203.1</v>
      </c>
    </row>
    <row r="27" spans="1:6" ht="20" customHeight="1" thickBot="1">
      <c r="A27" s="148" t="s">
        <v>1691</v>
      </c>
      <c r="B27" s="30">
        <v>206.2</v>
      </c>
      <c r="C27" s="122">
        <v>218.2</v>
      </c>
      <c r="D27" s="30">
        <v>234.9</v>
      </c>
      <c r="E27" s="122">
        <v>258.8</v>
      </c>
      <c r="F27" s="30">
        <v>269</v>
      </c>
    </row>
    <row r="28" spans="1:6" ht="20" customHeight="1" thickBot="1">
      <c r="A28" s="148" t="s">
        <v>1692</v>
      </c>
      <c r="B28" s="30">
        <v>222.2</v>
      </c>
      <c r="C28" s="122">
        <v>228.9</v>
      </c>
      <c r="D28" s="30">
        <v>259</v>
      </c>
      <c r="E28" s="122">
        <v>279.89999999999998</v>
      </c>
      <c r="F28" s="30">
        <v>291.7</v>
      </c>
    </row>
    <row r="29" spans="1:6" ht="20" customHeight="1" thickBot="1">
      <c r="A29" s="148" t="s">
        <v>1693</v>
      </c>
      <c r="B29" s="30">
        <v>125</v>
      </c>
      <c r="C29" s="122">
        <v>140</v>
      </c>
      <c r="D29" s="30">
        <v>164.3</v>
      </c>
      <c r="E29" s="122">
        <v>181</v>
      </c>
      <c r="F29" s="30">
        <v>192.8</v>
      </c>
    </row>
    <row r="30" spans="1:6" ht="20" customHeight="1" thickBot="1">
      <c r="A30" s="148" t="s">
        <v>1694</v>
      </c>
      <c r="B30" s="30">
        <v>232</v>
      </c>
      <c r="C30" s="122">
        <v>232</v>
      </c>
      <c r="D30" s="30">
        <v>250.5</v>
      </c>
      <c r="E30" s="122">
        <v>273.89999999999998</v>
      </c>
      <c r="F30" s="30">
        <v>285</v>
      </c>
    </row>
    <row r="31" spans="1:6" ht="20" customHeight="1" thickBot="1">
      <c r="A31" s="148" t="s">
        <v>1695</v>
      </c>
      <c r="B31" s="30">
        <v>269.3</v>
      </c>
      <c r="C31" s="122">
        <v>269.3</v>
      </c>
      <c r="D31" s="30">
        <v>288.3</v>
      </c>
      <c r="E31" s="122">
        <v>322</v>
      </c>
      <c r="F31" s="30">
        <v>336.6</v>
      </c>
    </row>
    <row r="32" spans="1:6" ht="20" customHeight="1" thickBot="1">
      <c r="A32" s="148" t="s">
        <v>1696</v>
      </c>
      <c r="B32" s="30">
        <v>215.9</v>
      </c>
      <c r="C32" s="122">
        <v>227.1</v>
      </c>
      <c r="D32" s="30">
        <v>242.7</v>
      </c>
      <c r="E32" s="122">
        <v>256</v>
      </c>
      <c r="F32" s="30">
        <v>256</v>
      </c>
    </row>
    <row r="33" spans="1:7" ht="30" customHeight="1" thickBot="1">
      <c r="A33" s="13" t="s">
        <v>1697</v>
      </c>
      <c r="B33" s="136">
        <v>158.4</v>
      </c>
      <c r="C33" s="138">
        <v>178</v>
      </c>
      <c r="D33" s="136">
        <v>195.8</v>
      </c>
      <c r="E33" s="138">
        <v>240.3</v>
      </c>
      <c r="F33" s="136">
        <v>319</v>
      </c>
      <c r="G33" s="38"/>
    </row>
    <row r="34" spans="1:7" ht="20" customHeight="1">
      <c r="A34" s="9" t="s">
        <v>766</v>
      </c>
      <c r="B34" s="245"/>
      <c r="C34" s="245"/>
      <c r="D34" s="245"/>
      <c r="E34" s="245"/>
      <c r="F34" s="245"/>
      <c r="G34" s="246"/>
    </row>
    <row r="35" spans="1:7" ht="12.75" customHeight="1">
      <c r="A35" s="38"/>
      <c r="B35" s="246"/>
      <c r="C35" s="246"/>
      <c r="D35" s="246"/>
      <c r="E35" s="246"/>
      <c r="F35" s="246"/>
      <c r="G35" s="246"/>
    </row>
    <row r="36" spans="1:7" ht="20" customHeight="1">
      <c r="A36" s="38" t="s">
        <v>1272</v>
      </c>
      <c r="B36" s="246"/>
      <c r="C36" s="246"/>
      <c r="D36" s="246"/>
      <c r="E36" s="246"/>
      <c r="F36" s="246"/>
      <c r="G36" s="246"/>
    </row>
    <row r="37" spans="1:7" ht="14.25" customHeight="1">
      <c r="A37" s="38"/>
      <c r="B37" s="246"/>
      <c r="C37" s="246"/>
      <c r="D37" s="246"/>
      <c r="E37" s="246"/>
      <c r="F37" s="246"/>
      <c r="G37" s="246"/>
    </row>
    <row r="38" spans="1:7" ht="12.75" customHeight="1">
      <c r="A38" s="38" t="s">
        <v>871</v>
      </c>
      <c r="B38" s="246"/>
      <c r="C38" s="246"/>
      <c r="D38" s="246"/>
      <c r="E38" s="246"/>
      <c r="F38" s="246"/>
      <c r="G38" s="246"/>
    </row>
    <row r="39" spans="1:7">
      <c r="A39" s="3" t="s">
        <v>872</v>
      </c>
      <c r="B39" s="247"/>
      <c r="C39" s="247"/>
      <c r="D39" s="247"/>
      <c r="E39" s="247"/>
      <c r="F39" s="247"/>
      <c r="G39" s="247"/>
    </row>
    <row r="40" spans="1:7">
      <c r="B40" s="247"/>
      <c r="C40" s="247"/>
      <c r="D40" s="247"/>
      <c r="E40" s="247"/>
      <c r="F40" s="247"/>
      <c r="G40" s="247"/>
    </row>
    <row r="41" spans="1:7">
      <c r="B41" s="247"/>
      <c r="C41" s="247"/>
      <c r="D41" s="247"/>
      <c r="E41" s="247"/>
      <c r="F41" s="247"/>
      <c r="G41" s="247"/>
    </row>
    <row r="42" spans="1:7">
      <c r="B42" s="247"/>
      <c r="C42" s="247"/>
      <c r="D42" s="247"/>
      <c r="E42" s="247"/>
      <c r="F42" s="247"/>
      <c r="G42" s="247"/>
    </row>
  </sheetData>
  <phoneticPr fontId="0" type="noConversion"/>
  <pageMargins left="0.78740157480314965" right="0.54" top="1.299212598425197" bottom="0.47244094488188981" header="0.94488188976377963" footer="0.51181102362204722"/>
  <pageSetup paperSize="9" scale="80" orientation="portrait" horizontalDpi="4294967292" verticalDpi="4294967292"/>
  <headerFooter alignWithMargins="0">
    <oddHeader>&amp;L&amp;"Arial,Bold"&amp;14Prämientarife in der OKP</oddHeader>
    <oddFooter>&amp;L&amp;"Arial,Regular"Statistik der Krankenversicherung, Bundesamt für Sozialversicherung</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6310-D3FC-2E41-9B4D-5CEEE944D02C}">
  <dimension ref="A1:F42"/>
  <sheetViews>
    <sheetView zoomScale="75" workbookViewId="0">
      <selection sqref="A1:H44"/>
    </sheetView>
  </sheetViews>
  <sheetFormatPr baseColWidth="10" defaultColWidth="11.3984375" defaultRowHeight="13"/>
  <cols>
    <col min="1" max="1" width="11.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62"/>
      <c r="B1" s="62"/>
      <c r="C1" s="62"/>
      <c r="D1" s="62"/>
      <c r="E1" s="62"/>
      <c r="F1" s="62"/>
    </row>
    <row r="2" spans="1:6" s="1" customFormat="1" ht="18.75" customHeight="1">
      <c r="A2" s="240" t="s">
        <v>769</v>
      </c>
      <c r="B2" s="62"/>
      <c r="C2" s="62"/>
      <c r="D2" s="62"/>
      <c r="E2" s="62"/>
      <c r="F2" s="62"/>
    </row>
    <row r="3" spans="1:6" s="1" customFormat="1" ht="22.5" customHeight="1">
      <c r="A3" s="240" t="s">
        <v>462</v>
      </c>
      <c r="B3" s="62"/>
      <c r="C3" s="62"/>
      <c r="D3" s="62"/>
      <c r="E3" s="62"/>
      <c r="F3" s="62"/>
    </row>
    <row r="4" spans="1:6" ht="24" customHeight="1">
      <c r="A4" s="2" t="s">
        <v>1663</v>
      </c>
      <c r="B4" s="241">
        <v>0.05</v>
      </c>
      <c r="C4" s="242">
        <v>0.25</v>
      </c>
      <c r="D4" s="241">
        <v>0.5</v>
      </c>
      <c r="E4" s="242">
        <v>0.25</v>
      </c>
      <c r="F4" s="241">
        <v>0.05</v>
      </c>
    </row>
    <row r="5" spans="1:6" ht="73.5" customHeight="1">
      <c r="A5" s="82"/>
      <c r="B5" s="243" t="s">
        <v>867</v>
      </c>
      <c r="C5" s="244" t="s">
        <v>867</v>
      </c>
      <c r="D5" s="243" t="s">
        <v>868</v>
      </c>
      <c r="E5" s="244" t="s">
        <v>869</v>
      </c>
      <c r="F5" s="243" t="s">
        <v>869</v>
      </c>
    </row>
    <row r="6" spans="1:6" ht="16" customHeight="1">
      <c r="A6" s="83"/>
      <c r="B6" s="78"/>
      <c r="C6" s="19"/>
      <c r="D6" s="78"/>
      <c r="E6" s="19"/>
      <c r="F6" s="16"/>
    </row>
    <row r="7" spans="1:6" ht="30" customHeight="1" thickBot="1">
      <c r="A7" s="146" t="s">
        <v>1671</v>
      </c>
      <c r="B7" s="20">
        <v>59</v>
      </c>
      <c r="C7" s="91">
        <v>62.1</v>
      </c>
      <c r="D7" s="20">
        <v>65</v>
      </c>
      <c r="E7" s="91">
        <v>69.7</v>
      </c>
      <c r="F7" s="20">
        <v>80</v>
      </c>
    </row>
    <row r="8" spans="1:6" ht="20" customHeight="1" thickBot="1">
      <c r="A8" s="148" t="s">
        <v>1672</v>
      </c>
      <c r="B8" s="30">
        <v>58</v>
      </c>
      <c r="C8" s="122">
        <v>61.3</v>
      </c>
      <c r="D8" s="30">
        <v>67</v>
      </c>
      <c r="E8" s="122">
        <v>72.3</v>
      </c>
      <c r="F8" s="30">
        <v>75.400000000000006</v>
      </c>
    </row>
    <row r="9" spans="1:6" ht="20" customHeight="1" thickBot="1">
      <c r="A9" s="148" t="s">
        <v>1673</v>
      </c>
      <c r="B9" s="30">
        <v>45.1</v>
      </c>
      <c r="C9" s="122">
        <v>49.3</v>
      </c>
      <c r="D9" s="30">
        <v>52.8</v>
      </c>
      <c r="E9" s="122">
        <v>55.2</v>
      </c>
      <c r="F9" s="30">
        <v>59.6</v>
      </c>
    </row>
    <row r="10" spans="1:6" ht="20" customHeight="1" thickBot="1">
      <c r="A10" s="148" t="s">
        <v>1674</v>
      </c>
      <c r="B10" s="30">
        <v>45.6</v>
      </c>
      <c r="C10" s="122">
        <v>45.8</v>
      </c>
      <c r="D10" s="30">
        <v>53</v>
      </c>
      <c r="E10" s="122">
        <v>53</v>
      </c>
      <c r="F10" s="30">
        <v>54.6</v>
      </c>
    </row>
    <row r="11" spans="1:6" ht="20" customHeight="1" thickBot="1">
      <c r="A11" s="148" t="s">
        <v>1675</v>
      </c>
      <c r="B11" s="30">
        <v>49</v>
      </c>
      <c r="C11" s="122">
        <v>52.5</v>
      </c>
      <c r="D11" s="30">
        <v>55.5</v>
      </c>
      <c r="E11" s="122">
        <v>55.5</v>
      </c>
      <c r="F11" s="30">
        <v>59.4</v>
      </c>
    </row>
    <row r="12" spans="1:6" ht="20" customHeight="1" thickBot="1">
      <c r="A12" s="148" t="s">
        <v>1676</v>
      </c>
      <c r="B12" s="30">
        <v>47.3</v>
      </c>
      <c r="C12" s="122">
        <v>47.3</v>
      </c>
      <c r="D12" s="30">
        <v>47.5</v>
      </c>
      <c r="E12" s="122">
        <v>50.1</v>
      </c>
      <c r="F12" s="30">
        <v>51.5</v>
      </c>
    </row>
    <row r="13" spans="1:6" ht="20" customHeight="1" thickBot="1">
      <c r="A13" s="148" t="s">
        <v>1677</v>
      </c>
      <c r="B13" s="30">
        <v>43</v>
      </c>
      <c r="C13" s="122">
        <v>47.3</v>
      </c>
      <c r="D13" s="30">
        <v>49.5</v>
      </c>
      <c r="E13" s="122">
        <v>49.6</v>
      </c>
      <c r="F13" s="30">
        <v>50.1</v>
      </c>
    </row>
    <row r="14" spans="1:6" ht="20" customHeight="1" thickBot="1">
      <c r="A14" s="148" t="s">
        <v>1678</v>
      </c>
      <c r="B14" s="30">
        <v>49.8</v>
      </c>
      <c r="C14" s="122">
        <v>50</v>
      </c>
      <c r="D14" s="30">
        <v>55.5</v>
      </c>
      <c r="E14" s="122">
        <v>60.6</v>
      </c>
      <c r="F14" s="30">
        <v>62</v>
      </c>
    </row>
    <row r="15" spans="1:6" ht="20" customHeight="1" thickBot="1">
      <c r="A15" s="148" t="s">
        <v>1679</v>
      </c>
      <c r="B15" s="30">
        <v>48</v>
      </c>
      <c r="C15" s="122">
        <v>51.3</v>
      </c>
      <c r="D15" s="30">
        <v>54.9</v>
      </c>
      <c r="E15" s="122">
        <v>56.8</v>
      </c>
      <c r="F15" s="30">
        <v>59.5</v>
      </c>
    </row>
    <row r="16" spans="1:6" ht="20" customHeight="1" thickBot="1">
      <c r="A16" s="148" t="s">
        <v>1680</v>
      </c>
      <c r="B16" s="30">
        <v>55</v>
      </c>
      <c r="C16" s="122">
        <v>60</v>
      </c>
      <c r="D16" s="30">
        <v>61</v>
      </c>
      <c r="E16" s="122">
        <v>66.5</v>
      </c>
      <c r="F16" s="30">
        <v>70.3</v>
      </c>
    </row>
    <row r="17" spans="1:6" ht="20" customHeight="1" thickBot="1">
      <c r="A17" s="148" t="s">
        <v>1681</v>
      </c>
      <c r="B17" s="30">
        <v>55</v>
      </c>
      <c r="C17" s="122">
        <v>59.8</v>
      </c>
      <c r="D17" s="30">
        <v>60.3</v>
      </c>
      <c r="E17" s="122">
        <v>62.1</v>
      </c>
      <c r="F17" s="30">
        <v>67.400000000000006</v>
      </c>
    </row>
    <row r="18" spans="1:6" ht="20" customHeight="1" thickBot="1">
      <c r="A18" s="148" t="s">
        <v>1682</v>
      </c>
      <c r="B18" s="30">
        <v>81</v>
      </c>
      <c r="C18" s="122">
        <v>81</v>
      </c>
      <c r="D18" s="30">
        <v>93</v>
      </c>
      <c r="E18" s="122">
        <v>96.8</v>
      </c>
      <c r="F18" s="30">
        <v>96.8</v>
      </c>
    </row>
    <row r="19" spans="1:6" ht="20" customHeight="1" thickBot="1">
      <c r="A19" s="148" t="s">
        <v>1683</v>
      </c>
      <c r="B19" s="30">
        <v>61.4</v>
      </c>
      <c r="C19" s="122">
        <v>65</v>
      </c>
      <c r="D19" s="30">
        <v>68.3</v>
      </c>
      <c r="E19" s="122">
        <v>73.3</v>
      </c>
      <c r="F19" s="30">
        <v>77.3</v>
      </c>
    </row>
    <row r="20" spans="1:6" ht="20" customHeight="1" thickBot="1">
      <c r="A20" s="148" t="s">
        <v>1684</v>
      </c>
      <c r="B20" s="30">
        <v>48</v>
      </c>
      <c r="C20" s="122">
        <v>59.8</v>
      </c>
      <c r="D20" s="30">
        <v>64.400000000000006</v>
      </c>
      <c r="E20" s="122">
        <v>68</v>
      </c>
      <c r="F20" s="30">
        <v>71</v>
      </c>
    </row>
    <row r="21" spans="1:6" ht="20" customHeight="1" thickBot="1">
      <c r="A21" s="148" t="s">
        <v>1685</v>
      </c>
      <c r="B21" s="30">
        <v>45</v>
      </c>
      <c r="C21" s="122">
        <v>46.8</v>
      </c>
      <c r="D21" s="30">
        <v>51</v>
      </c>
      <c r="E21" s="122">
        <v>51.3</v>
      </c>
      <c r="F21" s="30">
        <v>55.5</v>
      </c>
    </row>
    <row r="22" spans="1:6" ht="20" customHeight="1" thickBot="1">
      <c r="A22" s="148" t="s">
        <v>1686</v>
      </c>
      <c r="B22" s="30">
        <v>43</v>
      </c>
      <c r="C22" s="122">
        <v>43.3</v>
      </c>
      <c r="D22" s="30">
        <v>45.9</v>
      </c>
      <c r="E22" s="122">
        <v>46</v>
      </c>
      <c r="F22" s="30">
        <v>46.3</v>
      </c>
    </row>
    <row r="23" spans="1:6" ht="20" customHeight="1" thickBot="1">
      <c r="A23" s="148" t="s">
        <v>1687</v>
      </c>
      <c r="B23" s="30">
        <v>49</v>
      </c>
      <c r="C23" s="122">
        <v>51.1</v>
      </c>
      <c r="D23" s="30">
        <v>52.5</v>
      </c>
      <c r="E23" s="122">
        <v>55</v>
      </c>
      <c r="F23" s="30">
        <v>58.5</v>
      </c>
    </row>
    <row r="24" spans="1:6" ht="20" customHeight="1" thickBot="1">
      <c r="A24" s="148" t="s">
        <v>1688</v>
      </c>
      <c r="B24" s="30">
        <v>47</v>
      </c>
      <c r="C24" s="122">
        <v>51</v>
      </c>
      <c r="D24" s="30">
        <v>55.8</v>
      </c>
      <c r="E24" s="122">
        <v>56.8</v>
      </c>
      <c r="F24" s="30">
        <v>61</v>
      </c>
    </row>
    <row r="25" spans="1:6" ht="20" customHeight="1" thickBot="1">
      <c r="A25" s="148" t="s">
        <v>1689</v>
      </c>
      <c r="B25" s="30">
        <v>49</v>
      </c>
      <c r="C25" s="122">
        <v>56.5</v>
      </c>
      <c r="D25" s="30">
        <v>60</v>
      </c>
      <c r="E25" s="122">
        <v>62</v>
      </c>
      <c r="F25" s="30">
        <v>66</v>
      </c>
    </row>
    <row r="26" spans="1:6" ht="20" customHeight="1" thickBot="1">
      <c r="A26" s="148" t="s">
        <v>1690</v>
      </c>
      <c r="B26" s="30">
        <v>57.8</v>
      </c>
      <c r="C26" s="122">
        <v>57.8</v>
      </c>
      <c r="D26" s="30">
        <v>64.8</v>
      </c>
      <c r="E26" s="122">
        <v>67.8</v>
      </c>
      <c r="F26" s="30">
        <v>70</v>
      </c>
    </row>
    <row r="27" spans="1:6" ht="20" customHeight="1" thickBot="1">
      <c r="A27" s="148" t="s">
        <v>1691</v>
      </c>
      <c r="B27" s="30">
        <v>70</v>
      </c>
      <c r="C27" s="122">
        <v>77</v>
      </c>
      <c r="D27" s="30">
        <v>81.2</v>
      </c>
      <c r="E27" s="122">
        <v>85.8</v>
      </c>
      <c r="F27" s="30">
        <v>94.5</v>
      </c>
    </row>
    <row r="28" spans="1:6" ht="20" customHeight="1" thickBot="1">
      <c r="A28" s="148" t="s">
        <v>1692</v>
      </c>
      <c r="B28" s="30">
        <v>82</v>
      </c>
      <c r="C28" s="122">
        <v>84</v>
      </c>
      <c r="D28" s="30">
        <v>90</v>
      </c>
      <c r="E28" s="122">
        <v>92.2</v>
      </c>
      <c r="F28" s="30">
        <v>96.8</v>
      </c>
    </row>
    <row r="29" spans="1:6" ht="20" customHeight="1" thickBot="1">
      <c r="A29" s="148" t="s">
        <v>1693</v>
      </c>
      <c r="B29" s="30">
        <v>42</v>
      </c>
      <c r="C29" s="122">
        <v>46</v>
      </c>
      <c r="D29" s="30">
        <v>55.4</v>
      </c>
      <c r="E29" s="122">
        <v>60.3</v>
      </c>
      <c r="F29" s="30">
        <v>62.4</v>
      </c>
    </row>
    <row r="30" spans="1:6" ht="20" customHeight="1" thickBot="1">
      <c r="A30" s="148" t="s">
        <v>1694</v>
      </c>
      <c r="B30" s="30">
        <v>70</v>
      </c>
      <c r="C30" s="122">
        <v>70</v>
      </c>
      <c r="D30" s="30">
        <v>78.8</v>
      </c>
      <c r="E30" s="122">
        <v>81</v>
      </c>
      <c r="F30" s="30">
        <v>88.8</v>
      </c>
    </row>
    <row r="31" spans="1:6" ht="20" customHeight="1" thickBot="1">
      <c r="A31" s="148" t="s">
        <v>1695</v>
      </c>
      <c r="B31" s="30">
        <v>85</v>
      </c>
      <c r="C31" s="122">
        <v>85</v>
      </c>
      <c r="D31" s="30">
        <v>97.8</v>
      </c>
      <c r="E31" s="122">
        <v>100</v>
      </c>
      <c r="F31" s="30">
        <v>110.6</v>
      </c>
    </row>
    <row r="32" spans="1:6" ht="20" customHeight="1" thickBot="1">
      <c r="A32" s="148" t="s">
        <v>1696</v>
      </c>
      <c r="B32" s="30">
        <v>65</v>
      </c>
      <c r="C32" s="122">
        <v>65</v>
      </c>
      <c r="D32" s="30">
        <v>73.8</v>
      </c>
      <c r="E32" s="122">
        <v>80</v>
      </c>
      <c r="F32" s="30">
        <v>82.1</v>
      </c>
    </row>
    <row r="33" spans="1:6" ht="30" customHeight="1" thickBot="1">
      <c r="A33" s="13" t="s">
        <v>1697</v>
      </c>
      <c r="B33" s="136">
        <v>52.5</v>
      </c>
      <c r="C33" s="138">
        <v>60.7</v>
      </c>
      <c r="D33" s="136">
        <v>68.3</v>
      </c>
      <c r="E33" s="138">
        <v>81.3</v>
      </c>
      <c r="F33" s="136">
        <v>100</v>
      </c>
    </row>
    <row r="34" spans="1:6" ht="20" customHeight="1">
      <c r="A34" s="9" t="s">
        <v>766</v>
      </c>
      <c r="B34" s="245"/>
      <c r="C34" s="245"/>
      <c r="D34" s="245"/>
      <c r="E34" s="245"/>
      <c r="F34" s="245"/>
    </row>
    <row r="35" spans="1:6" ht="15.75" customHeight="1">
      <c r="A35" s="38"/>
      <c r="B35" s="246"/>
      <c r="C35" s="246"/>
      <c r="D35" s="246"/>
      <c r="E35" s="246"/>
      <c r="F35" s="246"/>
    </row>
    <row r="36" spans="1:6" ht="20.25" customHeight="1">
      <c r="A36" s="38" t="s">
        <v>1272</v>
      </c>
      <c r="B36" s="246"/>
      <c r="C36" s="246"/>
      <c r="D36" s="246"/>
      <c r="E36" s="246"/>
      <c r="F36" s="246"/>
    </row>
    <row r="37" spans="1:6" ht="13.5" customHeight="1">
      <c r="A37" s="38"/>
      <c r="B37" s="246"/>
      <c r="C37" s="246"/>
      <c r="D37" s="246"/>
      <c r="E37" s="246"/>
      <c r="F37" s="246"/>
    </row>
    <row r="38" spans="1:6" ht="12.75" customHeight="1">
      <c r="A38" s="38" t="s">
        <v>871</v>
      </c>
      <c r="B38" s="246"/>
      <c r="C38" s="246"/>
      <c r="D38" s="246"/>
      <c r="E38" s="246"/>
      <c r="F38" s="246"/>
    </row>
    <row r="39" spans="1:6">
      <c r="A39" s="3" t="s">
        <v>872</v>
      </c>
      <c r="B39" s="247"/>
      <c r="C39" s="247"/>
      <c r="D39" s="247"/>
      <c r="E39" s="247"/>
      <c r="F39" s="247"/>
    </row>
    <row r="40" spans="1:6">
      <c r="B40" s="247"/>
      <c r="C40" s="247"/>
      <c r="D40" s="247"/>
      <c r="E40" s="247"/>
      <c r="F40" s="247"/>
    </row>
    <row r="41" spans="1:6">
      <c r="B41" s="247"/>
      <c r="C41" s="247"/>
      <c r="D41" s="247"/>
      <c r="E41" s="247"/>
      <c r="F41" s="247"/>
    </row>
    <row r="42" spans="1:6">
      <c r="B42" s="247"/>
      <c r="C42" s="247"/>
      <c r="D42" s="247"/>
      <c r="E42" s="247"/>
      <c r="F42" s="247"/>
    </row>
  </sheetData>
  <phoneticPr fontId="0" type="noConversion"/>
  <pageMargins left="0.78740157480314965" right="0.54" top="1.299212598425197" bottom="0.47244094488188981" header="0.94488188976377963" footer="0.51181102362204722"/>
  <pageSetup paperSize="9" scale="80" orientation="portrait" horizontalDpi="4294967292" verticalDpi="4294967292"/>
  <headerFooter alignWithMargins="0">
    <oddHeader>&amp;L&amp;"Arial,Bold"&amp;14Prämientarife in der OKP</oddHeader>
    <oddFooter>&amp;L&amp;"Arial,Regular"Statistik der Krankenversicherung, Bundesamt für Sozialversicherung</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5D15-0AD1-CA4C-81BA-AD71984C647D}">
  <dimension ref="A1:K42"/>
  <sheetViews>
    <sheetView topLeftCell="A25" zoomScale="75" workbookViewId="0">
      <selection activeCell="A3" sqref="A3"/>
    </sheetView>
  </sheetViews>
  <sheetFormatPr baseColWidth="10" defaultColWidth="11.3984375" defaultRowHeight="13"/>
  <cols>
    <col min="1" max="1" width="11.19921875" style="3" customWidth="1"/>
    <col min="2" max="2" width="11.19921875" style="3" hidden="1" customWidth="1"/>
    <col min="3" max="8" width="11.19921875" style="3" customWidth="1"/>
    <col min="9" max="9" width="12.796875" style="3" customWidth="1"/>
    <col min="10" max="16384" width="11.3984375" style="3"/>
  </cols>
  <sheetData>
    <row r="1" spans="1:11" s="1" customFormat="1" ht="14" customHeight="1"/>
    <row r="2" spans="1:11" s="1" customFormat="1" ht="28" customHeight="1">
      <c r="A2" s="64" t="s">
        <v>773</v>
      </c>
    </row>
    <row r="3" spans="1:11" ht="24" customHeight="1">
      <c r="A3" s="2" t="s">
        <v>1663</v>
      </c>
      <c r="B3" s="74">
        <v>1996</v>
      </c>
      <c r="C3" s="74">
        <v>1996</v>
      </c>
      <c r="D3" s="17">
        <v>1997</v>
      </c>
      <c r="E3" s="74">
        <v>1998</v>
      </c>
      <c r="F3" s="17">
        <v>1999</v>
      </c>
      <c r="G3" s="74">
        <v>2000</v>
      </c>
      <c r="H3" s="17">
        <v>2001</v>
      </c>
      <c r="I3" s="74">
        <v>2002</v>
      </c>
      <c r="J3" s="17">
        <v>2003</v>
      </c>
      <c r="K3" s="74">
        <v>2004</v>
      </c>
    </row>
    <row r="4" spans="1:11" ht="15" customHeight="1">
      <c r="A4" s="82"/>
      <c r="B4" s="75"/>
      <c r="C4" s="75" t="s">
        <v>885</v>
      </c>
      <c r="D4" s="18"/>
      <c r="E4" s="75"/>
      <c r="F4" s="18"/>
      <c r="G4" s="15"/>
      <c r="H4" s="66"/>
      <c r="I4" s="75"/>
      <c r="J4" s="18"/>
      <c r="K4" s="75"/>
    </row>
    <row r="5" spans="1:11" ht="16" customHeight="1">
      <c r="A5" s="83"/>
      <c r="B5" s="78"/>
      <c r="C5" s="78"/>
      <c r="D5" s="19"/>
      <c r="E5" s="78"/>
      <c r="F5" s="19"/>
      <c r="G5" s="16"/>
      <c r="H5" s="67"/>
      <c r="I5" s="78"/>
      <c r="J5" s="19"/>
      <c r="K5" s="78"/>
    </row>
    <row r="6" spans="1:11" ht="30" customHeight="1" thickBot="1">
      <c r="A6" s="146" t="s">
        <v>1671</v>
      </c>
      <c r="B6" s="20">
        <v>153.29054508483716</v>
      </c>
      <c r="C6" s="20">
        <v>140.45020035188517</v>
      </c>
      <c r="D6" s="91">
        <v>152.60734096663364</v>
      </c>
      <c r="E6" s="20">
        <v>162.80735826577748</v>
      </c>
      <c r="F6" s="91">
        <v>169.30075711716398</v>
      </c>
      <c r="G6" s="20">
        <v>177.3694424437096</v>
      </c>
      <c r="H6" s="91">
        <v>187.29217686599966</v>
      </c>
      <c r="I6" s="20">
        <v>207</v>
      </c>
      <c r="J6" s="68">
        <v>229.52696643173866</v>
      </c>
      <c r="K6" s="29">
        <v>238.52914043029816</v>
      </c>
    </row>
    <row r="7" spans="1:11" ht="20" customHeight="1" thickBot="1">
      <c r="A7" s="148" t="s">
        <v>1672</v>
      </c>
      <c r="B7" s="30">
        <v>158.55113159342818</v>
      </c>
      <c r="C7" s="30">
        <v>135.27302403687969</v>
      </c>
      <c r="D7" s="122">
        <v>146.98203670100099</v>
      </c>
      <c r="E7" s="30">
        <v>154.6685174034175</v>
      </c>
      <c r="F7" s="122">
        <v>163.74523128816909</v>
      </c>
      <c r="G7" s="30">
        <v>167.64615788338639</v>
      </c>
      <c r="H7" s="122">
        <v>175.56469703558949</v>
      </c>
      <c r="I7" s="30">
        <v>195.01</v>
      </c>
      <c r="J7" s="68">
        <v>215.34088215986247</v>
      </c>
      <c r="K7" s="29">
        <v>226.01192736754265</v>
      </c>
    </row>
    <row r="8" spans="1:11" ht="20" customHeight="1" thickBot="1">
      <c r="A8" s="148" t="s">
        <v>1673</v>
      </c>
      <c r="B8" s="30">
        <v>134.67895033237539</v>
      </c>
      <c r="C8" s="30">
        <v>105.5372654341526</v>
      </c>
      <c r="D8" s="122">
        <v>114.67239925927005</v>
      </c>
      <c r="E8" s="30">
        <v>121.57687539246692</v>
      </c>
      <c r="F8" s="122">
        <v>121.54291399151097</v>
      </c>
      <c r="G8" s="30">
        <v>129.40473457703979</v>
      </c>
      <c r="H8" s="122">
        <v>138.4582185146495</v>
      </c>
      <c r="I8" s="30">
        <v>154.06</v>
      </c>
      <c r="J8" s="68">
        <v>171.51795402398645</v>
      </c>
      <c r="K8" s="29">
        <v>182.37242807594123</v>
      </c>
    </row>
    <row r="9" spans="1:11" ht="20" customHeight="1" thickBot="1">
      <c r="A9" s="148" t="s">
        <v>1674</v>
      </c>
      <c r="B9" s="30">
        <v>134.95768672951414</v>
      </c>
      <c r="C9" s="30">
        <v>106.6452775209424</v>
      </c>
      <c r="D9" s="122">
        <v>115.87631906785872</v>
      </c>
      <c r="E9" s="30">
        <v>121.42135368794523</v>
      </c>
      <c r="F9" s="122">
        <v>120.24072800410242</v>
      </c>
      <c r="G9" s="30">
        <v>123.463097593238</v>
      </c>
      <c r="H9" s="122">
        <v>129.21297250533078</v>
      </c>
      <c r="I9" s="30">
        <v>143.09</v>
      </c>
      <c r="J9" s="68">
        <v>159.88083761353488</v>
      </c>
      <c r="K9" s="29">
        <v>167.520462004433</v>
      </c>
    </row>
    <row r="10" spans="1:11" ht="20" customHeight="1" thickBot="1">
      <c r="A10" s="148" t="s">
        <v>1675</v>
      </c>
      <c r="B10" s="30">
        <v>134.45660111580844</v>
      </c>
      <c r="C10" s="30">
        <v>112.67793877642957</v>
      </c>
      <c r="D10" s="122">
        <v>122.43115765723616</v>
      </c>
      <c r="E10" s="30">
        <v>126.36737162404613</v>
      </c>
      <c r="F10" s="122">
        <v>124.52047066149895</v>
      </c>
      <c r="G10" s="30">
        <v>127.61526163656967</v>
      </c>
      <c r="H10" s="122">
        <v>135.60486509944081</v>
      </c>
      <c r="I10" s="30">
        <v>152.87</v>
      </c>
      <c r="J10" s="68">
        <v>171.3960713901657</v>
      </c>
      <c r="K10" s="29">
        <v>181.15120282763834</v>
      </c>
    </row>
    <row r="11" spans="1:11" ht="20" customHeight="1" thickBot="1">
      <c r="A11" s="148" t="s">
        <v>1676</v>
      </c>
      <c r="B11" s="30">
        <v>137.58390190437046</v>
      </c>
      <c r="C11" s="30">
        <v>110.04339836376072</v>
      </c>
      <c r="D11" s="122">
        <v>119.56857571688128</v>
      </c>
      <c r="E11" s="30">
        <v>119.34250606989576</v>
      </c>
      <c r="F11" s="122">
        <v>118.79132356898296</v>
      </c>
      <c r="G11" s="30">
        <v>122.93636791223469</v>
      </c>
      <c r="H11" s="122">
        <v>129.46484230596218</v>
      </c>
      <c r="I11" s="30">
        <v>140.55000000000001</v>
      </c>
      <c r="J11" s="68">
        <v>150.89298248630496</v>
      </c>
      <c r="K11" s="29">
        <v>158.52717497977079</v>
      </c>
    </row>
    <row r="12" spans="1:11" ht="20" customHeight="1" thickBot="1">
      <c r="A12" s="148" t="s">
        <v>1677</v>
      </c>
      <c r="B12" s="30">
        <v>130.84504672897197</v>
      </c>
      <c r="C12" s="30">
        <v>105.83266147253008</v>
      </c>
      <c r="D12" s="122">
        <v>114.99336429766744</v>
      </c>
      <c r="E12" s="30">
        <v>115.9470284464475</v>
      </c>
      <c r="F12" s="122">
        <v>114.41822563904888</v>
      </c>
      <c r="G12" s="30">
        <v>117.83010927047764</v>
      </c>
      <c r="H12" s="122">
        <v>123.99901736935983</v>
      </c>
      <c r="I12" s="30">
        <v>135.32</v>
      </c>
      <c r="J12" s="68">
        <v>148.60417521519628</v>
      </c>
      <c r="K12" s="29">
        <v>157.81270102685173</v>
      </c>
    </row>
    <row r="13" spans="1:11" ht="20" customHeight="1" thickBot="1">
      <c r="A13" s="148" t="s">
        <v>1678</v>
      </c>
      <c r="B13" s="30">
        <v>128.29419254148183</v>
      </c>
      <c r="C13" s="30">
        <v>105.25751056473344</v>
      </c>
      <c r="D13" s="122">
        <v>114.36842926394384</v>
      </c>
      <c r="E13" s="30">
        <v>121.34682266211954</v>
      </c>
      <c r="F13" s="122">
        <v>122.10018480225708</v>
      </c>
      <c r="G13" s="30">
        <v>125.28062689041737</v>
      </c>
      <c r="H13" s="122">
        <v>135.58592396070981</v>
      </c>
      <c r="I13" s="30">
        <v>152.69999999999999</v>
      </c>
      <c r="J13" s="68">
        <v>172.6823511510751</v>
      </c>
      <c r="K13" s="29">
        <v>183.10490653663214</v>
      </c>
    </row>
    <row r="14" spans="1:11" ht="20" customHeight="1" thickBot="1">
      <c r="A14" s="148" t="s">
        <v>1679</v>
      </c>
      <c r="B14" s="30">
        <v>136.59697114249281</v>
      </c>
      <c r="C14" s="30">
        <v>115.4090382870759</v>
      </c>
      <c r="D14" s="122">
        <v>125.39865669383983</v>
      </c>
      <c r="E14" s="30">
        <v>124.66776959325912</v>
      </c>
      <c r="F14" s="122">
        <v>123.75527926978356</v>
      </c>
      <c r="G14" s="30">
        <v>128.81195260121376</v>
      </c>
      <c r="H14" s="122">
        <v>135.9303013741733</v>
      </c>
      <c r="I14" s="30">
        <v>152.28</v>
      </c>
      <c r="J14" s="68">
        <v>172.47833586160894</v>
      </c>
      <c r="K14" s="29">
        <v>183.53568412417891</v>
      </c>
    </row>
    <row r="15" spans="1:11" ht="20" customHeight="1" thickBot="1">
      <c r="A15" s="148" t="s">
        <v>1680</v>
      </c>
      <c r="B15" s="30">
        <v>175.04105550901633</v>
      </c>
      <c r="C15" s="30">
        <v>143.91760565838428</v>
      </c>
      <c r="D15" s="122">
        <v>156.37487922968123</v>
      </c>
      <c r="E15" s="30">
        <v>153.11797475668317</v>
      </c>
      <c r="F15" s="122">
        <v>155.50799202221646</v>
      </c>
      <c r="G15" s="30">
        <v>164.34449273930224</v>
      </c>
      <c r="H15" s="122">
        <v>175.0414663002212</v>
      </c>
      <c r="I15" s="30">
        <v>189.68</v>
      </c>
      <c r="J15" s="68">
        <v>203.13127818400665</v>
      </c>
      <c r="K15" s="29">
        <v>207.37883983738206</v>
      </c>
    </row>
    <row r="16" spans="1:11" ht="20" customHeight="1" thickBot="1">
      <c r="A16" s="148" t="s">
        <v>1681</v>
      </c>
      <c r="B16" s="30">
        <v>136.69143164527779</v>
      </c>
      <c r="C16" s="30">
        <v>131.6324045614426</v>
      </c>
      <c r="D16" s="122">
        <v>143.02629113263708</v>
      </c>
      <c r="E16" s="30">
        <v>153.81926660393125</v>
      </c>
      <c r="F16" s="122">
        <v>155.69675376417268</v>
      </c>
      <c r="G16" s="30">
        <v>161.04997582719795</v>
      </c>
      <c r="H16" s="122">
        <v>169.13087676850023</v>
      </c>
      <c r="I16" s="30">
        <v>178.64</v>
      </c>
      <c r="J16" s="68">
        <v>196.41981675885333</v>
      </c>
      <c r="K16" s="29">
        <v>207.0584128841264</v>
      </c>
    </row>
    <row r="17" spans="1:11" ht="20" customHeight="1" thickBot="1">
      <c r="A17" s="148" t="s">
        <v>1682</v>
      </c>
      <c r="B17" s="30">
        <v>191.43963598784845</v>
      </c>
      <c r="C17" s="30">
        <v>179.50071397728129</v>
      </c>
      <c r="D17" s="122">
        <v>195.03800345641494</v>
      </c>
      <c r="E17" s="30">
        <v>212.4608811236975</v>
      </c>
      <c r="F17" s="122">
        <v>229.38281202498428</v>
      </c>
      <c r="G17" s="30">
        <v>240.71169180951762</v>
      </c>
      <c r="H17" s="122">
        <v>256.37235902656107</v>
      </c>
      <c r="I17" s="30">
        <v>279.36</v>
      </c>
      <c r="J17" s="68">
        <v>305.99291785725143</v>
      </c>
      <c r="K17" s="29">
        <v>325.86357374939058</v>
      </c>
    </row>
    <row r="18" spans="1:11" ht="20" customHeight="1" thickBot="1">
      <c r="A18" s="148" t="s">
        <v>1683</v>
      </c>
      <c r="B18" s="30">
        <v>160.8793210751939</v>
      </c>
      <c r="C18" s="30">
        <v>147.30403413551483</v>
      </c>
      <c r="D18" s="122">
        <v>160.05443144088349</v>
      </c>
      <c r="E18" s="30">
        <v>169.87864025961926</v>
      </c>
      <c r="F18" s="122">
        <v>170.83240023335424</v>
      </c>
      <c r="G18" s="30">
        <v>176.82185754903838</v>
      </c>
      <c r="H18" s="122">
        <v>185.53808423666015</v>
      </c>
      <c r="I18" s="30">
        <v>204.73</v>
      </c>
      <c r="J18" s="68">
        <v>226.20255308481759</v>
      </c>
      <c r="K18" s="29">
        <v>237.88434597370332</v>
      </c>
    </row>
    <row r="19" spans="1:11" ht="20" customHeight="1" thickBot="1">
      <c r="A19" s="148" t="s">
        <v>1684</v>
      </c>
      <c r="B19" s="30">
        <v>139.68868748220555</v>
      </c>
      <c r="C19" s="30">
        <v>126.73505004596342</v>
      </c>
      <c r="D19" s="122">
        <v>137.70502958579883</v>
      </c>
      <c r="E19" s="30">
        <v>143.70980920059324</v>
      </c>
      <c r="F19" s="122">
        <v>149.80676772214503</v>
      </c>
      <c r="G19" s="30">
        <v>154.9842090076331</v>
      </c>
      <c r="H19" s="122">
        <v>165.98831239274116</v>
      </c>
      <c r="I19" s="30">
        <v>191.64</v>
      </c>
      <c r="J19" s="68">
        <v>210.20010817089576</v>
      </c>
      <c r="K19" s="29">
        <v>220.97305995700691</v>
      </c>
    </row>
    <row r="20" spans="1:11" ht="20" customHeight="1" thickBot="1">
      <c r="A20" s="148" t="s">
        <v>1685</v>
      </c>
      <c r="B20" s="30">
        <v>117.66163332768265</v>
      </c>
      <c r="C20" s="30">
        <v>100.76550744113698</v>
      </c>
      <c r="D20" s="122">
        <v>109.48760566534177</v>
      </c>
      <c r="E20" s="30">
        <v>116.94181598862123</v>
      </c>
      <c r="F20" s="122">
        <v>116.00385278841101</v>
      </c>
      <c r="G20" s="30">
        <v>119.54510241428474</v>
      </c>
      <c r="H20" s="122">
        <v>127.84343596895174</v>
      </c>
      <c r="I20" s="30">
        <v>141.47999999999999</v>
      </c>
      <c r="J20" s="68">
        <v>157.19451718595911</v>
      </c>
      <c r="K20" s="29">
        <v>163.98546667780576</v>
      </c>
    </row>
    <row r="21" spans="1:11" ht="20" customHeight="1" thickBot="1">
      <c r="A21" s="148" t="s">
        <v>1686</v>
      </c>
      <c r="B21" s="30">
        <v>114.22864746826805</v>
      </c>
      <c r="C21" s="30">
        <v>91.605767435524882</v>
      </c>
      <c r="D21" s="122">
        <v>99.535013481777852</v>
      </c>
      <c r="E21" s="30">
        <v>103.41541633145616</v>
      </c>
      <c r="F21" s="122">
        <v>101.72360709396341</v>
      </c>
      <c r="G21" s="30">
        <v>103.03943013468769</v>
      </c>
      <c r="H21" s="122">
        <v>112.14168527711223</v>
      </c>
      <c r="I21" s="30">
        <v>123.19</v>
      </c>
      <c r="J21" s="68">
        <v>135.1673947804565</v>
      </c>
      <c r="K21" s="29">
        <v>143.4285743998816</v>
      </c>
    </row>
    <row r="22" spans="1:11" ht="20" customHeight="1" thickBot="1">
      <c r="A22" s="148" t="s">
        <v>1687</v>
      </c>
      <c r="B22" s="30">
        <v>125.5704997780322</v>
      </c>
      <c r="C22" s="30">
        <v>108.09027479490744</v>
      </c>
      <c r="D22" s="122">
        <v>117.4463929526332</v>
      </c>
      <c r="E22" s="30">
        <v>125.20191978532219</v>
      </c>
      <c r="F22" s="122">
        <v>126.74270419277191</v>
      </c>
      <c r="G22" s="30">
        <v>130.7506728474529</v>
      </c>
      <c r="H22" s="122">
        <v>139.75121014548694</v>
      </c>
      <c r="I22" s="30">
        <v>154.63999999999999</v>
      </c>
      <c r="J22" s="68">
        <v>168.75547366359552</v>
      </c>
      <c r="K22" s="29">
        <v>181.14131396871781</v>
      </c>
    </row>
    <row r="23" spans="1:11" ht="20" customHeight="1" thickBot="1">
      <c r="A23" s="148" t="s">
        <v>1688</v>
      </c>
      <c r="B23" s="30">
        <v>119.85956620265458</v>
      </c>
      <c r="C23" s="30">
        <v>108.54991923267944</v>
      </c>
      <c r="D23" s="122">
        <v>117.94582346439286</v>
      </c>
      <c r="E23" s="30">
        <v>119.36792735693827</v>
      </c>
      <c r="F23" s="122">
        <v>119.7366249157985</v>
      </c>
      <c r="G23" s="30">
        <v>126.14676311319943</v>
      </c>
      <c r="H23" s="122">
        <v>136.56433512318108</v>
      </c>
      <c r="I23" s="30">
        <v>155.72999999999999</v>
      </c>
      <c r="J23" s="68">
        <v>177.26207371186936</v>
      </c>
      <c r="K23" s="29">
        <v>189.22900035783209</v>
      </c>
    </row>
    <row r="24" spans="1:11" ht="20" customHeight="1" thickBot="1">
      <c r="A24" s="148" t="s">
        <v>1689</v>
      </c>
      <c r="B24" s="30">
        <v>106.68640035872531</v>
      </c>
      <c r="C24" s="30">
        <v>111.8792559218065</v>
      </c>
      <c r="D24" s="122">
        <v>121.56334211539787</v>
      </c>
      <c r="E24" s="30">
        <v>128.77888154953607</v>
      </c>
      <c r="F24" s="122">
        <v>133.14823903844282</v>
      </c>
      <c r="G24" s="30">
        <v>140.86350327161873</v>
      </c>
      <c r="H24" s="122">
        <v>152.95820999083728</v>
      </c>
      <c r="I24" s="30">
        <v>171.32</v>
      </c>
      <c r="J24" s="68">
        <v>188.5318013682969</v>
      </c>
      <c r="K24" s="29">
        <v>198.89618845022116</v>
      </c>
    </row>
    <row r="25" spans="1:11" ht="20" customHeight="1" thickBot="1">
      <c r="A25" s="148" t="s">
        <v>1690</v>
      </c>
      <c r="B25" s="30">
        <v>125.89932433941615</v>
      </c>
      <c r="C25" s="30">
        <v>113.12329814778697</v>
      </c>
      <c r="D25" s="122">
        <v>122.91506661049607</v>
      </c>
      <c r="E25" s="30">
        <v>131.36415244254533</v>
      </c>
      <c r="F25" s="122">
        <v>136.92567358277574</v>
      </c>
      <c r="G25" s="30">
        <v>142.41456845322548</v>
      </c>
      <c r="H25" s="122">
        <v>156.63969169583524</v>
      </c>
      <c r="I25" s="30">
        <v>178.55</v>
      </c>
      <c r="J25" s="68">
        <v>199.45557555690419</v>
      </c>
      <c r="K25" s="29">
        <v>210.32280867395335</v>
      </c>
    </row>
    <row r="26" spans="1:11" ht="20" customHeight="1" thickBot="1">
      <c r="A26" s="148" t="s">
        <v>1691</v>
      </c>
      <c r="B26" s="30">
        <v>195.20141418113619</v>
      </c>
      <c r="C26" s="30">
        <v>173.07175432402272</v>
      </c>
      <c r="D26" s="122">
        <v>188.05256352533979</v>
      </c>
      <c r="E26" s="30">
        <v>201.98092751569794</v>
      </c>
      <c r="F26" s="122">
        <v>204.17897419044306</v>
      </c>
      <c r="G26" s="30">
        <v>208.07487818376802</v>
      </c>
      <c r="H26" s="122">
        <v>216.95609390047369</v>
      </c>
      <c r="I26" s="30">
        <v>236.39</v>
      </c>
      <c r="J26" s="68">
        <v>260.66452981111331</v>
      </c>
      <c r="K26" s="29">
        <v>279.70654460343394</v>
      </c>
    </row>
    <row r="27" spans="1:11" ht="20" customHeight="1" thickBot="1">
      <c r="A27" s="148" t="s">
        <v>1692</v>
      </c>
      <c r="B27" s="30">
        <v>250.86297780951151</v>
      </c>
      <c r="C27" s="30">
        <v>201.96681954920294</v>
      </c>
      <c r="D27" s="122">
        <v>219.44873853985987</v>
      </c>
      <c r="E27" s="30">
        <v>216.94173934631459</v>
      </c>
      <c r="F27" s="122">
        <v>222.00147174174947</v>
      </c>
      <c r="G27" s="30">
        <v>225.5992218815378</v>
      </c>
      <c r="H27" s="122">
        <v>236.13660390772483</v>
      </c>
      <c r="I27" s="30">
        <v>253.23</v>
      </c>
      <c r="J27" s="68">
        <v>278.44554076993421</v>
      </c>
      <c r="K27" s="29">
        <v>281.51077587451692</v>
      </c>
    </row>
    <row r="28" spans="1:11" ht="20" customHeight="1" thickBot="1">
      <c r="A28" s="148" t="s">
        <v>1693</v>
      </c>
      <c r="B28" s="30">
        <v>166.26105782296611</v>
      </c>
      <c r="C28" s="30">
        <v>130.06708580544677</v>
      </c>
      <c r="D28" s="122">
        <v>141.32548093429466</v>
      </c>
      <c r="E28" s="30">
        <v>135.48324083336809</v>
      </c>
      <c r="F28" s="122">
        <v>136.524053318131</v>
      </c>
      <c r="G28" s="30">
        <v>138.40803643782442</v>
      </c>
      <c r="H28" s="122">
        <v>144.88756273159518</v>
      </c>
      <c r="I28" s="30">
        <v>157.22</v>
      </c>
      <c r="J28" s="68">
        <v>173.02278376179109</v>
      </c>
      <c r="K28" s="29">
        <v>185.13501411267444</v>
      </c>
    </row>
    <row r="29" spans="1:11" ht="20" customHeight="1" thickBot="1">
      <c r="A29" s="148" t="s">
        <v>1694</v>
      </c>
      <c r="B29" s="30">
        <v>182.19524165383032</v>
      </c>
      <c r="C29" s="30">
        <v>159.03582070618171</v>
      </c>
      <c r="D29" s="122">
        <v>172.80170235151201</v>
      </c>
      <c r="E29" s="30">
        <v>189.49639832494023</v>
      </c>
      <c r="F29" s="122">
        <v>198.46023456379575</v>
      </c>
      <c r="G29" s="30">
        <v>203.68191468536494</v>
      </c>
      <c r="H29" s="122">
        <v>216.58429674187832</v>
      </c>
      <c r="I29" s="30">
        <v>240.83</v>
      </c>
      <c r="J29" s="68">
        <v>263.38873518338357</v>
      </c>
      <c r="K29" s="29">
        <v>273.75428811236355</v>
      </c>
    </row>
    <row r="30" spans="1:11" ht="20" customHeight="1" thickBot="1">
      <c r="A30" s="148" t="s">
        <v>1695</v>
      </c>
      <c r="B30" s="30">
        <v>249.78789170339516</v>
      </c>
      <c r="C30" s="30">
        <v>215.9579128253136</v>
      </c>
      <c r="D30" s="122">
        <v>234.65087806500108</v>
      </c>
      <c r="E30" s="30">
        <v>242.39431149968868</v>
      </c>
      <c r="F30" s="122">
        <v>245.95001439646009</v>
      </c>
      <c r="G30" s="30">
        <v>264.02227625852606</v>
      </c>
      <c r="H30" s="122">
        <v>277.6124581388579</v>
      </c>
      <c r="I30" s="30">
        <v>298.83</v>
      </c>
      <c r="J30" s="68">
        <v>321.84253977936146</v>
      </c>
      <c r="K30" s="29">
        <v>329.09357335162815</v>
      </c>
    </row>
    <row r="31" spans="1:11" ht="20" customHeight="1" thickBot="1">
      <c r="A31" s="148" t="s">
        <v>1696</v>
      </c>
      <c r="B31" s="30">
        <v>185.5585448541552</v>
      </c>
      <c r="C31" s="30">
        <v>150.04359339406253</v>
      </c>
      <c r="D31" s="122">
        <v>163.03112248738989</v>
      </c>
      <c r="E31" s="30">
        <v>177.585382965695</v>
      </c>
      <c r="F31" s="122">
        <v>179.47485599423203</v>
      </c>
      <c r="G31" s="30">
        <v>188.93497525036813</v>
      </c>
      <c r="H31" s="122">
        <v>209.80311198605813</v>
      </c>
      <c r="I31" s="30">
        <v>228.74</v>
      </c>
      <c r="J31" s="68">
        <v>243.30983077027776</v>
      </c>
      <c r="K31" s="29">
        <v>251.19087221921035</v>
      </c>
    </row>
    <row r="32" spans="1:11" ht="30" customHeight="1" thickBot="1">
      <c r="A32" s="13" t="s">
        <v>1697</v>
      </c>
      <c r="B32" s="136">
        <v>166.16924861756607</v>
      </c>
      <c r="C32" s="136">
        <v>142.39827814900238</v>
      </c>
      <c r="D32" s="138">
        <v>154.7240412053614</v>
      </c>
      <c r="E32" s="136">
        <v>160.95747176627057</v>
      </c>
      <c r="F32" s="138">
        <v>165.56772502218746</v>
      </c>
      <c r="G32" s="136">
        <v>171.91540871121077</v>
      </c>
      <c r="H32" s="138">
        <v>181.94521710727568</v>
      </c>
      <c r="I32" s="136">
        <v>200.08</v>
      </c>
      <c r="J32" s="72">
        <v>220.36690082804964</v>
      </c>
      <c r="K32" s="270">
        <v>230.35130257930879</v>
      </c>
    </row>
    <row r="33" spans="1:10" ht="20" customHeight="1">
      <c r="A33" s="9" t="s">
        <v>463</v>
      </c>
      <c r="B33" s="151"/>
      <c r="C33" s="151"/>
      <c r="D33" s="151"/>
      <c r="E33" s="151"/>
      <c r="F33" s="151"/>
      <c r="G33" s="151"/>
      <c r="H33" s="151"/>
      <c r="I33" s="151"/>
      <c r="J33" s="271"/>
    </row>
    <row r="34" spans="1:10" ht="15.75" customHeight="1">
      <c r="A34" s="38"/>
      <c r="B34" s="152"/>
      <c r="C34" s="152"/>
      <c r="D34" s="152"/>
      <c r="E34" s="152"/>
      <c r="F34" s="152"/>
      <c r="G34" s="152"/>
      <c r="H34" s="152"/>
      <c r="I34" s="152"/>
      <c r="J34" s="272"/>
    </row>
    <row r="35" spans="1:10" ht="14.25" customHeight="1">
      <c r="A35" s="38" t="s">
        <v>1272</v>
      </c>
      <c r="B35" s="152"/>
      <c r="C35" s="152"/>
      <c r="D35" s="152"/>
      <c r="E35" s="152"/>
      <c r="F35" s="152"/>
      <c r="G35" s="152"/>
      <c r="H35" s="152"/>
      <c r="I35" s="152"/>
      <c r="J35" s="272"/>
    </row>
    <row r="36" spans="1:10" ht="13.5" customHeight="1">
      <c r="A36" s="38"/>
      <c r="B36" s="152"/>
      <c r="C36" s="152"/>
      <c r="D36" s="152"/>
      <c r="E36" s="152"/>
      <c r="F36" s="152"/>
      <c r="G36" s="152"/>
      <c r="H36" s="152"/>
      <c r="I36" s="152"/>
      <c r="J36" s="272"/>
    </row>
    <row r="37" spans="1:10" ht="12.75" customHeight="1">
      <c r="A37" s="38" t="s">
        <v>1481</v>
      </c>
      <c r="B37" s="152"/>
      <c r="C37" s="152"/>
      <c r="D37" s="152"/>
      <c r="E37" s="152"/>
      <c r="F37" s="152"/>
      <c r="G37" s="152"/>
      <c r="H37" s="152"/>
      <c r="I37" s="152"/>
      <c r="J37" s="272"/>
    </row>
    <row r="38" spans="1:10">
      <c r="A38" s="3" t="s">
        <v>771</v>
      </c>
    </row>
    <row r="39" spans="1:10">
      <c r="A39" s="3" t="s">
        <v>772</v>
      </c>
    </row>
    <row r="40" spans="1:10">
      <c r="A40" s="3" t="s">
        <v>1484</v>
      </c>
    </row>
    <row r="41" spans="1:10">
      <c r="A41" s="38" t="s">
        <v>1485</v>
      </c>
    </row>
    <row r="42" spans="1:10">
      <c r="A42" s="38" t="s">
        <v>1486</v>
      </c>
    </row>
  </sheetData>
  <phoneticPr fontId="0" type="noConversion"/>
  <pageMargins left="0.45" right="0.49" top="1.28" bottom="0.49" header="0.93" footer="0.4921259845"/>
  <pageSetup paperSize="9" scale="80" orientation="portrait" horizontalDpi="4294967292" verticalDpi="4294967292"/>
  <headerFooter alignWithMargins="0">
    <oddHeader>&amp;L&amp;"Arial,Bold"&amp;14Prämientarife in der OKP</oddHeader>
    <oddFooter>&amp;L&amp;"Arial,Regular"Statistik über die Krankenversicherung, Bundesamt für Sozialversicherung</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BADE-3713-6243-BAB5-36AE8FC9D456}">
  <dimension ref="A1:F42"/>
  <sheetViews>
    <sheetView zoomScale="75" workbookViewId="0">
      <selection activeCell="G28" sqref="G28"/>
    </sheetView>
  </sheetViews>
  <sheetFormatPr baseColWidth="10" defaultColWidth="11.3984375" defaultRowHeight="13"/>
  <cols>
    <col min="1" max="1" width="13.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62"/>
      <c r="B1" s="62"/>
      <c r="C1" s="62"/>
      <c r="D1" s="62"/>
      <c r="E1" s="62"/>
      <c r="F1" s="62"/>
    </row>
    <row r="2" spans="1:6" s="1" customFormat="1" ht="18.75" customHeight="1">
      <c r="A2" s="240" t="s">
        <v>770</v>
      </c>
      <c r="B2" s="62"/>
      <c r="C2" s="62"/>
      <c r="D2" s="62"/>
      <c r="E2" s="62"/>
      <c r="F2" s="62"/>
    </row>
    <row r="3" spans="1:6" s="1" customFormat="1" ht="24" customHeight="1">
      <c r="A3" s="240" t="s">
        <v>465</v>
      </c>
      <c r="B3" s="62"/>
      <c r="C3" s="62"/>
      <c r="D3" s="62"/>
      <c r="E3" s="62"/>
      <c r="F3" s="62"/>
    </row>
    <row r="4" spans="1:6" ht="24" customHeight="1">
      <c r="A4" s="2" t="s">
        <v>1663</v>
      </c>
      <c r="B4" s="241" t="s">
        <v>1268</v>
      </c>
      <c r="C4" s="242" t="s">
        <v>1269</v>
      </c>
      <c r="D4" s="241" t="s">
        <v>1270</v>
      </c>
      <c r="E4" s="242" t="s">
        <v>1271</v>
      </c>
      <c r="F4" s="241" t="s">
        <v>607</v>
      </c>
    </row>
    <row r="5" spans="1:6" ht="24.75" customHeight="1">
      <c r="A5" s="82"/>
      <c r="B5" s="243"/>
      <c r="C5" s="244"/>
      <c r="D5" s="243"/>
      <c r="E5" s="244"/>
      <c r="F5" s="243"/>
    </row>
    <row r="6" spans="1:6" ht="16" customHeight="1">
      <c r="A6" s="83"/>
      <c r="B6" s="78"/>
      <c r="C6" s="19"/>
      <c r="D6" s="78"/>
      <c r="E6" s="19"/>
      <c r="F6" s="16"/>
    </row>
    <row r="7" spans="1:6" ht="30" customHeight="1" thickBot="1">
      <c r="A7" s="146" t="s">
        <v>1671</v>
      </c>
      <c r="B7" s="29">
        <v>326.40312423816198</v>
      </c>
      <c r="C7" s="68">
        <v>277.40773076494804</v>
      </c>
      <c r="D7" s="29">
        <v>258.31096614356403</v>
      </c>
      <c r="E7" s="68" t="s">
        <v>488</v>
      </c>
      <c r="F7" s="292">
        <v>285.95999999999998</v>
      </c>
    </row>
    <row r="8" spans="1:6" ht="20" customHeight="1" thickBot="1">
      <c r="A8" s="148" t="s">
        <v>1672</v>
      </c>
      <c r="B8" s="30">
        <v>303.88900161983798</v>
      </c>
      <c r="C8" s="122">
        <v>261.76514798687407</v>
      </c>
      <c r="D8" s="30">
        <v>249.87937392184099</v>
      </c>
      <c r="E8" s="122" t="s">
        <v>488</v>
      </c>
      <c r="F8" s="89">
        <v>272.43</v>
      </c>
    </row>
    <row r="9" spans="1:6" ht="20" customHeight="1" thickBot="1">
      <c r="A9" s="148" t="s">
        <v>1673</v>
      </c>
      <c r="B9" s="30">
        <v>238.80375564862803</v>
      </c>
      <c r="C9" s="122">
        <v>221.59828863148502</v>
      </c>
      <c r="D9" s="30">
        <v>211.98142877974101</v>
      </c>
      <c r="E9" s="122" t="s">
        <v>488</v>
      </c>
      <c r="F9" s="89">
        <v>226.05</v>
      </c>
    </row>
    <row r="10" spans="1:6" ht="20" customHeight="1" thickBot="1">
      <c r="A10" s="148" t="s">
        <v>1674</v>
      </c>
      <c r="B10" s="30" t="s">
        <v>488</v>
      </c>
      <c r="C10" s="122" t="s">
        <v>488</v>
      </c>
      <c r="D10" s="30" t="s">
        <v>488</v>
      </c>
      <c r="E10" s="122">
        <v>206.39557142221298</v>
      </c>
      <c r="F10" s="89">
        <v>206.39</v>
      </c>
    </row>
    <row r="11" spans="1:6" ht="20" customHeight="1" thickBot="1">
      <c r="A11" s="148" t="s">
        <v>1675</v>
      </c>
      <c r="B11" s="30" t="s">
        <v>488</v>
      </c>
      <c r="C11" s="122" t="s">
        <v>488</v>
      </c>
      <c r="D11" s="30" t="s">
        <v>488</v>
      </c>
      <c r="E11" s="122">
        <v>224.673758883343</v>
      </c>
      <c r="F11" s="89">
        <v>224.67</v>
      </c>
    </row>
    <row r="12" spans="1:6" ht="20" customHeight="1" thickBot="1">
      <c r="A12" s="148" t="s">
        <v>1676</v>
      </c>
      <c r="B12" s="30" t="s">
        <v>488</v>
      </c>
      <c r="C12" s="122" t="s">
        <v>488</v>
      </c>
      <c r="D12" s="30" t="s">
        <v>488</v>
      </c>
      <c r="E12" s="122">
        <v>197.66210268505</v>
      </c>
      <c r="F12" s="89">
        <v>197.66</v>
      </c>
    </row>
    <row r="13" spans="1:6" ht="20" customHeight="1" thickBot="1">
      <c r="A13" s="148" t="s">
        <v>1677</v>
      </c>
      <c r="B13" s="30" t="s">
        <v>488</v>
      </c>
      <c r="C13" s="122" t="s">
        <v>488</v>
      </c>
      <c r="D13" s="30" t="s">
        <v>488</v>
      </c>
      <c r="E13" s="122">
        <v>192.14249595174499</v>
      </c>
      <c r="F13" s="89">
        <v>192.14</v>
      </c>
    </row>
    <row r="14" spans="1:6" ht="20" customHeight="1" thickBot="1">
      <c r="A14" s="148" t="s">
        <v>1678</v>
      </c>
      <c r="B14" s="30" t="s">
        <v>488</v>
      </c>
      <c r="C14" s="122" t="s">
        <v>488</v>
      </c>
      <c r="D14" s="30" t="s">
        <v>488</v>
      </c>
      <c r="E14" s="122">
        <v>225.5741555873</v>
      </c>
      <c r="F14" s="89">
        <v>225.57</v>
      </c>
    </row>
    <row r="15" spans="1:6" ht="20" customHeight="1" thickBot="1">
      <c r="A15" s="148" t="s">
        <v>1679</v>
      </c>
      <c r="B15" s="30" t="s">
        <v>488</v>
      </c>
      <c r="C15" s="122" t="s">
        <v>488</v>
      </c>
      <c r="D15" s="30" t="s">
        <v>488</v>
      </c>
      <c r="E15" s="122">
        <v>222.19885571998802</v>
      </c>
      <c r="F15" s="89">
        <v>222.2</v>
      </c>
    </row>
    <row r="16" spans="1:6" ht="20" customHeight="1" thickBot="1">
      <c r="A16" s="148" t="s">
        <v>1680</v>
      </c>
      <c r="B16" s="30">
        <v>274.61639827779106</v>
      </c>
      <c r="C16" s="122">
        <v>247.666187743991</v>
      </c>
      <c r="D16" s="30" t="s">
        <v>488</v>
      </c>
      <c r="E16" s="122" t="s">
        <v>488</v>
      </c>
      <c r="F16" s="89">
        <v>257.31</v>
      </c>
    </row>
    <row r="17" spans="1:6" ht="20" customHeight="1" thickBot="1">
      <c r="A17" s="148" t="s">
        <v>1681</v>
      </c>
      <c r="B17" s="30" t="s">
        <v>488</v>
      </c>
      <c r="C17" s="122" t="s">
        <v>488</v>
      </c>
      <c r="D17" s="30" t="s">
        <v>488</v>
      </c>
      <c r="E17" s="122">
        <v>252.59203173547701</v>
      </c>
      <c r="F17" s="89">
        <v>252.59</v>
      </c>
    </row>
    <row r="18" spans="1:6" ht="20" customHeight="1" thickBot="1">
      <c r="A18" s="148" t="s">
        <v>1682</v>
      </c>
      <c r="B18" s="30" t="s">
        <v>488</v>
      </c>
      <c r="C18" s="122" t="s">
        <v>488</v>
      </c>
      <c r="D18" s="30" t="s">
        <v>488</v>
      </c>
      <c r="E18" s="122">
        <v>377.49928939070207</v>
      </c>
      <c r="F18" s="89">
        <v>377.5</v>
      </c>
    </row>
    <row r="19" spans="1:6" ht="20" customHeight="1" thickBot="1">
      <c r="A19" s="148" t="s">
        <v>1683</v>
      </c>
      <c r="B19" s="30">
        <v>291.238708162568</v>
      </c>
      <c r="C19" s="122">
        <v>269.53853155705605</v>
      </c>
      <c r="D19" s="30" t="s">
        <v>488</v>
      </c>
      <c r="E19" s="122" t="s">
        <v>488</v>
      </c>
      <c r="F19" s="89">
        <v>285.56</v>
      </c>
    </row>
    <row r="20" spans="1:6" ht="20" customHeight="1" thickBot="1">
      <c r="A20" s="148" t="s">
        <v>1684</v>
      </c>
      <c r="B20" s="30">
        <v>276.405551360657</v>
      </c>
      <c r="C20" s="122">
        <v>255.29722692235399</v>
      </c>
      <c r="D20" s="30" t="s">
        <v>488</v>
      </c>
      <c r="E20" s="122" t="s">
        <v>488</v>
      </c>
      <c r="F20" s="89">
        <v>268.14999999999998</v>
      </c>
    </row>
    <row r="21" spans="1:6" ht="20" customHeight="1" thickBot="1">
      <c r="A21" s="148" t="s">
        <v>1685</v>
      </c>
      <c r="B21" s="30" t="s">
        <v>488</v>
      </c>
      <c r="C21" s="122" t="s">
        <v>488</v>
      </c>
      <c r="D21" s="30" t="s">
        <v>488</v>
      </c>
      <c r="E21" s="122">
        <v>204.72858650245499</v>
      </c>
      <c r="F21" s="89">
        <v>204.72</v>
      </c>
    </row>
    <row r="22" spans="1:6" ht="20" customHeight="1" thickBot="1">
      <c r="A22" s="148" t="s">
        <v>1686</v>
      </c>
      <c r="B22" s="30" t="s">
        <v>488</v>
      </c>
      <c r="C22" s="122" t="s">
        <v>488</v>
      </c>
      <c r="D22" s="30" t="s">
        <v>488</v>
      </c>
      <c r="E22" s="122">
        <v>183.62698125901801</v>
      </c>
      <c r="F22" s="89">
        <v>183.62</v>
      </c>
    </row>
    <row r="23" spans="1:6" ht="20" customHeight="1" thickBot="1">
      <c r="A23" s="148" t="s">
        <v>1687</v>
      </c>
      <c r="B23" s="30">
        <v>239.09377109443901</v>
      </c>
      <c r="C23" s="122">
        <v>221.528274753912</v>
      </c>
      <c r="D23" s="30">
        <v>215.23090807512102</v>
      </c>
      <c r="E23" s="122" t="s">
        <v>488</v>
      </c>
      <c r="F23" s="89">
        <v>225.37</v>
      </c>
    </row>
    <row r="24" spans="1:6" ht="20" customHeight="1" thickBot="1">
      <c r="A24" s="148" t="s">
        <v>1688</v>
      </c>
      <c r="B24" s="30">
        <v>236.13092352013902</v>
      </c>
      <c r="C24" s="122">
        <v>228.57543899919699</v>
      </c>
      <c r="D24" s="30">
        <v>220.78729175931301</v>
      </c>
      <c r="E24" s="122" t="s">
        <v>488</v>
      </c>
      <c r="F24" s="89">
        <v>228.95</v>
      </c>
    </row>
    <row r="25" spans="1:6" ht="20" customHeight="1" thickBot="1">
      <c r="A25" s="148" t="s">
        <v>1689</v>
      </c>
      <c r="B25" s="30" t="s">
        <v>488</v>
      </c>
      <c r="C25" s="122" t="s">
        <v>488</v>
      </c>
      <c r="D25" s="30" t="s">
        <v>488</v>
      </c>
      <c r="E25" s="122">
        <v>244.39705513169602</v>
      </c>
      <c r="F25" s="89">
        <v>244.4</v>
      </c>
    </row>
    <row r="26" spans="1:6" ht="20" customHeight="1" thickBot="1">
      <c r="A26" s="148" t="s">
        <v>1690</v>
      </c>
      <c r="B26" s="30" t="s">
        <v>488</v>
      </c>
      <c r="C26" s="122" t="s">
        <v>488</v>
      </c>
      <c r="D26" s="30" t="s">
        <v>488</v>
      </c>
      <c r="E26" s="122">
        <v>262.88872520017702</v>
      </c>
      <c r="F26" s="89">
        <v>262.89</v>
      </c>
    </row>
    <row r="27" spans="1:6" ht="20" customHeight="1" thickBot="1">
      <c r="A27" s="148" t="s">
        <v>1691</v>
      </c>
      <c r="B27" s="30">
        <v>330.76511934997501</v>
      </c>
      <c r="C27" s="122">
        <v>315.18844077484903</v>
      </c>
      <c r="D27" s="30" t="s">
        <v>488</v>
      </c>
      <c r="E27" s="122" t="s">
        <v>488</v>
      </c>
      <c r="F27" s="89">
        <v>328.44</v>
      </c>
    </row>
    <row r="28" spans="1:6" ht="20" customHeight="1" thickBot="1">
      <c r="A28" s="148" t="s">
        <v>1692</v>
      </c>
      <c r="B28" s="30">
        <v>358.53270037923306</v>
      </c>
      <c r="C28" s="122">
        <v>337.20546213323502</v>
      </c>
      <c r="D28" s="30">
        <v>324.95081337826502</v>
      </c>
      <c r="E28" s="122" t="s">
        <v>488</v>
      </c>
      <c r="F28" s="89">
        <v>341.4</v>
      </c>
    </row>
    <row r="29" spans="1:6" ht="20" customHeight="1" thickBot="1">
      <c r="A29" s="148" t="s">
        <v>1693</v>
      </c>
      <c r="B29" s="30">
        <v>237.49046512496702</v>
      </c>
      <c r="C29" s="122">
        <v>201.58633237822303</v>
      </c>
      <c r="D29" s="30" t="s">
        <v>488</v>
      </c>
      <c r="E29" s="122" t="s">
        <v>488</v>
      </c>
      <c r="F29" s="89">
        <v>226.02</v>
      </c>
    </row>
    <row r="30" spans="1:6" ht="20" customHeight="1" thickBot="1">
      <c r="A30" s="148" t="s">
        <v>1694</v>
      </c>
      <c r="B30" s="30" t="s">
        <v>488</v>
      </c>
      <c r="C30" s="122" t="s">
        <v>488</v>
      </c>
      <c r="D30" s="30" t="s">
        <v>488</v>
      </c>
      <c r="E30" s="122">
        <v>331.59454920085204</v>
      </c>
      <c r="F30" s="89">
        <v>331.59</v>
      </c>
    </row>
    <row r="31" spans="1:6" ht="20" customHeight="1" thickBot="1">
      <c r="A31" s="148" t="s">
        <v>1695</v>
      </c>
      <c r="B31" s="30" t="s">
        <v>488</v>
      </c>
      <c r="C31" s="122" t="s">
        <v>488</v>
      </c>
      <c r="D31" s="30" t="s">
        <v>488</v>
      </c>
      <c r="E31" s="122">
        <v>398.26573560595108</v>
      </c>
      <c r="F31" s="89">
        <v>398.27</v>
      </c>
    </row>
    <row r="32" spans="1:6" ht="20" customHeight="1" thickBot="1">
      <c r="A32" s="148" t="s">
        <v>1696</v>
      </c>
      <c r="B32" s="30" t="s">
        <v>488</v>
      </c>
      <c r="C32" s="122" t="s">
        <v>488</v>
      </c>
      <c r="D32" s="30" t="s">
        <v>488</v>
      </c>
      <c r="E32" s="122">
        <v>309.30025245149204</v>
      </c>
      <c r="F32" s="89">
        <v>309.3</v>
      </c>
    </row>
    <row r="33" spans="1:6" s="115" customFormat="1" ht="30" customHeight="1" thickBot="1">
      <c r="A33" s="13" t="s">
        <v>1697</v>
      </c>
      <c r="B33" s="34" t="s">
        <v>490</v>
      </c>
      <c r="C33" s="123" t="s">
        <v>490</v>
      </c>
      <c r="D33" s="34" t="s">
        <v>490</v>
      </c>
      <c r="E33" s="123" t="s">
        <v>490</v>
      </c>
      <c r="F33" s="34">
        <v>279.98</v>
      </c>
    </row>
    <row r="34" spans="1:6" ht="20" customHeight="1">
      <c r="A34" s="9" t="s">
        <v>463</v>
      </c>
      <c r="B34" s="245"/>
      <c r="C34" s="245"/>
      <c r="D34" s="245"/>
      <c r="E34" s="245"/>
      <c r="F34" s="245"/>
    </row>
    <row r="35" spans="1:6" ht="12.75" customHeight="1">
      <c r="A35" s="38"/>
      <c r="B35" s="246"/>
      <c r="C35" s="246"/>
      <c r="D35" s="246"/>
      <c r="E35" s="246"/>
      <c r="F35" s="246"/>
    </row>
    <row r="36" spans="1:6" ht="15.75" customHeight="1">
      <c r="A36" s="38" t="s">
        <v>1272</v>
      </c>
      <c r="B36" s="246"/>
      <c r="C36" s="246"/>
      <c r="D36" s="246"/>
      <c r="E36" s="246"/>
      <c r="F36" s="246"/>
    </row>
    <row r="37" spans="1:6" ht="13.5" customHeight="1">
      <c r="A37" s="38"/>
      <c r="B37" s="246"/>
      <c r="C37" s="246"/>
      <c r="D37" s="246"/>
      <c r="E37" s="246"/>
      <c r="F37" s="246"/>
    </row>
    <row r="38" spans="1:6" ht="12.75" customHeight="1">
      <c r="A38" s="38" t="s">
        <v>871</v>
      </c>
      <c r="B38" s="246"/>
      <c r="C38" s="246"/>
      <c r="D38" s="246"/>
      <c r="E38" s="246"/>
      <c r="F38" s="246"/>
    </row>
    <row r="39" spans="1:6">
      <c r="A39" s="3" t="s">
        <v>1273</v>
      </c>
      <c r="B39" s="247"/>
      <c r="C39" s="247"/>
      <c r="D39" s="247"/>
      <c r="E39" s="247"/>
      <c r="F39" s="247"/>
    </row>
    <row r="40" spans="1:6">
      <c r="A40" s="3" t="s">
        <v>1274</v>
      </c>
      <c r="B40" s="247"/>
      <c r="C40" s="247"/>
      <c r="D40" s="247"/>
      <c r="E40" s="247"/>
      <c r="F40" s="247"/>
    </row>
    <row r="41" spans="1:6">
      <c r="B41" s="247"/>
      <c r="C41" s="247"/>
      <c r="D41" s="247"/>
      <c r="E41" s="247"/>
      <c r="F41" s="247"/>
    </row>
    <row r="42" spans="1:6">
      <c r="B42" s="247"/>
      <c r="C42" s="247"/>
      <c r="D42" s="247"/>
      <c r="E42" s="247"/>
      <c r="F42" s="247"/>
    </row>
  </sheetData>
  <phoneticPr fontId="0" type="noConversion"/>
  <pageMargins left="0.78740157480314965" right="0.54" top="1.299212598425197" bottom="0.47244094488188981" header="0.94488188976377963" footer="0.51181102362204722"/>
  <pageSetup paperSize="9" scale="80" orientation="portrait" horizontalDpi="4294967292" verticalDpi="4294967292"/>
  <headerFooter alignWithMargins="0">
    <oddHeader>&amp;L&amp;"Arial,Bold"&amp;14Prämientarife in der OKP</oddHeader>
    <oddFooter>&amp;L&amp;"Arial,Regular"Statistik der Krankenversicherung, Bundesamt für Sozialversicherung</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CD9B-4F94-0C4B-9007-81FF69EBD7E6}">
  <dimension ref="A1:F42"/>
  <sheetViews>
    <sheetView topLeftCell="A20" zoomScale="75" workbookViewId="0"/>
  </sheetViews>
  <sheetFormatPr baseColWidth="10" defaultColWidth="11.3984375" defaultRowHeight="13"/>
  <cols>
    <col min="1" max="1" width="13.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62"/>
      <c r="B1" s="62"/>
      <c r="C1" s="62"/>
      <c r="D1" s="62"/>
      <c r="E1" s="62"/>
      <c r="F1" s="62"/>
    </row>
    <row r="2" spans="1:6" s="1" customFormat="1" ht="18.75" customHeight="1">
      <c r="A2" s="240" t="s">
        <v>1276</v>
      </c>
      <c r="B2" s="62"/>
      <c r="C2" s="62"/>
      <c r="D2" s="62"/>
      <c r="E2" s="62"/>
      <c r="F2" s="62"/>
    </row>
    <row r="3" spans="1:6" s="1" customFormat="1" ht="24" customHeight="1">
      <c r="A3" s="240" t="s">
        <v>1652</v>
      </c>
      <c r="B3" s="62"/>
      <c r="C3" s="62"/>
      <c r="D3" s="62"/>
      <c r="E3" s="62"/>
      <c r="F3" s="62"/>
    </row>
    <row r="4" spans="1:6" ht="24" customHeight="1">
      <c r="A4" s="2" t="s">
        <v>1663</v>
      </c>
      <c r="B4" s="241" t="s">
        <v>1268</v>
      </c>
      <c r="C4" s="242" t="s">
        <v>1269</v>
      </c>
      <c r="D4" s="241" t="s">
        <v>1270</v>
      </c>
      <c r="E4" s="242" t="s">
        <v>1271</v>
      </c>
      <c r="F4" s="241" t="s">
        <v>607</v>
      </c>
    </row>
    <row r="5" spans="1:6" ht="24.75" customHeight="1">
      <c r="A5" s="82"/>
      <c r="B5" s="243"/>
      <c r="C5" s="244"/>
      <c r="D5" s="243"/>
      <c r="E5" s="244"/>
      <c r="F5" s="243"/>
    </row>
    <row r="6" spans="1:6" ht="16" customHeight="1">
      <c r="A6" s="83"/>
      <c r="B6" s="78"/>
      <c r="C6" s="19"/>
      <c r="D6" s="78"/>
      <c r="E6" s="19"/>
      <c r="F6" s="16"/>
    </row>
    <row r="7" spans="1:6" ht="30" customHeight="1" thickBot="1">
      <c r="A7" s="146" t="s">
        <v>1671</v>
      </c>
      <c r="B7" s="29">
        <v>247.01701262325903</v>
      </c>
      <c r="C7" s="68">
        <v>207.87435384318601</v>
      </c>
      <c r="D7" s="29">
        <v>193.775116527037</v>
      </c>
      <c r="E7" s="68" t="s">
        <v>488</v>
      </c>
      <c r="F7" s="292">
        <v>213.43</v>
      </c>
    </row>
    <row r="8" spans="1:6" ht="20" customHeight="1" thickBot="1">
      <c r="A8" s="148" t="s">
        <v>1672</v>
      </c>
      <c r="B8" s="30">
        <v>225.258747896622</v>
      </c>
      <c r="C8" s="122">
        <v>194.42135349635299</v>
      </c>
      <c r="D8" s="30">
        <v>183.407855080074</v>
      </c>
      <c r="E8" s="122" t="s">
        <v>488</v>
      </c>
      <c r="F8" s="89">
        <v>200.77</v>
      </c>
    </row>
    <row r="9" spans="1:6" ht="20" customHeight="1" thickBot="1">
      <c r="A9" s="148" t="s">
        <v>1673</v>
      </c>
      <c r="B9" s="30">
        <v>182.089449262133</v>
      </c>
      <c r="C9" s="122">
        <v>169.72770071458601</v>
      </c>
      <c r="D9" s="30">
        <v>162.03313159401301</v>
      </c>
      <c r="E9" s="122" t="s">
        <v>488</v>
      </c>
      <c r="F9" s="89">
        <v>171.83</v>
      </c>
    </row>
    <row r="10" spans="1:6" ht="20" customHeight="1" thickBot="1">
      <c r="A10" s="148" t="s">
        <v>1674</v>
      </c>
      <c r="B10" s="30" t="s">
        <v>488</v>
      </c>
      <c r="C10" s="122" t="s">
        <v>488</v>
      </c>
      <c r="D10" s="30" t="s">
        <v>488</v>
      </c>
      <c r="E10" s="122">
        <v>159.967461439885</v>
      </c>
      <c r="F10" s="89">
        <v>159.94999999999999</v>
      </c>
    </row>
    <row r="11" spans="1:6" ht="20" customHeight="1" thickBot="1">
      <c r="A11" s="148" t="s">
        <v>1675</v>
      </c>
      <c r="B11" s="30" t="s">
        <v>488</v>
      </c>
      <c r="C11" s="122" t="s">
        <v>488</v>
      </c>
      <c r="D11" s="30" t="s">
        <v>488</v>
      </c>
      <c r="E11" s="122">
        <v>172.44531472405501</v>
      </c>
      <c r="F11" s="89">
        <v>172.46</v>
      </c>
    </row>
    <row r="12" spans="1:6" ht="20" customHeight="1" thickBot="1">
      <c r="A12" s="148" t="s">
        <v>1676</v>
      </c>
      <c r="B12" s="30" t="s">
        <v>488</v>
      </c>
      <c r="C12" s="122" t="s">
        <v>488</v>
      </c>
      <c r="D12" s="30" t="s">
        <v>488</v>
      </c>
      <c r="E12" s="122">
        <v>151.76671701826501</v>
      </c>
      <c r="F12" s="89">
        <v>151.84</v>
      </c>
    </row>
    <row r="13" spans="1:6" ht="20" customHeight="1" thickBot="1">
      <c r="A13" s="148" t="s">
        <v>1677</v>
      </c>
      <c r="B13" s="30" t="s">
        <v>488</v>
      </c>
      <c r="C13" s="122" t="s">
        <v>488</v>
      </c>
      <c r="D13" s="30" t="s">
        <v>488</v>
      </c>
      <c r="E13" s="122">
        <v>146.74933876538699</v>
      </c>
      <c r="F13" s="89">
        <v>146.78</v>
      </c>
    </row>
    <row r="14" spans="1:6" ht="20" customHeight="1" thickBot="1">
      <c r="A14" s="148" t="s">
        <v>1678</v>
      </c>
      <c r="B14" s="30" t="s">
        <v>488</v>
      </c>
      <c r="C14" s="122" t="s">
        <v>488</v>
      </c>
      <c r="D14" s="30" t="s">
        <v>488</v>
      </c>
      <c r="E14" s="122">
        <v>172.37265451800701</v>
      </c>
      <c r="F14" s="89">
        <v>172.36</v>
      </c>
    </row>
    <row r="15" spans="1:6" ht="20" customHeight="1" thickBot="1">
      <c r="A15" s="148" t="s">
        <v>1679</v>
      </c>
      <c r="B15" s="30" t="s">
        <v>488</v>
      </c>
      <c r="C15" s="122" t="s">
        <v>488</v>
      </c>
      <c r="D15" s="30" t="s">
        <v>488</v>
      </c>
      <c r="E15" s="122">
        <v>169.87510445850501</v>
      </c>
      <c r="F15" s="89">
        <v>169.88</v>
      </c>
    </row>
    <row r="16" spans="1:6" ht="20" customHeight="1" thickBot="1">
      <c r="A16" s="148" t="s">
        <v>1680</v>
      </c>
      <c r="B16" s="30">
        <v>219.810341760894</v>
      </c>
      <c r="C16" s="122">
        <v>198.28237181936302</v>
      </c>
      <c r="D16" s="30" t="s">
        <v>488</v>
      </c>
      <c r="E16" s="122" t="s">
        <v>488</v>
      </c>
      <c r="F16" s="89">
        <v>206.37</v>
      </c>
    </row>
    <row r="17" spans="1:6" ht="20" customHeight="1" thickBot="1">
      <c r="A17" s="148" t="s">
        <v>1681</v>
      </c>
      <c r="B17" s="30" t="s">
        <v>488</v>
      </c>
      <c r="C17" s="122" t="s">
        <v>488</v>
      </c>
      <c r="D17" s="30" t="s">
        <v>488</v>
      </c>
      <c r="E17" s="122">
        <v>189.507413982521</v>
      </c>
      <c r="F17" s="89">
        <v>189.51</v>
      </c>
    </row>
    <row r="18" spans="1:6" ht="20" customHeight="1" thickBot="1">
      <c r="A18" s="148" t="s">
        <v>1682</v>
      </c>
      <c r="B18" s="30" t="s">
        <v>488</v>
      </c>
      <c r="C18" s="122" t="s">
        <v>488</v>
      </c>
      <c r="D18" s="30" t="s">
        <v>488</v>
      </c>
      <c r="E18" s="122">
        <v>304.59138371662203</v>
      </c>
      <c r="F18" s="89">
        <v>304.58999999999997</v>
      </c>
    </row>
    <row r="19" spans="1:6" ht="20" customHeight="1" thickBot="1">
      <c r="A19" s="148" t="s">
        <v>1683</v>
      </c>
      <c r="B19" s="30">
        <v>224.06244150559499</v>
      </c>
      <c r="C19" s="122">
        <v>206.41350926249601</v>
      </c>
      <c r="D19" s="30" t="s">
        <v>488</v>
      </c>
      <c r="E19" s="122" t="s">
        <v>488</v>
      </c>
      <c r="F19" s="89">
        <v>219.13</v>
      </c>
    </row>
    <row r="20" spans="1:6" ht="20" customHeight="1" thickBot="1">
      <c r="A20" s="148" t="s">
        <v>1684</v>
      </c>
      <c r="B20" s="30">
        <v>203.39637832204298</v>
      </c>
      <c r="C20" s="122">
        <v>188.38384367445602</v>
      </c>
      <c r="D20" s="30" t="s">
        <v>488</v>
      </c>
      <c r="E20" s="122" t="s">
        <v>488</v>
      </c>
      <c r="F20" s="89">
        <v>197.5</v>
      </c>
    </row>
    <row r="21" spans="1:6" ht="20" customHeight="1" thickBot="1">
      <c r="A21" s="148" t="s">
        <v>1685</v>
      </c>
      <c r="B21" s="30" t="s">
        <v>488</v>
      </c>
      <c r="C21" s="122" t="s">
        <v>488</v>
      </c>
      <c r="D21" s="30" t="s">
        <v>488</v>
      </c>
      <c r="E21" s="122">
        <v>154.80324460050599</v>
      </c>
      <c r="F21" s="89">
        <v>154.80000000000001</v>
      </c>
    </row>
    <row r="22" spans="1:6" ht="20" customHeight="1" thickBot="1">
      <c r="A22" s="148" t="s">
        <v>1686</v>
      </c>
      <c r="B22" s="30" t="s">
        <v>488</v>
      </c>
      <c r="C22" s="122" t="s">
        <v>488</v>
      </c>
      <c r="D22" s="30" t="s">
        <v>488</v>
      </c>
      <c r="E22" s="122">
        <v>139.57731597063301</v>
      </c>
      <c r="F22" s="89">
        <v>139.65</v>
      </c>
    </row>
    <row r="23" spans="1:6" ht="20" customHeight="1" thickBot="1">
      <c r="A23" s="148" t="s">
        <v>1687</v>
      </c>
      <c r="B23" s="30">
        <v>180.72637434555</v>
      </c>
      <c r="C23" s="122">
        <v>168.96325562619799</v>
      </c>
      <c r="D23" s="30">
        <v>163.85792223450201</v>
      </c>
      <c r="E23" s="122" t="s">
        <v>488</v>
      </c>
      <c r="F23" s="89">
        <v>171.18</v>
      </c>
    </row>
    <row r="24" spans="1:6" ht="20" customHeight="1" thickBot="1">
      <c r="A24" s="148" t="s">
        <v>1688</v>
      </c>
      <c r="B24" s="30">
        <v>179.235555555556</v>
      </c>
      <c r="C24" s="122">
        <v>177.925520152779</v>
      </c>
      <c r="D24" s="30">
        <v>171.13537448158098</v>
      </c>
      <c r="E24" s="122" t="s">
        <v>488</v>
      </c>
      <c r="F24" s="89">
        <v>176.82</v>
      </c>
    </row>
    <row r="25" spans="1:6" ht="20" customHeight="1" thickBot="1">
      <c r="A25" s="148" t="s">
        <v>1689</v>
      </c>
      <c r="B25" s="30" t="s">
        <v>488</v>
      </c>
      <c r="C25" s="122" t="s">
        <v>488</v>
      </c>
      <c r="D25" s="30" t="s">
        <v>488</v>
      </c>
      <c r="E25" s="122">
        <v>185.81619485705301</v>
      </c>
      <c r="F25" s="89">
        <v>185.82</v>
      </c>
    </row>
    <row r="26" spans="1:6" ht="20" customHeight="1" thickBot="1">
      <c r="A26" s="148" t="s">
        <v>1690</v>
      </c>
      <c r="B26" s="30" t="s">
        <v>488</v>
      </c>
      <c r="C26" s="122" t="s">
        <v>488</v>
      </c>
      <c r="D26" s="30" t="s">
        <v>488</v>
      </c>
      <c r="E26" s="122">
        <v>198.77132867923399</v>
      </c>
      <c r="F26" s="89">
        <v>198.77</v>
      </c>
    </row>
    <row r="27" spans="1:6" ht="20" customHeight="1" thickBot="1">
      <c r="A27" s="148" t="s">
        <v>1691</v>
      </c>
      <c r="B27" s="30">
        <v>260.88489988587997</v>
      </c>
      <c r="C27" s="122">
        <v>247.93524180100101</v>
      </c>
      <c r="D27" s="30" t="s">
        <v>488</v>
      </c>
      <c r="E27" s="122" t="s">
        <v>488</v>
      </c>
      <c r="F27" s="89">
        <v>258.85000000000002</v>
      </c>
    </row>
    <row r="28" spans="1:6" ht="20" customHeight="1" thickBot="1">
      <c r="A28" s="148" t="s">
        <v>1692</v>
      </c>
      <c r="B28" s="30">
        <v>286.55275439531204</v>
      </c>
      <c r="C28" s="122">
        <v>271.48339570140104</v>
      </c>
      <c r="D28" s="30">
        <v>266.09667906033502</v>
      </c>
      <c r="E28" s="122" t="s">
        <v>488</v>
      </c>
      <c r="F28" s="89">
        <v>275.74</v>
      </c>
    </row>
    <row r="29" spans="1:6" ht="20" customHeight="1" thickBot="1">
      <c r="A29" s="148" t="s">
        <v>1693</v>
      </c>
      <c r="B29" s="30">
        <v>192.081077261307</v>
      </c>
      <c r="C29" s="122">
        <v>154.90182736234701</v>
      </c>
      <c r="D29" s="30" t="s">
        <v>488</v>
      </c>
      <c r="E29" s="122" t="s">
        <v>488</v>
      </c>
      <c r="F29" s="89">
        <v>180.8</v>
      </c>
    </row>
    <row r="30" spans="1:6" ht="20" customHeight="1" thickBot="1">
      <c r="A30" s="148" t="s">
        <v>1694</v>
      </c>
      <c r="B30" s="30" t="s">
        <v>488</v>
      </c>
      <c r="C30" s="122" t="s">
        <v>488</v>
      </c>
      <c r="D30" s="30" t="s">
        <v>488</v>
      </c>
      <c r="E30" s="122">
        <v>273.58147330657005</v>
      </c>
      <c r="F30" s="89">
        <v>273.58</v>
      </c>
    </row>
    <row r="31" spans="1:6" ht="20" customHeight="1" thickBot="1">
      <c r="A31" s="148" t="s">
        <v>1695</v>
      </c>
      <c r="B31" s="30" t="s">
        <v>488</v>
      </c>
      <c r="C31" s="122" t="s">
        <v>488</v>
      </c>
      <c r="D31" s="30" t="s">
        <v>488</v>
      </c>
      <c r="E31" s="122">
        <v>319.72337133299504</v>
      </c>
      <c r="F31" s="89">
        <v>319.72000000000003</v>
      </c>
    </row>
    <row r="32" spans="1:6" ht="20" customHeight="1" thickBot="1">
      <c r="A32" s="148" t="s">
        <v>1696</v>
      </c>
      <c r="B32" s="30" t="s">
        <v>488</v>
      </c>
      <c r="C32" s="122" t="s">
        <v>488</v>
      </c>
      <c r="D32" s="30" t="s">
        <v>488</v>
      </c>
      <c r="E32" s="122">
        <v>252.578977513578</v>
      </c>
      <c r="F32" s="89">
        <v>252.56</v>
      </c>
    </row>
    <row r="33" spans="1:6" s="115" customFormat="1" ht="30" customHeight="1" thickBot="1">
      <c r="A33" s="13" t="s">
        <v>1697</v>
      </c>
      <c r="B33" s="34" t="s">
        <v>490</v>
      </c>
      <c r="C33" s="123" t="s">
        <v>490</v>
      </c>
      <c r="D33" s="34" t="s">
        <v>490</v>
      </c>
      <c r="E33" s="123" t="s">
        <v>490</v>
      </c>
      <c r="F33" s="34">
        <v>213.29</v>
      </c>
    </row>
    <row r="34" spans="1:6" ht="20" customHeight="1">
      <c r="A34" s="9" t="s">
        <v>463</v>
      </c>
      <c r="B34" s="245"/>
      <c r="C34" s="245"/>
      <c r="D34" s="245"/>
      <c r="E34" s="245"/>
      <c r="F34" s="245"/>
    </row>
    <row r="35" spans="1:6" ht="12.75" customHeight="1">
      <c r="A35" s="38"/>
      <c r="B35" s="246"/>
      <c r="C35" s="246"/>
      <c r="D35" s="246"/>
      <c r="E35" s="246"/>
      <c r="F35" s="246"/>
    </row>
    <row r="36" spans="1:6" ht="15.75" customHeight="1">
      <c r="A36" s="38" t="s">
        <v>1272</v>
      </c>
      <c r="B36" s="246"/>
      <c r="C36" s="246"/>
      <c r="D36" s="246"/>
      <c r="E36" s="246"/>
      <c r="F36" s="246"/>
    </row>
    <row r="37" spans="1:6" ht="13.5" customHeight="1">
      <c r="A37" s="38"/>
      <c r="B37" s="246"/>
      <c r="C37" s="246"/>
      <c r="D37" s="246"/>
      <c r="E37" s="246"/>
      <c r="F37" s="246"/>
    </row>
    <row r="38" spans="1:6" ht="12.75" customHeight="1">
      <c r="A38" s="38" t="s">
        <v>871</v>
      </c>
      <c r="B38" s="246"/>
      <c r="C38" s="246"/>
      <c r="D38" s="246"/>
      <c r="E38" s="246"/>
      <c r="F38" s="246"/>
    </row>
    <row r="39" spans="1:6">
      <c r="A39" s="3" t="s">
        <v>1273</v>
      </c>
      <c r="B39" s="247"/>
      <c r="C39" s="247"/>
      <c r="D39" s="247"/>
      <c r="E39" s="247"/>
      <c r="F39" s="247"/>
    </row>
    <row r="40" spans="1:6">
      <c r="A40" s="3" t="s">
        <v>1274</v>
      </c>
      <c r="B40" s="247"/>
      <c r="C40" s="247"/>
      <c r="D40" s="247"/>
      <c r="E40" s="247"/>
      <c r="F40" s="247"/>
    </row>
    <row r="41" spans="1:6">
      <c r="B41" s="247"/>
      <c r="C41" s="247"/>
      <c r="D41" s="247"/>
      <c r="E41" s="247"/>
      <c r="F41" s="247"/>
    </row>
    <row r="42" spans="1:6">
      <c r="B42" s="247"/>
      <c r="C42" s="247"/>
      <c r="D42" s="247"/>
      <c r="E42" s="247"/>
      <c r="F42" s="247"/>
    </row>
  </sheetData>
  <phoneticPr fontId="0" type="noConversion"/>
  <pageMargins left="0.78740157480314965" right="0.54" top="1.299212598425197" bottom="0.47244094488188981" header="0.94488188976377963" footer="0.51181102362204722"/>
  <pageSetup paperSize="9" scale="80" orientation="portrait" horizontalDpi="4294967292" verticalDpi="4294967292"/>
  <headerFooter alignWithMargins="0">
    <oddHeader>&amp;L&amp;"Arial,Bold"&amp;14Prämientarife in der OKP</oddHeader>
    <oddFooter>&amp;L&amp;"Arial,Regular"Statistik der Krankenversicherung, Bundesamt für Sozialversicherung</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A2B93-3A5F-AF42-B6D6-CABDE6941BD2}">
  <dimension ref="A1:F42"/>
  <sheetViews>
    <sheetView zoomScale="75" workbookViewId="0">
      <selection activeCell="G17" sqref="G17"/>
    </sheetView>
  </sheetViews>
  <sheetFormatPr baseColWidth="10" defaultColWidth="11.3984375" defaultRowHeight="13"/>
  <cols>
    <col min="1" max="1" width="13.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62"/>
      <c r="B1" s="62"/>
      <c r="C1" s="62"/>
      <c r="D1" s="62"/>
      <c r="E1" s="62"/>
      <c r="F1" s="62"/>
    </row>
    <row r="2" spans="1:6" s="1" customFormat="1" ht="18.75" customHeight="1">
      <c r="A2" s="240" t="s">
        <v>1275</v>
      </c>
      <c r="B2" s="62"/>
      <c r="C2" s="62"/>
      <c r="D2" s="62"/>
      <c r="E2" s="62"/>
      <c r="F2" s="62"/>
    </row>
    <row r="3" spans="1:6" s="1" customFormat="1" ht="24" customHeight="1">
      <c r="A3" s="240" t="s">
        <v>462</v>
      </c>
      <c r="B3" s="62"/>
      <c r="C3" s="62"/>
      <c r="D3" s="62"/>
      <c r="E3" s="62"/>
      <c r="F3" s="62"/>
    </row>
    <row r="4" spans="1:6" ht="24" customHeight="1">
      <c r="A4" s="2" t="s">
        <v>1663</v>
      </c>
      <c r="B4" s="241" t="s">
        <v>1268</v>
      </c>
      <c r="C4" s="242" t="s">
        <v>1269</v>
      </c>
      <c r="D4" s="241" t="s">
        <v>1270</v>
      </c>
      <c r="E4" s="242" t="s">
        <v>1271</v>
      </c>
      <c r="F4" s="241" t="s">
        <v>607</v>
      </c>
    </row>
    <row r="5" spans="1:6" ht="24.75" customHeight="1">
      <c r="A5" s="82"/>
      <c r="B5" s="243"/>
      <c r="C5" s="244"/>
      <c r="D5" s="243"/>
      <c r="E5" s="244"/>
      <c r="F5" s="243"/>
    </row>
    <row r="6" spans="1:6" ht="16" customHeight="1">
      <c r="A6" s="83"/>
      <c r="B6" s="78"/>
      <c r="C6" s="19"/>
      <c r="D6" s="78"/>
      <c r="E6" s="19"/>
      <c r="F6" s="16"/>
    </row>
    <row r="7" spans="1:6" ht="30" customHeight="1" thickBot="1">
      <c r="A7" s="146" t="s">
        <v>1671</v>
      </c>
      <c r="B7" s="29">
        <v>83.431411149510609</v>
      </c>
      <c r="C7" s="68">
        <v>71.507741634725008</v>
      </c>
      <c r="D7" s="29">
        <v>66.627856916052593</v>
      </c>
      <c r="E7" s="68" t="s">
        <v>488</v>
      </c>
      <c r="F7" s="292">
        <v>72.39</v>
      </c>
    </row>
    <row r="8" spans="1:6" ht="20" customHeight="1" thickBot="1">
      <c r="A8" s="148" t="s">
        <v>1672</v>
      </c>
      <c r="B8" s="30">
        <v>80.757990457937396</v>
      </c>
      <c r="C8" s="122">
        <v>70.259356392796391</v>
      </c>
      <c r="D8" s="30">
        <v>66.591971640919311</v>
      </c>
      <c r="E8" s="122" t="s">
        <v>488</v>
      </c>
      <c r="F8" s="89">
        <v>71.97</v>
      </c>
    </row>
    <row r="9" spans="1:6" ht="20" customHeight="1" thickBot="1">
      <c r="A9" s="148" t="s">
        <v>1673</v>
      </c>
      <c r="B9" s="30">
        <v>60.906560615145899</v>
      </c>
      <c r="C9" s="122">
        <v>56.667225694973794</v>
      </c>
      <c r="D9" s="30">
        <v>53.687079117107494</v>
      </c>
      <c r="E9" s="122" t="s">
        <v>488</v>
      </c>
      <c r="F9" s="89">
        <v>56.91</v>
      </c>
    </row>
    <row r="10" spans="1:6" ht="20" customHeight="1" thickBot="1">
      <c r="A10" s="148" t="s">
        <v>1674</v>
      </c>
      <c r="B10" s="30" t="s">
        <v>488</v>
      </c>
      <c r="C10" s="122" t="s">
        <v>488</v>
      </c>
      <c r="D10" s="30" t="s">
        <v>488</v>
      </c>
      <c r="E10" s="122">
        <v>53.275611165347698</v>
      </c>
      <c r="F10" s="89">
        <v>53.28</v>
      </c>
    </row>
    <row r="11" spans="1:6" ht="20" customHeight="1" thickBot="1">
      <c r="A11" s="148" t="s">
        <v>1675</v>
      </c>
      <c r="B11" s="30" t="s">
        <v>488</v>
      </c>
      <c r="C11" s="122" t="s">
        <v>488</v>
      </c>
      <c r="D11" s="30" t="s">
        <v>488</v>
      </c>
      <c r="E11" s="122">
        <v>57.27361485692699</v>
      </c>
      <c r="F11" s="89">
        <v>57.27</v>
      </c>
    </row>
    <row r="12" spans="1:6" ht="20" customHeight="1" thickBot="1">
      <c r="A12" s="148" t="s">
        <v>1676</v>
      </c>
      <c r="B12" s="30" t="s">
        <v>488</v>
      </c>
      <c r="C12" s="122" t="s">
        <v>488</v>
      </c>
      <c r="D12" s="30" t="s">
        <v>488</v>
      </c>
      <c r="E12" s="122">
        <v>51.139663982698004</v>
      </c>
      <c r="F12" s="89">
        <v>51.14</v>
      </c>
    </row>
    <row r="13" spans="1:6" ht="20" customHeight="1" thickBot="1">
      <c r="A13" s="148" t="s">
        <v>1677</v>
      </c>
      <c r="B13" s="30" t="s">
        <v>488</v>
      </c>
      <c r="C13" s="122" t="s">
        <v>488</v>
      </c>
      <c r="D13" s="30" t="s">
        <v>488</v>
      </c>
      <c r="E13" s="122">
        <v>50.078127468976191</v>
      </c>
      <c r="F13" s="89">
        <v>50.08</v>
      </c>
    </row>
    <row r="14" spans="1:6" ht="20" customHeight="1" thickBot="1">
      <c r="A14" s="148" t="s">
        <v>1678</v>
      </c>
      <c r="B14" s="30" t="s">
        <v>488</v>
      </c>
      <c r="C14" s="122" t="s">
        <v>488</v>
      </c>
      <c r="D14" s="30" t="s">
        <v>488</v>
      </c>
      <c r="E14" s="122">
        <v>58.870583106631599</v>
      </c>
      <c r="F14" s="89">
        <v>58.87</v>
      </c>
    </row>
    <row r="15" spans="1:6" ht="20" customHeight="1" thickBot="1">
      <c r="A15" s="148" t="s">
        <v>1679</v>
      </c>
      <c r="B15" s="30" t="s">
        <v>488</v>
      </c>
      <c r="C15" s="122" t="s">
        <v>488</v>
      </c>
      <c r="D15" s="30" t="s">
        <v>488</v>
      </c>
      <c r="E15" s="122">
        <v>57.492877252490601</v>
      </c>
      <c r="F15" s="89">
        <v>57.49</v>
      </c>
    </row>
    <row r="16" spans="1:6" ht="20" customHeight="1" thickBot="1">
      <c r="A16" s="148" t="s">
        <v>1680</v>
      </c>
      <c r="B16" s="30">
        <v>70.700049544193405</v>
      </c>
      <c r="C16" s="122">
        <v>64.166436249901395</v>
      </c>
      <c r="D16" s="30" t="s">
        <v>488</v>
      </c>
      <c r="E16" s="122" t="s">
        <v>488</v>
      </c>
      <c r="F16" s="89">
        <v>66.430000000000007</v>
      </c>
    </row>
    <row r="17" spans="1:6" ht="20" customHeight="1" thickBot="1">
      <c r="A17" s="148" t="s">
        <v>1681</v>
      </c>
      <c r="B17" s="30" t="s">
        <v>488</v>
      </c>
      <c r="C17" s="122" t="s">
        <v>488</v>
      </c>
      <c r="D17" s="30" t="s">
        <v>488</v>
      </c>
      <c r="E17" s="122">
        <v>64.65048633984361</v>
      </c>
      <c r="F17" s="89">
        <v>64.650000000000006</v>
      </c>
    </row>
    <row r="18" spans="1:6" ht="20" customHeight="1" thickBot="1">
      <c r="A18" s="148" t="s">
        <v>1682</v>
      </c>
      <c r="B18" s="30" t="s">
        <v>488</v>
      </c>
      <c r="C18" s="122" t="s">
        <v>488</v>
      </c>
      <c r="D18" s="30" t="s">
        <v>488</v>
      </c>
      <c r="E18" s="122">
        <v>95.335115237941096</v>
      </c>
      <c r="F18" s="89">
        <v>95.33</v>
      </c>
    </row>
    <row r="19" spans="1:6" ht="20" customHeight="1" thickBot="1">
      <c r="A19" s="148" t="s">
        <v>1683</v>
      </c>
      <c r="B19" s="30">
        <v>75.232215077302001</v>
      </c>
      <c r="C19" s="122">
        <v>69.7202155673954</v>
      </c>
      <c r="D19" s="30" t="s">
        <v>488</v>
      </c>
      <c r="E19" s="122" t="s">
        <v>488</v>
      </c>
      <c r="F19" s="89">
        <v>73.53</v>
      </c>
    </row>
    <row r="20" spans="1:6" ht="20" customHeight="1" thickBot="1">
      <c r="A20" s="148" t="s">
        <v>1684</v>
      </c>
      <c r="B20" s="30">
        <v>69.821390124034593</v>
      </c>
      <c r="C20" s="122">
        <v>65.109486220744998</v>
      </c>
      <c r="D20" s="30" t="s">
        <v>488</v>
      </c>
      <c r="E20" s="122" t="s">
        <v>488</v>
      </c>
      <c r="F20" s="89">
        <v>67.66</v>
      </c>
    </row>
    <row r="21" spans="1:6" ht="20" customHeight="1" thickBot="1">
      <c r="A21" s="148" t="s">
        <v>1685</v>
      </c>
      <c r="B21" s="30" t="s">
        <v>488</v>
      </c>
      <c r="C21" s="122" t="s">
        <v>488</v>
      </c>
      <c r="D21" s="30" t="s">
        <v>488</v>
      </c>
      <c r="E21" s="122">
        <v>52.400923525928995</v>
      </c>
      <c r="F21" s="89">
        <v>52.4</v>
      </c>
    </row>
    <row r="22" spans="1:6" ht="20" customHeight="1" thickBot="1">
      <c r="A22" s="148" t="s">
        <v>1686</v>
      </c>
      <c r="B22" s="30" t="s">
        <v>488</v>
      </c>
      <c r="C22" s="122" t="s">
        <v>488</v>
      </c>
      <c r="D22" s="30" t="s">
        <v>488</v>
      </c>
      <c r="E22" s="122">
        <v>46.869754631947899</v>
      </c>
      <c r="F22" s="89">
        <v>46.87</v>
      </c>
    </row>
    <row r="23" spans="1:6" ht="20" customHeight="1" thickBot="1">
      <c r="A23" s="148" t="s">
        <v>1687</v>
      </c>
      <c r="B23" s="30">
        <v>60.910952208544494</v>
      </c>
      <c r="C23" s="122">
        <v>56.529129506822201</v>
      </c>
      <c r="D23" s="30">
        <v>54.591856950362398</v>
      </c>
      <c r="E23" s="122" t="s">
        <v>488</v>
      </c>
      <c r="F23" s="89">
        <v>57.16</v>
      </c>
    </row>
    <row r="24" spans="1:6" ht="20" customHeight="1" thickBot="1">
      <c r="A24" s="148" t="s">
        <v>1688</v>
      </c>
      <c r="B24" s="30">
        <v>61.334081588603496</v>
      </c>
      <c r="C24" s="122">
        <v>58.753580574788998</v>
      </c>
      <c r="D24" s="30">
        <v>55.33150715071509</v>
      </c>
      <c r="E24" s="122" t="s">
        <v>488</v>
      </c>
      <c r="F24" s="89">
        <v>58.57</v>
      </c>
    </row>
    <row r="25" spans="1:6" ht="20" customHeight="1" thickBot="1">
      <c r="A25" s="148" t="s">
        <v>1689</v>
      </c>
      <c r="B25" s="30" t="s">
        <v>488</v>
      </c>
      <c r="C25" s="122" t="s">
        <v>488</v>
      </c>
      <c r="D25" s="30" t="s">
        <v>488</v>
      </c>
      <c r="E25" s="122">
        <v>63.060987409867899</v>
      </c>
      <c r="F25" s="89">
        <v>63.06</v>
      </c>
    </row>
    <row r="26" spans="1:6" ht="20" customHeight="1" thickBot="1">
      <c r="A26" s="148" t="s">
        <v>1690</v>
      </c>
      <c r="B26" s="30" t="s">
        <v>488</v>
      </c>
      <c r="C26" s="122" t="s">
        <v>488</v>
      </c>
      <c r="D26" s="30" t="s">
        <v>488</v>
      </c>
      <c r="E26" s="122">
        <v>67.768173300973189</v>
      </c>
      <c r="F26" s="89">
        <v>67.77</v>
      </c>
    </row>
    <row r="27" spans="1:6" ht="20" customHeight="1" thickBot="1">
      <c r="A27" s="148" t="s">
        <v>1691</v>
      </c>
      <c r="B27" s="30">
        <v>87.130906814902801</v>
      </c>
      <c r="C27" s="122">
        <v>83.640448191701793</v>
      </c>
      <c r="D27" s="30" t="s">
        <v>488</v>
      </c>
      <c r="E27" s="122" t="s">
        <v>488</v>
      </c>
      <c r="F27" s="89">
        <v>86.57</v>
      </c>
    </row>
    <row r="28" spans="1:6" ht="20" customHeight="1" thickBot="1">
      <c r="A28" s="148" t="s">
        <v>1692</v>
      </c>
      <c r="B28" s="30">
        <v>97.393608914449999</v>
      </c>
      <c r="C28" s="122">
        <v>92.271946472425896</v>
      </c>
      <c r="D28" s="30">
        <v>90.062009843256789</v>
      </c>
      <c r="E28" s="122" t="s">
        <v>488</v>
      </c>
      <c r="F28" s="89">
        <v>93.22</v>
      </c>
    </row>
    <row r="29" spans="1:6" ht="20" customHeight="1" thickBot="1">
      <c r="A29" s="148" t="s">
        <v>1693</v>
      </c>
      <c r="B29" s="30">
        <v>62.7227331946698</v>
      </c>
      <c r="C29" s="122">
        <v>52.015698277651005</v>
      </c>
      <c r="D29" s="30" t="s">
        <v>488</v>
      </c>
      <c r="E29" s="122" t="s">
        <v>488</v>
      </c>
      <c r="F29" s="89">
        <v>59.45</v>
      </c>
    </row>
    <row r="30" spans="1:6" ht="20" customHeight="1" thickBot="1">
      <c r="A30" s="148" t="s">
        <v>1694</v>
      </c>
      <c r="B30" s="30" t="s">
        <v>488</v>
      </c>
      <c r="C30" s="122" t="s">
        <v>488</v>
      </c>
      <c r="D30" s="30" t="s">
        <v>488</v>
      </c>
      <c r="E30" s="122">
        <v>83.800990183682401</v>
      </c>
      <c r="F30" s="89">
        <v>83.8</v>
      </c>
    </row>
    <row r="31" spans="1:6" ht="20" customHeight="1" thickBot="1">
      <c r="A31" s="148" t="s">
        <v>1695</v>
      </c>
      <c r="B31" s="30" t="s">
        <v>488</v>
      </c>
      <c r="C31" s="122" t="s">
        <v>488</v>
      </c>
      <c r="D31" s="30" t="s">
        <v>488</v>
      </c>
      <c r="E31" s="122">
        <v>103.24889798778</v>
      </c>
      <c r="F31" s="89">
        <v>103.25</v>
      </c>
    </row>
    <row r="32" spans="1:6" ht="20" customHeight="1" thickBot="1">
      <c r="A32" s="148" t="s">
        <v>1696</v>
      </c>
      <c r="B32" s="30" t="s">
        <v>488</v>
      </c>
      <c r="C32" s="122" t="s">
        <v>488</v>
      </c>
      <c r="D32" s="30" t="s">
        <v>488</v>
      </c>
      <c r="E32" s="122">
        <v>78.621462979121688</v>
      </c>
      <c r="F32" s="89">
        <v>78.62</v>
      </c>
    </row>
    <row r="33" spans="1:6" s="115" customFormat="1" ht="30" customHeight="1" thickBot="1">
      <c r="A33" s="13" t="s">
        <v>1697</v>
      </c>
      <c r="B33" s="34" t="s">
        <v>490</v>
      </c>
      <c r="C33" s="123" t="s">
        <v>490</v>
      </c>
      <c r="D33" s="34" t="s">
        <v>490</v>
      </c>
      <c r="E33" s="123" t="s">
        <v>490</v>
      </c>
      <c r="F33" s="34">
        <v>71.84</v>
      </c>
    </row>
    <row r="34" spans="1:6" ht="20" customHeight="1">
      <c r="A34" s="9" t="s">
        <v>463</v>
      </c>
      <c r="B34" s="245"/>
      <c r="C34" s="245"/>
      <c r="D34" s="245"/>
      <c r="E34" s="245"/>
      <c r="F34" s="245"/>
    </row>
    <row r="35" spans="1:6" ht="12.75" customHeight="1">
      <c r="A35" s="38"/>
      <c r="B35" s="246"/>
      <c r="C35" s="246"/>
      <c r="D35" s="246"/>
      <c r="E35" s="246"/>
      <c r="F35" s="246"/>
    </row>
    <row r="36" spans="1:6" ht="15.75" customHeight="1">
      <c r="A36" s="38" t="s">
        <v>1272</v>
      </c>
      <c r="B36" s="246"/>
      <c r="C36" s="246"/>
      <c r="D36" s="246"/>
      <c r="E36" s="246"/>
      <c r="F36" s="246"/>
    </row>
    <row r="37" spans="1:6" ht="13.5" customHeight="1">
      <c r="A37" s="38"/>
      <c r="B37" s="246"/>
      <c r="C37" s="246"/>
      <c r="D37" s="246"/>
      <c r="E37" s="246"/>
      <c r="F37" s="246"/>
    </row>
    <row r="38" spans="1:6" ht="12.75" customHeight="1">
      <c r="A38" s="38" t="s">
        <v>871</v>
      </c>
      <c r="B38" s="246"/>
      <c r="C38" s="246"/>
      <c r="D38" s="246"/>
      <c r="E38" s="246"/>
      <c r="F38" s="246"/>
    </row>
    <row r="39" spans="1:6">
      <c r="A39" s="3" t="s">
        <v>1273</v>
      </c>
      <c r="B39" s="247"/>
      <c r="C39" s="247"/>
      <c r="D39" s="247"/>
      <c r="E39" s="247"/>
      <c r="F39" s="247"/>
    </row>
    <row r="40" spans="1:6">
      <c r="A40" s="3" t="s">
        <v>1274</v>
      </c>
      <c r="B40" s="247"/>
      <c r="C40" s="247"/>
      <c r="D40" s="247"/>
      <c r="E40" s="247"/>
      <c r="F40" s="247"/>
    </row>
    <row r="41" spans="1:6">
      <c r="B41" s="247"/>
      <c r="C41" s="247"/>
      <c r="D41" s="247"/>
      <c r="E41" s="247"/>
      <c r="F41" s="247"/>
    </row>
    <row r="42" spans="1:6">
      <c r="B42" s="247"/>
      <c r="C42" s="247"/>
      <c r="D42" s="247"/>
      <c r="E42" s="247"/>
      <c r="F42" s="247"/>
    </row>
  </sheetData>
  <phoneticPr fontId="0" type="noConversion"/>
  <pageMargins left="0.78740157480314965" right="0.54" top="1.299212598425197" bottom="0.47244094488188981" header="0.94488188976377963" footer="0.51181102362204722"/>
  <pageSetup paperSize="9" scale="80" orientation="portrait" horizontalDpi="4294967292" verticalDpi="4294967292"/>
  <headerFooter alignWithMargins="0">
    <oddHeader>&amp;L&amp;"Arial,Bold"&amp;14Prämientarife in der OKP</oddHeader>
    <oddFooter>&amp;L&amp;"Arial,Regular"Statistik der Krankenversicherung, Bundesamt für Sozialversicherung</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56F0-E5C3-7943-AE19-190BB3DF1E14}">
  <dimension ref="A1:B15"/>
  <sheetViews>
    <sheetView workbookViewId="0">
      <selection activeCell="D3" sqref="D3"/>
    </sheetView>
  </sheetViews>
  <sheetFormatPr baseColWidth="10" defaultColWidth="11.3984375" defaultRowHeight="13"/>
  <cols>
    <col min="1" max="1" width="5.59765625" style="237" customWidth="1"/>
    <col min="2" max="16384" width="11.3984375" style="237"/>
  </cols>
  <sheetData>
    <row r="1" spans="1:2" ht="16">
      <c r="A1" s="236" t="s">
        <v>316</v>
      </c>
    </row>
    <row r="2" spans="1:2" ht="16">
      <c r="A2" s="236"/>
    </row>
    <row r="3" spans="1:2">
      <c r="A3" s="237">
        <v>4.01</v>
      </c>
      <c r="B3" s="238" t="s">
        <v>317</v>
      </c>
    </row>
    <row r="4" spans="1:2">
      <c r="A4" s="237">
        <v>4.0199999999999996</v>
      </c>
      <c r="B4" s="238" t="s">
        <v>318</v>
      </c>
    </row>
    <row r="5" spans="1:2">
      <c r="A5" s="237">
        <v>4.03</v>
      </c>
      <c r="B5" s="238" t="s">
        <v>319</v>
      </c>
    </row>
    <row r="6" spans="1:2">
      <c r="A6" s="237">
        <v>4.04</v>
      </c>
      <c r="B6" s="238" t="s">
        <v>320</v>
      </c>
    </row>
    <row r="7" spans="1:2">
      <c r="A7" s="237">
        <v>4.05</v>
      </c>
      <c r="B7" s="238" t="s">
        <v>321</v>
      </c>
    </row>
    <row r="8" spans="1:2">
      <c r="A8" s="237">
        <v>4.0599999999999996</v>
      </c>
      <c r="B8" s="238" t="s">
        <v>322</v>
      </c>
    </row>
    <row r="9" spans="1:2">
      <c r="A9" s="237">
        <v>4.07</v>
      </c>
      <c r="B9" s="238" t="s">
        <v>860</v>
      </c>
    </row>
    <row r="10" spans="1:2">
      <c r="A10" s="237">
        <v>4.08</v>
      </c>
      <c r="B10" s="238" t="s">
        <v>861</v>
      </c>
    </row>
    <row r="11" spans="1:2">
      <c r="A11" s="237">
        <v>4.09</v>
      </c>
      <c r="B11" s="238" t="s">
        <v>862</v>
      </c>
    </row>
    <row r="12" spans="1:2">
      <c r="A12" s="239">
        <v>4.0999999999999996</v>
      </c>
      <c r="B12" s="238" t="s">
        <v>863</v>
      </c>
    </row>
    <row r="13" spans="1:2">
      <c r="A13" s="237">
        <v>4.1100000000000003</v>
      </c>
      <c r="B13" s="237" t="s">
        <v>864</v>
      </c>
    </row>
    <row r="14" spans="1:2">
      <c r="A14" s="239">
        <v>4.12</v>
      </c>
      <c r="B14" s="237" t="s">
        <v>865</v>
      </c>
    </row>
    <row r="15" spans="1:2">
      <c r="A15" s="237">
        <v>4.13</v>
      </c>
      <c r="B15" s="237" t="s">
        <v>866</v>
      </c>
    </row>
  </sheetData>
  <phoneticPr fontId="23" type="noConversion"/>
  <pageMargins left="0.46" right="0.35" top="0.95" bottom="0.984251969" header="0.38" footer="0.4921259845"/>
  <pageSetup paperSize="9" orientation="portrait"/>
  <headerFooter alignWithMargins="0">
    <oddHeader>&amp;LPrämienverbilligung in der OKP</oddHeader>
    <oddFooter>&amp;LStatistik der Krankenversicherung, Bundesamt für Sozialversicherung</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944F-F3E1-1245-BEE8-3F732D71ABD0}">
  <dimension ref="A1:H34"/>
  <sheetViews>
    <sheetView zoomScale="75" workbookViewId="0">
      <selection activeCell="H12" sqref="H12"/>
    </sheetView>
  </sheetViews>
  <sheetFormatPr baseColWidth="10" defaultColWidth="11.3984375" defaultRowHeight="13"/>
  <cols>
    <col min="1" max="1" width="16.796875" style="3" customWidth="1"/>
    <col min="2" max="2" width="12.796875" style="3" customWidth="1"/>
    <col min="3" max="3" width="11.3984375" style="3"/>
    <col min="4" max="4" width="11.796875" style="3" customWidth="1"/>
    <col min="5" max="5" width="12.796875" style="3" customWidth="1"/>
    <col min="6" max="6" width="11.3984375" style="3"/>
    <col min="7" max="7" width="12.796875" style="3" customWidth="1"/>
    <col min="8" max="8" width="13.19921875" style="3" customWidth="1"/>
    <col min="9" max="16384" width="11.3984375" style="3"/>
  </cols>
  <sheetData>
    <row r="1" spans="1:8" s="1" customFormat="1" ht="14" customHeight="1"/>
    <row r="2" spans="1:8" s="1" customFormat="1" ht="28" customHeight="1">
      <c r="A2" s="81" t="s">
        <v>1293</v>
      </c>
    </row>
    <row r="3" spans="1:8" ht="24" customHeight="1">
      <c r="A3" s="2" t="s">
        <v>1308</v>
      </c>
      <c r="B3" s="74" t="s">
        <v>1294</v>
      </c>
      <c r="C3" s="17" t="s">
        <v>609</v>
      </c>
      <c r="D3" s="74" t="s">
        <v>1295</v>
      </c>
      <c r="E3" s="17" t="s">
        <v>1294</v>
      </c>
      <c r="F3" s="74" t="s">
        <v>609</v>
      </c>
      <c r="G3" s="17" t="s">
        <v>1296</v>
      </c>
      <c r="H3" s="74" t="s">
        <v>1296</v>
      </c>
    </row>
    <row r="4" spans="1:8" ht="15" customHeight="1">
      <c r="A4" s="82"/>
      <c r="B4" s="75" t="s">
        <v>1295</v>
      </c>
      <c r="C4" s="18" t="s">
        <v>610</v>
      </c>
      <c r="D4" s="75" t="s">
        <v>1297</v>
      </c>
      <c r="E4" s="18" t="s">
        <v>1298</v>
      </c>
      <c r="F4" s="75" t="s">
        <v>610</v>
      </c>
      <c r="G4" s="18" t="s">
        <v>1299</v>
      </c>
      <c r="H4" s="75" t="s">
        <v>1299</v>
      </c>
    </row>
    <row r="5" spans="1:8" ht="15" customHeight="1">
      <c r="A5" s="82"/>
      <c r="B5" s="75" t="s">
        <v>1300</v>
      </c>
      <c r="C5" s="18" t="s">
        <v>611</v>
      </c>
      <c r="D5" s="75" t="s">
        <v>1309</v>
      </c>
      <c r="E5" s="18" t="s">
        <v>1301</v>
      </c>
      <c r="F5" s="75" t="s">
        <v>611</v>
      </c>
      <c r="G5" s="18" t="s">
        <v>1302</v>
      </c>
      <c r="H5" s="75" t="s">
        <v>1303</v>
      </c>
    </row>
    <row r="6" spans="1:8" ht="24" customHeight="1">
      <c r="A6" s="83"/>
      <c r="B6" s="78"/>
      <c r="C6" s="19"/>
      <c r="D6" s="78"/>
      <c r="E6" s="19"/>
      <c r="F6" s="78"/>
      <c r="G6" s="19" t="s">
        <v>1304</v>
      </c>
      <c r="H6" s="78" t="s">
        <v>1304</v>
      </c>
    </row>
    <row r="7" spans="1:8" ht="30" customHeight="1" thickBot="1">
      <c r="A7" s="84">
        <v>1996</v>
      </c>
      <c r="B7" s="20">
        <v>1656431</v>
      </c>
      <c r="C7" s="126" t="s">
        <v>487</v>
      </c>
      <c r="D7" s="127">
        <v>0.23300000000000001</v>
      </c>
      <c r="E7" s="91">
        <v>821972</v>
      </c>
      <c r="F7" s="127" t="s">
        <v>487</v>
      </c>
      <c r="G7" s="91">
        <v>1508.6632014229194</v>
      </c>
      <c r="H7" s="20">
        <v>901.63486133741753</v>
      </c>
    </row>
    <row r="8" spans="1:8" ht="20" customHeight="1" thickBot="1">
      <c r="A8" s="84">
        <v>1997</v>
      </c>
      <c r="B8" s="30">
        <v>1955994</v>
      </c>
      <c r="C8" s="26">
        <v>0.1808484627491275</v>
      </c>
      <c r="D8" s="128">
        <v>0.27500000000000002</v>
      </c>
      <c r="E8" s="122">
        <v>988940</v>
      </c>
      <c r="F8" s="128">
        <v>0.203131006895612</v>
      </c>
      <c r="G8" s="122">
        <v>2016.5343367646167</v>
      </c>
      <c r="H8" s="30">
        <v>1019.5488672255641</v>
      </c>
    </row>
    <row r="9" spans="1:8" ht="20" customHeight="1" thickBot="1">
      <c r="A9" s="84">
        <v>1998</v>
      </c>
      <c r="B9" s="30">
        <v>2240522</v>
      </c>
      <c r="C9" s="26">
        <v>0.14546465888954668</v>
      </c>
      <c r="D9" s="128">
        <v>0.314</v>
      </c>
      <c r="E9" s="122">
        <v>1178551</v>
      </c>
      <c r="F9" s="128">
        <v>0.19173155095354621</v>
      </c>
      <c r="G9" s="122">
        <v>2075.8295126812504</v>
      </c>
      <c r="H9" s="30">
        <v>1091.9200739827595</v>
      </c>
    </row>
    <row r="10" spans="1:8" ht="20" customHeight="1" thickBot="1">
      <c r="A10" s="84">
        <v>1999</v>
      </c>
      <c r="B10" s="30">
        <v>2334267</v>
      </c>
      <c r="C10" s="26">
        <v>4.1840696052080718E-2</v>
      </c>
      <c r="D10" s="128">
        <v>0.32570843248350928</v>
      </c>
      <c r="E10" s="122">
        <v>1230090</v>
      </c>
      <c r="F10" s="128">
        <v>4.3730818606916459E-2</v>
      </c>
      <c r="G10" s="122">
        <v>2186.5653545675523</v>
      </c>
      <c r="H10" s="30">
        <v>1152.2555804455958</v>
      </c>
    </row>
    <row r="11" spans="1:8" ht="21" customHeight="1" thickBot="1">
      <c r="A11" s="84">
        <v>2000</v>
      </c>
      <c r="B11" s="30">
        <v>2337717</v>
      </c>
      <c r="C11" s="26">
        <v>1.4779800254212565E-3</v>
      </c>
      <c r="D11" s="128">
        <v>0.32427568045795824</v>
      </c>
      <c r="E11" s="122">
        <v>1242695</v>
      </c>
      <c r="F11" s="128">
        <v>1.0247217683258949E-2</v>
      </c>
      <c r="G11" s="122">
        <v>2048</v>
      </c>
      <c r="H11" s="30">
        <v>1088.8085894058177</v>
      </c>
    </row>
    <row r="12" spans="1:8" s="134" customFormat="1" ht="24" customHeight="1" thickBot="1">
      <c r="A12" s="129">
        <v>2001</v>
      </c>
      <c r="B12" s="130">
        <v>2376421</v>
      </c>
      <c r="C12" s="131">
        <v>1.6556323969068969E-2</v>
      </c>
      <c r="D12" s="132">
        <v>0.32731543251630535</v>
      </c>
      <c r="E12" s="133">
        <v>1268943</v>
      </c>
      <c r="F12" s="132">
        <v>2.1121836009640339E-2</v>
      </c>
      <c r="G12" s="133">
        <v>2094.0647990098846</v>
      </c>
      <c r="H12" s="130">
        <v>1118.1520446082575</v>
      </c>
    </row>
    <row r="13" spans="1:8" ht="27.75" customHeight="1" thickBot="1">
      <c r="A13" s="135">
        <v>2002</v>
      </c>
      <c r="B13" s="136">
        <v>2433822</v>
      </c>
      <c r="C13" s="73">
        <v>2.415439015224996E-2</v>
      </c>
      <c r="D13" s="137">
        <v>0.33123274136234532</v>
      </c>
      <c r="E13" s="138">
        <v>1289405</v>
      </c>
      <c r="F13" s="139">
        <v>1.6125231787401009E-2</v>
      </c>
      <c r="G13" s="138">
        <v>2242.922441746387</v>
      </c>
      <c r="H13" s="71">
        <v>1188.2690726766377</v>
      </c>
    </row>
    <row r="14" spans="1:8" ht="16.5" customHeight="1">
      <c r="A14" s="140" t="s">
        <v>466</v>
      </c>
      <c r="B14" s="9"/>
      <c r="C14" s="9"/>
      <c r="D14" s="9"/>
      <c r="E14" s="9"/>
      <c r="F14" s="9"/>
      <c r="G14" s="9"/>
      <c r="H14" s="9"/>
    </row>
    <row r="15" spans="1:8" ht="10.5" customHeight="1">
      <c r="A15" s="141"/>
      <c r="B15" s="38"/>
      <c r="C15" s="38"/>
      <c r="D15" s="38"/>
      <c r="E15" s="38"/>
      <c r="F15" s="38"/>
      <c r="G15" s="38"/>
      <c r="H15" s="38"/>
    </row>
    <row r="16" spans="1:8" ht="16.5" customHeight="1">
      <c r="A16" s="141" t="s">
        <v>1305</v>
      </c>
      <c r="B16" s="38"/>
      <c r="C16" s="38"/>
      <c r="D16" s="38"/>
      <c r="E16" s="38"/>
      <c r="F16" s="38"/>
      <c r="G16" s="38"/>
      <c r="H16" s="38"/>
    </row>
    <row r="17" spans="1:8" ht="12.75" customHeight="1">
      <c r="A17" s="141"/>
      <c r="B17" s="38"/>
      <c r="C17" s="38"/>
      <c r="D17" s="38"/>
      <c r="E17" s="38"/>
      <c r="F17" s="38"/>
      <c r="G17" s="38"/>
      <c r="H17" s="38"/>
    </row>
    <row r="18" spans="1:8">
      <c r="A18" s="38" t="s">
        <v>1306</v>
      </c>
      <c r="B18" s="38"/>
      <c r="C18" s="38"/>
      <c r="D18" s="38"/>
      <c r="E18" s="38"/>
      <c r="F18" s="38"/>
      <c r="G18" s="38"/>
      <c r="H18" s="38"/>
    </row>
    <row r="19" spans="1:8" ht="15" customHeight="1">
      <c r="A19" s="142" t="s">
        <v>1307</v>
      </c>
    </row>
    <row r="20" spans="1:8" ht="30" customHeight="1"/>
    <row r="21" spans="1:8" ht="30" customHeight="1">
      <c r="A21" s="143"/>
    </row>
    <row r="22" spans="1:8" ht="30" customHeight="1">
      <c r="A22" s="81"/>
    </row>
    <row r="23" spans="1:8" ht="30" customHeight="1"/>
    <row r="24" spans="1:8" ht="30" customHeight="1"/>
    <row r="25" spans="1:8" ht="30" customHeight="1"/>
    <row r="26" spans="1:8" ht="30" customHeight="1"/>
    <row r="27" spans="1:8" ht="30" customHeight="1"/>
    <row r="28" spans="1:8" ht="30" customHeight="1"/>
    <row r="29" spans="1:8" ht="30" customHeight="1"/>
    <row r="30" spans="1:8" ht="30" customHeight="1"/>
    <row r="31" spans="1:8" ht="30" customHeight="1"/>
    <row r="32" spans="1:8" ht="30" customHeight="1"/>
    <row r="33" ht="30" customHeight="1"/>
    <row r="34" ht="30" customHeight="1"/>
  </sheetData>
  <phoneticPr fontId="0" type="noConversion"/>
  <pageMargins left="0.52" right="0.63" top="1.4566929133858268" bottom="0.76" header="0.94488188976377963" footer="0.47"/>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69D2-1868-3647-BBED-1A7788EA8E90}">
  <dimension ref="A1:H41"/>
  <sheetViews>
    <sheetView zoomScale="75" workbookViewId="0">
      <selection activeCell="F7" sqref="F7"/>
    </sheetView>
  </sheetViews>
  <sheetFormatPr baseColWidth="10" defaultColWidth="11.3984375" defaultRowHeight="13"/>
  <cols>
    <col min="1" max="5" width="13.19921875" style="3" customWidth="1"/>
    <col min="6" max="6" width="13.796875" style="3" customWidth="1"/>
    <col min="7" max="7" width="14.3984375" style="3" customWidth="1"/>
    <col min="8" max="16384" width="11.3984375" style="3"/>
  </cols>
  <sheetData>
    <row r="1" spans="1:8" s="1" customFormat="1" ht="14" customHeight="1"/>
    <row r="2" spans="1:8" s="1" customFormat="1" ht="28" customHeight="1">
      <c r="A2" s="64" t="s">
        <v>467</v>
      </c>
    </row>
    <row r="3" spans="1:8" ht="24" customHeight="1">
      <c r="A3" s="2" t="s">
        <v>1663</v>
      </c>
      <c r="B3" s="1309" t="s">
        <v>1320</v>
      </c>
      <c r="C3" s="1305"/>
      <c r="D3" s="1305"/>
      <c r="E3" s="2"/>
      <c r="F3" s="144"/>
      <c r="G3" s="145"/>
    </row>
    <row r="4" spans="1:8" ht="15" customHeight="1">
      <c r="A4" s="82"/>
      <c r="B4" s="75" t="s">
        <v>1310</v>
      </c>
      <c r="C4" s="66" t="s">
        <v>1311</v>
      </c>
      <c r="D4" s="15" t="s">
        <v>607</v>
      </c>
      <c r="E4" s="66" t="s">
        <v>609</v>
      </c>
      <c r="F4" s="15" t="s">
        <v>1312</v>
      </c>
      <c r="G4" s="66" t="s">
        <v>1312</v>
      </c>
    </row>
    <row r="5" spans="1:8" ht="15" customHeight="1">
      <c r="A5" s="82"/>
      <c r="B5" s="75" t="s">
        <v>1313</v>
      </c>
      <c r="C5" s="18" t="s">
        <v>1313</v>
      </c>
      <c r="D5" s="75" t="s">
        <v>1313</v>
      </c>
      <c r="E5" s="18" t="s">
        <v>610</v>
      </c>
      <c r="F5" s="15" t="s">
        <v>1314</v>
      </c>
      <c r="G5" s="66" t="s">
        <v>1315</v>
      </c>
    </row>
    <row r="6" spans="1:8" ht="15" customHeight="1">
      <c r="A6" s="82"/>
      <c r="B6" s="75"/>
      <c r="C6" s="18"/>
      <c r="D6" s="75"/>
      <c r="E6" s="18" t="s">
        <v>611</v>
      </c>
      <c r="F6" s="15" t="s">
        <v>1316</v>
      </c>
      <c r="G6" s="66" t="s">
        <v>1317</v>
      </c>
    </row>
    <row r="7" spans="1:8" ht="16" customHeight="1">
      <c r="A7" s="83"/>
      <c r="B7" s="78"/>
      <c r="C7" s="19"/>
      <c r="D7" s="78"/>
      <c r="E7" s="19" t="s">
        <v>633</v>
      </c>
      <c r="F7" s="15" t="s">
        <v>1317</v>
      </c>
      <c r="G7" s="67"/>
      <c r="H7" s="22"/>
    </row>
    <row r="8" spans="1:8" ht="30" customHeight="1" thickBot="1">
      <c r="A8" s="146" t="s">
        <v>1671</v>
      </c>
      <c r="B8" s="92">
        <v>172099</v>
      </c>
      <c r="C8" s="98">
        <v>203540</v>
      </c>
      <c r="D8" s="92">
        <v>375639</v>
      </c>
      <c r="E8" s="147">
        <v>-5.780976053896917E-2</v>
      </c>
      <c r="F8" s="92">
        <v>38277</v>
      </c>
      <c r="G8" s="98">
        <v>0</v>
      </c>
      <c r="H8" s="43"/>
    </row>
    <row r="9" spans="1:8" ht="20" customHeight="1" thickBot="1">
      <c r="A9" s="148" t="s">
        <v>1672</v>
      </c>
      <c r="B9" s="92">
        <v>148004</v>
      </c>
      <c r="C9" s="98">
        <v>178317</v>
      </c>
      <c r="D9" s="92">
        <v>326321</v>
      </c>
      <c r="E9" s="147">
        <v>-6.8386267932338873E-2</v>
      </c>
      <c r="F9" s="92">
        <v>32631</v>
      </c>
      <c r="G9" s="98">
        <v>21139</v>
      </c>
      <c r="H9" s="43"/>
    </row>
    <row r="10" spans="1:8" ht="20" customHeight="1" thickBot="1">
      <c r="A10" s="148" t="s">
        <v>1673</v>
      </c>
      <c r="B10" s="92">
        <v>63677</v>
      </c>
      <c r="C10" s="98">
        <v>70444</v>
      </c>
      <c r="D10" s="92">
        <v>134121</v>
      </c>
      <c r="E10" s="147">
        <v>7.9418605586987837E-2</v>
      </c>
      <c r="F10" s="92">
        <v>14457</v>
      </c>
      <c r="G10" s="98">
        <v>7617</v>
      </c>
      <c r="H10" s="43"/>
    </row>
    <row r="11" spans="1:8" ht="20" customHeight="1" thickBot="1">
      <c r="A11" s="148" t="s">
        <v>1674</v>
      </c>
      <c r="B11" s="92">
        <v>6193</v>
      </c>
      <c r="C11" s="98">
        <v>6520</v>
      </c>
      <c r="D11" s="92">
        <v>12713</v>
      </c>
      <c r="E11" s="147">
        <v>8.0945497831817023E-2</v>
      </c>
      <c r="F11" s="92">
        <v>877</v>
      </c>
      <c r="G11" s="98">
        <v>253</v>
      </c>
      <c r="H11" s="43"/>
    </row>
    <row r="12" spans="1:8" ht="20" customHeight="1" thickBot="1">
      <c r="A12" s="148" t="s">
        <v>1675</v>
      </c>
      <c r="B12" s="92">
        <v>26052</v>
      </c>
      <c r="C12" s="98">
        <v>26655</v>
      </c>
      <c r="D12" s="92">
        <v>52707</v>
      </c>
      <c r="E12" s="147">
        <v>0.64992956644232269</v>
      </c>
      <c r="F12" s="92">
        <v>3091</v>
      </c>
      <c r="G12" s="98">
        <v>2458</v>
      </c>
      <c r="H12" s="43"/>
    </row>
    <row r="13" spans="1:8" ht="20" customHeight="1" thickBot="1">
      <c r="A13" s="148" t="s">
        <v>1676</v>
      </c>
      <c r="B13" s="92">
        <v>8606</v>
      </c>
      <c r="C13" s="98">
        <v>9346</v>
      </c>
      <c r="D13" s="92">
        <v>17952</v>
      </c>
      <c r="E13" s="147">
        <v>9.8451936608945731E-2</v>
      </c>
      <c r="F13" s="92">
        <v>798</v>
      </c>
      <c r="G13" s="98">
        <v>335</v>
      </c>
      <c r="H13" s="43"/>
    </row>
    <row r="14" spans="1:8" ht="20" customHeight="1" thickBot="1">
      <c r="A14" s="148" t="s">
        <v>1677</v>
      </c>
      <c r="B14" s="92">
        <v>7887</v>
      </c>
      <c r="C14" s="98">
        <v>8269</v>
      </c>
      <c r="D14" s="92">
        <v>16156</v>
      </c>
      <c r="E14" s="147">
        <v>-2.569050777951996E-2</v>
      </c>
      <c r="F14" s="92">
        <v>616</v>
      </c>
      <c r="G14" s="98">
        <v>442</v>
      </c>
      <c r="H14" s="43"/>
    </row>
    <row r="15" spans="1:8" ht="20" customHeight="1" thickBot="1">
      <c r="A15" s="148" t="s">
        <v>1678</v>
      </c>
      <c r="B15" s="92">
        <v>6511</v>
      </c>
      <c r="C15" s="98">
        <v>6969</v>
      </c>
      <c r="D15" s="92">
        <v>13480</v>
      </c>
      <c r="E15" s="147">
        <v>0.32638000590376859</v>
      </c>
      <c r="F15" s="92">
        <v>990</v>
      </c>
      <c r="G15" s="98">
        <v>752</v>
      </c>
      <c r="H15" s="43"/>
    </row>
    <row r="16" spans="1:8" ht="20" customHeight="1" thickBot="1">
      <c r="A16" s="148" t="s">
        <v>1679</v>
      </c>
      <c r="B16" s="92">
        <v>15301</v>
      </c>
      <c r="C16" s="98">
        <v>15892</v>
      </c>
      <c r="D16" s="92">
        <v>31193</v>
      </c>
      <c r="E16" s="147">
        <v>-0.16264898528938043</v>
      </c>
      <c r="F16" s="92">
        <v>9</v>
      </c>
      <c r="G16" s="98">
        <v>1620</v>
      </c>
      <c r="H16" s="43"/>
    </row>
    <row r="17" spans="1:8" ht="20" customHeight="1" thickBot="1">
      <c r="A17" s="148" t="s">
        <v>1680</v>
      </c>
      <c r="B17" s="92">
        <v>50360</v>
      </c>
      <c r="C17" s="98">
        <v>44862</v>
      </c>
      <c r="D17" s="92">
        <v>95222</v>
      </c>
      <c r="E17" s="147">
        <v>5.8839064068029363E-3</v>
      </c>
      <c r="F17" s="92">
        <v>8643</v>
      </c>
      <c r="G17" s="98">
        <v>4504</v>
      </c>
      <c r="H17" s="43"/>
    </row>
    <row r="18" spans="1:8" ht="20" customHeight="1" thickBot="1">
      <c r="A18" s="148" t="s">
        <v>1681</v>
      </c>
      <c r="B18" s="92">
        <v>37394</v>
      </c>
      <c r="C18" s="98">
        <v>40476</v>
      </c>
      <c r="D18" s="92">
        <v>77870</v>
      </c>
      <c r="E18" s="147">
        <v>9.8911954389579601E-2</v>
      </c>
      <c r="F18" s="92">
        <v>0</v>
      </c>
      <c r="G18" s="98">
        <v>4968</v>
      </c>
      <c r="H18" s="43"/>
    </row>
    <row r="19" spans="1:8" ht="20" customHeight="1" thickBot="1">
      <c r="A19" s="148" t="s">
        <v>1682</v>
      </c>
      <c r="B19" s="92">
        <v>26425</v>
      </c>
      <c r="C19" s="98">
        <v>31696</v>
      </c>
      <c r="D19" s="92">
        <v>58121</v>
      </c>
      <c r="E19" s="147">
        <v>3.908107624921784E-2</v>
      </c>
      <c r="F19" s="92">
        <v>11726</v>
      </c>
      <c r="G19" s="98">
        <v>8717</v>
      </c>
      <c r="H19" s="43"/>
    </row>
    <row r="20" spans="1:8" ht="20" customHeight="1" thickBot="1">
      <c r="A20" s="148" t="s">
        <v>1683</v>
      </c>
      <c r="B20" s="92">
        <v>57423</v>
      </c>
      <c r="C20" s="98">
        <v>59776</v>
      </c>
      <c r="D20" s="92">
        <v>117199</v>
      </c>
      <c r="E20" s="147">
        <v>0.10428621232250709</v>
      </c>
      <c r="F20" s="92">
        <v>6157</v>
      </c>
      <c r="G20" s="98">
        <v>0</v>
      </c>
      <c r="H20" s="43"/>
    </row>
    <row r="21" spans="1:8" ht="20" customHeight="1" thickBot="1">
      <c r="A21" s="148" t="s">
        <v>1684</v>
      </c>
      <c r="B21" s="92">
        <v>12983</v>
      </c>
      <c r="C21" s="98">
        <v>13635</v>
      </c>
      <c r="D21" s="92">
        <v>26618</v>
      </c>
      <c r="E21" s="147">
        <v>0.10255985419600695</v>
      </c>
      <c r="F21" s="92">
        <v>2024</v>
      </c>
      <c r="G21" s="98">
        <v>1627</v>
      </c>
      <c r="H21" s="43"/>
    </row>
    <row r="22" spans="1:8" ht="20" customHeight="1" thickBot="1">
      <c r="A22" s="148" t="s">
        <v>1685</v>
      </c>
      <c r="B22" s="92">
        <v>7497</v>
      </c>
      <c r="C22" s="98">
        <v>7811</v>
      </c>
      <c r="D22" s="92">
        <v>15308</v>
      </c>
      <c r="E22" s="147">
        <v>1.2299960322708636E-2</v>
      </c>
      <c r="F22" s="92">
        <v>1124</v>
      </c>
      <c r="G22" s="98">
        <v>371</v>
      </c>
      <c r="H22" s="43"/>
    </row>
    <row r="23" spans="1:8" ht="20" customHeight="1" thickBot="1">
      <c r="A23" s="148" t="s">
        <v>1686</v>
      </c>
      <c r="B23" s="92">
        <v>4468</v>
      </c>
      <c r="C23" s="98">
        <v>4333</v>
      </c>
      <c r="D23" s="92">
        <v>8801</v>
      </c>
      <c r="E23" s="147">
        <v>7.9599727086649991E-4</v>
      </c>
      <c r="F23" s="92">
        <v>240</v>
      </c>
      <c r="G23" s="98">
        <v>71</v>
      </c>
      <c r="H23" s="43"/>
    </row>
    <row r="24" spans="1:8" ht="20" customHeight="1" thickBot="1">
      <c r="A24" s="148" t="s">
        <v>1687</v>
      </c>
      <c r="B24" s="92">
        <v>74552</v>
      </c>
      <c r="C24" s="98">
        <v>97834</v>
      </c>
      <c r="D24" s="92">
        <v>172386</v>
      </c>
      <c r="E24" s="147">
        <v>0.10782221993727829</v>
      </c>
      <c r="F24" s="92">
        <v>14835</v>
      </c>
      <c r="G24" s="98">
        <v>15835</v>
      </c>
      <c r="H24" s="43"/>
    </row>
    <row r="25" spans="1:8" ht="20" customHeight="1" thickBot="1">
      <c r="A25" s="148" t="s">
        <v>1688</v>
      </c>
      <c r="B25" s="92">
        <v>31411</v>
      </c>
      <c r="C25" s="98">
        <v>35105</v>
      </c>
      <c r="D25" s="92">
        <v>66516</v>
      </c>
      <c r="E25" s="147">
        <v>0.18469703986036404</v>
      </c>
      <c r="F25" s="92">
        <v>4069</v>
      </c>
      <c r="G25" s="98">
        <v>575</v>
      </c>
      <c r="H25" s="43"/>
    </row>
    <row r="26" spans="1:8" ht="20" customHeight="1" thickBot="1">
      <c r="A26" s="148" t="s">
        <v>1689</v>
      </c>
      <c r="B26" s="92">
        <v>62404</v>
      </c>
      <c r="C26" s="98">
        <v>69533</v>
      </c>
      <c r="D26" s="92">
        <v>131937</v>
      </c>
      <c r="E26" s="147">
        <v>9.5212796865531635E-2</v>
      </c>
      <c r="F26" s="92">
        <v>12173</v>
      </c>
      <c r="G26" s="98">
        <v>0</v>
      </c>
      <c r="H26" s="43"/>
    </row>
    <row r="27" spans="1:8" ht="20" customHeight="1" thickBot="1">
      <c r="A27" s="148" t="s">
        <v>1690</v>
      </c>
      <c r="B27" s="92">
        <v>49662</v>
      </c>
      <c r="C27" s="98">
        <v>52482</v>
      </c>
      <c r="D27" s="92">
        <v>102144</v>
      </c>
      <c r="E27" s="147">
        <v>1.5295917166725497E-3</v>
      </c>
      <c r="F27" s="92">
        <v>4405</v>
      </c>
      <c r="G27" s="98">
        <v>2559</v>
      </c>
      <c r="H27" s="43"/>
    </row>
    <row r="28" spans="1:8" ht="20" customHeight="1" thickBot="1">
      <c r="A28" s="148" t="s">
        <v>1691</v>
      </c>
      <c r="B28" s="92">
        <v>36592</v>
      </c>
      <c r="C28" s="98">
        <v>49634</v>
      </c>
      <c r="D28" s="92">
        <v>86226</v>
      </c>
      <c r="E28" s="147">
        <v>3.6519690339952879E-2</v>
      </c>
      <c r="F28" s="92">
        <v>19096</v>
      </c>
      <c r="G28" s="98">
        <v>1844</v>
      </c>
      <c r="H28" s="43"/>
    </row>
    <row r="29" spans="1:8" ht="20" customHeight="1" thickBot="1">
      <c r="A29" s="148" t="s">
        <v>1692</v>
      </c>
      <c r="B29" s="92">
        <v>68864</v>
      </c>
      <c r="C29" s="98">
        <v>84390</v>
      </c>
      <c r="D29" s="92">
        <v>153254</v>
      </c>
      <c r="E29" s="147">
        <v>2.478134110787172E-2</v>
      </c>
      <c r="F29" s="92">
        <v>27380</v>
      </c>
      <c r="G29" s="98">
        <v>16564</v>
      </c>
      <c r="H29" s="43"/>
    </row>
    <row r="30" spans="1:8" ht="20" customHeight="1" thickBot="1">
      <c r="A30" s="148" t="s">
        <v>1693</v>
      </c>
      <c r="B30" s="92">
        <v>40271</v>
      </c>
      <c r="C30" s="98">
        <v>49635</v>
      </c>
      <c r="D30" s="92">
        <v>89906</v>
      </c>
      <c r="E30" s="147">
        <v>-6.3537695560694121E-2</v>
      </c>
      <c r="F30" s="92">
        <v>6137</v>
      </c>
      <c r="G30" s="98">
        <v>3524</v>
      </c>
      <c r="H30" s="43"/>
    </row>
    <row r="31" spans="1:8" ht="20" customHeight="1" thickBot="1">
      <c r="A31" s="148" t="s">
        <v>1694</v>
      </c>
      <c r="B31" s="92">
        <v>25762</v>
      </c>
      <c r="C31" s="98">
        <v>31603</v>
      </c>
      <c r="D31" s="92">
        <v>57365</v>
      </c>
      <c r="E31" s="147">
        <v>-1.7638496446613579E-2</v>
      </c>
      <c r="F31" s="92">
        <v>8503</v>
      </c>
      <c r="G31" s="98">
        <v>5344</v>
      </c>
      <c r="H31" s="43"/>
    </row>
    <row r="32" spans="1:8" ht="20" customHeight="1" thickBot="1">
      <c r="A32" s="148" t="s">
        <v>1695</v>
      </c>
      <c r="B32" s="92">
        <v>77666</v>
      </c>
      <c r="C32" s="98">
        <v>90534</v>
      </c>
      <c r="D32" s="92">
        <v>168200</v>
      </c>
      <c r="E32" s="147">
        <v>7.723147667813067E-2</v>
      </c>
      <c r="F32" s="92">
        <v>24978</v>
      </c>
      <c r="G32" s="98">
        <v>38125</v>
      </c>
      <c r="H32" s="43"/>
    </row>
    <row r="33" spans="1:8" ht="20" customHeight="1" thickBot="1">
      <c r="A33" s="148" t="s">
        <v>1696</v>
      </c>
      <c r="B33" s="92">
        <v>11689</v>
      </c>
      <c r="C33" s="98">
        <v>14778</v>
      </c>
      <c r="D33" s="92">
        <v>26467</v>
      </c>
      <c r="E33" s="147">
        <v>1.7061829919686432E-2</v>
      </c>
      <c r="F33" s="92">
        <v>3756</v>
      </c>
      <c r="G33" s="98">
        <v>1220</v>
      </c>
      <c r="H33" s="43"/>
    </row>
    <row r="34" spans="1:8" ht="30" customHeight="1" thickBot="1">
      <c r="A34" s="149" t="s">
        <v>1697</v>
      </c>
      <c r="B34" s="100">
        <v>1129753</v>
      </c>
      <c r="C34" s="101">
        <v>1304069</v>
      </c>
      <c r="D34" s="100">
        <v>2433822</v>
      </c>
      <c r="E34" s="150">
        <v>2.415439015224996E-2</v>
      </c>
      <c r="F34" s="100">
        <v>246992</v>
      </c>
      <c r="G34" s="101">
        <v>140464</v>
      </c>
      <c r="H34" s="43"/>
    </row>
    <row r="35" spans="1:8" ht="20" customHeight="1">
      <c r="A35" s="140" t="s">
        <v>466</v>
      </c>
      <c r="B35" s="151"/>
      <c r="C35" s="151"/>
      <c r="D35" s="151"/>
      <c r="E35" s="151"/>
      <c r="F35" s="151"/>
      <c r="G35" s="151"/>
    </row>
    <row r="36" spans="1:8" ht="14.25" customHeight="1">
      <c r="A36" s="141"/>
      <c r="B36" s="152"/>
      <c r="C36" s="152"/>
      <c r="D36" s="152"/>
      <c r="E36" s="152"/>
      <c r="F36" s="152"/>
      <c r="G36" s="152"/>
    </row>
    <row r="37" spans="1:8" ht="20" customHeight="1">
      <c r="A37" s="141" t="s">
        <v>1318</v>
      </c>
      <c r="B37" s="152"/>
      <c r="C37" s="152"/>
      <c r="D37" s="152"/>
      <c r="E37" s="152"/>
      <c r="F37" s="152"/>
      <c r="G37" s="152"/>
    </row>
    <row r="38" spans="1:8" ht="15.75" customHeight="1">
      <c r="A38" s="141"/>
      <c r="B38" s="152"/>
      <c r="C38" s="152"/>
      <c r="D38" s="152"/>
      <c r="E38" s="152"/>
      <c r="F38" s="152"/>
      <c r="G38" s="152"/>
    </row>
    <row r="39" spans="1:8" ht="11.25" customHeight="1">
      <c r="A39" s="38" t="s">
        <v>1319</v>
      </c>
      <c r="B39" s="152"/>
      <c r="C39" s="152"/>
      <c r="D39" s="152"/>
      <c r="E39" s="152"/>
      <c r="F39" s="152"/>
      <c r="G39" s="152"/>
    </row>
    <row r="41" spans="1:8">
      <c r="E41" s="43"/>
    </row>
  </sheetData>
  <mergeCells count="1">
    <mergeCell ref="B3:D3"/>
  </mergeCells>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33BE9-1CA9-5045-9FD2-4B78013BFFBC}">
  <dimension ref="A1:I32"/>
  <sheetViews>
    <sheetView zoomScale="75" workbookViewId="0">
      <selection activeCell="A33" sqref="A33"/>
    </sheetView>
  </sheetViews>
  <sheetFormatPr baseColWidth="10" defaultColWidth="11.3984375" defaultRowHeight="13"/>
  <cols>
    <col min="1" max="1" width="15.19921875" style="3" customWidth="1"/>
    <col min="2" max="5" width="14.796875" style="3" customWidth="1"/>
    <col min="6" max="16384" width="11.3984375" style="3"/>
  </cols>
  <sheetData>
    <row r="1" spans="1:9" s="1" customFormat="1" ht="14" customHeight="1"/>
    <row r="2" spans="1:9" s="1" customFormat="1" ht="28" customHeight="1">
      <c r="A2" s="64" t="s">
        <v>468</v>
      </c>
    </row>
    <row r="3" spans="1:9" ht="27" customHeight="1">
      <c r="A3" s="2" t="s">
        <v>1321</v>
      </c>
      <c r="B3" s="74" t="s">
        <v>1322</v>
      </c>
      <c r="C3" s="17" t="s">
        <v>1323</v>
      </c>
      <c r="D3" s="74" t="s">
        <v>607</v>
      </c>
      <c r="E3" s="17" t="s">
        <v>1324</v>
      </c>
    </row>
    <row r="4" spans="1:9" ht="15" customHeight="1">
      <c r="A4" s="4"/>
      <c r="B4" s="75"/>
      <c r="C4" s="18"/>
      <c r="D4" s="75"/>
      <c r="E4" s="18" t="s">
        <v>1325</v>
      </c>
    </row>
    <row r="5" spans="1:9" ht="15" customHeight="1">
      <c r="A5" s="4"/>
      <c r="B5" s="75"/>
      <c r="C5" s="18"/>
      <c r="D5" s="75"/>
      <c r="E5" s="18" t="s">
        <v>1326</v>
      </c>
    </row>
    <row r="6" spans="1:9" ht="24" customHeight="1">
      <c r="A6" s="5"/>
      <c r="B6" s="78"/>
      <c r="C6" s="19"/>
      <c r="D6" s="78"/>
      <c r="E6" s="19"/>
    </row>
    <row r="7" spans="1:9" ht="30" customHeight="1" thickBot="1">
      <c r="A7" s="6" t="s">
        <v>1327</v>
      </c>
      <c r="B7" s="92">
        <v>98694</v>
      </c>
      <c r="C7" s="98">
        <v>94174</v>
      </c>
      <c r="D7" s="92">
        <v>192868</v>
      </c>
      <c r="E7" s="147">
        <v>7.924490780344659E-2</v>
      </c>
      <c r="G7" s="69"/>
      <c r="H7" s="69"/>
      <c r="I7" s="69"/>
    </row>
    <row r="8" spans="1:9" ht="20" customHeight="1" thickBot="1">
      <c r="A8" s="7" t="s">
        <v>1328</v>
      </c>
      <c r="B8" s="80">
        <v>110969</v>
      </c>
      <c r="C8" s="119">
        <v>105658</v>
      </c>
      <c r="D8" s="80">
        <v>216627</v>
      </c>
      <c r="E8" s="147">
        <v>8.9006919980179316E-2</v>
      </c>
      <c r="G8" s="69"/>
      <c r="H8" s="69"/>
      <c r="I8" s="69"/>
    </row>
    <row r="9" spans="1:9" ht="20" customHeight="1" thickBot="1">
      <c r="A9" s="7" t="s">
        <v>1329</v>
      </c>
      <c r="B9" s="80">
        <v>103596</v>
      </c>
      <c r="C9" s="119">
        <v>98644</v>
      </c>
      <c r="D9" s="80">
        <v>202240</v>
      </c>
      <c r="E9" s="147">
        <v>8.3095641341067672E-2</v>
      </c>
      <c r="G9" s="69"/>
      <c r="H9" s="69"/>
      <c r="I9" s="69"/>
    </row>
    <row r="10" spans="1:9" ht="20" customHeight="1" thickBot="1">
      <c r="A10" s="7" t="s">
        <v>1330</v>
      </c>
      <c r="B10" s="80">
        <v>53198</v>
      </c>
      <c r="C10" s="119">
        <v>50720</v>
      </c>
      <c r="D10" s="80">
        <v>103918</v>
      </c>
      <c r="E10" s="147">
        <v>4.2697452812900862E-2</v>
      </c>
      <c r="G10" s="69"/>
      <c r="H10" s="69"/>
      <c r="I10" s="69"/>
    </row>
    <row r="11" spans="1:9" ht="20" customHeight="1" thickBot="1">
      <c r="A11" s="7" t="s">
        <v>1331</v>
      </c>
      <c r="B11" s="80">
        <v>38535</v>
      </c>
      <c r="C11" s="119">
        <v>37950</v>
      </c>
      <c r="D11" s="80">
        <v>76485</v>
      </c>
      <c r="E11" s="147">
        <v>3.1425880775175837E-2</v>
      </c>
      <c r="G11" s="69"/>
      <c r="H11" s="69"/>
      <c r="I11" s="69"/>
    </row>
    <row r="12" spans="1:9" ht="20" customHeight="1" thickBot="1">
      <c r="A12" s="7" t="s">
        <v>1332</v>
      </c>
      <c r="B12" s="80">
        <v>88646</v>
      </c>
      <c r="C12" s="119">
        <v>94052</v>
      </c>
      <c r="D12" s="80">
        <v>182698</v>
      </c>
      <c r="E12" s="147">
        <v>7.5066294905707973E-2</v>
      </c>
      <c r="G12" s="69"/>
      <c r="H12" s="69"/>
      <c r="I12" s="69"/>
    </row>
    <row r="13" spans="1:9" ht="20" customHeight="1" thickBot="1">
      <c r="A13" s="7" t="s">
        <v>1333</v>
      </c>
      <c r="B13" s="80">
        <v>73760</v>
      </c>
      <c r="C13" s="119">
        <v>88169</v>
      </c>
      <c r="D13" s="80">
        <v>161929</v>
      </c>
      <c r="E13" s="147">
        <v>6.6532803138438221E-2</v>
      </c>
      <c r="G13" s="69"/>
      <c r="H13" s="69"/>
      <c r="I13" s="69"/>
    </row>
    <row r="14" spans="1:9" ht="20" customHeight="1" thickBot="1">
      <c r="A14" s="7" t="s">
        <v>1334</v>
      </c>
      <c r="B14" s="80">
        <v>82848</v>
      </c>
      <c r="C14" s="119">
        <v>106171</v>
      </c>
      <c r="D14" s="80">
        <v>189019</v>
      </c>
      <c r="E14" s="147">
        <v>7.7663444574007465E-2</v>
      </c>
      <c r="G14" s="69"/>
      <c r="H14" s="69"/>
      <c r="I14" s="69"/>
    </row>
    <row r="15" spans="1:9" ht="20" customHeight="1" thickBot="1">
      <c r="A15" s="7" t="s">
        <v>1335</v>
      </c>
      <c r="B15" s="80">
        <v>98535</v>
      </c>
      <c r="C15" s="119">
        <v>114913</v>
      </c>
      <c r="D15" s="80">
        <v>213448</v>
      </c>
      <c r="E15" s="147">
        <v>8.770074393279377E-2</v>
      </c>
      <c r="G15" s="69"/>
      <c r="H15" s="69"/>
      <c r="I15" s="69"/>
    </row>
    <row r="16" spans="1:9" ht="20" customHeight="1" thickBot="1">
      <c r="A16" s="7" t="s">
        <v>1336</v>
      </c>
      <c r="B16" s="80">
        <v>84603</v>
      </c>
      <c r="C16" s="119">
        <v>87248</v>
      </c>
      <c r="D16" s="80">
        <v>171851</v>
      </c>
      <c r="E16" s="147">
        <v>7.0609518691177903E-2</v>
      </c>
      <c r="G16" s="69"/>
      <c r="H16" s="69"/>
      <c r="I16" s="69"/>
    </row>
    <row r="17" spans="1:9" ht="20" customHeight="1" thickBot="1">
      <c r="A17" s="7" t="s">
        <v>1337</v>
      </c>
      <c r="B17" s="80">
        <v>61130</v>
      </c>
      <c r="C17" s="119">
        <v>58414</v>
      </c>
      <c r="D17" s="80">
        <v>119544</v>
      </c>
      <c r="E17" s="147">
        <v>4.9117807300616066E-2</v>
      </c>
      <c r="G17" s="69"/>
      <c r="H17" s="69"/>
      <c r="I17" s="69"/>
    </row>
    <row r="18" spans="1:9" ht="20" customHeight="1" thickBot="1">
      <c r="A18" s="7" t="s">
        <v>1338</v>
      </c>
      <c r="B18" s="80">
        <v>43537</v>
      </c>
      <c r="C18" s="119">
        <v>44161</v>
      </c>
      <c r="D18" s="80">
        <v>87698</v>
      </c>
      <c r="E18" s="147">
        <v>3.6033037748857556E-2</v>
      </c>
      <c r="G18" s="69"/>
      <c r="H18" s="69"/>
      <c r="I18" s="69"/>
    </row>
    <row r="19" spans="1:9" ht="20" customHeight="1" thickBot="1">
      <c r="A19" s="7" t="s">
        <v>1339</v>
      </c>
      <c r="B19" s="80">
        <v>33718</v>
      </c>
      <c r="C19" s="119">
        <v>38923</v>
      </c>
      <c r="D19" s="80">
        <v>72641</v>
      </c>
      <c r="E19" s="147">
        <v>2.9846471927692329E-2</v>
      </c>
      <c r="G19" s="69"/>
      <c r="H19" s="69"/>
      <c r="I19" s="69"/>
    </row>
    <row r="20" spans="1:9" ht="20" customHeight="1" thickBot="1">
      <c r="A20" s="7" t="s">
        <v>1340</v>
      </c>
      <c r="B20" s="80">
        <v>29605</v>
      </c>
      <c r="C20" s="119">
        <v>40169</v>
      </c>
      <c r="D20" s="80">
        <v>69774</v>
      </c>
      <c r="E20" s="147">
        <v>2.8668489314337697E-2</v>
      </c>
      <c r="G20" s="69"/>
      <c r="H20" s="69"/>
      <c r="I20" s="69"/>
    </row>
    <row r="21" spans="1:9" ht="20" customHeight="1" thickBot="1">
      <c r="A21" s="7" t="s">
        <v>1341</v>
      </c>
      <c r="B21" s="80">
        <v>32278</v>
      </c>
      <c r="C21" s="119">
        <v>45081</v>
      </c>
      <c r="D21" s="80">
        <v>77359</v>
      </c>
      <c r="E21" s="147">
        <v>3.1784986741018859E-2</v>
      </c>
      <c r="G21" s="69"/>
      <c r="H21" s="69"/>
      <c r="I21" s="69"/>
    </row>
    <row r="22" spans="1:9" ht="20" customHeight="1" thickBot="1">
      <c r="A22" s="7" t="s">
        <v>1342</v>
      </c>
      <c r="B22" s="80">
        <v>29062</v>
      </c>
      <c r="C22" s="119">
        <v>46808</v>
      </c>
      <c r="D22" s="80">
        <v>75870</v>
      </c>
      <c r="E22" s="147">
        <v>3.1173191794634118E-2</v>
      </c>
      <c r="G22" s="69"/>
      <c r="H22" s="69"/>
      <c r="I22" s="69"/>
    </row>
    <row r="23" spans="1:9" ht="20" customHeight="1" thickBot="1">
      <c r="A23" s="7" t="s">
        <v>1343</v>
      </c>
      <c r="B23" s="80">
        <v>24125</v>
      </c>
      <c r="C23" s="119">
        <v>47293</v>
      </c>
      <c r="D23" s="80">
        <v>71418</v>
      </c>
      <c r="E23" s="147">
        <v>2.9343970101346772E-2</v>
      </c>
      <c r="G23" s="69"/>
      <c r="H23" s="69"/>
      <c r="I23" s="69"/>
    </row>
    <row r="24" spans="1:9" ht="20" customHeight="1" thickBot="1">
      <c r="A24" s="7" t="s">
        <v>1344</v>
      </c>
      <c r="B24" s="80">
        <v>17129</v>
      </c>
      <c r="C24" s="119">
        <v>39145</v>
      </c>
      <c r="D24" s="80">
        <v>56274</v>
      </c>
      <c r="E24" s="147">
        <v>2.312165803415369E-2</v>
      </c>
      <c r="G24" s="69"/>
      <c r="H24" s="69"/>
      <c r="I24" s="69"/>
    </row>
    <row r="25" spans="1:9" ht="20" customHeight="1" thickBot="1">
      <c r="A25" s="7" t="s">
        <v>1345</v>
      </c>
      <c r="B25" s="80">
        <v>9592</v>
      </c>
      <c r="C25" s="119">
        <v>28375</v>
      </c>
      <c r="D25" s="80">
        <v>37967</v>
      </c>
      <c r="E25" s="147">
        <v>1.5599743941833052E-2</v>
      </c>
      <c r="G25" s="69"/>
      <c r="H25" s="69"/>
      <c r="I25" s="69"/>
    </row>
    <row r="26" spans="1:9" ht="20" customHeight="1" thickBot="1">
      <c r="A26" s="7" t="s">
        <v>1346</v>
      </c>
      <c r="B26" s="80">
        <v>3363</v>
      </c>
      <c r="C26" s="119">
        <v>14398</v>
      </c>
      <c r="D26" s="80">
        <v>17761</v>
      </c>
      <c r="E26" s="147">
        <v>7.2975755827665292E-3</v>
      </c>
      <c r="G26" s="69"/>
      <c r="H26" s="69"/>
      <c r="I26" s="69"/>
    </row>
    <row r="27" spans="1:9" ht="20" customHeight="1" thickBot="1">
      <c r="A27" s="7" t="s">
        <v>1347</v>
      </c>
      <c r="B27" s="80">
        <v>788</v>
      </c>
      <c r="C27" s="119">
        <v>4191</v>
      </c>
      <c r="D27" s="80">
        <v>4979</v>
      </c>
      <c r="E27" s="147">
        <v>2.0457535514100868E-3</v>
      </c>
      <c r="G27" s="69"/>
      <c r="H27" s="69"/>
      <c r="I27" s="69"/>
    </row>
    <row r="28" spans="1:9" ht="20" customHeight="1" thickBot="1">
      <c r="A28" s="7" t="s">
        <v>1348</v>
      </c>
      <c r="B28" s="80">
        <v>12042</v>
      </c>
      <c r="C28" s="119">
        <v>19412</v>
      </c>
      <c r="D28" s="80">
        <v>31454</v>
      </c>
      <c r="E28" s="147">
        <v>1.2923706006437611E-2</v>
      </c>
      <c r="G28" s="69"/>
      <c r="H28" s="69"/>
      <c r="I28" s="69"/>
    </row>
    <row r="29" spans="1:9" ht="30" customHeight="1" thickBot="1">
      <c r="A29" s="13" t="s">
        <v>607</v>
      </c>
      <c r="B29" s="136">
        <v>1129753</v>
      </c>
      <c r="C29" s="138">
        <v>1304069</v>
      </c>
      <c r="D29" s="136">
        <v>2433822</v>
      </c>
      <c r="E29" s="150">
        <v>1</v>
      </c>
      <c r="G29" s="69"/>
      <c r="H29" s="69"/>
      <c r="I29" s="69"/>
    </row>
    <row r="30" spans="1:9" ht="20" customHeight="1">
      <c r="A30" s="140" t="s">
        <v>466</v>
      </c>
      <c r="B30" s="9"/>
      <c r="C30" s="9"/>
      <c r="D30" s="9"/>
      <c r="E30" s="9"/>
    </row>
    <row r="32" spans="1:9">
      <c r="A32" s="141" t="s">
        <v>1318</v>
      </c>
    </row>
  </sheetData>
  <phoneticPr fontId="0" type="noConversion"/>
  <pageMargins left="0.78740157480314965" right="0.78740157480314965" top="1.46" bottom="0.49" header="0.93"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57698-8D07-054D-9E5B-49E387DD28A4}">
  <dimension ref="A1:K40"/>
  <sheetViews>
    <sheetView topLeftCell="A22" zoomScale="75" workbookViewId="0">
      <selection activeCell="A38" sqref="A38"/>
    </sheetView>
  </sheetViews>
  <sheetFormatPr baseColWidth="10" defaultColWidth="11.3984375" defaultRowHeight="13"/>
  <cols>
    <col min="1" max="1" width="11.796875" style="3" customWidth="1"/>
    <col min="2" max="6" width="11.3984375" style="3"/>
    <col min="7" max="7" width="11.796875" style="3" customWidth="1"/>
    <col min="8" max="16384" width="11.3984375" style="3"/>
  </cols>
  <sheetData>
    <row r="1" spans="1:11" s="1" customFormat="1" ht="14" customHeight="1"/>
    <row r="2" spans="1:11" s="1" customFormat="1" ht="27" customHeight="1">
      <c r="A2" s="64" t="s">
        <v>469</v>
      </c>
    </row>
    <row r="3" spans="1:11" ht="24" customHeight="1">
      <c r="A3" s="2" t="s">
        <v>1663</v>
      </c>
      <c r="B3" s="1309" t="s">
        <v>1349</v>
      </c>
      <c r="C3" s="1305"/>
      <c r="D3" s="1305"/>
      <c r="E3" s="1305"/>
      <c r="F3" s="1305"/>
      <c r="G3" s="17" t="s">
        <v>1350</v>
      </c>
      <c r="H3" s="74"/>
      <c r="I3" s="17" t="s">
        <v>1351</v>
      </c>
    </row>
    <row r="4" spans="1:11" ht="15" customHeight="1">
      <c r="A4" s="82"/>
      <c r="B4" s="75" t="s">
        <v>1352</v>
      </c>
      <c r="C4" s="66" t="s">
        <v>1353</v>
      </c>
      <c r="D4" s="15" t="s">
        <v>1354</v>
      </c>
      <c r="E4" s="66" t="s">
        <v>1355</v>
      </c>
      <c r="F4" s="15" t="s">
        <v>1356</v>
      </c>
      <c r="G4" s="66" t="s">
        <v>607</v>
      </c>
      <c r="H4" s="76" t="s">
        <v>609</v>
      </c>
      <c r="I4" s="66" t="s">
        <v>1357</v>
      </c>
    </row>
    <row r="5" spans="1:11" ht="15" customHeight="1">
      <c r="A5" s="82"/>
      <c r="B5" s="75"/>
      <c r="C5" s="18" t="s">
        <v>1358</v>
      </c>
      <c r="D5" s="75" t="s">
        <v>1358</v>
      </c>
      <c r="E5" s="18" t="s">
        <v>1358</v>
      </c>
      <c r="F5" s="15" t="s">
        <v>1359</v>
      </c>
      <c r="G5" s="66"/>
      <c r="H5" s="76" t="s">
        <v>1360</v>
      </c>
      <c r="I5" s="66" t="s">
        <v>1361</v>
      </c>
    </row>
    <row r="6" spans="1:11" ht="15" customHeight="1">
      <c r="A6" s="82"/>
      <c r="B6" s="75"/>
      <c r="C6" s="18"/>
      <c r="D6" s="75"/>
      <c r="E6" s="18"/>
      <c r="F6" s="15" t="s">
        <v>1362</v>
      </c>
      <c r="G6" s="66"/>
      <c r="H6" s="76" t="s">
        <v>611</v>
      </c>
      <c r="I6" s="66" t="s">
        <v>1368</v>
      </c>
    </row>
    <row r="7" spans="1:11" ht="13.5" customHeight="1">
      <c r="A7" s="83"/>
      <c r="B7" s="78"/>
      <c r="C7" s="19"/>
      <c r="D7" s="78"/>
      <c r="E7" s="19"/>
      <c r="F7" s="16"/>
      <c r="G7" s="67"/>
      <c r="H7" s="78"/>
      <c r="I7" s="67"/>
    </row>
    <row r="8" spans="1:11" ht="30" customHeight="1" thickBot="1">
      <c r="A8" s="146" t="s">
        <v>1671</v>
      </c>
      <c r="B8" s="92">
        <v>184836</v>
      </c>
      <c r="C8" s="98">
        <v>30090</v>
      </c>
      <c r="D8" s="92">
        <v>12929</v>
      </c>
      <c r="E8" s="98">
        <v>13124</v>
      </c>
      <c r="F8" s="92">
        <v>7323</v>
      </c>
      <c r="G8" s="98">
        <v>248302</v>
      </c>
      <c r="H8" s="153">
        <v>-4.6217551299484509E-2</v>
      </c>
      <c r="I8" s="112">
        <v>15457</v>
      </c>
      <c r="K8" s="69"/>
    </row>
    <row r="9" spans="1:11" ht="20" customHeight="1" thickBot="1">
      <c r="A9" s="148" t="s">
        <v>1672</v>
      </c>
      <c r="B9" s="80">
        <v>116745</v>
      </c>
      <c r="C9" s="119">
        <v>32123</v>
      </c>
      <c r="D9" s="80">
        <v>13740</v>
      </c>
      <c r="E9" s="119">
        <v>22276</v>
      </c>
      <c r="F9" s="80">
        <v>13187</v>
      </c>
      <c r="G9" s="119">
        <v>198071</v>
      </c>
      <c r="H9" s="153">
        <v>-3.0850001957176968E-2</v>
      </c>
      <c r="I9" s="119">
        <v>15207</v>
      </c>
      <c r="K9" s="69"/>
    </row>
    <row r="10" spans="1:11" ht="20" customHeight="1" thickBot="1">
      <c r="A10" s="148" t="s">
        <v>1673</v>
      </c>
      <c r="B10" s="80">
        <v>27581</v>
      </c>
      <c r="C10" s="119">
        <v>9681</v>
      </c>
      <c r="D10" s="80">
        <v>5409</v>
      </c>
      <c r="E10" s="119">
        <v>8797</v>
      </c>
      <c r="F10" s="80">
        <v>6555</v>
      </c>
      <c r="G10" s="119">
        <v>58023</v>
      </c>
      <c r="H10" s="153">
        <v>0.10119375225370557</v>
      </c>
      <c r="I10" s="119">
        <v>1844</v>
      </c>
      <c r="K10" s="69"/>
    </row>
    <row r="11" spans="1:11" ht="20" customHeight="1" thickBot="1">
      <c r="A11" s="148" t="s">
        <v>1674</v>
      </c>
      <c r="B11" s="80">
        <v>2003</v>
      </c>
      <c r="C11" s="119">
        <v>1066</v>
      </c>
      <c r="D11" s="80">
        <v>505</v>
      </c>
      <c r="E11" s="119">
        <v>890</v>
      </c>
      <c r="F11" s="80">
        <v>728</v>
      </c>
      <c r="G11" s="119">
        <v>5192</v>
      </c>
      <c r="H11" s="153">
        <v>0.10163377890939954</v>
      </c>
      <c r="I11" s="119">
        <v>237</v>
      </c>
      <c r="K11" s="69"/>
    </row>
    <row r="12" spans="1:11" ht="20" customHeight="1" thickBot="1">
      <c r="A12" s="148" t="s">
        <v>1675</v>
      </c>
      <c r="B12" s="80">
        <v>10722</v>
      </c>
      <c r="C12" s="119">
        <v>3527</v>
      </c>
      <c r="D12" s="80">
        <v>2349</v>
      </c>
      <c r="E12" s="119">
        <v>3673</v>
      </c>
      <c r="F12" s="80">
        <v>2376</v>
      </c>
      <c r="G12" s="119">
        <v>22647</v>
      </c>
      <c r="H12" s="153">
        <v>0.27201752415187597</v>
      </c>
      <c r="I12" s="119">
        <v>1141</v>
      </c>
      <c r="K12" s="69"/>
    </row>
    <row r="13" spans="1:11" ht="20" customHeight="1" thickBot="1">
      <c r="A13" s="148" t="s">
        <v>1676</v>
      </c>
      <c r="B13" s="80">
        <v>4041</v>
      </c>
      <c r="C13" s="119">
        <v>1464</v>
      </c>
      <c r="D13" s="80">
        <v>769</v>
      </c>
      <c r="E13" s="119">
        <v>1142</v>
      </c>
      <c r="F13" s="80">
        <v>625</v>
      </c>
      <c r="G13" s="119">
        <v>8041</v>
      </c>
      <c r="H13" s="153">
        <v>0.12682174887892378</v>
      </c>
      <c r="I13" s="119">
        <v>319</v>
      </c>
      <c r="K13" s="69"/>
    </row>
    <row r="14" spans="1:11" ht="20" customHeight="1" thickBot="1">
      <c r="A14" s="148" t="s">
        <v>1677</v>
      </c>
      <c r="B14" s="80">
        <v>3890</v>
      </c>
      <c r="C14" s="119">
        <v>1378</v>
      </c>
      <c r="D14" s="80">
        <v>580</v>
      </c>
      <c r="E14" s="119">
        <v>990</v>
      </c>
      <c r="F14" s="80">
        <v>592</v>
      </c>
      <c r="G14" s="119">
        <v>7430</v>
      </c>
      <c r="H14" s="153">
        <v>-4.449588477366255E-2</v>
      </c>
      <c r="I14" s="119">
        <v>292</v>
      </c>
      <c r="K14" s="69"/>
    </row>
    <row r="15" spans="1:11" ht="20" customHeight="1" thickBot="1">
      <c r="A15" s="148" t="s">
        <v>1678</v>
      </c>
      <c r="B15" s="80">
        <v>4166</v>
      </c>
      <c r="C15" s="119">
        <v>1062</v>
      </c>
      <c r="D15" s="80">
        <v>550</v>
      </c>
      <c r="E15" s="119">
        <v>733</v>
      </c>
      <c r="F15" s="80">
        <v>484</v>
      </c>
      <c r="G15" s="119">
        <v>6995</v>
      </c>
      <c r="H15" s="153">
        <v>0.31484962406015038</v>
      </c>
      <c r="I15" s="119">
        <v>372</v>
      </c>
      <c r="K15" s="69"/>
    </row>
    <row r="16" spans="1:11" ht="20" customHeight="1" thickBot="1">
      <c r="A16" s="148" t="s">
        <v>1679</v>
      </c>
      <c r="B16" s="80">
        <v>9906</v>
      </c>
      <c r="C16" s="119">
        <v>1885</v>
      </c>
      <c r="D16" s="80">
        <v>1327</v>
      </c>
      <c r="E16" s="119">
        <v>2086</v>
      </c>
      <c r="F16" s="80">
        <v>989</v>
      </c>
      <c r="G16" s="119">
        <v>16193</v>
      </c>
      <c r="H16" s="153">
        <v>-0.14485635825940008</v>
      </c>
      <c r="I16" s="119">
        <v>647</v>
      </c>
      <c r="K16" s="69"/>
    </row>
    <row r="17" spans="1:11" ht="20" customHeight="1" thickBot="1">
      <c r="A17" s="148" t="s">
        <v>1363</v>
      </c>
      <c r="B17" s="80">
        <v>17749</v>
      </c>
      <c r="C17" s="119">
        <v>6537</v>
      </c>
      <c r="D17" s="80">
        <v>3874</v>
      </c>
      <c r="E17" s="119">
        <v>6190</v>
      </c>
      <c r="F17" s="80">
        <v>3674</v>
      </c>
      <c r="G17" s="119">
        <v>38024</v>
      </c>
      <c r="H17" s="153">
        <v>-2.1034917963819942E-4</v>
      </c>
      <c r="I17" s="119">
        <v>3584</v>
      </c>
      <c r="K17" s="69"/>
    </row>
    <row r="18" spans="1:11" ht="20" customHeight="1" thickBot="1">
      <c r="A18" s="148" t="s">
        <v>1364</v>
      </c>
      <c r="B18" s="80">
        <v>9779</v>
      </c>
      <c r="C18" s="119">
        <v>5390</v>
      </c>
      <c r="D18" s="80">
        <v>3785</v>
      </c>
      <c r="E18" s="119">
        <v>6610</v>
      </c>
      <c r="F18" s="80">
        <v>3687</v>
      </c>
      <c r="G18" s="119">
        <v>29251</v>
      </c>
      <c r="H18" s="153">
        <v>0.10248002412181517</v>
      </c>
      <c r="I18" s="119">
        <v>3044</v>
      </c>
      <c r="K18" s="69"/>
    </row>
    <row r="19" spans="1:11" ht="20" customHeight="1" thickBot="1">
      <c r="A19" s="148" t="s">
        <v>1682</v>
      </c>
      <c r="B19" s="80">
        <v>22339</v>
      </c>
      <c r="C19" s="119">
        <v>4754</v>
      </c>
      <c r="D19" s="80">
        <v>2638</v>
      </c>
      <c r="E19" s="119">
        <v>2564</v>
      </c>
      <c r="F19" s="80">
        <v>1280</v>
      </c>
      <c r="G19" s="119">
        <v>33575</v>
      </c>
      <c r="H19" s="153">
        <v>0.22523081414443674</v>
      </c>
      <c r="I19" s="119">
        <v>2097</v>
      </c>
      <c r="K19" s="69"/>
    </row>
    <row r="20" spans="1:11" ht="20" customHeight="1" thickBot="1">
      <c r="A20" s="148" t="s">
        <v>1683</v>
      </c>
      <c r="B20" s="30">
        <v>20947</v>
      </c>
      <c r="C20" s="122">
        <v>10386</v>
      </c>
      <c r="D20" s="80">
        <v>6374</v>
      </c>
      <c r="E20" s="119">
        <v>9199</v>
      </c>
      <c r="F20" s="30">
        <v>3847</v>
      </c>
      <c r="G20" s="122">
        <v>50753</v>
      </c>
      <c r="H20" s="153">
        <v>2.7638292702680815E-2</v>
      </c>
      <c r="I20" s="122">
        <v>3783</v>
      </c>
      <c r="K20" s="69"/>
    </row>
    <row r="21" spans="1:11" ht="20" customHeight="1" thickBot="1">
      <c r="A21" s="148" t="s">
        <v>1684</v>
      </c>
      <c r="B21" s="80">
        <v>6754</v>
      </c>
      <c r="C21" s="119">
        <v>2410</v>
      </c>
      <c r="D21" s="80">
        <v>1177</v>
      </c>
      <c r="E21" s="119">
        <v>1741</v>
      </c>
      <c r="F21" s="80">
        <v>863</v>
      </c>
      <c r="G21" s="119">
        <v>12945</v>
      </c>
      <c r="H21" s="153">
        <v>9.499238707494502E-2</v>
      </c>
      <c r="I21" s="119">
        <v>816</v>
      </c>
      <c r="K21" s="69"/>
    </row>
    <row r="22" spans="1:11" ht="20" customHeight="1" thickBot="1">
      <c r="A22" s="148" t="s">
        <v>1685</v>
      </c>
      <c r="B22" s="80">
        <v>2374</v>
      </c>
      <c r="C22" s="119">
        <v>874</v>
      </c>
      <c r="D22" s="80">
        <v>540</v>
      </c>
      <c r="E22" s="119">
        <v>1078</v>
      </c>
      <c r="F22" s="80">
        <v>965</v>
      </c>
      <c r="G22" s="119">
        <v>5831</v>
      </c>
      <c r="H22" s="153">
        <v>1.6916637600279037E-2</v>
      </c>
      <c r="I22" s="119">
        <v>591</v>
      </c>
      <c r="K22" s="69"/>
    </row>
    <row r="23" spans="1:11" ht="20" customHeight="1" thickBot="1">
      <c r="A23" s="148" t="s">
        <v>1686</v>
      </c>
      <c r="B23" s="80">
        <v>999</v>
      </c>
      <c r="C23" s="119">
        <v>571</v>
      </c>
      <c r="D23" s="80">
        <v>309</v>
      </c>
      <c r="E23" s="119">
        <v>557</v>
      </c>
      <c r="F23" s="80">
        <v>562</v>
      </c>
      <c r="G23" s="119">
        <v>2998</v>
      </c>
      <c r="H23" s="153">
        <v>-9.0964220739842325E-2</v>
      </c>
      <c r="I23" s="119">
        <v>126</v>
      </c>
      <c r="K23" s="69"/>
    </row>
    <row r="24" spans="1:11" ht="20" customHeight="1" thickBot="1">
      <c r="A24" s="148" t="s">
        <v>1687</v>
      </c>
      <c r="B24" s="80">
        <v>27856</v>
      </c>
      <c r="C24" s="119">
        <v>13286</v>
      </c>
      <c r="D24" s="80">
        <v>6724</v>
      </c>
      <c r="E24" s="119">
        <v>12010</v>
      </c>
      <c r="F24" s="80">
        <v>9151</v>
      </c>
      <c r="G24" s="119">
        <v>69027</v>
      </c>
      <c r="H24" s="153">
        <v>0.10471480699058959</v>
      </c>
      <c r="I24" s="119">
        <v>6878</v>
      </c>
      <c r="K24" s="69"/>
    </row>
    <row r="25" spans="1:11" ht="20" customHeight="1" thickBot="1">
      <c r="A25" s="148" t="s">
        <v>1688</v>
      </c>
      <c r="B25" s="80">
        <v>14865</v>
      </c>
      <c r="C25" s="119">
        <v>4945</v>
      </c>
      <c r="D25" s="80">
        <v>2538</v>
      </c>
      <c r="E25" s="119">
        <v>4388</v>
      </c>
      <c r="F25" s="80">
        <v>2381</v>
      </c>
      <c r="G25" s="119">
        <v>29117</v>
      </c>
      <c r="H25" s="153">
        <v>6.041954985796489E-2</v>
      </c>
      <c r="I25" s="119">
        <v>1998</v>
      </c>
      <c r="K25" s="69"/>
    </row>
    <row r="26" spans="1:11" ht="20" customHeight="1" thickBot="1">
      <c r="A26" s="148" t="s">
        <v>1689</v>
      </c>
      <c r="B26" s="80">
        <v>17110</v>
      </c>
      <c r="C26" s="119">
        <v>8282</v>
      </c>
      <c r="D26" s="80">
        <v>6273</v>
      </c>
      <c r="E26" s="119">
        <v>9991</v>
      </c>
      <c r="F26" s="80">
        <v>6286</v>
      </c>
      <c r="G26" s="119">
        <v>47942</v>
      </c>
      <c r="H26" s="153">
        <v>-1.244180776995015E-2</v>
      </c>
      <c r="I26" s="119">
        <v>4439</v>
      </c>
      <c r="K26" s="69"/>
    </row>
    <row r="27" spans="1:11" ht="20" customHeight="1" thickBot="1">
      <c r="A27" s="148" t="s">
        <v>1690</v>
      </c>
      <c r="B27" s="80">
        <v>36890</v>
      </c>
      <c r="C27" s="119">
        <v>13696</v>
      </c>
      <c r="D27" s="80">
        <v>5221</v>
      </c>
      <c r="E27" s="119">
        <v>3131</v>
      </c>
      <c r="F27" s="80">
        <v>1938</v>
      </c>
      <c r="G27" s="119">
        <v>60876</v>
      </c>
      <c r="H27" s="153">
        <v>1.5259918947315754E-2</v>
      </c>
      <c r="I27" s="119">
        <v>2787</v>
      </c>
      <c r="K27" s="69"/>
    </row>
    <row r="28" spans="1:11" ht="20" customHeight="1" thickBot="1">
      <c r="A28" s="148" t="s">
        <v>1691</v>
      </c>
      <c r="B28" s="80">
        <v>35092</v>
      </c>
      <c r="C28" s="119">
        <v>10979</v>
      </c>
      <c r="D28" s="80">
        <v>3194</v>
      </c>
      <c r="E28" s="119">
        <v>3155</v>
      </c>
      <c r="F28" s="80">
        <v>1234</v>
      </c>
      <c r="G28" s="119">
        <v>53654</v>
      </c>
      <c r="H28" s="153">
        <v>2.9116157741292007E-2</v>
      </c>
      <c r="I28" s="119">
        <v>3540</v>
      </c>
      <c r="K28" s="69"/>
    </row>
    <row r="29" spans="1:11" ht="20" customHeight="1" thickBot="1">
      <c r="A29" s="148" t="s">
        <v>1692</v>
      </c>
      <c r="B29" s="80">
        <v>43793</v>
      </c>
      <c r="C29" s="119">
        <v>13918</v>
      </c>
      <c r="D29" s="80">
        <v>7498</v>
      </c>
      <c r="E29" s="119">
        <v>8712</v>
      </c>
      <c r="F29" s="80">
        <v>4554</v>
      </c>
      <c r="G29" s="119">
        <v>78475</v>
      </c>
      <c r="H29" s="153">
        <v>3.2307712545547825E-2</v>
      </c>
      <c r="I29" s="119">
        <v>8139</v>
      </c>
      <c r="K29" s="69"/>
    </row>
    <row r="30" spans="1:11" ht="20" customHeight="1" thickBot="1">
      <c r="A30" s="148" t="s">
        <v>1693</v>
      </c>
      <c r="B30" s="80">
        <v>30118</v>
      </c>
      <c r="C30" s="119">
        <v>5824</v>
      </c>
      <c r="D30" s="80">
        <v>3515</v>
      </c>
      <c r="E30" s="119">
        <v>5326</v>
      </c>
      <c r="F30" s="80">
        <v>3071</v>
      </c>
      <c r="G30" s="119">
        <v>47854</v>
      </c>
      <c r="H30" s="153">
        <v>-5.6766665352623487E-2</v>
      </c>
      <c r="I30" s="119">
        <v>3650</v>
      </c>
      <c r="K30" s="69"/>
    </row>
    <row r="31" spans="1:11" ht="20" customHeight="1" thickBot="1">
      <c r="A31" s="148" t="s">
        <v>1694</v>
      </c>
      <c r="B31" s="80">
        <v>20272</v>
      </c>
      <c r="C31" s="119">
        <v>5675</v>
      </c>
      <c r="D31" s="80">
        <v>2519</v>
      </c>
      <c r="E31" s="119">
        <v>2890</v>
      </c>
      <c r="F31" s="80">
        <v>1253</v>
      </c>
      <c r="G31" s="119">
        <v>32609</v>
      </c>
      <c r="H31" s="153">
        <v>-3.015792760907712E-2</v>
      </c>
      <c r="I31" s="119">
        <v>2295</v>
      </c>
      <c r="K31" s="69"/>
    </row>
    <row r="32" spans="1:11" ht="20" customHeight="1" thickBot="1">
      <c r="A32" s="148" t="s">
        <v>1695</v>
      </c>
      <c r="B32" s="80">
        <v>71108</v>
      </c>
      <c r="C32" s="119">
        <v>20640</v>
      </c>
      <c r="D32" s="80">
        <v>9231</v>
      </c>
      <c r="E32" s="119">
        <v>7505</v>
      </c>
      <c r="F32" s="80">
        <v>3057</v>
      </c>
      <c r="G32" s="119">
        <v>111541</v>
      </c>
      <c r="H32" s="153">
        <v>8.5673405425398336E-2</v>
      </c>
      <c r="I32" s="119">
        <v>10057</v>
      </c>
      <c r="K32" s="69"/>
    </row>
    <row r="33" spans="1:11" ht="20" customHeight="1" thickBot="1">
      <c r="A33" s="148" t="s">
        <v>1696</v>
      </c>
      <c r="B33" s="80">
        <v>8827</v>
      </c>
      <c r="C33" s="119">
        <v>2272</v>
      </c>
      <c r="D33" s="80">
        <v>799</v>
      </c>
      <c r="E33" s="119">
        <v>1111</v>
      </c>
      <c r="F33" s="80">
        <v>1030</v>
      </c>
      <c r="G33" s="119">
        <v>14039</v>
      </c>
      <c r="H33" s="153">
        <v>6.524232864926871E-3</v>
      </c>
      <c r="I33" s="119">
        <v>1167</v>
      </c>
      <c r="J33" s="45"/>
      <c r="K33" s="69"/>
    </row>
    <row r="34" spans="1:11" ht="30" customHeight="1" thickBot="1">
      <c r="A34" s="154" t="s">
        <v>1697</v>
      </c>
      <c r="B34" s="155">
        <v>750762</v>
      </c>
      <c r="C34" s="154">
        <v>212715</v>
      </c>
      <c r="D34" s="155">
        <v>104367</v>
      </c>
      <c r="E34" s="154">
        <v>139869</v>
      </c>
      <c r="F34" s="155">
        <v>81692</v>
      </c>
      <c r="G34" s="154">
        <v>1289405</v>
      </c>
      <c r="H34" s="156">
        <v>1.6125231787401009E-2</v>
      </c>
      <c r="I34" s="154">
        <v>94507</v>
      </c>
      <c r="K34" s="69"/>
    </row>
    <row r="35" spans="1:11" ht="19.5" customHeight="1">
      <c r="A35" s="140" t="s">
        <v>466</v>
      </c>
      <c r="B35" s="151"/>
      <c r="C35" s="151"/>
      <c r="D35" s="151"/>
      <c r="E35" s="151"/>
      <c r="F35" s="151"/>
      <c r="G35" s="151"/>
      <c r="H35" s="151"/>
      <c r="I35" s="151"/>
    </row>
    <row r="36" spans="1:11" ht="13.5" customHeight="1">
      <c r="A36" s="141"/>
      <c r="B36" s="152"/>
      <c r="C36" s="152"/>
      <c r="D36" s="152"/>
      <c r="E36" s="152"/>
      <c r="F36" s="152"/>
      <c r="G36" s="152"/>
      <c r="H36" s="152"/>
      <c r="I36" s="152"/>
    </row>
    <row r="37" spans="1:11" ht="15.75" customHeight="1">
      <c r="A37" s="141" t="s">
        <v>1365</v>
      </c>
      <c r="B37" s="152"/>
      <c r="C37" s="152"/>
      <c r="D37" s="152"/>
      <c r="E37" s="152"/>
      <c r="F37" s="152"/>
      <c r="G37" s="152"/>
      <c r="H37" s="152"/>
      <c r="I37" s="152"/>
    </row>
    <row r="38" spans="1:11" ht="13.5" customHeight="1">
      <c r="A38" s="141"/>
      <c r="B38" s="152"/>
      <c r="C38" s="152"/>
      <c r="D38" s="152"/>
      <c r="E38" s="152"/>
      <c r="F38" s="152"/>
      <c r="G38" s="152"/>
      <c r="H38" s="152"/>
      <c r="I38" s="152"/>
    </row>
    <row r="39" spans="1:11" ht="11.25" customHeight="1">
      <c r="A39" s="38" t="s">
        <v>1366</v>
      </c>
      <c r="B39" s="152"/>
      <c r="C39" s="152"/>
      <c r="D39" s="152"/>
      <c r="E39" s="152"/>
      <c r="F39" s="152"/>
      <c r="G39" s="152"/>
      <c r="H39" s="152"/>
      <c r="I39" s="152"/>
    </row>
    <row r="40" spans="1:11">
      <c r="A40" s="157" t="s">
        <v>1367</v>
      </c>
    </row>
  </sheetData>
  <mergeCells count="1">
    <mergeCell ref="B3:F3"/>
  </mergeCells>
  <phoneticPr fontId="0" type="noConversion"/>
  <pageMargins left="0.78740157480314965" right="0.78740157480314965" top="1.46" bottom="0.49" header="0.95" footer="0.4921259845"/>
  <pageSetup paperSize="9" scale="80" orientation="portrait" horizontalDpi="1200" verticalDpi="1200"/>
  <headerFooter alignWithMargins="0">
    <oddHeader>&amp;L&amp;"Arial,Bold"&amp;14Prämienverbilligung in der OKP</oddHeader>
    <oddFooter>&amp;L&amp;"Arial,Regular"Statistik über die Krankenversicherung, Bundesamt für Sozialversicherung</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6EF7-57D9-C746-9F45-2D3BAFCA6862}">
  <dimension ref="A1:I40"/>
  <sheetViews>
    <sheetView topLeftCell="A22" zoomScale="75" workbookViewId="0">
      <selection activeCell="A38" sqref="A38"/>
    </sheetView>
  </sheetViews>
  <sheetFormatPr baseColWidth="10" defaultColWidth="11.3984375" defaultRowHeight="13"/>
  <cols>
    <col min="1" max="1" width="11.19921875" style="3" customWidth="1"/>
    <col min="2" max="9" width="11.796875" style="3" customWidth="1"/>
    <col min="10" max="16384" width="11.3984375" style="3"/>
  </cols>
  <sheetData>
    <row r="1" spans="1:9" s="1" customFormat="1" ht="14" customHeight="1"/>
    <row r="2" spans="1:9" s="1" customFormat="1" ht="28" customHeight="1">
      <c r="A2" s="64" t="s">
        <v>470</v>
      </c>
    </row>
    <row r="3" spans="1:9" ht="24" customHeight="1">
      <c r="A3" s="2" t="s">
        <v>1663</v>
      </c>
      <c r="B3" s="90" t="s">
        <v>1369</v>
      </c>
      <c r="C3" s="17"/>
      <c r="D3" s="74"/>
      <c r="E3" s="2"/>
      <c r="F3" s="90"/>
      <c r="G3" s="17"/>
      <c r="H3" s="90"/>
      <c r="I3" s="17" t="s">
        <v>1350</v>
      </c>
    </row>
    <row r="4" spans="1:9" ht="15" customHeight="1">
      <c r="A4" s="82"/>
      <c r="B4" s="75" t="s">
        <v>1370</v>
      </c>
      <c r="C4" s="66" t="s">
        <v>1371</v>
      </c>
      <c r="D4" s="15" t="s">
        <v>1372</v>
      </c>
      <c r="E4" s="66" t="s">
        <v>1373</v>
      </c>
      <c r="F4" s="15" t="s">
        <v>1374</v>
      </c>
      <c r="G4" s="66" t="s">
        <v>1375</v>
      </c>
      <c r="H4" s="15" t="s">
        <v>1376</v>
      </c>
      <c r="I4" s="18" t="s">
        <v>607</v>
      </c>
    </row>
    <row r="5" spans="1:9" ht="15" customHeight="1">
      <c r="A5" s="82"/>
      <c r="B5" s="75" t="s">
        <v>1377</v>
      </c>
      <c r="C5" s="18" t="s">
        <v>1378</v>
      </c>
      <c r="D5" s="75" t="s">
        <v>1379</v>
      </c>
      <c r="E5" s="18" t="s">
        <v>1380</v>
      </c>
      <c r="F5" s="15" t="s">
        <v>1381</v>
      </c>
      <c r="G5" s="66" t="s">
        <v>1381</v>
      </c>
      <c r="H5" s="15" t="s">
        <v>1382</v>
      </c>
      <c r="I5" s="18"/>
    </row>
    <row r="6" spans="1:9" ht="15" customHeight="1">
      <c r="A6" s="82"/>
      <c r="B6" s="75"/>
      <c r="C6" s="18"/>
      <c r="D6" s="75"/>
      <c r="E6" s="18"/>
      <c r="F6" s="15"/>
      <c r="G6" s="66"/>
      <c r="H6" s="15" t="s">
        <v>1383</v>
      </c>
      <c r="I6" s="18"/>
    </row>
    <row r="7" spans="1:9" ht="16" customHeight="1">
      <c r="A7" s="83"/>
      <c r="B7" s="78"/>
      <c r="C7" s="19"/>
      <c r="D7" s="78"/>
      <c r="E7" s="19"/>
      <c r="F7" s="16"/>
      <c r="G7" s="67"/>
      <c r="H7" s="16"/>
      <c r="I7" s="19"/>
    </row>
    <row r="8" spans="1:9" ht="30" customHeight="1" thickBot="1">
      <c r="A8" s="146" t="s">
        <v>1671</v>
      </c>
      <c r="B8" s="92">
        <v>67061</v>
      </c>
      <c r="C8" s="98">
        <v>62598</v>
      </c>
      <c r="D8" s="92">
        <v>63522</v>
      </c>
      <c r="E8" s="98">
        <v>42754</v>
      </c>
      <c r="F8" s="92">
        <v>7256</v>
      </c>
      <c r="G8" s="98">
        <v>4810</v>
      </c>
      <c r="H8" s="92">
        <v>301</v>
      </c>
      <c r="I8" s="98">
        <v>248302</v>
      </c>
    </row>
    <row r="9" spans="1:9" ht="20" customHeight="1" thickBot="1">
      <c r="A9" s="148" t="s">
        <v>1672</v>
      </c>
      <c r="B9" s="80">
        <v>39437</v>
      </c>
      <c r="C9" s="119">
        <v>44718</v>
      </c>
      <c r="D9" s="80">
        <v>50239</v>
      </c>
      <c r="E9" s="119">
        <v>36437</v>
      </c>
      <c r="F9" s="80">
        <v>13833</v>
      </c>
      <c r="G9" s="119">
        <v>13392</v>
      </c>
      <c r="H9" s="80">
        <v>15</v>
      </c>
      <c r="I9" s="119">
        <v>198071</v>
      </c>
    </row>
    <row r="10" spans="1:9" ht="20" customHeight="1" thickBot="1">
      <c r="A10" s="148" t="s">
        <v>1673</v>
      </c>
      <c r="B10" s="80">
        <v>6689</v>
      </c>
      <c r="C10" s="119">
        <v>8212</v>
      </c>
      <c r="D10" s="80">
        <v>30301</v>
      </c>
      <c r="E10" s="119">
        <v>7236</v>
      </c>
      <c r="F10" s="80">
        <v>3786</v>
      </c>
      <c r="G10" s="119">
        <v>1799</v>
      </c>
      <c r="H10" s="80" t="s">
        <v>488</v>
      </c>
      <c r="I10" s="119">
        <v>58023</v>
      </c>
    </row>
    <row r="11" spans="1:9" ht="20" customHeight="1" thickBot="1">
      <c r="A11" s="148" t="s">
        <v>1674</v>
      </c>
      <c r="B11" s="80">
        <v>491</v>
      </c>
      <c r="C11" s="119">
        <v>889</v>
      </c>
      <c r="D11" s="80">
        <v>2411</v>
      </c>
      <c r="E11" s="119">
        <v>819</v>
      </c>
      <c r="F11" s="80">
        <v>414</v>
      </c>
      <c r="G11" s="119">
        <v>168</v>
      </c>
      <c r="H11" s="80" t="s">
        <v>488</v>
      </c>
      <c r="I11" s="119">
        <v>5192</v>
      </c>
    </row>
    <row r="12" spans="1:9" ht="20" customHeight="1" thickBot="1">
      <c r="A12" s="148" t="s">
        <v>1675</v>
      </c>
      <c r="B12" s="80">
        <v>2683</v>
      </c>
      <c r="C12" s="119">
        <v>3699</v>
      </c>
      <c r="D12" s="80">
        <v>6671</v>
      </c>
      <c r="E12" s="119">
        <v>3487</v>
      </c>
      <c r="F12" s="80">
        <v>1632</v>
      </c>
      <c r="G12" s="119">
        <v>508</v>
      </c>
      <c r="H12" s="80">
        <v>3967</v>
      </c>
      <c r="I12" s="119">
        <v>22647</v>
      </c>
    </row>
    <row r="13" spans="1:9" ht="20" customHeight="1" thickBot="1">
      <c r="A13" s="148" t="s">
        <v>1676</v>
      </c>
      <c r="B13" s="80">
        <v>1853</v>
      </c>
      <c r="C13" s="119">
        <v>1373</v>
      </c>
      <c r="D13" s="80">
        <v>3343</v>
      </c>
      <c r="E13" s="119">
        <v>1038</v>
      </c>
      <c r="F13" s="80">
        <v>345</v>
      </c>
      <c r="G13" s="119">
        <v>89</v>
      </c>
      <c r="H13" s="80" t="s">
        <v>488</v>
      </c>
      <c r="I13" s="119">
        <v>8041</v>
      </c>
    </row>
    <row r="14" spans="1:9" ht="20" customHeight="1" thickBot="1">
      <c r="A14" s="148" t="s">
        <v>1677</v>
      </c>
      <c r="B14" s="80">
        <v>2334</v>
      </c>
      <c r="C14" s="119">
        <v>2068</v>
      </c>
      <c r="D14" s="80">
        <v>2499</v>
      </c>
      <c r="E14" s="119">
        <v>426</v>
      </c>
      <c r="F14" s="80">
        <v>74</v>
      </c>
      <c r="G14" s="119">
        <v>29</v>
      </c>
      <c r="H14" s="80" t="s">
        <v>488</v>
      </c>
      <c r="I14" s="119">
        <v>7430</v>
      </c>
    </row>
    <row r="15" spans="1:9" ht="20" customHeight="1" thickBot="1">
      <c r="A15" s="148" t="s">
        <v>1678</v>
      </c>
      <c r="B15" s="80">
        <v>960</v>
      </c>
      <c r="C15" s="119">
        <v>1362</v>
      </c>
      <c r="D15" s="80">
        <v>3265</v>
      </c>
      <c r="E15" s="119">
        <v>811</v>
      </c>
      <c r="F15" s="80">
        <v>342</v>
      </c>
      <c r="G15" s="119">
        <v>255</v>
      </c>
      <c r="H15" s="80" t="s">
        <v>488</v>
      </c>
      <c r="I15" s="119">
        <v>6995</v>
      </c>
    </row>
    <row r="16" spans="1:9" ht="20" customHeight="1" thickBot="1">
      <c r="A16" s="148" t="s">
        <v>1679</v>
      </c>
      <c r="B16" s="80">
        <v>3545</v>
      </c>
      <c r="C16" s="119">
        <v>3773</v>
      </c>
      <c r="D16" s="80">
        <v>7194</v>
      </c>
      <c r="E16" s="119">
        <v>1130</v>
      </c>
      <c r="F16" s="80">
        <v>376</v>
      </c>
      <c r="G16" s="119">
        <v>175</v>
      </c>
      <c r="H16" s="80" t="s">
        <v>488</v>
      </c>
      <c r="I16" s="119">
        <v>16193</v>
      </c>
    </row>
    <row r="17" spans="1:9" ht="20" customHeight="1" thickBot="1">
      <c r="A17" s="148" t="s">
        <v>1680</v>
      </c>
      <c r="B17" s="80">
        <v>1457</v>
      </c>
      <c r="C17" s="119">
        <v>8455</v>
      </c>
      <c r="D17" s="80">
        <v>15745</v>
      </c>
      <c r="E17" s="119">
        <v>5443</v>
      </c>
      <c r="F17" s="80">
        <v>4385</v>
      </c>
      <c r="G17" s="119">
        <v>2539</v>
      </c>
      <c r="H17" s="80" t="s">
        <v>488</v>
      </c>
      <c r="I17" s="119">
        <v>38024</v>
      </c>
    </row>
    <row r="18" spans="1:9" ht="20" customHeight="1" thickBot="1">
      <c r="A18" s="148" t="s">
        <v>1681</v>
      </c>
      <c r="B18" s="80">
        <v>2443</v>
      </c>
      <c r="C18" s="119">
        <v>7701</v>
      </c>
      <c r="D18" s="80">
        <v>10836</v>
      </c>
      <c r="E18" s="119">
        <v>5346</v>
      </c>
      <c r="F18" s="80">
        <v>1775</v>
      </c>
      <c r="G18" s="119">
        <v>1150</v>
      </c>
      <c r="H18" s="80" t="s">
        <v>488</v>
      </c>
      <c r="I18" s="119">
        <v>29251</v>
      </c>
    </row>
    <row r="19" spans="1:9" ht="20" customHeight="1" thickBot="1">
      <c r="A19" s="148" t="s">
        <v>1682</v>
      </c>
      <c r="B19" s="80">
        <v>5138</v>
      </c>
      <c r="C19" s="119">
        <v>3811</v>
      </c>
      <c r="D19" s="80">
        <v>8111</v>
      </c>
      <c r="E19" s="119">
        <v>4120</v>
      </c>
      <c r="F19" s="80">
        <v>9097</v>
      </c>
      <c r="G19" s="119">
        <v>3298</v>
      </c>
      <c r="H19" s="80" t="s">
        <v>488</v>
      </c>
      <c r="I19" s="119">
        <v>33575</v>
      </c>
    </row>
    <row r="20" spans="1:9" ht="20" customHeight="1" thickBot="1">
      <c r="A20" s="148" t="s">
        <v>1683</v>
      </c>
      <c r="B20" s="30">
        <v>5193</v>
      </c>
      <c r="C20" s="122">
        <v>11190</v>
      </c>
      <c r="D20" s="80">
        <v>25323</v>
      </c>
      <c r="E20" s="119">
        <v>7068</v>
      </c>
      <c r="F20" s="30">
        <v>1584</v>
      </c>
      <c r="G20" s="122">
        <v>395</v>
      </c>
      <c r="H20" s="30" t="s">
        <v>488</v>
      </c>
      <c r="I20" s="119">
        <v>50753</v>
      </c>
    </row>
    <row r="21" spans="1:9" ht="20" customHeight="1" thickBot="1">
      <c r="A21" s="148" t="s">
        <v>1684</v>
      </c>
      <c r="B21" s="80">
        <v>2185</v>
      </c>
      <c r="C21" s="119">
        <v>1975</v>
      </c>
      <c r="D21" s="80">
        <v>5998</v>
      </c>
      <c r="E21" s="119">
        <v>1664</v>
      </c>
      <c r="F21" s="80">
        <v>732</v>
      </c>
      <c r="G21" s="119">
        <v>391</v>
      </c>
      <c r="H21" s="80" t="s">
        <v>488</v>
      </c>
      <c r="I21" s="119">
        <v>12945</v>
      </c>
    </row>
    <row r="22" spans="1:9" ht="20" customHeight="1" thickBot="1">
      <c r="A22" s="148" t="s">
        <v>1685</v>
      </c>
      <c r="B22" s="80">
        <v>486</v>
      </c>
      <c r="C22" s="119">
        <v>489</v>
      </c>
      <c r="D22" s="80">
        <v>2262</v>
      </c>
      <c r="E22" s="119">
        <v>717</v>
      </c>
      <c r="F22" s="80">
        <v>782</v>
      </c>
      <c r="G22" s="119">
        <v>1095</v>
      </c>
      <c r="H22" s="80" t="s">
        <v>488</v>
      </c>
      <c r="I22" s="119">
        <v>5831</v>
      </c>
    </row>
    <row r="23" spans="1:9" ht="20" customHeight="1" thickBot="1">
      <c r="A23" s="148" t="s">
        <v>1686</v>
      </c>
      <c r="B23" s="80">
        <v>848</v>
      </c>
      <c r="C23" s="119">
        <v>594</v>
      </c>
      <c r="D23" s="80">
        <v>961</v>
      </c>
      <c r="E23" s="119">
        <v>246</v>
      </c>
      <c r="F23" s="80">
        <v>164</v>
      </c>
      <c r="G23" s="119">
        <v>185</v>
      </c>
      <c r="H23" s="80" t="s">
        <v>488</v>
      </c>
      <c r="I23" s="119">
        <v>2998</v>
      </c>
    </row>
    <row r="24" spans="1:9" ht="20" customHeight="1" thickBot="1">
      <c r="A24" s="148" t="s">
        <v>1687</v>
      </c>
      <c r="B24" s="80">
        <v>12902</v>
      </c>
      <c r="C24" s="119">
        <v>12293</v>
      </c>
      <c r="D24" s="80">
        <v>32120</v>
      </c>
      <c r="E24" s="119">
        <v>6718</v>
      </c>
      <c r="F24" s="80">
        <v>3568</v>
      </c>
      <c r="G24" s="119">
        <v>1426</v>
      </c>
      <c r="H24" s="80" t="s">
        <v>488</v>
      </c>
      <c r="I24" s="119">
        <v>69027</v>
      </c>
    </row>
    <row r="25" spans="1:9" ht="20" customHeight="1" thickBot="1">
      <c r="A25" s="148" t="s">
        <v>1688</v>
      </c>
      <c r="B25" s="80">
        <v>5966</v>
      </c>
      <c r="C25" s="119">
        <v>5855</v>
      </c>
      <c r="D25" s="80">
        <v>11775</v>
      </c>
      <c r="E25" s="119">
        <v>3395</v>
      </c>
      <c r="F25" s="80">
        <v>1488</v>
      </c>
      <c r="G25" s="119">
        <v>638</v>
      </c>
      <c r="H25" s="80" t="s">
        <v>488</v>
      </c>
      <c r="I25" s="119">
        <v>29117</v>
      </c>
    </row>
    <row r="26" spans="1:9" ht="20" customHeight="1" thickBot="1">
      <c r="A26" s="148" t="s">
        <v>1689</v>
      </c>
      <c r="B26" s="80">
        <v>3487</v>
      </c>
      <c r="C26" s="119">
        <v>5917</v>
      </c>
      <c r="D26" s="80">
        <v>13703</v>
      </c>
      <c r="E26" s="119">
        <v>15426</v>
      </c>
      <c r="F26" s="80">
        <v>4989</v>
      </c>
      <c r="G26" s="119">
        <v>4420</v>
      </c>
      <c r="H26" s="80" t="s">
        <v>488</v>
      </c>
      <c r="I26" s="119">
        <v>47942</v>
      </c>
    </row>
    <row r="27" spans="1:9" ht="20" customHeight="1" thickBot="1">
      <c r="A27" s="148" t="s">
        <v>1690</v>
      </c>
      <c r="B27" s="80">
        <v>6348</v>
      </c>
      <c r="C27" s="119">
        <v>15787</v>
      </c>
      <c r="D27" s="80">
        <v>31071</v>
      </c>
      <c r="E27" s="119">
        <v>6345</v>
      </c>
      <c r="F27" s="80">
        <v>1103</v>
      </c>
      <c r="G27" s="119">
        <v>222</v>
      </c>
      <c r="H27" s="80" t="s">
        <v>488</v>
      </c>
      <c r="I27" s="119">
        <v>60876</v>
      </c>
    </row>
    <row r="28" spans="1:9" ht="20" customHeight="1" thickBot="1">
      <c r="A28" s="148" t="s">
        <v>1691</v>
      </c>
      <c r="B28" s="80">
        <v>3133</v>
      </c>
      <c r="C28" s="119">
        <v>4583</v>
      </c>
      <c r="D28" s="80">
        <v>16115</v>
      </c>
      <c r="E28" s="119">
        <v>20361</v>
      </c>
      <c r="F28" s="80">
        <v>3114</v>
      </c>
      <c r="G28" s="119">
        <v>6348</v>
      </c>
      <c r="H28" s="80" t="s">
        <v>488</v>
      </c>
      <c r="I28" s="119">
        <v>53654</v>
      </c>
    </row>
    <row r="29" spans="1:9" ht="20" customHeight="1" thickBot="1">
      <c r="A29" s="148" t="s">
        <v>1692</v>
      </c>
      <c r="B29" s="80">
        <v>2122</v>
      </c>
      <c r="C29" s="119">
        <v>4041</v>
      </c>
      <c r="D29" s="80">
        <v>11899</v>
      </c>
      <c r="E29" s="119">
        <v>23507</v>
      </c>
      <c r="F29" s="80">
        <v>17847</v>
      </c>
      <c r="G29" s="119">
        <v>19059</v>
      </c>
      <c r="H29" s="80" t="s">
        <v>488</v>
      </c>
      <c r="I29" s="119">
        <v>78475</v>
      </c>
    </row>
    <row r="30" spans="1:9" ht="20" customHeight="1" thickBot="1">
      <c r="A30" s="148" t="s">
        <v>1693</v>
      </c>
      <c r="B30" s="80">
        <v>34</v>
      </c>
      <c r="C30" s="119">
        <v>4769</v>
      </c>
      <c r="D30" s="80">
        <v>25273</v>
      </c>
      <c r="E30" s="119">
        <v>7481</v>
      </c>
      <c r="F30" s="80">
        <v>4818</v>
      </c>
      <c r="G30" s="119">
        <v>5479</v>
      </c>
      <c r="H30" s="80" t="s">
        <v>488</v>
      </c>
      <c r="I30" s="119">
        <v>47854</v>
      </c>
    </row>
    <row r="31" spans="1:9" ht="20" customHeight="1" thickBot="1">
      <c r="A31" s="148" t="s">
        <v>1694</v>
      </c>
      <c r="B31" s="80">
        <v>5147</v>
      </c>
      <c r="C31" s="119">
        <v>5028</v>
      </c>
      <c r="D31" s="80">
        <v>6078</v>
      </c>
      <c r="E31" s="119">
        <v>10749</v>
      </c>
      <c r="F31" s="80">
        <v>1744</v>
      </c>
      <c r="G31" s="119">
        <v>3863</v>
      </c>
      <c r="H31" s="80" t="s">
        <v>488</v>
      </c>
      <c r="I31" s="119">
        <v>32609</v>
      </c>
    </row>
    <row r="32" spans="1:9" ht="20" customHeight="1" thickBot="1">
      <c r="A32" s="148" t="s">
        <v>1695</v>
      </c>
      <c r="B32" s="80">
        <v>12238</v>
      </c>
      <c r="C32" s="119">
        <v>46671</v>
      </c>
      <c r="D32" s="80">
        <v>16508</v>
      </c>
      <c r="E32" s="119">
        <v>10432</v>
      </c>
      <c r="F32" s="80">
        <v>15894</v>
      </c>
      <c r="G32" s="119">
        <v>9512</v>
      </c>
      <c r="H32" s="80">
        <v>286</v>
      </c>
      <c r="I32" s="119">
        <v>111541</v>
      </c>
    </row>
    <row r="33" spans="1:9" ht="20" customHeight="1" thickBot="1">
      <c r="A33" s="148" t="s">
        <v>1696</v>
      </c>
      <c r="B33" s="80">
        <v>2512</v>
      </c>
      <c r="C33" s="119">
        <v>2388</v>
      </c>
      <c r="D33" s="80">
        <v>3991</v>
      </c>
      <c r="E33" s="119">
        <v>3305</v>
      </c>
      <c r="F33" s="80">
        <v>832</v>
      </c>
      <c r="G33" s="119">
        <v>1011</v>
      </c>
      <c r="H33" s="80" t="s">
        <v>488</v>
      </c>
      <c r="I33" s="119">
        <v>14039</v>
      </c>
    </row>
    <row r="34" spans="1:9" ht="30" customHeight="1" thickBot="1">
      <c r="A34" s="154" t="s">
        <v>1697</v>
      </c>
      <c r="B34" s="155">
        <v>196692</v>
      </c>
      <c r="C34" s="154">
        <v>270239</v>
      </c>
      <c r="D34" s="155">
        <v>407214</v>
      </c>
      <c r="E34" s="154">
        <v>226461</v>
      </c>
      <c r="F34" s="155">
        <v>101974</v>
      </c>
      <c r="G34" s="154">
        <v>82256</v>
      </c>
      <c r="H34" s="155">
        <v>4569</v>
      </c>
      <c r="I34" s="154">
        <v>1289405</v>
      </c>
    </row>
    <row r="35" spans="1:9" ht="20" customHeight="1">
      <c r="A35" s="140" t="s">
        <v>466</v>
      </c>
      <c r="B35" s="151"/>
      <c r="C35" s="151"/>
      <c r="D35" s="151"/>
      <c r="E35" s="151"/>
      <c r="F35" s="151"/>
      <c r="G35" s="151"/>
      <c r="H35" s="151"/>
      <c r="I35" s="151"/>
    </row>
    <row r="36" spans="1:9" ht="14.25" customHeight="1">
      <c r="A36" s="141"/>
      <c r="B36" s="152"/>
      <c r="C36" s="152"/>
      <c r="D36" s="152"/>
      <c r="E36" s="152"/>
      <c r="F36" s="152"/>
      <c r="G36" s="152"/>
      <c r="H36" s="152"/>
      <c r="I36" s="152"/>
    </row>
    <row r="37" spans="1:9" ht="20" customHeight="1">
      <c r="A37" s="141" t="s">
        <v>1365</v>
      </c>
      <c r="B37" s="152"/>
      <c r="C37" s="152"/>
      <c r="D37" s="152"/>
      <c r="E37" s="152"/>
      <c r="F37" s="152"/>
      <c r="G37" s="152"/>
      <c r="H37" s="152"/>
      <c r="I37" s="152"/>
    </row>
    <row r="38" spans="1:9" ht="13.5" customHeight="1">
      <c r="A38" s="141"/>
      <c r="B38" s="152"/>
      <c r="C38" s="152"/>
      <c r="D38" s="152"/>
      <c r="E38" s="152"/>
      <c r="F38" s="152"/>
      <c r="G38" s="152"/>
      <c r="H38" s="152"/>
      <c r="I38" s="152"/>
    </row>
    <row r="39" spans="1:9" ht="11.25" customHeight="1">
      <c r="A39" s="38" t="s">
        <v>1366</v>
      </c>
      <c r="B39" s="152"/>
      <c r="C39" s="152"/>
      <c r="D39" s="152"/>
      <c r="E39" s="152"/>
      <c r="F39" s="152"/>
      <c r="G39" s="152"/>
      <c r="H39" s="152"/>
      <c r="I39" s="152"/>
    </row>
    <row r="40" spans="1:9">
      <c r="A40" s="142"/>
    </row>
  </sheetData>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7541-1DAC-B54C-8243-266547F61DE0}">
  <dimension ref="A1:I40"/>
  <sheetViews>
    <sheetView zoomScale="75" workbookViewId="0"/>
  </sheetViews>
  <sheetFormatPr baseColWidth="10" defaultColWidth="11.3984375" defaultRowHeight="13"/>
  <cols>
    <col min="1" max="1" width="11.3984375" style="3"/>
    <col min="2" max="8" width="11.796875" style="3" customWidth="1"/>
    <col min="9" max="9" width="11.59765625" style="3" customWidth="1"/>
    <col min="10" max="10" width="16.19921875" style="3" customWidth="1"/>
    <col min="11" max="16384" width="11.3984375" style="3"/>
  </cols>
  <sheetData>
    <row r="1" spans="1:9" s="1" customFormat="1" ht="14" customHeight="1"/>
    <row r="2" spans="1:9" s="1" customFormat="1" ht="28" customHeight="1">
      <c r="A2" s="64" t="s">
        <v>471</v>
      </c>
    </row>
    <row r="3" spans="1:9" ht="24" customHeight="1">
      <c r="A3" s="2" t="s">
        <v>1663</v>
      </c>
      <c r="B3" s="90" t="s">
        <v>333</v>
      </c>
      <c r="C3" s="17"/>
      <c r="D3" s="74"/>
      <c r="E3" s="2"/>
      <c r="F3" s="90"/>
      <c r="G3" s="17"/>
      <c r="H3" s="90"/>
      <c r="I3" s="17"/>
    </row>
    <row r="4" spans="1:9" ht="15" customHeight="1">
      <c r="A4" s="82"/>
      <c r="B4" s="158" t="s">
        <v>323</v>
      </c>
      <c r="C4" s="66"/>
      <c r="D4" s="15"/>
      <c r="E4" s="66"/>
      <c r="F4" s="159" t="s">
        <v>324</v>
      </c>
      <c r="G4" s="66"/>
      <c r="H4" s="15"/>
      <c r="I4" s="18"/>
    </row>
    <row r="5" spans="1:9" ht="15" customHeight="1">
      <c r="A5" s="82"/>
      <c r="B5" s="75" t="s">
        <v>325</v>
      </c>
      <c r="C5" s="18" t="s">
        <v>326</v>
      </c>
      <c r="D5" s="75" t="s">
        <v>327</v>
      </c>
      <c r="E5" s="18" t="s">
        <v>328</v>
      </c>
      <c r="F5" s="15" t="s">
        <v>325</v>
      </c>
      <c r="G5" s="66" t="s">
        <v>326</v>
      </c>
      <c r="H5" s="15" t="s">
        <v>327</v>
      </c>
      <c r="I5" s="18" t="s">
        <v>328</v>
      </c>
    </row>
    <row r="6" spans="1:9" ht="31" customHeight="1">
      <c r="A6" s="83"/>
      <c r="B6" s="78" t="s">
        <v>1664</v>
      </c>
      <c r="C6" s="19"/>
      <c r="D6" s="78"/>
      <c r="E6" s="19"/>
      <c r="F6" s="16" t="s">
        <v>1664</v>
      </c>
      <c r="G6" s="67"/>
      <c r="H6" s="16"/>
      <c r="I6" s="19"/>
    </row>
    <row r="7" spans="1:9" ht="30" customHeight="1" thickBot="1">
      <c r="A7" s="160" t="s">
        <v>1671</v>
      </c>
      <c r="B7" s="79">
        <v>36000</v>
      </c>
      <c r="C7" s="112">
        <v>44600</v>
      </c>
      <c r="D7" s="79">
        <v>44600</v>
      </c>
      <c r="E7" s="112">
        <v>44600</v>
      </c>
      <c r="F7" s="79">
        <v>44600</v>
      </c>
      <c r="G7" s="112">
        <v>44600</v>
      </c>
      <c r="H7" s="79">
        <v>44600</v>
      </c>
      <c r="I7" s="112">
        <v>44600</v>
      </c>
    </row>
    <row r="8" spans="1:9" ht="20" customHeight="1" thickBot="1">
      <c r="A8" s="148" t="s">
        <v>1672</v>
      </c>
      <c r="B8" s="80">
        <v>35200</v>
      </c>
      <c r="C8" s="119">
        <v>47200</v>
      </c>
      <c r="D8" s="80">
        <v>55700</v>
      </c>
      <c r="E8" s="119">
        <v>64200</v>
      </c>
      <c r="F8" s="80">
        <v>45500</v>
      </c>
      <c r="G8" s="119">
        <v>54000</v>
      </c>
      <c r="H8" s="80">
        <v>62500</v>
      </c>
      <c r="I8" s="119">
        <v>71000</v>
      </c>
    </row>
    <row r="9" spans="1:9" ht="20" customHeight="1" thickBot="1">
      <c r="A9" s="148" t="s">
        <v>1673</v>
      </c>
      <c r="B9" s="80">
        <v>26700</v>
      </c>
      <c r="C9" s="119">
        <v>33600</v>
      </c>
      <c r="D9" s="80">
        <v>40500</v>
      </c>
      <c r="E9" s="119">
        <v>47400</v>
      </c>
      <c r="F9" s="80">
        <v>54100</v>
      </c>
      <c r="G9" s="119">
        <v>61000</v>
      </c>
      <c r="H9" s="80">
        <v>67900</v>
      </c>
      <c r="I9" s="119">
        <v>74800</v>
      </c>
    </row>
    <row r="10" spans="1:9" ht="20" customHeight="1" thickBot="1">
      <c r="A10" s="148" t="s">
        <v>1674</v>
      </c>
      <c r="B10" s="80">
        <v>22600</v>
      </c>
      <c r="C10" s="119">
        <v>29000</v>
      </c>
      <c r="D10" s="80">
        <v>34800</v>
      </c>
      <c r="E10" s="119">
        <v>41300</v>
      </c>
      <c r="F10" s="80">
        <v>46000</v>
      </c>
      <c r="G10" s="119">
        <v>52500</v>
      </c>
      <c r="H10" s="80">
        <v>59100</v>
      </c>
      <c r="I10" s="119">
        <v>60000</v>
      </c>
    </row>
    <row r="11" spans="1:9" ht="20" customHeight="1" thickBot="1">
      <c r="A11" s="148" t="s">
        <v>1675</v>
      </c>
      <c r="B11" s="80">
        <v>23159</v>
      </c>
      <c r="C11" s="119">
        <v>40823</v>
      </c>
      <c r="D11" s="80">
        <v>58013</v>
      </c>
      <c r="E11" s="119">
        <v>72029</v>
      </c>
      <c r="F11" s="80">
        <v>62531</v>
      </c>
      <c r="G11" s="119">
        <v>88943</v>
      </c>
      <c r="H11" s="80">
        <v>113723</v>
      </c>
      <c r="I11" s="119">
        <v>131855</v>
      </c>
    </row>
    <row r="12" spans="1:9" ht="20" customHeight="1" thickBot="1">
      <c r="A12" s="148" t="s">
        <v>1676</v>
      </c>
      <c r="B12" s="80">
        <v>31300</v>
      </c>
      <c r="C12" s="119">
        <v>39800</v>
      </c>
      <c r="D12" s="80">
        <v>48300</v>
      </c>
      <c r="E12" s="119">
        <v>56800</v>
      </c>
      <c r="F12" s="80">
        <v>64100</v>
      </c>
      <c r="G12" s="119">
        <v>72600</v>
      </c>
      <c r="H12" s="80">
        <v>81100</v>
      </c>
      <c r="I12" s="119">
        <v>89600</v>
      </c>
    </row>
    <row r="13" spans="1:9" ht="20" customHeight="1" thickBot="1">
      <c r="A13" s="148" t="s">
        <v>1677</v>
      </c>
      <c r="B13" s="80">
        <v>33000</v>
      </c>
      <c r="C13" s="119">
        <v>42000</v>
      </c>
      <c r="D13" s="80">
        <v>51000</v>
      </c>
      <c r="E13" s="119">
        <v>60000</v>
      </c>
      <c r="F13" s="80">
        <v>33000</v>
      </c>
      <c r="G13" s="119">
        <v>75000</v>
      </c>
      <c r="H13" s="80">
        <v>84000</v>
      </c>
      <c r="I13" s="119">
        <v>93000</v>
      </c>
    </row>
    <row r="14" spans="1:9" ht="20" customHeight="1" thickBot="1">
      <c r="A14" s="148" t="s">
        <v>1678</v>
      </c>
      <c r="B14" s="80">
        <v>44850</v>
      </c>
      <c r="C14" s="119">
        <v>50000</v>
      </c>
      <c r="D14" s="80">
        <v>57360</v>
      </c>
      <c r="E14" s="119">
        <v>60000</v>
      </c>
      <c r="F14" s="80">
        <v>64780</v>
      </c>
      <c r="G14" s="119">
        <v>70000</v>
      </c>
      <c r="H14" s="80">
        <v>71680</v>
      </c>
      <c r="I14" s="119">
        <v>79180</v>
      </c>
    </row>
    <row r="15" spans="1:9" ht="20" customHeight="1" thickBot="1">
      <c r="A15" s="148" t="s">
        <v>1679</v>
      </c>
      <c r="B15" s="80">
        <v>33500</v>
      </c>
      <c r="C15" s="119">
        <v>47600</v>
      </c>
      <c r="D15" s="80">
        <v>61600</v>
      </c>
      <c r="E15" s="119">
        <v>75700</v>
      </c>
      <c r="F15" s="80">
        <v>67900</v>
      </c>
      <c r="G15" s="119">
        <v>81900</v>
      </c>
      <c r="H15" s="80">
        <v>96000</v>
      </c>
      <c r="I15" s="119">
        <v>110000</v>
      </c>
    </row>
    <row r="16" spans="1:9" ht="20" customHeight="1" thickBot="1">
      <c r="A16" s="148" t="s">
        <v>1680</v>
      </c>
      <c r="B16" s="80">
        <v>35000</v>
      </c>
      <c r="C16" s="119">
        <v>52000</v>
      </c>
      <c r="D16" s="80">
        <v>61000</v>
      </c>
      <c r="E16" s="119">
        <v>70000</v>
      </c>
      <c r="F16" s="80">
        <v>52000</v>
      </c>
      <c r="G16" s="119">
        <v>61000</v>
      </c>
      <c r="H16" s="80">
        <v>70000</v>
      </c>
      <c r="I16" s="119">
        <v>79000</v>
      </c>
    </row>
    <row r="17" spans="1:9" ht="20" customHeight="1" thickBot="1">
      <c r="A17" s="148" t="s">
        <v>1681</v>
      </c>
      <c r="B17" s="80">
        <v>26900</v>
      </c>
      <c r="C17" s="119">
        <v>38100</v>
      </c>
      <c r="D17" s="80">
        <v>49300</v>
      </c>
      <c r="E17" s="119">
        <v>60500</v>
      </c>
      <c r="F17" s="80">
        <v>46900</v>
      </c>
      <c r="G17" s="119">
        <v>57100</v>
      </c>
      <c r="H17" s="80">
        <v>67300</v>
      </c>
      <c r="I17" s="119">
        <v>76500</v>
      </c>
    </row>
    <row r="18" spans="1:9" ht="20" customHeight="1" thickBot="1">
      <c r="A18" s="148" t="s">
        <v>1682</v>
      </c>
      <c r="B18" s="80">
        <v>39000</v>
      </c>
      <c r="C18" s="119">
        <v>74000</v>
      </c>
      <c r="D18" s="80">
        <v>82000</v>
      </c>
      <c r="E18" s="119">
        <v>88000</v>
      </c>
      <c r="F18" s="80">
        <v>64000</v>
      </c>
      <c r="G18" s="119">
        <v>74000</v>
      </c>
      <c r="H18" s="80">
        <v>82000</v>
      </c>
      <c r="I18" s="119">
        <v>88000</v>
      </c>
    </row>
    <row r="19" spans="1:9" ht="20" customHeight="1" thickBot="1">
      <c r="A19" s="148" t="s">
        <v>1683</v>
      </c>
      <c r="B19" s="30">
        <v>40000</v>
      </c>
      <c r="C19" s="122">
        <v>55000</v>
      </c>
      <c r="D19" s="80">
        <v>70000</v>
      </c>
      <c r="E19" s="119">
        <v>85000</v>
      </c>
      <c r="F19" s="30">
        <v>85000</v>
      </c>
      <c r="G19" s="122">
        <v>100000</v>
      </c>
      <c r="H19" s="30">
        <v>115000</v>
      </c>
      <c r="I19" s="119">
        <v>125000</v>
      </c>
    </row>
    <row r="20" spans="1:9" ht="20" customHeight="1" thickBot="1">
      <c r="A20" s="148" t="s">
        <v>1684</v>
      </c>
      <c r="B20" s="80">
        <v>27200</v>
      </c>
      <c r="C20" s="119">
        <v>34400</v>
      </c>
      <c r="D20" s="80">
        <v>41600</v>
      </c>
      <c r="E20" s="119">
        <v>48800</v>
      </c>
      <c r="F20" s="80">
        <v>50400</v>
      </c>
      <c r="G20" s="119">
        <v>57600</v>
      </c>
      <c r="H20" s="80">
        <v>64800</v>
      </c>
      <c r="I20" s="119">
        <v>72000</v>
      </c>
    </row>
    <row r="21" spans="1:9" ht="20" customHeight="1" thickBot="1">
      <c r="A21" s="148" t="s">
        <v>1685</v>
      </c>
      <c r="B21" s="80">
        <v>23927</v>
      </c>
      <c r="C21" s="119">
        <v>31267</v>
      </c>
      <c r="D21" s="80">
        <v>38607</v>
      </c>
      <c r="E21" s="119">
        <v>45947</v>
      </c>
      <c r="F21" s="80">
        <v>39447</v>
      </c>
      <c r="G21" s="119">
        <v>46787</v>
      </c>
      <c r="H21" s="80">
        <v>54127</v>
      </c>
      <c r="I21" s="119">
        <v>61467</v>
      </c>
    </row>
    <row r="22" spans="1:9" ht="20" customHeight="1" thickBot="1">
      <c r="A22" s="148" t="s">
        <v>1686</v>
      </c>
      <c r="B22" s="80">
        <v>31800</v>
      </c>
      <c r="C22" s="119">
        <v>40000</v>
      </c>
      <c r="D22" s="80">
        <v>48200</v>
      </c>
      <c r="E22" s="119">
        <v>56400</v>
      </c>
      <c r="F22" s="80">
        <v>63600</v>
      </c>
      <c r="G22" s="119">
        <v>71800</v>
      </c>
      <c r="H22" s="80">
        <v>80000</v>
      </c>
      <c r="I22" s="119">
        <v>88200</v>
      </c>
    </row>
    <row r="23" spans="1:9" ht="20" customHeight="1" thickBot="1">
      <c r="A23" s="148" t="s">
        <v>1687</v>
      </c>
      <c r="B23" s="80">
        <v>23750</v>
      </c>
      <c r="C23" s="119">
        <v>34866</v>
      </c>
      <c r="D23" s="80">
        <v>48622</v>
      </c>
      <c r="E23" s="119">
        <v>62377</v>
      </c>
      <c r="F23" s="80">
        <v>47500</v>
      </c>
      <c r="G23" s="119">
        <v>55977</v>
      </c>
      <c r="H23" s="80">
        <v>69733</v>
      </c>
      <c r="I23" s="119">
        <v>83488</v>
      </c>
    </row>
    <row r="24" spans="1:9" ht="20" customHeight="1" thickBot="1">
      <c r="A24" s="148" t="s">
        <v>1688</v>
      </c>
      <c r="B24" s="80">
        <v>30000</v>
      </c>
      <c r="C24" s="119">
        <v>36000</v>
      </c>
      <c r="D24" s="80">
        <v>40000</v>
      </c>
      <c r="E24" s="119">
        <v>45500</v>
      </c>
      <c r="F24" s="80">
        <v>50000</v>
      </c>
      <c r="G24" s="119">
        <v>52000</v>
      </c>
      <c r="H24" s="80">
        <v>58000</v>
      </c>
      <c r="I24" s="119">
        <v>64000</v>
      </c>
    </row>
    <row r="25" spans="1:9" ht="20" customHeight="1" thickBot="1">
      <c r="A25" s="148" t="s">
        <v>1689</v>
      </c>
      <c r="B25" s="80">
        <v>26500</v>
      </c>
      <c r="C25" s="119">
        <v>35400</v>
      </c>
      <c r="D25" s="80">
        <v>44300</v>
      </c>
      <c r="E25" s="119">
        <v>53200</v>
      </c>
      <c r="F25" s="80">
        <v>54300</v>
      </c>
      <c r="G25" s="119">
        <v>63200</v>
      </c>
      <c r="H25" s="80">
        <v>72100</v>
      </c>
      <c r="I25" s="119">
        <v>81000</v>
      </c>
    </row>
    <row r="26" spans="1:9" ht="20" customHeight="1" thickBot="1">
      <c r="A26" s="148" t="s">
        <v>1690</v>
      </c>
      <c r="B26" s="80">
        <v>29800</v>
      </c>
      <c r="C26" s="119">
        <v>29800</v>
      </c>
      <c r="D26" s="80">
        <v>29800</v>
      </c>
      <c r="E26" s="119">
        <v>29800</v>
      </c>
      <c r="F26" s="80">
        <v>34800</v>
      </c>
      <c r="G26" s="119">
        <v>34800</v>
      </c>
      <c r="H26" s="80">
        <v>34800</v>
      </c>
      <c r="I26" s="119">
        <v>34800</v>
      </c>
    </row>
    <row r="27" spans="1:9" ht="20" customHeight="1" thickBot="1">
      <c r="A27" s="148" t="s">
        <v>1691</v>
      </c>
      <c r="B27" s="80">
        <v>22000</v>
      </c>
      <c r="C27" s="119">
        <v>34000</v>
      </c>
      <c r="D27" s="80">
        <v>34000</v>
      </c>
      <c r="E27" s="119">
        <v>34000</v>
      </c>
      <c r="F27" s="80">
        <v>34000</v>
      </c>
      <c r="G27" s="119">
        <v>34000</v>
      </c>
      <c r="H27" s="80">
        <v>34000</v>
      </c>
      <c r="I27" s="119">
        <v>34000</v>
      </c>
    </row>
    <row r="28" spans="1:9" ht="20" customHeight="1" thickBot="1">
      <c r="A28" s="148" t="s">
        <v>1692</v>
      </c>
      <c r="B28" s="80">
        <v>30000</v>
      </c>
      <c r="C28" s="119">
        <v>52000</v>
      </c>
      <c r="D28" s="80">
        <v>59000</v>
      </c>
      <c r="E28" s="119">
        <v>66000</v>
      </c>
      <c r="F28" s="80">
        <v>45000</v>
      </c>
      <c r="G28" s="119">
        <v>52000</v>
      </c>
      <c r="H28" s="80">
        <v>59000</v>
      </c>
      <c r="I28" s="119">
        <v>66000</v>
      </c>
    </row>
    <row r="29" spans="1:9" ht="20" customHeight="1" thickBot="1">
      <c r="A29" s="148" t="s">
        <v>1693</v>
      </c>
      <c r="B29" s="80">
        <v>29500</v>
      </c>
      <c r="C29" s="119">
        <v>50825</v>
      </c>
      <c r="D29" s="80">
        <v>61825</v>
      </c>
      <c r="E29" s="119">
        <v>72825</v>
      </c>
      <c r="F29" s="80">
        <v>44250</v>
      </c>
      <c r="G29" s="119">
        <v>55250</v>
      </c>
      <c r="H29" s="80">
        <v>66250</v>
      </c>
      <c r="I29" s="119">
        <v>77250</v>
      </c>
    </row>
    <row r="30" spans="1:9" ht="20" customHeight="1" thickBot="1">
      <c r="A30" s="148" t="s">
        <v>1694</v>
      </c>
      <c r="B30" s="80">
        <v>40000</v>
      </c>
      <c r="C30" s="119">
        <v>49000</v>
      </c>
      <c r="D30" s="80">
        <v>58000</v>
      </c>
      <c r="E30" s="119">
        <v>67000</v>
      </c>
      <c r="F30" s="80">
        <v>59000</v>
      </c>
      <c r="G30" s="119">
        <v>68000</v>
      </c>
      <c r="H30" s="80">
        <v>77000</v>
      </c>
      <c r="I30" s="119">
        <v>86000</v>
      </c>
    </row>
    <row r="31" spans="1:9" ht="20" customHeight="1" thickBot="1">
      <c r="A31" s="148" t="s">
        <v>1695</v>
      </c>
      <c r="B31" s="80">
        <v>35000</v>
      </c>
      <c r="C31" s="119">
        <v>56000</v>
      </c>
      <c r="D31" s="80">
        <v>62000</v>
      </c>
      <c r="E31" s="119">
        <v>68000</v>
      </c>
      <c r="F31" s="80">
        <v>50000</v>
      </c>
      <c r="G31" s="119">
        <v>56000</v>
      </c>
      <c r="H31" s="80">
        <v>62000</v>
      </c>
      <c r="I31" s="119">
        <v>68000</v>
      </c>
    </row>
    <row r="32" spans="1:9" ht="23.25" customHeight="1" thickBot="1">
      <c r="A32" s="161" t="s">
        <v>1696</v>
      </c>
      <c r="B32" s="162">
        <v>33000</v>
      </c>
      <c r="C32" s="163">
        <v>47000</v>
      </c>
      <c r="D32" s="162">
        <v>51000</v>
      </c>
      <c r="E32" s="163">
        <v>57000</v>
      </c>
      <c r="F32" s="162">
        <v>38000</v>
      </c>
      <c r="G32" s="163">
        <v>47000</v>
      </c>
      <c r="H32" s="162">
        <v>51000</v>
      </c>
      <c r="I32" s="163">
        <v>57000</v>
      </c>
    </row>
    <row r="33" spans="1:9" ht="17.25" customHeight="1">
      <c r="A33" s="141" t="s">
        <v>466</v>
      </c>
      <c r="B33" s="152"/>
      <c r="C33" s="152"/>
      <c r="D33" s="152"/>
      <c r="E33" s="152"/>
      <c r="F33" s="152"/>
      <c r="G33" s="152"/>
      <c r="H33" s="152"/>
      <c r="I33" s="152"/>
    </row>
    <row r="34" spans="1:9" ht="12" customHeight="1">
      <c r="A34" s="141"/>
      <c r="B34" s="152"/>
      <c r="C34" s="152"/>
      <c r="D34" s="152"/>
      <c r="E34" s="152"/>
      <c r="F34" s="152"/>
      <c r="G34" s="152"/>
      <c r="H34" s="152"/>
      <c r="I34" s="152"/>
    </row>
    <row r="35" spans="1:9" ht="17.25" customHeight="1">
      <c r="A35" s="141" t="s">
        <v>329</v>
      </c>
      <c r="B35" s="152"/>
      <c r="C35" s="152"/>
      <c r="D35" s="152"/>
      <c r="E35" s="152"/>
      <c r="F35" s="152"/>
      <c r="G35" s="152"/>
      <c r="H35" s="152"/>
      <c r="I35" s="152"/>
    </row>
    <row r="36" spans="1:9" ht="12" customHeight="1">
      <c r="A36" s="141"/>
      <c r="B36" s="152"/>
      <c r="C36" s="152"/>
      <c r="D36" s="152"/>
      <c r="E36" s="152"/>
      <c r="F36" s="152"/>
      <c r="G36" s="152"/>
      <c r="H36" s="152"/>
      <c r="I36" s="152"/>
    </row>
    <row r="37" spans="1:9" ht="12" customHeight="1">
      <c r="A37" s="141" t="s">
        <v>330</v>
      </c>
      <c r="B37" s="152"/>
      <c r="C37" s="152"/>
      <c r="D37" s="152"/>
      <c r="E37" s="152"/>
      <c r="F37" s="152"/>
      <c r="G37" s="152"/>
      <c r="H37" s="152"/>
      <c r="I37" s="152"/>
    </row>
    <row r="38" spans="1:9" ht="14.25" customHeight="1">
      <c r="A38" s="38" t="s">
        <v>331</v>
      </c>
      <c r="B38" s="152"/>
      <c r="C38" s="152"/>
      <c r="D38" s="152"/>
      <c r="E38" s="152"/>
      <c r="F38" s="152"/>
      <c r="G38" s="152"/>
      <c r="H38" s="152"/>
      <c r="I38" s="152"/>
    </row>
    <row r="39" spans="1:9">
      <c r="A39" s="142" t="s">
        <v>332</v>
      </c>
    </row>
    <row r="40" spans="1:9">
      <c r="A40" s="142"/>
    </row>
  </sheetData>
  <phoneticPr fontId="0" type="noConversion"/>
  <pageMargins left="0.38" right="0.25" top="1.46" bottom="0.49" header="0.92"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1B13-C08A-CE46-9D06-C99126E57204}">
  <dimension ref="A1:L24"/>
  <sheetViews>
    <sheetView topLeftCell="A8" zoomScale="75" workbookViewId="0">
      <selection activeCell="F14" sqref="F14"/>
    </sheetView>
  </sheetViews>
  <sheetFormatPr baseColWidth="10" defaultColWidth="11.3984375" defaultRowHeight="13"/>
  <cols>
    <col min="1" max="1" width="8.796875" style="3" customWidth="1"/>
    <col min="2" max="3" width="11.796875" style="3" customWidth="1"/>
    <col min="4" max="4" width="12.796875" style="3" customWidth="1"/>
    <col min="5" max="5" width="13.59765625" style="3" customWidth="1"/>
    <col min="6" max="6" width="11.59765625" style="3" customWidth="1"/>
    <col min="7" max="7" width="13.19921875" style="3" customWidth="1"/>
    <col min="8" max="8" width="11.796875" style="184" customWidth="1"/>
    <col min="9" max="16384" width="11.3984375" style="3"/>
  </cols>
  <sheetData>
    <row r="1" spans="1:12" s="1" customFormat="1" ht="14" customHeight="1">
      <c r="H1" s="164"/>
    </row>
    <row r="2" spans="1:12" s="1" customFormat="1" ht="28" customHeight="1">
      <c r="A2" s="81" t="s">
        <v>334</v>
      </c>
      <c r="B2" s="81"/>
      <c r="H2" s="164"/>
    </row>
    <row r="3" spans="1:12" ht="24" customHeight="1">
      <c r="A3" s="2" t="s">
        <v>335</v>
      </c>
      <c r="B3" s="74" t="s">
        <v>336</v>
      </c>
      <c r="C3" s="17" t="s">
        <v>609</v>
      </c>
      <c r="D3" s="74" t="s">
        <v>337</v>
      </c>
      <c r="E3" s="17" t="s">
        <v>338</v>
      </c>
      <c r="F3" s="74" t="s">
        <v>609</v>
      </c>
      <c r="G3" s="17" t="s">
        <v>339</v>
      </c>
      <c r="H3" s="165" t="s">
        <v>609</v>
      </c>
    </row>
    <row r="4" spans="1:12" ht="15" customHeight="1">
      <c r="A4" s="82"/>
      <c r="B4" s="75" t="s">
        <v>780</v>
      </c>
      <c r="C4" s="18" t="s">
        <v>610</v>
      </c>
      <c r="D4" s="75" t="s">
        <v>781</v>
      </c>
      <c r="E4" s="18" t="s">
        <v>340</v>
      </c>
      <c r="F4" s="75" t="s">
        <v>610</v>
      </c>
      <c r="G4" s="18" t="s">
        <v>341</v>
      </c>
      <c r="H4" s="166" t="s">
        <v>610</v>
      </c>
    </row>
    <row r="5" spans="1:12" ht="15" customHeight="1">
      <c r="A5" s="82"/>
      <c r="B5" s="75" t="s">
        <v>342</v>
      </c>
      <c r="C5" s="18" t="s">
        <v>611</v>
      </c>
      <c r="D5" s="75" t="s">
        <v>343</v>
      </c>
      <c r="E5" s="18" t="s">
        <v>782</v>
      </c>
      <c r="F5" s="75" t="s">
        <v>611</v>
      </c>
      <c r="G5" s="18" t="s">
        <v>783</v>
      </c>
      <c r="H5" s="166" t="s">
        <v>611</v>
      </c>
    </row>
    <row r="6" spans="1:12" ht="24" customHeight="1">
      <c r="A6" s="83"/>
      <c r="B6" s="78"/>
      <c r="C6" s="19"/>
      <c r="D6" s="78" t="s">
        <v>344</v>
      </c>
      <c r="E6" s="19" t="s">
        <v>342</v>
      </c>
      <c r="F6" s="78"/>
      <c r="G6" s="19" t="s">
        <v>342</v>
      </c>
      <c r="H6" s="167"/>
    </row>
    <row r="7" spans="1:12" ht="30" customHeight="1" thickBot="1">
      <c r="A7" s="84">
        <v>1996</v>
      </c>
      <c r="B7" s="168">
        <v>2470.5</v>
      </c>
      <c r="C7" s="169" t="s">
        <v>487</v>
      </c>
      <c r="D7" s="127">
        <v>0.26510074357417535</v>
      </c>
      <c r="E7" s="169">
        <v>1815.5686129999999</v>
      </c>
      <c r="F7" s="170" t="s">
        <v>487</v>
      </c>
      <c r="G7" s="169">
        <v>1493.4959349999999</v>
      </c>
      <c r="H7" s="127" t="s">
        <v>487</v>
      </c>
      <c r="J7" s="45"/>
      <c r="K7" s="45"/>
      <c r="L7" s="45"/>
    </row>
    <row r="8" spans="1:12" ht="20" customHeight="1" thickBot="1">
      <c r="A8" s="85">
        <v>1997</v>
      </c>
      <c r="B8" s="171">
        <v>2716.0039999999999</v>
      </c>
      <c r="C8" s="26">
        <v>9.9374215745800409E-2</v>
      </c>
      <c r="D8" s="128">
        <v>0.23152856917736497</v>
      </c>
      <c r="E8" s="93">
        <v>2087.17148</v>
      </c>
      <c r="F8" s="128">
        <v>0.14959658646621474</v>
      </c>
      <c r="G8" s="93">
        <v>1994.2314670000001</v>
      </c>
      <c r="H8" s="128">
        <v>0.33527746561961697</v>
      </c>
    </row>
    <row r="9" spans="1:12" ht="20" customHeight="1" thickBot="1">
      <c r="A9" s="85">
        <v>1998</v>
      </c>
      <c r="B9" s="171">
        <v>2972.5</v>
      </c>
      <c r="C9" s="26">
        <v>9.4438741621882774E-2</v>
      </c>
      <c r="D9" s="128">
        <v>0.23858957510513035</v>
      </c>
      <c r="E9" s="93">
        <v>2263.292488</v>
      </c>
      <c r="F9" s="128">
        <v>8.4382624852654686E-2</v>
      </c>
      <c r="G9" s="93">
        <v>2446.4709480000001</v>
      </c>
      <c r="H9" s="128">
        <v>0.22677381662236104</v>
      </c>
    </row>
    <row r="10" spans="1:12" ht="20" customHeight="1" thickBot="1">
      <c r="A10" s="85">
        <v>1999</v>
      </c>
      <c r="B10" s="171">
        <v>3270</v>
      </c>
      <c r="C10" s="26">
        <v>0.10008410428931876</v>
      </c>
      <c r="D10" s="128">
        <v>0.24261539724770631</v>
      </c>
      <c r="E10" s="93">
        <v>2476.6476510000002</v>
      </c>
      <c r="F10" s="128">
        <v>9.4267605327730042E-2</v>
      </c>
      <c r="G10" s="93">
        <v>2689.6721769999999</v>
      </c>
      <c r="H10" s="128">
        <v>9.9408999399243941E-2</v>
      </c>
    </row>
    <row r="11" spans="1:12" ht="20" customHeight="1" thickBot="1">
      <c r="A11" s="85">
        <v>2000</v>
      </c>
      <c r="B11" s="171">
        <v>3319.5</v>
      </c>
      <c r="C11" s="26">
        <v>1.5137614678899083E-2</v>
      </c>
      <c r="D11" s="128">
        <v>0.23698356288597677</v>
      </c>
      <c r="E11" s="93">
        <v>2532.833063</v>
      </c>
      <c r="F11" s="128">
        <v>2.2686074047438172E-2</v>
      </c>
      <c r="G11" s="93">
        <v>2545.3263492000001</v>
      </c>
      <c r="H11" s="128">
        <v>-5.3666699248456337E-2</v>
      </c>
    </row>
    <row r="12" spans="1:12" s="36" customFormat="1" ht="20" customHeight="1" thickBot="1">
      <c r="A12" s="85">
        <v>2001</v>
      </c>
      <c r="B12" s="171">
        <v>3369</v>
      </c>
      <c r="C12" s="26">
        <v>1.4911884319927699E-2</v>
      </c>
      <c r="D12" s="128">
        <v>0.20699731491831064</v>
      </c>
      <c r="E12" s="93">
        <v>2671.6260460402113</v>
      </c>
      <c r="F12" s="128">
        <v>5.4797524980118008E-2</v>
      </c>
      <c r="G12" s="93">
        <v>2657.2</v>
      </c>
      <c r="H12" s="128">
        <v>4.3952576389727702E-2</v>
      </c>
    </row>
    <row r="13" spans="1:12" ht="20" customHeight="1" thickBot="1">
      <c r="A13" s="86">
        <v>2002</v>
      </c>
      <c r="B13" s="172">
        <v>3420</v>
      </c>
      <c r="C13" s="88">
        <v>1.5138023152270703E-2</v>
      </c>
      <c r="D13" s="173">
        <v>0.16729887017543854</v>
      </c>
      <c r="E13" s="174">
        <v>2848.426273</v>
      </c>
      <c r="F13" s="173">
        <v>6.5956767497817884E-2</v>
      </c>
      <c r="G13" s="174">
        <v>2892</v>
      </c>
      <c r="H13" s="173">
        <v>8.83636911034172E-2</v>
      </c>
    </row>
    <row r="14" spans="1:12" ht="30" customHeight="1" thickBot="1">
      <c r="A14" s="175">
        <v>2003</v>
      </c>
      <c r="B14" s="176">
        <v>3471</v>
      </c>
      <c r="C14" s="131">
        <v>1.4912280701754385E-2</v>
      </c>
      <c r="D14" s="177">
        <v>0.14699999999999999</v>
      </c>
      <c r="E14" s="178">
        <v>2961.1</v>
      </c>
      <c r="F14" s="1286">
        <v>3.9771272596577791E-2</v>
      </c>
      <c r="G14" s="178" t="s">
        <v>487</v>
      </c>
      <c r="H14" s="177" t="s">
        <v>487</v>
      </c>
    </row>
    <row r="15" spans="1:12" ht="20" customHeight="1">
      <c r="A15" s="180" t="s">
        <v>466</v>
      </c>
      <c r="B15" s="9"/>
      <c r="C15" s="9"/>
      <c r="D15" s="9"/>
      <c r="E15" s="9"/>
      <c r="F15" s="9"/>
      <c r="G15" s="9"/>
      <c r="H15" s="181"/>
    </row>
    <row r="16" spans="1:12" ht="13.5" customHeight="1">
      <c r="A16" s="182"/>
      <c r="B16" s="38"/>
      <c r="C16" s="38"/>
      <c r="D16" s="38"/>
      <c r="E16" s="38"/>
      <c r="F16" s="38"/>
      <c r="G16" s="38"/>
      <c r="H16" s="183"/>
    </row>
    <row r="17" spans="1:8" ht="20" customHeight="1">
      <c r="A17" s="141" t="s">
        <v>345</v>
      </c>
      <c r="B17" s="38"/>
      <c r="C17" s="38"/>
      <c r="D17" s="38"/>
      <c r="E17" s="38"/>
      <c r="F17" s="38"/>
      <c r="G17" s="38"/>
      <c r="H17" s="183"/>
    </row>
    <row r="18" spans="1:8" ht="12.75" customHeight="1">
      <c r="A18" s="182"/>
      <c r="B18" s="38"/>
      <c r="C18" s="38"/>
      <c r="D18" s="38"/>
      <c r="E18" s="38"/>
      <c r="F18" s="38"/>
      <c r="G18" s="38"/>
      <c r="H18" s="183"/>
    </row>
    <row r="19" spans="1:8" ht="14.25" customHeight="1">
      <c r="A19" s="182" t="s">
        <v>774</v>
      </c>
      <c r="B19" s="38"/>
      <c r="C19" s="38"/>
      <c r="D19" s="38"/>
      <c r="E19" s="38"/>
      <c r="F19" s="38"/>
      <c r="G19" s="38"/>
      <c r="H19" s="183"/>
    </row>
    <row r="20" spans="1:8" ht="12" customHeight="1">
      <c r="A20" s="142" t="s">
        <v>775</v>
      </c>
    </row>
    <row r="21" spans="1:8" ht="12" customHeight="1">
      <c r="A21" s="142" t="s">
        <v>776</v>
      </c>
    </row>
    <row r="22" spans="1:8">
      <c r="A22" s="142" t="s">
        <v>777</v>
      </c>
      <c r="B22" s="142"/>
    </row>
    <row r="23" spans="1:8">
      <c r="A23" s="142" t="s">
        <v>778</v>
      </c>
    </row>
    <row r="24" spans="1:8">
      <c r="A24" s="142" t="s">
        <v>779</v>
      </c>
    </row>
  </sheetData>
  <phoneticPr fontId="0" type="noConversion"/>
  <pageMargins left="0.78740157480314965" right="0.78740157480314965" top="1.46" bottom="0.49" header="0.92"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1969-9C9C-6E41-9BED-59C876719015}">
  <dimension ref="A1:M47"/>
  <sheetViews>
    <sheetView topLeftCell="A30" zoomScale="75" workbookViewId="0">
      <selection activeCell="A38" sqref="A38"/>
    </sheetView>
  </sheetViews>
  <sheetFormatPr baseColWidth="10" defaultColWidth="11.3984375" defaultRowHeight="13"/>
  <cols>
    <col min="1" max="1" width="9.796875" style="3" customWidth="1"/>
    <col min="2" max="3" width="11" style="3" customWidth="1"/>
    <col min="4" max="4" width="11.19921875" style="105" customWidth="1"/>
    <col min="5" max="5" width="15.3984375" style="3" customWidth="1"/>
    <col min="6" max="6" width="14.796875" style="3" customWidth="1"/>
    <col min="7" max="7" width="11" style="3" customWidth="1"/>
    <col min="8" max="8" width="15" style="36" customWidth="1"/>
    <col min="9" max="9" width="10.19921875" style="3" customWidth="1"/>
    <col min="10" max="16384" width="11.3984375" style="3"/>
  </cols>
  <sheetData>
    <row r="1" spans="1:10" s="1" customFormat="1" ht="14" customHeight="1">
      <c r="D1" s="95"/>
      <c r="H1" s="63"/>
    </row>
    <row r="2" spans="1:10" s="1" customFormat="1" ht="28" customHeight="1">
      <c r="A2" s="64" t="s">
        <v>472</v>
      </c>
      <c r="D2" s="95"/>
      <c r="H2" s="63"/>
    </row>
    <row r="3" spans="1:10" ht="24" customHeight="1">
      <c r="A3" s="2" t="s">
        <v>1663</v>
      </c>
      <c r="B3" s="74" t="s">
        <v>784</v>
      </c>
      <c r="C3" s="17" t="s">
        <v>785</v>
      </c>
      <c r="D3" s="144" t="s">
        <v>786</v>
      </c>
      <c r="E3" s="2" t="s">
        <v>473</v>
      </c>
      <c r="F3" s="90"/>
      <c r="G3" s="17"/>
      <c r="H3" s="185"/>
      <c r="I3" s="17"/>
    </row>
    <row r="4" spans="1:10" ht="15" customHeight="1">
      <c r="A4" s="82"/>
      <c r="B4" s="75" t="s">
        <v>787</v>
      </c>
      <c r="C4" s="66" t="s">
        <v>788</v>
      </c>
      <c r="D4" s="109" t="s">
        <v>690</v>
      </c>
      <c r="E4" s="66" t="s">
        <v>789</v>
      </c>
      <c r="F4" s="15" t="s">
        <v>790</v>
      </c>
      <c r="G4" s="108" t="s">
        <v>790</v>
      </c>
      <c r="H4" s="186" t="s">
        <v>607</v>
      </c>
      <c r="I4" s="4" t="s">
        <v>609</v>
      </c>
    </row>
    <row r="5" spans="1:10" ht="15" customHeight="1">
      <c r="A5" s="82"/>
      <c r="B5" s="75" t="s">
        <v>691</v>
      </c>
      <c r="C5" s="18" t="s">
        <v>791</v>
      </c>
      <c r="D5" s="76"/>
      <c r="E5" s="18" t="s">
        <v>792</v>
      </c>
      <c r="F5" s="15" t="s">
        <v>792</v>
      </c>
      <c r="G5" s="108" t="s">
        <v>792</v>
      </c>
      <c r="H5" s="186" t="s">
        <v>793</v>
      </c>
      <c r="I5" s="4" t="s">
        <v>1360</v>
      </c>
    </row>
    <row r="6" spans="1:10" ht="15" customHeight="1">
      <c r="A6" s="82"/>
      <c r="B6" s="75">
        <v>2000</v>
      </c>
      <c r="C6" s="18" t="s">
        <v>489</v>
      </c>
      <c r="D6" s="76"/>
      <c r="E6" s="18" t="s">
        <v>1304</v>
      </c>
      <c r="F6" s="15" t="s">
        <v>1304</v>
      </c>
      <c r="G6" s="108" t="s">
        <v>794</v>
      </c>
      <c r="H6" s="186" t="s">
        <v>795</v>
      </c>
      <c r="I6" s="4" t="s">
        <v>611</v>
      </c>
    </row>
    <row r="7" spans="1:10" ht="15" customHeight="1">
      <c r="A7" s="82"/>
      <c r="B7" s="75"/>
      <c r="C7" s="18"/>
      <c r="D7" s="76"/>
      <c r="E7" s="18"/>
      <c r="F7" s="15"/>
      <c r="G7" s="108" t="s">
        <v>789</v>
      </c>
      <c r="H7" s="186" t="s">
        <v>692</v>
      </c>
      <c r="I7" s="18"/>
    </row>
    <row r="8" spans="1:10" ht="16" customHeight="1">
      <c r="A8" s="83"/>
      <c r="B8" s="78"/>
      <c r="C8" s="19"/>
      <c r="D8" s="77"/>
      <c r="E8" s="19"/>
      <c r="F8" s="16"/>
      <c r="G8" s="111" t="s">
        <v>693</v>
      </c>
      <c r="H8" s="187"/>
      <c r="I8" s="19"/>
    </row>
    <row r="9" spans="1:10" ht="30" customHeight="1" thickBot="1">
      <c r="A9" s="146" t="s">
        <v>1671</v>
      </c>
      <c r="B9" s="92">
        <v>1223182</v>
      </c>
      <c r="C9" s="98">
        <v>160</v>
      </c>
      <c r="D9" s="188" t="s">
        <v>490</v>
      </c>
      <c r="E9" s="98">
        <v>276948280</v>
      </c>
      <c r="F9" s="92">
        <v>301235546</v>
      </c>
      <c r="G9" s="99">
        <v>1.0876960347975442</v>
      </c>
      <c r="H9" s="189">
        <v>578183826</v>
      </c>
      <c r="I9" s="99">
        <v>1.6862504047430393E-2</v>
      </c>
      <c r="J9" s="43"/>
    </row>
    <row r="10" spans="1:10" ht="20" customHeight="1" thickBot="1">
      <c r="A10" s="148" t="s">
        <v>1672</v>
      </c>
      <c r="B10" s="80">
        <v>950833</v>
      </c>
      <c r="C10" s="119">
        <v>57</v>
      </c>
      <c r="D10" s="190" t="s">
        <v>490</v>
      </c>
      <c r="E10" s="119">
        <v>361506838</v>
      </c>
      <c r="F10" s="80">
        <v>88045575</v>
      </c>
      <c r="G10" s="191">
        <v>0.2435516171342795</v>
      </c>
      <c r="H10" s="87">
        <v>449552413</v>
      </c>
      <c r="I10" s="191">
        <v>9.9721688246507956E-3</v>
      </c>
      <c r="J10" s="43"/>
    </row>
    <row r="11" spans="1:10" ht="20" customHeight="1" thickBot="1">
      <c r="A11" s="148" t="s">
        <v>1673</v>
      </c>
      <c r="B11" s="80">
        <v>344987</v>
      </c>
      <c r="C11" s="119">
        <v>67</v>
      </c>
      <c r="D11" s="190" t="s">
        <v>490</v>
      </c>
      <c r="E11" s="119">
        <v>124744463</v>
      </c>
      <c r="F11" s="80">
        <v>38384136</v>
      </c>
      <c r="G11" s="191">
        <v>0.30770212221764104</v>
      </c>
      <c r="H11" s="87">
        <v>163128599</v>
      </c>
      <c r="I11" s="191">
        <v>5.5171315067217508E-2</v>
      </c>
      <c r="J11" s="43"/>
    </row>
    <row r="12" spans="1:10" ht="20" customHeight="1" thickBot="1">
      <c r="A12" s="148" t="s">
        <v>1674</v>
      </c>
      <c r="B12" s="80">
        <v>34407</v>
      </c>
      <c r="C12" s="119">
        <v>64</v>
      </c>
      <c r="D12" s="190" t="s">
        <v>490</v>
      </c>
      <c r="E12" s="119">
        <v>12629178</v>
      </c>
      <c r="F12" s="80">
        <v>3638681</v>
      </c>
      <c r="G12" s="191">
        <v>0.2881170096739471</v>
      </c>
      <c r="H12" s="87">
        <v>16267859</v>
      </c>
      <c r="I12" s="191">
        <v>4.290120375213724E-2</v>
      </c>
      <c r="J12" s="43"/>
    </row>
    <row r="13" spans="1:10" ht="20" customHeight="1" thickBot="1">
      <c r="A13" s="148" t="s">
        <v>1675</v>
      </c>
      <c r="B13" s="80">
        <v>128428</v>
      </c>
      <c r="C13" s="119">
        <v>112</v>
      </c>
      <c r="D13" s="190" t="s">
        <v>490</v>
      </c>
      <c r="E13" s="119">
        <v>37027924</v>
      </c>
      <c r="F13" s="80">
        <v>23693321</v>
      </c>
      <c r="G13" s="191">
        <v>0.63987711004268022</v>
      </c>
      <c r="H13" s="87">
        <v>60721245</v>
      </c>
      <c r="I13" s="191">
        <v>7.5533041326155459E-2</v>
      </c>
      <c r="J13" s="43"/>
    </row>
    <row r="14" spans="1:10" ht="20" customHeight="1" thickBot="1">
      <c r="A14" s="148" t="s">
        <v>1676</v>
      </c>
      <c r="B14" s="80">
        <v>32169</v>
      </c>
      <c r="C14" s="119">
        <v>35</v>
      </c>
      <c r="D14" s="190" t="s">
        <v>490</v>
      </c>
      <c r="E14" s="119">
        <v>13668729</v>
      </c>
      <c r="F14" s="80">
        <v>1548410</v>
      </c>
      <c r="G14" s="191">
        <v>0.11328119827381171</v>
      </c>
      <c r="H14" s="87">
        <v>15217139</v>
      </c>
      <c r="I14" s="191">
        <v>6.6599956322892728E-2</v>
      </c>
      <c r="J14" s="43"/>
    </row>
    <row r="15" spans="1:10" ht="20" customHeight="1" thickBot="1">
      <c r="A15" s="148" t="s">
        <v>1677</v>
      </c>
      <c r="B15" s="80">
        <v>36869</v>
      </c>
      <c r="C15" s="119">
        <v>129</v>
      </c>
      <c r="D15" s="190" t="s">
        <v>490</v>
      </c>
      <c r="E15" s="119">
        <v>9763076</v>
      </c>
      <c r="F15" s="80">
        <v>7676444</v>
      </c>
      <c r="G15" s="191">
        <v>0.78627309671664958</v>
      </c>
      <c r="H15" s="87">
        <v>17439520</v>
      </c>
      <c r="I15" s="191">
        <v>7.9329795160636651E-2</v>
      </c>
      <c r="J15" s="43"/>
    </row>
    <row r="16" spans="1:10" ht="20" customHeight="1" thickBot="1">
      <c r="A16" s="148" t="s">
        <v>1678</v>
      </c>
      <c r="B16" s="80">
        <v>38207</v>
      </c>
      <c r="C16" s="119">
        <v>82</v>
      </c>
      <c r="D16" s="190" t="s">
        <v>490</v>
      </c>
      <c r="E16" s="119">
        <v>12810141</v>
      </c>
      <c r="F16" s="80">
        <v>5254537</v>
      </c>
      <c r="G16" s="191">
        <v>0.41018572707357398</v>
      </c>
      <c r="H16" s="87">
        <v>18064678</v>
      </c>
      <c r="I16" s="191">
        <v>4.9237236106225879E-2</v>
      </c>
      <c r="J16" s="43"/>
    </row>
    <row r="17" spans="1:10" ht="20" customHeight="1" thickBot="1">
      <c r="A17" s="148" t="s">
        <v>1679</v>
      </c>
      <c r="B17" s="80">
        <v>98481</v>
      </c>
      <c r="C17" s="119">
        <v>216</v>
      </c>
      <c r="D17" s="190" t="s">
        <v>490</v>
      </c>
      <c r="E17" s="119">
        <v>16830953</v>
      </c>
      <c r="F17" s="80">
        <v>29739237</v>
      </c>
      <c r="G17" s="191">
        <v>1.766937201951666</v>
      </c>
      <c r="H17" s="87">
        <v>46570190</v>
      </c>
      <c r="I17" s="191">
        <v>8.2525950174072937E-2</v>
      </c>
      <c r="J17" s="43"/>
    </row>
    <row r="18" spans="1:10" ht="20" customHeight="1" thickBot="1">
      <c r="A18" s="148" t="s">
        <v>1680</v>
      </c>
      <c r="B18" s="80">
        <v>237134</v>
      </c>
      <c r="C18" s="119">
        <v>51</v>
      </c>
      <c r="D18" s="190" t="s">
        <v>490</v>
      </c>
      <c r="E18" s="119">
        <v>92924773</v>
      </c>
      <c r="F18" s="80">
        <v>19196581</v>
      </c>
      <c r="G18" s="191">
        <v>0.20658195204845967</v>
      </c>
      <c r="H18" s="87">
        <v>112121354</v>
      </c>
      <c r="I18" s="191">
        <v>2.4663576860371128E-2</v>
      </c>
      <c r="J18" s="43"/>
    </row>
    <row r="19" spans="1:10" ht="20" customHeight="1" thickBot="1">
      <c r="A19" s="148" t="s">
        <v>1681</v>
      </c>
      <c r="B19" s="80">
        <v>242489</v>
      </c>
      <c r="C19" s="119">
        <v>82</v>
      </c>
      <c r="D19" s="190" t="s">
        <v>490</v>
      </c>
      <c r="E19" s="119">
        <v>81268043</v>
      </c>
      <c r="F19" s="80">
        <v>33334978</v>
      </c>
      <c r="G19" s="191">
        <v>0.41018556334622208</v>
      </c>
      <c r="H19" s="87">
        <v>114603021</v>
      </c>
      <c r="I19" s="191">
        <v>1.5310680266793497E-2</v>
      </c>
      <c r="J19" s="43"/>
    </row>
    <row r="20" spans="1:10" ht="20" customHeight="1" thickBot="1">
      <c r="A20" s="148" t="s">
        <v>1682</v>
      </c>
      <c r="B20" s="80">
        <v>198105</v>
      </c>
      <c r="C20" s="119">
        <v>173</v>
      </c>
      <c r="D20" s="190" t="s">
        <v>490</v>
      </c>
      <c r="E20" s="119">
        <v>41363735</v>
      </c>
      <c r="F20" s="80">
        <v>50826230</v>
      </c>
      <c r="G20" s="191">
        <v>1.2287630698726795</v>
      </c>
      <c r="H20" s="87">
        <v>92189965</v>
      </c>
      <c r="I20" s="191">
        <v>-5.6503770248074181E-2</v>
      </c>
      <c r="J20" s="43"/>
    </row>
    <row r="21" spans="1:10" ht="20" customHeight="1" thickBot="1">
      <c r="A21" s="148" t="s">
        <v>1683</v>
      </c>
      <c r="B21" s="30">
        <v>261007</v>
      </c>
      <c r="C21" s="122">
        <v>120</v>
      </c>
      <c r="D21" s="190" t="s">
        <v>490</v>
      </c>
      <c r="E21" s="119">
        <v>71827340</v>
      </c>
      <c r="F21" s="30">
        <v>50796902</v>
      </c>
      <c r="G21" s="191">
        <v>0.70720845293727985</v>
      </c>
      <c r="H21" s="89">
        <v>122624242</v>
      </c>
      <c r="I21" s="191">
        <v>2.0293813205227718E-2</v>
      </c>
      <c r="J21" s="43"/>
    </row>
    <row r="22" spans="1:10" ht="20" customHeight="1" thickBot="1">
      <c r="A22" s="148" t="s">
        <v>1684</v>
      </c>
      <c r="B22" s="80">
        <v>73788</v>
      </c>
      <c r="C22" s="119">
        <v>107</v>
      </c>
      <c r="D22" s="190" t="s">
        <v>490</v>
      </c>
      <c r="E22" s="119">
        <v>21708310</v>
      </c>
      <c r="F22" s="80">
        <v>13006456</v>
      </c>
      <c r="G22" s="191">
        <v>0.59914640983107392</v>
      </c>
      <c r="H22" s="87">
        <v>34714766</v>
      </c>
      <c r="I22" s="191">
        <v>2.091116559612427E-2</v>
      </c>
      <c r="J22" s="43"/>
    </row>
    <row r="23" spans="1:10" ht="20" customHeight="1" thickBot="1">
      <c r="A23" s="148" t="s">
        <v>1685</v>
      </c>
      <c r="B23" s="80">
        <v>53216</v>
      </c>
      <c r="C23" s="119">
        <v>63</v>
      </c>
      <c r="D23" s="190" t="s">
        <v>490</v>
      </c>
      <c r="E23" s="119">
        <v>19630763</v>
      </c>
      <c r="F23" s="80">
        <v>5529084</v>
      </c>
      <c r="G23" s="191">
        <v>0.28165405491370865</v>
      </c>
      <c r="H23" s="87">
        <v>25159847</v>
      </c>
      <c r="I23" s="191">
        <v>5.2353852259454436E-2</v>
      </c>
      <c r="J23" s="43"/>
    </row>
    <row r="24" spans="1:10" ht="20" customHeight="1" thickBot="1">
      <c r="A24" s="148" t="s">
        <v>1686</v>
      </c>
      <c r="B24" s="80">
        <v>14677</v>
      </c>
      <c r="C24" s="119">
        <v>62</v>
      </c>
      <c r="D24" s="190" t="s">
        <v>490</v>
      </c>
      <c r="E24" s="119">
        <v>5445709</v>
      </c>
      <c r="F24" s="80">
        <v>1498789</v>
      </c>
      <c r="G24" s="191">
        <v>0.27522385055830195</v>
      </c>
      <c r="H24" s="87">
        <v>6944498</v>
      </c>
      <c r="I24" s="191">
        <v>8.8920955122116396E-2</v>
      </c>
      <c r="J24" s="43"/>
    </row>
    <row r="25" spans="1:10" ht="20" customHeight="1" thickBot="1">
      <c r="A25" s="148" t="s">
        <v>1687</v>
      </c>
      <c r="B25" s="80">
        <v>449388</v>
      </c>
      <c r="C25" s="119">
        <v>80</v>
      </c>
      <c r="D25" s="190" t="s">
        <v>490</v>
      </c>
      <c r="E25" s="119">
        <v>151968021</v>
      </c>
      <c r="F25" s="80">
        <v>60189946</v>
      </c>
      <c r="G25" s="191">
        <v>0.39606981524093149</v>
      </c>
      <c r="H25" s="87">
        <v>212157967</v>
      </c>
      <c r="I25" s="191">
        <v>5.5157387966284332E-2</v>
      </c>
      <c r="J25" s="43"/>
    </row>
    <row r="26" spans="1:10" ht="20" customHeight="1" thickBot="1">
      <c r="A26" s="148" t="s">
        <v>1688</v>
      </c>
      <c r="B26" s="80">
        <v>189029</v>
      </c>
      <c r="C26" s="119">
        <v>77</v>
      </c>
      <c r="D26" s="190" t="s">
        <v>490</v>
      </c>
      <c r="E26" s="119">
        <v>64863816</v>
      </c>
      <c r="F26" s="80">
        <v>24334381</v>
      </c>
      <c r="G26" s="191">
        <v>0.37516110677176318</v>
      </c>
      <c r="H26" s="87">
        <v>89198197</v>
      </c>
      <c r="I26" s="191">
        <v>6.1485271120692131E-2</v>
      </c>
      <c r="J26" s="43"/>
    </row>
    <row r="27" spans="1:10" ht="20" customHeight="1" thickBot="1">
      <c r="A27" s="148" t="s">
        <v>1689</v>
      </c>
      <c r="B27" s="80">
        <v>542519</v>
      </c>
      <c r="C27" s="119">
        <v>97</v>
      </c>
      <c r="D27" s="190" t="s">
        <v>490</v>
      </c>
      <c r="E27" s="119">
        <v>168415515</v>
      </c>
      <c r="F27" s="80">
        <v>87694006</v>
      </c>
      <c r="G27" s="191">
        <v>0.52070028108752331</v>
      </c>
      <c r="H27" s="87">
        <v>256109521</v>
      </c>
      <c r="I27" s="191">
        <v>4.9956967678015163E-2</v>
      </c>
      <c r="J27" s="43"/>
    </row>
    <row r="28" spans="1:10" ht="20" customHeight="1" thickBot="1">
      <c r="A28" s="148" t="s">
        <v>1690</v>
      </c>
      <c r="B28" s="80">
        <v>227835</v>
      </c>
      <c r="C28" s="119">
        <v>83</v>
      </c>
      <c r="D28" s="190" t="s">
        <v>490</v>
      </c>
      <c r="E28" s="119">
        <v>75895256</v>
      </c>
      <c r="F28" s="80">
        <v>31670806</v>
      </c>
      <c r="G28" s="191">
        <v>0.41729625366834522</v>
      </c>
      <c r="H28" s="87">
        <v>107566062</v>
      </c>
      <c r="I28" s="191">
        <v>3.7784720623767365E-2</v>
      </c>
      <c r="J28" s="43"/>
    </row>
    <row r="29" spans="1:10" ht="20" customHeight="1" thickBot="1">
      <c r="A29" s="148" t="s">
        <v>1691</v>
      </c>
      <c r="B29" s="80">
        <v>316431</v>
      </c>
      <c r="C29" s="119">
        <v>82</v>
      </c>
      <c r="D29" s="190" t="s">
        <v>490</v>
      </c>
      <c r="E29" s="119">
        <v>104990604</v>
      </c>
      <c r="F29" s="80">
        <v>43065224</v>
      </c>
      <c r="G29" s="191">
        <v>0.41018169587823305</v>
      </c>
      <c r="H29" s="87">
        <v>148055828</v>
      </c>
      <c r="I29" s="191">
        <v>6.3581171770870082E-3</v>
      </c>
      <c r="J29" s="43"/>
    </row>
    <row r="30" spans="1:10" ht="20" customHeight="1" thickBot="1">
      <c r="A30" s="148" t="s">
        <v>1692</v>
      </c>
      <c r="B30" s="80">
        <v>631309</v>
      </c>
      <c r="C30" s="119">
        <v>94</v>
      </c>
      <c r="D30" s="190" t="s">
        <v>490</v>
      </c>
      <c r="E30" s="119">
        <v>198913227</v>
      </c>
      <c r="F30" s="80">
        <v>99043890</v>
      </c>
      <c r="G30" s="191">
        <v>0.49792510781598248</v>
      </c>
      <c r="H30" s="87">
        <v>297957117</v>
      </c>
      <c r="I30" s="191">
        <v>-3.6668106357468866E-2</v>
      </c>
      <c r="J30" s="43"/>
    </row>
    <row r="31" spans="1:10" ht="20" customHeight="1" thickBot="1">
      <c r="A31" s="148" t="s">
        <v>1693</v>
      </c>
      <c r="B31" s="80">
        <v>272951</v>
      </c>
      <c r="C31" s="119">
        <v>30</v>
      </c>
      <c r="D31" s="190" t="s">
        <v>490</v>
      </c>
      <c r="E31" s="119">
        <v>118801693</v>
      </c>
      <c r="F31" s="80">
        <v>10173113</v>
      </c>
      <c r="G31" s="191">
        <v>8.5631043995307368E-2</v>
      </c>
      <c r="H31" s="87">
        <v>128974806</v>
      </c>
      <c r="I31" s="191">
        <v>4.706483403431605E-2</v>
      </c>
      <c r="J31" s="43"/>
    </row>
    <row r="32" spans="1:10" ht="20" customHeight="1" thickBot="1">
      <c r="A32" s="148" t="s">
        <v>1694</v>
      </c>
      <c r="B32" s="80">
        <v>167261</v>
      </c>
      <c r="C32" s="119">
        <v>55</v>
      </c>
      <c r="D32" s="190" t="s">
        <v>490</v>
      </c>
      <c r="E32" s="119">
        <v>64055794</v>
      </c>
      <c r="F32" s="80">
        <v>14803504</v>
      </c>
      <c r="G32" s="191">
        <v>0.23110327849499454</v>
      </c>
      <c r="H32" s="87">
        <v>78859298</v>
      </c>
      <c r="I32" s="191">
        <v>-3.074329009034249E-2</v>
      </c>
      <c r="J32" s="43"/>
    </row>
    <row r="33" spans="1:13" ht="20" customHeight="1" thickBot="1">
      <c r="A33" s="148" t="s">
        <v>1695</v>
      </c>
      <c r="B33" s="80">
        <v>416970</v>
      </c>
      <c r="C33" s="119">
        <v>141</v>
      </c>
      <c r="D33" s="190" t="s">
        <v>490</v>
      </c>
      <c r="E33" s="119">
        <v>103081369</v>
      </c>
      <c r="F33" s="80">
        <v>92506105</v>
      </c>
      <c r="G33" s="191">
        <v>0.89740858020618641</v>
      </c>
      <c r="H33" s="87">
        <v>195587474</v>
      </c>
      <c r="I33" s="191">
        <v>-5.6514486402904351E-2</v>
      </c>
    </row>
    <row r="34" spans="1:13" ht="20" customHeight="1" thickBot="1">
      <c r="A34" s="148" t="s">
        <v>1696</v>
      </c>
      <c r="B34" s="80">
        <v>68128</v>
      </c>
      <c r="C34" s="119">
        <v>34</v>
      </c>
      <c r="D34" s="190" t="s">
        <v>490</v>
      </c>
      <c r="E34" s="119">
        <v>28916450</v>
      </c>
      <c r="F34" s="80">
        <v>3114118</v>
      </c>
      <c r="G34" s="191">
        <v>0.10769364842503143</v>
      </c>
      <c r="H34" s="87">
        <v>32030568</v>
      </c>
      <c r="I34" s="191">
        <v>-1.6215364156562773E-2</v>
      </c>
      <c r="K34" s="45"/>
      <c r="L34" s="45"/>
      <c r="M34" s="45"/>
    </row>
    <row r="35" spans="1:13" ht="30" customHeight="1" thickBot="1">
      <c r="A35" s="192" t="s">
        <v>1697</v>
      </c>
      <c r="B35" s="193">
        <v>7249800</v>
      </c>
      <c r="C35" s="194">
        <v>100</v>
      </c>
      <c r="D35" s="195" t="s">
        <v>490</v>
      </c>
      <c r="E35" s="194">
        <v>2280000000</v>
      </c>
      <c r="F35" s="193">
        <v>1140000000</v>
      </c>
      <c r="G35" s="196">
        <v>0.5</v>
      </c>
      <c r="H35" s="155">
        <v>3420000000</v>
      </c>
      <c r="I35" s="196">
        <v>1.5138023152271085E-2</v>
      </c>
    </row>
    <row r="36" spans="1:13" ht="20" customHeight="1">
      <c r="A36" s="140" t="s">
        <v>466</v>
      </c>
      <c r="B36" s="151"/>
      <c r="C36" s="151"/>
      <c r="D36" s="197"/>
      <c r="E36" s="151"/>
      <c r="F36" s="151"/>
      <c r="G36" s="151"/>
      <c r="H36" s="198"/>
      <c r="I36" s="151"/>
    </row>
    <row r="37" spans="1:13" ht="14.25" customHeight="1">
      <c r="A37" s="141"/>
      <c r="B37" s="152"/>
      <c r="C37" s="152"/>
      <c r="D37" s="199"/>
      <c r="E37" s="152"/>
      <c r="F37" s="152"/>
      <c r="G37" s="152"/>
      <c r="H37" s="200"/>
      <c r="I37" s="152"/>
    </row>
    <row r="38" spans="1:13" ht="15.75" customHeight="1">
      <c r="A38" s="141" t="s">
        <v>1384</v>
      </c>
      <c r="B38" s="152"/>
      <c r="C38" s="152"/>
      <c r="D38" s="199"/>
      <c r="E38" s="152"/>
      <c r="F38" s="152"/>
      <c r="G38" s="152"/>
      <c r="H38" s="200"/>
      <c r="I38" s="152"/>
    </row>
    <row r="39" spans="1:13" ht="13.5" customHeight="1">
      <c r="A39" s="141"/>
      <c r="B39" s="152"/>
      <c r="C39" s="152"/>
      <c r="D39" s="199"/>
      <c r="E39" s="152"/>
      <c r="F39" s="152"/>
      <c r="G39" s="152"/>
      <c r="H39" s="200"/>
      <c r="I39" s="152"/>
    </row>
    <row r="40" spans="1:13" ht="11.25" customHeight="1">
      <c r="A40" s="38" t="s">
        <v>682</v>
      </c>
      <c r="B40" s="152"/>
      <c r="C40" s="152"/>
      <c r="D40" s="199"/>
      <c r="E40" s="152"/>
      <c r="F40" s="152"/>
      <c r="G40" s="152"/>
      <c r="H40" s="200"/>
      <c r="I40" s="152"/>
    </row>
    <row r="41" spans="1:13">
      <c r="A41" s="3" t="s">
        <v>683</v>
      </c>
    </row>
    <row r="42" spans="1:13">
      <c r="A42" s="3" t="s">
        <v>684</v>
      </c>
    </row>
    <row r="43" spans="1:13">
      <c r="A43" s="3" t="s">
        <v>685</v>
      </c>
    </row>
    <row r="44" spans="1:13">
      <c r="A44" s="3" t="s">
        <v>686</v>
      </c>
    </row>
    <row r="45" spans="1:13">
      <c r="A45" s="3" t="s">
        <v>687</v>
      </c>
    </row>
    <row r="46" spans="1:13">
      <c r="A46" s="3" t="s">
        <v>688</v>
      </c>
    </row>
    <row r="47" spans="1:13">
      <c r="A47" s="182" t="s">
        <v>689</v>
      </c>
    </row>
  </sheetData>
  <phoneticPr fontId="0" type="noConversion"/>
  <pageMargins left="0.78740157480314965" right="0.51" top="1.48" bottom="0.49" header="0.94"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F3A62-1619-3348-A64A-F2030D4EA859}">
  <dimension ref="A1:I44"/>
  <sheetViews>
    <sheetView topLeftCell="A21" zoomScale="75" workbookViewId="0">
      <selection activeCell="E37" sqref="E37"/>
    </sheetView>
  </sheetViews>
  <sheetFormatPr baseColWidth="10" defaultColWidth="11.3984375" defaultRowHeight="13"/>
  <cols>
    <col min="1" max="1" width="12.59765625" style="3" customWidth="1"/>
    <col min="2" max="2" width="12" style="105" customWidth="1"/>
    <col min="3" max="3" width="14.796875" style="36" customWidth="1"/>
    <col min="4" max="4" width="14.796875" style="43" customWidth="1"/>
    <col min="5" max="5" width="14.796875" style="3" customWidth="1"/>
    <col min="6" max="6" width="12.59765625" style="105" customWidth="1"/>
    <col min="7" max="7" width="13.19921875" style="105" customWidth="1"/>
    <col min="8" max="16384" width="11.3984375" style="3"/>
  </cols>
  <sheetData>
    <row r="1" spans="1:9" s="1" customFormat="1" ht="14" customHeight="1">
      <c r="B1" s="95"/>
      <c r="D1" s="106"/>
      <c r="E1" s="63"/>
      <c r="F1" s="106"/>
      <c r="H1" s="95"/>
      <c r="I1" s="95"/>
    </row>
    <row r="2" spans="1:9" s="1" customFormat="1" ht="28" customHeight="1">
      <c r="A2" s="64" t="s">
        <v>480</v>
      </c>
      <c r="B2" s="95"/>
      <c r="D2" s="106"/>
      <c r="E2" s="63"/>
      <c r="F2" s="95"/>
      <c r="G2" s="201"/>
    </row>
    <row r="3" spans="1:9" ht="24" customHeight="1">
      <c r="A3" s="2" t="s">
        <v>1663</v>
      </c>
      <c r="B3" s="144" t="s">
        <v>694</v>
      </c>
      <c r="C3" s="17" t="s">
        <v>789</v>
      </c>
      <c r="D3" s="706" t="s">
        <v>790</v>
      </c>
      <c r="E3" s="202" t="s">
        <v>338</v>
      </c>
      <c r="F3" s="144" t="s">
        <v>695</v>
      </c>
      <c r="G3" s="96" t="s">
        <v>609</v>
      </c>
    </row>
    <row r="4" spans="1:9" ht="15" customHeight="1">
      <c r="A4" s="82"/>
      <c r="B4" s="76" t="s">
        <v>696</v>
      </c>
      <c r="C4" s="66" t="s">
        <v>1620</v>
      </c>
      <c r="D4" s="109" t="s">
        <v>1620</v>
      </c>
      <c r="E4" s="203" t="s">
        <v>697</v>
      </c>
      <c r="F4" s="76" t="s">
        <v>607</v>
      </c>
      <c r="G4" s="4" t="s">
        <v>634</v>
      </c>
    </row>
    <row r="5" spans="1:9" ht="15" customHeight="1">
      <c r="A5" s="82"/>
      <c r="B5" s="76" t="s">
        <v>708</v>
      </c>
      <c r="C5" s="18" t="s">
        <v>698</v>
      </c>
      <c r="D5" s="109" t="s">
        <v>698</v>
      </c>
      <c r="E5" s="203" t="s">
        <v>698</v>
      </c>
      <c r="F5" s="76" t="s">
        <v>699</v>
      </c>
      <c r="G5" s="4" t="s">
        <v>1360</v>
      </c>
    </row>
    <row r="6" spans="1:9" ht="15" customHeight="1">
      <c r="A6" s="82"/>
      <c r="B6" s="76"/>
      <c r="C6" s="18" t="s">
        <v>700</v>
      </c>
      <c r="D6" s="109" t="s">
        <v>700</v>
      </c>
      <c r="E6" s="203" t="s">
        <v>700</v>
      </c>
      <c r="F6" s="76" t="s">
        <v>701</v>
      </c>
      <c r="G6" s="4" t="s">
        <v>611</v>
      </c>
    </row>
    <row r="7" spans="1:9" ht="21" customHeight="1">
      <c r="A7" s="83"/>
      <c r="B7" s="77"/>
      <c r="C7" s="19" t="s">
        <v>1621</v>
      </c>
      <c r="D7" s="110" t="s">
        <v>1621</v>
      </c>
      <c r="E7" s="204" t="s">
        <v>1735</v>
      </c>
      <c r="F7" s="110" t="s">
        <v>1736</v>
      </c>
      <c r="G7" s="108"/>
    </row>
    <row r="8" spans="1:9" ht="30" customHeight="1" thickBot="1">
      <c r="A8" s="146" t="s">
        <v>1671</v>
      </c>
      <c r="B8" s="153">
        <v>0.19999999965408921</v>
      </c>
      <c r="C8" s="98">
        <v>221558624.09579939</v>
      </c>
      <c r="D8" s="188">
        <v>240988436.90420061</v>
      </c>
      <c r="E8" s="205">
        <v>462547061</v>
      </c>
      <c r="F8" s="153">
        <v>0.80000000034591079</v>
      </c>
      <c r="G8" s="99">
        <v>0.23510563684913222</v>
      </c>
    </row>
    <row r="9" spans="1:9" ht="20" customHeight="1" thickBot="1">
      <c r="A9" s="148" t="s">
        <v>1672</v>
      </c>
      <c r="B9" s="206">
        <v>0</v>
      </c>
      <c r="C9" s="119">
        <v>361506838</v>
      </c>
      <c r="D9" s="190">
        <v>88045575</v>
      </c>
      <c r="E9" s="207">
        <v>449552413</v>
      </c>
      <c r="F9" s="153">
        <v>1</v>
      </c>
      <c r="G9" s="99">
        <v>9.9721688246507956E-3</v>
      </c>
    </row>
    <row r="10" spans="1:9" ht="20" customHeight="1" thickBot="1">
      <c r="A10" s="148" t="s">
        <v>1673</v>
      </c>
      <c r="B10" s="206">
        <v>0.33000000202294388</v>
      </c>
      <c r="C10" s="119">
        <v>83578789.957648948</v>
      </c>
      <c r="D10" s="190">
        <v>25717371.042351048</v>
      </c>
      <c r="E10" s="207">
        <v>109296161</v>
      </c>
      <c r="F10" s="153">
        <v>0.66999999797705612</v>
      </c>
      <c r="G10" s="99">
        <v>0.20902832964601781</v>
      </c>
    </row>
    <row r="11" spans="1:9" ht="20" customHeight="1" thickBot="1">
      <c r="A11" s="148" t="s">
        <v>1674</v>
      </c>
      <c r="B11" s="206">
        <v>0.40000002458836159</v>
      </c>
      <c r="C11" s="119">
        <v>7577506.489469205</v>
      </c>
      <c r="D11" s="190">
        <v>2183208.5105307959</v>
      </c>
      <c r="E11" s="207">
        <v>9760715</v>
      </c>
      <c r="F11" s="153">
        <v>0.59999997541163841</v>
      </c>
      <c r="G11" s="99">
        <v>4.2901222532987227E-2</v>
      </c>
    </row>
    <row r="12" spans="1:9" ht="20" customHeight="1" thickBot="1">
      <c r="A12" s="148" t="s">
        <v>1675</v>
      </c>
      <c r="B12" s="206">
        <v>0.2</v>
      </c>
      <c r="C12" s="119">
        <v>29622339.200000003</v>
      </c>
      <c r="D12" s="190">
        <v>18954656.800000001</v>
      </c>
      <c r="E12" s="207">
        <v>48576996</v>
      </c>
      <c r="F12" s="153">
        <v>0.8</v>
      </c>
      <c r="G12" s="99">
        <v>0.72085286612184873</v>
      </c>
    </row>
    <row r="13" spans="1:9" ht="20" customHeight="1" thickBot="1">
      <c r="A13" s="148" t="s">
        <v>1676</v>
      </c>
      <c r="B13" s="206">
        <v>0</v>
      </c>
      <c r="C13" s="119">
        <v>13668729</v>
      </c>
      <c r="D13" s="190">
        <v>1548410</v>
      </c>
      <c r="E13" s="207">
        <v>15217139</v>
      </c>
      <c r="F13" s="153">
        <v>1</v>
      </c>
      <c r="G13" s="99">
        <v>6.6599956322892728E-2</v>
      </c>
    </row>
    <row r="14" spans="1:9" ht="20" customHeight="1" thickBot="1">
      <c r="A14" s="148" t="s">
        <v>1677</v>
      </c>
      <c r="B14" s="206">
        <v>0.5</v>
      </c>
      <c r="C14" s="119">
        <v>4881538</v>
      </c>
      <c r="D14" s="190">
        <v>3838222</v>
      </c>
      <c r="E14" s="207">
        <v>8719760</v>
      </c>
      <c r="F14" s="153">
        <v>0.5</v>
      </c>
      <c r="G14" s="99">
        <v>7.9329795160636651E-2</v>
      </c>
    </row>
    <row r="15" spans="1:9" ht="20" customHeight="1" thickBot="1">
      <c r="A15" s="148" t="s">
        <v>1678</v>
      </c>
      <c r="B15" s="206">
        <v>0.29999997785734123</v>
      </c>
      <c r="C15" s="119">
        <v>8967098.9836505819</v>
      </c>
      <c r="D15" s="190">
        <v>3678176.01634942</v>
      </c>
      <c r="E15" s="207">
        <v>12645275</v>
      </c>
      <c r="F15" s="153">
        <v>0.70000002214265877</v>
      </c>
      <c r="G15" s="99">
        <v>0.22411014751210034</v>
      </c>
    </row>
    <row r="16" spans="1:9" ht="20" customHeight="1" thickBot="1">
      <c r="A16" s="148" t="s">
        <v>1679</v>
      </c>
      <c r="B16" s="206">
        <v>0.4</v>
      </c>
      <c r="C16" s="119">
        <v>10098571.799999999</v>
      </c>
      <c r="D16" s="190">
        <v>17843542.199999999</v>
      </c>
      <c r="E16" s="207">
        <v>27942114</v>
      </c>
      <c r="F16" s="153">
        <v>0.6</v>
      </c>
      <c r="G16" s="99">
        <v>0.29903114020888744</v>
      </c>
    </row>
    <row r="17" spans="1:7" ht="20" customHeight="1" thickBot="1">
      <c r="A17" s="148" t="s">
        <v>1680</v>
      </c>
      <c r="B17" s="206">
        <v>0</v>
      </c>
      <c r="C17" s="119">
        <v>92924773</v>
      </c>
      <c r="D17" s="190">
        <v>19196581</v>
      </c>
      <c r="E17" s="207">
        <v>112121354</v>
      </c>
      <c r="F17" s="153">
        <v>1</v>
      </c>
      <c r="G17" s="99">
        <v>2.4663576860371128E-2</v>
      </c>
    </row>
    <row r="18" spans="1:7" ht="20" customHeight="1" thickBot="1">
      <c r="A18" s="148" t="s">
        <v>1681</v>
      </c>
      <c r="B18" s="206">
        <v>0.38000000017451552</v>
      </c>
      <c r="C18" s="119">
        <v>50386186.645817466</v>
      </c>
      <c r="D18" s="190">
        <v>20667686.35418253</v>
      </c>
      <c r="E18" s="207">
        <v>71053873</v>
      </c>
      <c r="F18" s="153">
        <v>0.61999999982548448</v>
      </c>
      <c r="G18" s="99">
        <v>4.9154353822294938E-2</v>
      </c>
    </row>
    <row r="19" spans="1:7" ht="20" customHeight="1" thickBot="1">
      <c r="A19" s="148" t="s">
        <v>1682</v>
      </c>
      <c r="B19" s="206">
        <v>0</v>
      </c>
      <c r="C19" s="119">
        <v>41363735</v>
      </c>
      <c r="D19" s="190">
        <v>50826230</v>
      </c>
      <c r="E19" s="207">
        <v>92189965</v>
      </c>
      <c r="F19" s="153">
        <v>1</v>
      </c>
      <c r="G19" s="99">
        <v>-5.6503770248074181E-2</v>
      </c>
    </row>
    <row r="20" spans="1:7" ht="20" customHeight="1" thickBot="1">
      <c r="A20" s="148" t="s">
        <v>1683</v>
      </c>
      <c r="B20" s="206">
        <v>0.22659999806563536</v>
      </c>
      <c r="C20" s="119">
        <v>55551264.894940265</v>
      </c>
      <c r="D20" s="190">
        <v>39286324.105059728</v>
      </c>
      <c r="E20" s="208">
        <v>94837589</v>
      </c>
      <c r="F20" s="153">
        <v>0.77340000193436464</v>
      </c>
      <c r="G20" s="99">
        <v>0.34330862606232304</v>
      </c>
    </row>
    <row r="21" spans="1:7" ht="20" customHeight="1" thickBot="1">
      <c r="A21" s="148" t="s">
        <v>1684</v>
      </c>
      <c r="B21" s="206">
        <v>0.22599999665848247</v>
      </c>
      <c r="C21" s="119">
        <v>16802232.012538698</v>
      </c>
      <c r="D21" s="190">
        <v>10066996.987461301</v>
      </c>
      <c r="E21" s="207">
        <v>26869229</v>
      </c>
      <c r="F21" s="153">
        <v>0.77400000334151753</v>
      </c>
      <c r="G21" s="99">
        <v>0.27948709523809523</v>
      </c>
    </row>
    <row r="22" spans="1:7" ht="20" customHeight="1" thickBot="1">
      <c r="A22" s="148" t="s">
        <v>1685</v>
      </c>
      <c r="B22" s="206">
        <v>0.31999999841016524</v>
      </c>
      <c r="C22" s="119">
        <v>13348918.87120967</v>
      </c>
      <c r="D22" s="190">
        <v>3759777.1287903301</v>
      </c>
      <c r="E22" s="207">
        <v>17108696</v>
      </c>
      <c r="F22" s="153">
        <v>0.68000000158983476</v>
      </c>
      <c r="G22" s="99">
        <v>-3.2972188159598459E-2</v>
      </c>
    </row>
    <row r="23" spans="1:7" ht="20" customHeight="1" thickBot="1">
      <c r="A23" s="148" t="s">
        <v>1686</v>
      </c>
      <c r="B23" s="206">
        <v>0.29999994240044425</v>
      </c>
      <c r="C23" s="119">
        <v>3811996.613670419</v>
      </c>
      <c r="D23" s="190">
        <v>1049152.3863295806</v>
      </c>
      <c r="E23" s="207">
        <v>4861149</v>
      </c>
      <c r="F23" s="153">
        <v>0.70000005759955575</v>
      </c>
      <c r="G23" s="99">
        <v>8.8921288647734631E-2</v>
      </c>
    </row>
    <row r="24" spans="1:7" ht="20" customHeight="1" thickBot="1">
      <c r="A24" s="148" t="s">
        <v>1687</v>
      </c>
      <c r="B24" s="206">
        <v>0.45600000022624654</v>
      </c>
      <c r="C24" s="119">
        <v>82670603.389617756</v>
      </c>
      <c r="D24" s="190">
        <v>32743330.610382233</v>
      </c>
      <c r="E24" s="207">
        <v>115413934</v>
      </c>
      <c r="F24" s="153">
        <v>0.54399999977375346</v>
      </c>
      <c r="G24" s="99">
        <v>6.2973368175801792E-2</v>
      </c>
    </row>
    <row r="25" spans="1:7" ht="20" customHeight="1" thickBot="1">
      <c r="A25" s="148" t="s">
        <v>1688</v>
      </c>
      <c r="B25" s="206">
        <v>0.41000000257852742</v>
      </c>
      <c r="C25" s="119">
        <v>38269651.272746868</v>
      </c>
      <c r="D25" s="190">
        <v>14357284.727253132</v>
      </c>
      <c r="E25" s="207">
        <v>52626936</v>
      </c>
      <c r="F25" s="153">
        <v>0.58999999742147258</v>
      </c>
      <c r="G25" s="99">
        <v>0.13868419495298068</v>
      </c>
    </row>
    <row r="26" spans="1:7" ht="20" customHeight="1" thickBot="1">
      <c r="A26" s="148" t="s">
        <v>1689</v>
      </c>
      <c r="B26" s="206">
        <v>0.49999999804771023</v>
      </c>
      <c r="C26" s="119">
        <v>84207757.828795895</v>
      </c>
      <c r="D26" s="190">
        <v>43847003.171204112</v>
      </c>
      <c r="E26" s="207">
        <v>128054761</v>
      </c>
      <c r="F26" s="153">
        <v>0.50000000195228977</v>
      </c>
      <c r="G26" s="99">
        <v>4.9956971777655568E-2</v>
      </c>
    </row>
    <row r="27" spans="1:7" ht="20" customHeight="1" thickBot="1">
      <c r="A27" s="148" t="s">
        <v>1690</v>
      </c>
      <c r="B27" s="206">
        <v>0</v>
      </c>
      <c r="C27" s="119">
        <v>75895256</v>
      </c>
      <c r="D27" s="190">
        <v>31670806</v>
      </c>
      <c r="E27" s="207">
        <v>107566062</v>
      </c>
      <c r="F27" s="153">
        <v>1</v>
      </c>
      <c r="G27" s="99">
        <v>3.7784720623767365E-2</v>
      </c>
    </row>
    <row r="28" spans="1:7" ht="20" customHeight="1" thickBot="1">
      <c r="A28" s="148" t="s">
        <v>1691</v>
      </c>
      <c r="B28" s="206">
        <v>0</v>
      </c>
      <c r="C28" s="119">
        <v>104990604</v>
      </c>
      <c r="D28" s="190">
        <v>43065224</v>
      </c>
      <c r="E28" s="207">
        <v>148055828</v>
      </c>
      <c r="F28" s="153">
        <v>1</v>
      </c>
      <c r="G28" s="99">
        <v>6.3581171770870082E-3</v>
      </c>
    </row>
    <row r="29" spans="1:7" ht="20" customHeight="1" thickBot="1">
      <c r="A29" s="148" t="s">
        <v>1692</v>
      </c>
      <c r="B29" s="206">
        <v>0</v>
      </c>
      <c r="C29" s="119">
        <v>198913227</v>
      </c>
      <c r="D29" s="190">
        <v>99043890</v>
      </c>
      <c r="E29" s="207">
        <v>297957117</v>
      </c>
      <c r="F29" s="153">
        <v>1</v>
      </c>
      <c r="G29" s="99">
        <v>-3.6668106357468866E-2</v>
      </c>
    </row>
    <row r="30" spans="1:7" ht="20" customHeight="1" thickBot="1">
      <c r="A30" s="148" t="s">
        <v>1693</v>
      </c>
      <c r="B30" s="206">
        <v>0</v>
      </c>
      <c r="C30" s="119">
        <v>118801693</v>
      </c>
      <c r="D30" s="190">
        <v>10173113</v>
      </c>
      <c r="E30" s="207">
        <v>128974806</v>
      </c>
      <c r="F30" s="153">
        <v>1</v>
      </c>
      <c r="G30" s="99">
        <v>4.706483403431605E-2</v>
      </c>
    </row>
    <row r="31" spans="1:7" ht="20" customHeight="1" thickBot="1">
      <c r="A31" s="148" t="s">
        <v>1694</v>
      </c>
      <c r="B31" s="206">
        <v>0</v>
      </c>
      <c r="C31" s="119">
        <v>64055794</v>
      </c>
      <c r="D31" s="190">
        <v>14803504</v>
      </c>
      <c r="E31" s="207">
        <v>78859298</v>
      </c>
      <c r="F31" s="153">
        <v>1</v>
      </c>
      <c r="G31" s="99">
        <v>-3.074329009034249E-2</v>
      </c>
    </row>
    <row r="32" spans="1:7" ht="20" customHeight="1" thickBot="1">
      <c r="A32" s="148" t="s">
        <v>1695</v>
      </c>
      <c r="B32" s="206">
        <v>0</v>
      </c>
      <c r="C32" s="119">
        <v>103081369</v>
      </c>
      <c r="D32" s="190">
        <v>92506105</v>
      </c>
      <c r="E32" s="207">
        <v>195587474</v>
      </c>
      <c r="F32" s="153">
        <v>1</v>
      </c>
      <c r="G32" s="99">
        <v>-5.6514486402904351E-2</v>
      </c>
    </row>
    <row r="33" spans="1:9" ht="20" customHeight="1" thickBot="1">
      <c r="A33" s="148" t="s">
        <v>1696</v>
      </c>
      <c r="B33" s="206">
        <v>0</v>
      </c>
      <c r="C33" s="119">
        <v>28916450</v>
      </c>
      <c r="D33" s="190">
        <v>3114118</v>
      </c>
      <c r="E33" s="207">
        <v>32030568</v>
      </c>
      <c r="F33" s="153">
        <v>1</v>
      </c>
      <c r="G33" s="99">
        <v>-1.6215364156562773E-2</v>
      </c>
      <c r="H33" s="45"/>
      <c r="I33" s="45"/>
    </row>
    <row r="34" spans="1:9" s="115" customFormat="1" ht="30" customHeight="1" thickBot="1">
      <c r="A34" s="149" t="s">
        <v>1737</v>
      </c>
      <c r="B34" s="209">
        <v>0.16712682076023389</v>
      </c>
      <c r="C34" s="154">
        <v>1915451548.0559051</v>
      </c>
      <c r="D34" s="1285">
        <v>932974724.94409478</v>
      </c>
      <c r="E34" s="154">
        <v>2848426273</v>
      </c>
      <c r="F34" s="257">
        <v>0.83287317923976611</v>
      </c>
      <c r="G34" s="210">
        <v>6.6177010820847704E-2</v>
      </c>
      <c r="H34" s="211"/>
    </row>
    <row r="35" spans="1:9" ht="20" customHeight="1">
      <c r="A35" s="140" t="s">
        <v>466</v>
      </c>
      <c r="B35" s="197"/>
      <c r="C35" s="198"/>
      <c r="D35" s="151"/>
      <c r="E35" s="151"/>
      <c r="F35" s="199"/>
    </row>
    <row r="36" spans="1:9" ht="11.25" customHeight="1">
      <c r="A36" s="141"/>
      <c r="B36" s="199"/>
      <c r="C36" s="200"/>
      <c r="D36" s="152"/>
      <c r="E36" s="152"/>
      <c r="F36" s="199"/>
    </row>
    <row r="37" spans="1:9" ht="20" customHeight="1">
      <c r="A37" s="141" t="s">
        <v>702</v>
      </c>
      <c r="B37" s="199"/>
      <c r="C37" s="200"/>
      <c r="D37" s="152"/>
      <c r="E37" s="152"/>
      <c r="F37" s="199"/>
    </row>
    <row r="38" spans="1:9" ht="10.5" customHeight="1">
      <c r="A38" s="141"/>
      <c r="B38" s="199"/>
      <c r="C38" s="200"/>
      <c r="D38" s="152"/>
      <c r="E38" s="152"/>
      <c r="F38" s="199"/>
    </row>
    <row r="39" spans="1:9" ht="11.25" customHeight="1">
      <c r="A39" s="38" t="s">
        <v>703</v>
      </c>
      <c r="B39" s="199"/>
      <c r="C39" s="200"/>
      <c r="D39" s="152"/>
      <c r="E39" s="152"/>
      <c r="F39" s="199"/>
    </row>
    <row r="40" spans="1:9">
      <c r="A40" s="3" t="s">
        <v>776</v>
      </c>
    </row>
    <row r="41" spans="1:9">
      <c r="A41" s="3" t="s">
        <v>704</v>
      </c>
    </row>
    <row r="42" spans="1:9">
      <c r="A42" s="3" t="s">
        <v>705</v>
      </c>
    </row>
    <row r="43" spans="1:9">
      <c r="A43" s="3" t="s">
        <v>706</v>
      </c>
    </row>
    <row r="44" spans="1:9">
      <c r="A44" s="3" t="s">
        <v>707</v>
      </c>
    </row>
  </sheetData>
  <phoneticPr fontId="0" type="noConversion"/>
  <pageMargins left="0.78740157480314965" right="0.78740157480314965" top="1.46" bottom="0.49" header="0.93"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2C32-A449-2C47-BEF7-027348BEB246}">
  <dimension ref="A1:K39"/>
  <sheetViews>
    <sheetView topLeftCell="A22" zoomScale="75" workbookViewId="0">
      <selection activeCell="A38" sqref="A38"/>
    </sheetView>
  </sheetViews>
  <sheetFormatPr baseColWidth="10" defaultColWidth="11.3984375" defaultRowHeight="13"/>
  <cols>
    <col min="1" max="1" width="11.796875" style="3" customWidth="1"/>
    <col min="2" max="3" width="17.19921875" style="3" customWidth="1"/>
    <col min="4" max="4" width="17.19921875" style="36" customWidth="1"/>
    <col min="5" max="5" width="16" style="105" customWidth="1"/>
    <col min="6" max="6" width="13.19921875" style="3" customWidth="1"/>
    <col min="7" max="7" width="14.59765625" style="105" customWidth="1"/>
    <col min="8" max="8" width="7.3984375" style="3" customWidth="1"/>
    <col min="9" max="9" width="11.59765625" style="3" customWidth="1"/>
    <col min="10" max="16384" width="11.3984375" style="3"/>
  </cols>
  <sheetData>
    <row r="1" spans="1:9" s="1" customFormat="1" ht="14" customHeight="1">
      <c r="D1" s="63"/>
      <c r="E1" s="95"/>
      <c r="G1" s="95"/>
    </row>
    <row r="2" spans="1:9" s="1" customFormat="1" ht="28" customHeight="1">
      <c r="A2" s="64" t="s">
        <v>481</v>
      </c>
      <c r="D2" s="63"/>
      <c r="E2" s="95"/>
      <c r="G2" s="95"/>
    </row>
    <row r="3" spans="1:9" ht="24" customHeight="1">
      <c r="A3" s="2" t="s">
        <v>1663</v>
      </c>
      <c r="B3" s="74" t="s">
        <v>1316</v>
      </c>
      <c r="C3" s="17" t="s">
        <v>1316</v>
      </c>
      <c r="D3" s="185" t="s">
        <v>607</v>
      </c>
      <c r="E3" s="96" t="s">
        <v>609</v>
      </c>
      <c r="F3" s="74" t="s">
        <v>607</v>
      </c>
      <c r="G3" s="96" t="s">
        <v>607</v>
      </c>
    </row>
    <row r="4" spans="1:9" ht="15" customHeight="1">
      <c r="A4" s="82"/>
      <c r="B4" s="15" t="s">
        <v>1741</v>
      </c>
      <c r="C4" s="66" t="s">
        <v>1741</v>
      </c>
      <c r="D4" s="186" t="s">
        <v>1316</v>
      </c>
      <c r="E4" s="4" t="s">
        <v>610</v>
      </c>
      <c r="F4" s="15" t="s">
        <v>1316</v>
      </c>
      <c r="G4" s="4" t="s">
        <v>1316</v>
      </c>
    </row>
    <row r="5" spans="1:9" ht="15" customHeight="1">
      <c r="A5" s="82"/>
      <c r="B5" s="75" t="s">
        <v>482</v>
      </c>
      <c r="C5" s="18" t="s">
        <v>483</v>
      </c>
      <c r="D5" s="186" t="s">
        <v>1742</v>
      </c>
      <c r="E5" s="4" t="s">
        <v>611</v>
      </c>
      <c r="F5" s="15" t="s">
        <v>1302</v>
      </c>
      <c r="G5" s="4" t="s">
        <v>1303</v>
      </c>
    </row>
    <row r="6" spans="1:9" ht="15" customHeight="1">
      <c r="A6" s="82"/>
      <c r="B6" s="75" t="s">
        <v>1304</v>
      </c>
      <c r="C6" s="18" t="s">
        <v>1738</v>
      </c>
      <c r="D6" s="186" t="s">
        <v>1304</v>
      </c>
      <c r="E6" s="4"/>
      <c r="F6" s="15" t="s">
        <v>1304</v>
      </c>
      <c r="G6" s="4" t="s">
        <v>1304</v>
      </c>
    </row>
    <row r="7" spans="1:9" ht="24" customHeight="1">
      <c r="A7" s="83"/>
      <c r="B7" s="78"/>
      <c r="C7" s="19" t="s">
        <v>1304</v>
      </c>
      <c r="D7" s="187"/>
      <c r="E7" s="111"/>
      <c r="F7" s="16"/>
      <c r="G7" s="111"/>
    </row>
    <row r="8" spans="1:9" ht="30" customHeight="1" thickBot="1">
      <c r="A8" s="146" t="s">
        <v>1671</v>
      </c>
      <c r="B8" s="92">
        <v>399132902</v>
      </c>
      <c r="C8" s="98">
        <v>3194859</v>
      </c>
      <c r="D8" s="189">
        <v>402327761</v>
      </c>
      <c r="E8" s="99">
        <v>6.9106345475847805E-2</v>
      </c>
      <c r="F8" s="92">
        <v>1620.3162318467027</v>
      </c>
      <c r="G8" s="212">
        <v>1071.0489619022519</v>
      </c>
      <c r="H8" s="43"/>
      <c r="I8" s="69"/>
    </row>
    <row r="9" spans="1:9" ht="20" customHeight="1" thickBot="1">
      <c r="A9" s="148" t="s">
        <v>1672</v>
      </c>
      <c r="B9" s="80">
        <v>446312988</v>
      </c>
      <c r="C9" s="119">
        <v>2872924</v>
      </c>
      <c r="D9" s="87">
        <v>449185912</v>
      </c>
      <c r="E9" s="99">
        <v>9.2194665086497499E-3</v>
      </c>
      <c r="F9" s="80">
        <v>2267.8025152596797</v>
      </c>
      <c r="G9" s="212">
        <v>1376.5154924139115</v>
      </c>
      <c r="H9" s="43"/>
      <c r="I9" s="69"/>
    </row>
    <row r="10" spans="1:9" ht="20" customHeight="1" thickBot="1">
      <c r="A10" s="148" t="s">
        <v>1673</v>
      </c>
      <c r="B10" s="80">
        <v>118133882</v>
      </c>
      <c r="C10" s="119">
        <v>0</v>
      </c>
      <c r="D10" s="87">
        <v>118133882</v>
      </c>
      <c r="E10" s="99">
        <v>0.22752770527077945</v>
      </c>
      <c r="F10" s="80">
        <v>2035.983696120504</v>
      </c>
      <c r="G10" s="212">
        <v>880.80078436635574</v>
      </c>
      <c r="H10" s="43"/>
      <c r="I10" s="69"/>
    </row>
    <row r="11" spans="1:9" ht="20" customHeight="1" thickBot="1">
      <c r="A11" s="148" t="s">
        <v>1674</v>
      </c>
      <c r="B11" s="80">
        <v>10243773</v>
      </c>
      <c r="C11" s="119">
        <v>268914</v>
      </c>
      <c r="D11" s="87">
        <v>10512687</v>
      </c>
      <c r="E11" s="99">
        <v>0.26950283952996684</v>
      </c>
      <c r="F11" s="80">
        <v>2024.7856317411402</v>
      </c>
      <c r="G11" s="212">
        <v>826.92417210729172</v>
      </c>
      <c r="H11" s="43"/>
      <c r="I11" s="69"/>
    </row>
    <row r="12" spans="1:9" ht="20" customHeight="1" thickBot="1">
      <c r="A12" s="148" t="s">
        <v>1675</v>
      </c>
      <c r="B12" s="80">
        <v>43521031</v>
      </c>
      <c r="C12" s="119">
        <v>0</v>
      </c>
      <c r="D12" s="87">
        <v>43521031</v>
      </c>
      <c r="E12" s="99">
        <v>0.52999881939411431</v>
      </c>
      <c r="F12" s="80">
        <v>1921.7128537996202</v>
      </c>
      <c r="G12" s="212">
        <v>825.71633748837917</v>
      </c>
      <c r="H12" s="43"/>
      <c r="I12" s="69"/>
    </row>
    <row r="13" spans="1:9" ht="20" customHeight="1" thickBot="1">
      <c r="A13" s="148" t="s">
        <v>1676</v>
      </c>
      <c r="B13" s="80">
        <v>14533136</v>
      </c>
      <c r="C13" s="119">
        <v>0</v>
      </c>
      <c r="D13" s="87">
        <v>14533136</v>
      </c>
      <c r="E13" s="99">
        <v>0.20480797863415365</v>
      </c>
      <c r="F13" s="80">
        <v>1807.3791816938192</v>
      </c>
      <c r="G13" s="212">
        <v>809.55525846702312</v>
      </c>
      <c r="H13" s="43"/>
      <c r="I13" s="69"/>
    </row>
    <row r="14" spans="1:9" ht="20" customHeight="1" thickBot="1">
      <c r="A14" s="148" t="s">
        <v>1677</v>
      </c>
      <c r="B14" s="80">
        <v>9666650</v>
      </c>
      <c r="C14" s="119">
        <v>255623</v>
      </c>
      <c r="D14" s="87">
        <v>9922273</v>
      </c>
      <c r="E14" s="99">
        <v>-3.5002328787893375E-2</v>
      </c>
      <c r="F14" s="80">
        <v>1335.4337819650068</v>
      </c>
      <c r="G14" s="212">
        <v>614.15406041099277</v>
      </c>
      <c r="H14" s="43"/>
      <c r="I14" s="69"/>
    </row>
    <row r="15" spans="1:9" ht="20" customHeight="1" thickBot="1">
      <c r="A15" s="148" t="s">
        <v>1678</v>
      </c>
      <c r="B15" s="80">
        <v>14811352</v>
      </c>
      <c r="C15" s="119">
        <v>776</v>
      </c>
      <c r="D15" s="87">
        <v>14812128</v>
      </c>
      <c r="E15" s="99">
        <v>0.45648751169607293</v>
      </c>
      <c r="F15" s="80">
        <v>2117.5308077197997</v>
      </c>
      <c r="G15" s="212">
        <v>1098.8225519287835</v>
      </c>
      <c r="H15" s="43"/>
      <c r="I15" s="69"/>
    </row>
    <row r="16" spans="1:9" ht="20" customHeight="1" thickBot="1">
      <c r="A16" s="148" t="s">
        <v>1679</v>
      </c>
      <c r="B16" s="80">
        <v>24406728</v>
      </c>
      <c r="C16" s="119">
        <v>1324268</v>
      </c>
      <c r="D16" s="87">
        <v>25730996</v>
      </c>
      <c r="E16" s="99">
        <v>-4.5404594961704695E-2</v>
      </c>
      <c r="F16" s="80">
        <v>1589.0196998703143</v>
      </c>
      <c r="G16" s="212">
        <v>824.89648318533</v>
      </c>
      <c r="H16" s="43"/>
      <c r="I16" s="69"/>
    </row>
    <row r="17" spans="1:9" ht="20" customHeight="1" thickBot="1">
      <c r="A17" s="148" t="s">
        <v>1680</v>
      </c>
      <c r="B17" s="80">
        <v>108397427</v>
      </c>
      <c r="C17" s="119">
        <v>420113</v>
      </c>
      <c r="D17" s="87">
        <v>108817540</v>
      </c>
      <c r="E17" s="99">
        <v>3.6367061347536922E-2</v>
      </c>
      <c r="F17" s="80">
        <v>2861.8120134651799</v>
      </c>
      <c r="G17" s="212">
        <v>1142.7772993635924</v>
      </c>
      <c r="H17" s="43"/>
      <c r="I17" s="69"/>
    </row>
    <row r="18" spans="1:9" ht="20" customHeight="1" thickBot="1">
      <c r="A18" s="148" t="s">
        <v>1681</v>
      </c>
      <c r="B18" s="80">
        <v>71576447</v>
      </c>
      <c r="C18" s="119">
        <v>3354202</v>
      </c>
      <c r="D18" s="87">
        <v>74930649</v>
      </c>
      <c r="E18" s="99">
        <v>0.12850343968423503</v>
      </c>
      <c r="F18" s="80">
        <v>2561.6440121705241</v>
      </c>
      <c r="G18" s="212">
        <v>962.25310132271738</v>
      </c>
      <c r="H18" s="43"/>
      <c r="I18" s="69"/>
    </row>
    <row r="19" spans="1:9" ht="20" customHeight="1" thickBot="1">
      <c r="A19" s="148" t="s">
        <v>1682</v>
      </c>
      <c r="B19" s="80">
        <v>96709066</v>
      </c>
      <c r="C19" s="119">
        <v>0</v>
      </c>
      <c r="D19" s="87">
        <v>96709066</v>
      </c>
      <c r="E19" s="99">
        <v>6.9682330590756819E-2</v>
      </c>
      <c r="F19" s="80">
        <v>2880.3891586001491</v>
      </c>
      <c r="G19" s="212">
        <v>1663.9263949347053</v>
      </c>
      <c r="H19" s="43"/>
      <c r="I19" s="69"/>
    </row>
    <row r="20" spans="1:9" ht="20" customHeight="1" thickBot="1">
      <c r="A20" s="148" t="s">
        <v>1683</v>
      </c>
      <c r="B20" s="80">
        <v>107668965</v>
      </c>
      <c r="C20" s="119">
        <v>5542771</v>
      </c>
      <c r="D20" s="89">
        <v>113211736</v>
      </c>
      <c r="E20" s="99">
        <v>0.29001947440328169</v>
      </c>
      <c r="F20" s="30">
        <v>2230.6412625854628</v>
      </c>
      <c r="G20" s="212">
        <v>965.97868582496437</v>
      </c>
      <c r="H20" s="43"/>
      <c r="I20" s="69"/>
    </row>
    <row r="21" spans="1:9" ht="20" customHeight="1" thickBot="1">
      <c r="A21" s="148" t="s">
        <v>1684</v>
      </c>
      <c r="B21" s="80">
        <v>27648756</v>
      </c>
      <c r="C21" s="119">
        <v>1467354</v>
      </c>
      <c r="D21" s="87">
        <v>29116110</v>
      </c>
      <c r="E21" s="99">
        <v>0.33840591364668549</v>
      </c>
      <c r="F21" s="80">
        <v>2249.2166859791423</v>
      </c>
      <c r="G21" s="212">
        <v>1093.85040198362</v>
      </c>
      <c r="H21" s="43"/>
      <c r="I21" s="69"/>
    </row>
    <row r="22" spans="1:9" ht="20" customHeight="1" thickBot="1">
      <c r="A22" s="148" t="s">
        <v>1685</v>
      </c>
      <c r="B22" s="80">
        <v>18750489</v>
      </c>
      <c r="C22" s="119">
        <v>729711</v>
      </c>
      <c r="D22" s="87">
        <v>19480200</v>
      </c>
      <c r="E22" s="99">
        <v>8.1642768400039853E-2</v>
      </c>
      <c r="F22" s="80">
        <v>3340.7991768135826</v>
      </c>
      <c r="G22" s="212">
        <v>1272.5503004964723</v>
      </c>
      <c r="H22" s="43"/>
      <c r="I22" s="69"/>
    </row>
    <row r="23" spans="1:9" ht="20" customHeight="1" thickBot="1">
      <c r="A23" s="148" t="s">
        <v>1686</v>
      </c>
      <c r="B23" s="80">
        <v>5474491</v>
      </c>
      <c r="C23" s="119">
        <v>39490</v>
      </c>
      <c r="D23" s="87">
        <v>5513981</v>
      </c>
      <c r="E23" s="99">
        <v>0.11009069476254031</v>
      </c>
      <c r="F23" s="80">
        <v>1839.2198132088058</v>
      </c>
      <c r="G23" s="212">
        <v>626.51755482331555</v>
      </c>
      <c r="H23" s="43"/>
      <c r="I23" s="69"/>
    </row>
    <row r="24" spans="1:9" ht="20" customHeight="1" thickBot="1">
      <c r="A24" s="148" t="s">
        <v>1687</v>
      </c>
      <c r="B24" s="80">
        <v>122352014</v>
      </c>
      <c r="C24" s="119">
        <v>0</v>
      </c>
      <c r="D24" s="87">
        <v>122352014</v>
      </c>
      <c r="E24" s="99">
        <v>0.17735069964677022</v>
      </c>
      <c r="F24" s="80">
        <v>1772.5239978559114</v>
      </c>
      <c r="G24" s="212">
        <v>709.75609388233386</v>
      </c>
      <c r="H24" s="43"/>
      <c r="I24" s="69"/>
    </row>
    <row r="25" spans="1:9" ht="20" customHeight="1" thickBot="1">
      <c r="A25" s="148" t="s">
        <v>1688</v>
      </c>
      <c r="B25" s="80">
        <v>56293107</v>
      </c>
      <c r="C25" s="119">
        <v>549686</v>
      </c>
      <c r="D25" s="87">
        <v>56842793</v>
      </c>
      <c r="E25" s="99">
        <v>0.40333732819612356</v>
      </c>
      <c r="F25" s="80">
        <v>1952.220111962084</v>
      </c>
      <c r="G25" s="212">
        <v>854.57323050093214</v>
      </c>
      <c r="H25" s="43"/>
      <c r="I25" s="69"/>
    </row>
    <row r="26" spans="1:9" ht="20" customHeight="1" thickBot="1">
      <c r="A26" s="148" t="s">
        <v>1689</v>
      </c>
      <c r="B26" s="80">
        <v>124318273</v>
      </c>
      <c r="C26" s="119">
        <v>4890767</v>
      </c>
      <c r="D26" s="87">
        <v>129209040</v>
      </c>
      <c r="E26" s="99">
        <v>7.1138137762357612E-2</v>
      </c>
      <c r="F26" s="80">
        <v>2695.1115931750865</v>
      </c>
      <c r="G26" s="212">
        <v>979.32376816207739</v>
      </c>
      <c r="H26" s="43"/>
      <c r="I26" s="69"/>
    </row>
    <row r="27" spans="1:9" ht="20" customHeight="1" thickBot="1">
      <c r="A27" s="148" t="s">
        <v>1690</v>
      </c>
      <c r="B27" s="80">
        <v>98628284</v>
      </c>
      <c r="C27" s="119">
        <v>2341020</v>
      </c>
      <c r="D27" s="87">
        <v>100969304</v>
      </c>
      <c r="E27" s="99">
        <v>0.14161769597641718</v>
      </c>
      <c r="F27" s="80">
        <v>1658.6060844996387</v>
      </c>
      <c r="G27" s="212">
        <v>988.49960839598998</v>
      </c>
      <c r="H27" s="43"/>
      <c r="I27" s="69"/>
    </row>
    <row r="28" spans="1:9" ht="20" customHeight="1" thickBot="1">
      <c r="A28" s="148" t="s">
        <v>1691</v>
      </c>
      <c r="B28" s="80">
        <v>153487156</v>
      </c>
      <c r="C28" s="119">
        <v>3322114</v>
      </c>
      <c r="D28" s="87">
        <v>156809270</v>
      </c>
      <c r="E28" s="99">
        <v>5.6250090168315663E-2</v>
      </c>
      <c r="F28" s="80">
        <v>2922.6016699593692</v>
      </c>
      <c r="G28" s="212">
        <v>1818.5845336673394</v>
      </c>
      <c r="H28" s="43"/>
      <c r="I28" s="69"/>
    </row>
    <row r="29" spans="1:9" ht="20" customHeight="1" thickBot="1">
      <c r="A29" s="148" t="s">
        <v>1692</v>
      </c>
      <c r="B29" s="80">
        <v>313424548</v>
      </c>
      <c r="C29" s="119">
        <v>0</v>
      </c>
      <c r="D29" s="87">
        <v>313424548</v>
      </c>
      <c r="E29" s="99">
        <v>6.0876963911032603E-2</v>
      </c>
      <c r="F29" s="80">
        <v>3993.9413571201021</v>
      </c>
      <c r="G29" s="212">
        <v>2045.1312722669554</v>
      </c>
      <c r="H29" s="43"/>
      <c r="I29" s="69"/>
    </row>
    <row r="30" spans="1:9" ht="20" customHeight="1" thickBot="1">
      <c r="A30" s="148" t="s">
        <v>1693</v>
      </c>
      <c r="B30" s="80">
        <v>126319349</v>
      </c>
      <c r="C30" s="119">
        <v>2666911</v>
      </c>
      <c r="D30" s="87">
        <v>128986260</v>
      </c>
      <c r="E30" s="99">
        <v>4.7025253030761889E-2</v>
      </c>
      <c r="F30" s="80">
        <v>2695.4122957328541</v>
      </c>
      <c r="G30" s="212">
        <v>1434.679109291927</v>
      </c>
      <c r="H30" s="43"/>
      <c r="I30" s="69"/>
    </row>
    <row r="31" spans="1:9" ht="20" customHeight="1" thickBot="1">
      <c r="A31" s="148" t="s">
        <v>1694</v>
      </c>
      <c r="B31" s="80">
        <v>79187044</v>
      </c>
      <c r="C31" s="119">
        <v>0</v>
      </c>
      <c r="D31" s="87">
        <v>79187044</v>
      </c>
      <c r="E31" s="99">
        <v>-3.1497818203204256E-2</v>
      </c>
      <c r="F31" s="80">
        <v>2428.3800177865005</v>
      </c>
      <c r="G31" s="212">
        <v>1380.4069380284145</v>
      </c>
      <c r="H31" s="43"/>
      <c r="I31" s="69"/>
    </row>
    <row r="32" spans="1:9" ht="20" customHeight="1" thickBot="1">
      <c r="A32" s="148" t="s">
        <v>1695</v>
      </c>
      <c r="B32" s="80">
        <v>221343178</v>
      </c>
      <c r="C32" s="119">
        <v>14422304</v>
      </c>
      <c r="D32" s="87">
        <v>235765482</v>
      </c>
      <c r="E32" s="99">
        <v>0.10065695846388807</v>
      </c>
      <c r="F32" s="80">
        <v>2113.7113886373622</v>
      </c>
      <c r="G32" s="212">
        <v>1401.6972770511295</v>
      </c>
      <c r="I32" s="69"/>
    </row>
    <row r="33" spans="1:11" ht="20" customHeight="1" thickBot="1">
      <c r="A33" s="148" t="s">
        <v>1696</v>
      </c>
      <c r="B33" s="80">
        <v>31121362</v>
      </c>
      <c r="C33" s="119">
        <v>909206</v>
      </c>
      <c r="D33" s="87">
        <v>32030568</v>
      </c>
      <c r="E33" s="99">
        <v>-1.6215358218415115E-2</v>
      </c>
      <c r="F33" s="80">
        <v>2281.5419901702398</v>
      </c>
      <c r="G33" s="212">
        <v>1210.2077303812296</v>
      </c>
      <c r="I33" s="45"/>
      <c r="J33" s="45"/>
      <c r="K33" s="45"/>
    </row>
    <row r="34" spans="1:11" ht="30" customHeight="1" thickBot="1">
      <c r="A34" s="149" t="s">
        <v>1697</v>
      </c>
      <c r="B34" s="155">
        <v>2843462398</v>
      </c>
      <c r="C34" s="154">
        <v>48573013</v>
      </c>
      <c r="D34" s="155">
        <v>2892035411</v>
      </c>
      <c r="E34" s="102">
        <v>8.8357001692741244E-2</v>
      </c>
      <c r="F34" s="155">
        <v>2242.922441746387</v>
      </c>
      <c r="G34" s="213">
        <v>1188.2690726766377</v>
      </c>
      <c r="I34" s="69"/>
    </row>
    <row r="35" spans="1:11" ht="20" customHeight="1">
      <c r="A35" s="140" t="s">
        <v>466</v>
      </c>
      <c r="B35" s="151"/>
      <c r="C35" s="151"/>
      <c r="D35" s="198"/>
      <c r="E35" s="197"/>
      <c r="F35" s="151"/>
      <c r="G35" s="197"/>
    </row>
    <row r="36" spans="1:11" ht="8.25" customHeight="1">
      <c r="A36" s="141"/>
      <c r="B36" s="152"/>
      <c r="C36" s="152"/>
      <c r="D36" s="200"/>
      <c r="E36" s="199"/>
      <c r="F36" s="152"/>
      <c r="G36" s="199"/>
    </row>
    <row r="37" spans="1:11" ht="14.25" customHeight="1">
      <c r="A37" s="141" t="s">
        <v>1739</v>
      </c>
      <c r="B37" s="152"/>
      <c r="C37" s="152"/>
      <c r="D37" s="200"/>
      <c r="E37" s="199"/>
      <c r="F37" s="152"/>
      <c r="G37" s="199"/>
    </row>
    <row r="38" spans="1:11" ht="12.75" customHeight="1">
      <c r="A38" s="141"/>
      <c r="B38" s="152"/>
      <c r="C38" s="152"/>
      <c r="D38" s="200"/>
      <c r="E38" s="199"/>
      <c r="F38" s="152"/>
      <c r="G38" s="199"/>
    </row>
    <row r="39" spans="1:11" ht="11.25" customHeight="1">
      <c r="A39" s="38" t="s">
        <v>1740</v>
      </c>
      <c r="B39" s="152"/>
      <c r="C39" s="152"/>
      <c r="D39" s="200"/>
      <c r="E39" s="199"/>
      <c r="F39" s="152"/>
      <c r="G39" s="199"/>
    </row>
  </sheetData>
  <phoneticPr fontId="0" type="noConversion"/>
  <pageMargins left="0.59" right="0.42" top="1.46" bottom="0.49" header="0.92"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554B-C401-3D44-9A31-961605B29E1B}">
  <dimension ref="A1:M38"/>
  <sheetViews>
    <sheetView topLeftCell="A22" zoomScale="75" workbookViewId="0">
      <selection activeCell="A3" sqref="A3"/>
    </sheetView>
  </sheetViews>
  <sheetFormatPr baseColWidth="10" defaultColWidth="11.3984375" defaultRowHeight="13"/>
  <cols>
    <col min="1" max="1" width="11.19921875" style="3" customWidth="1"/>
    <col min="2" max="3" width="11" style="3" customWidth="1"/>
    <col min="4" max="4" width="10.3984375" style="3" customWidth="1"/>
    <col min="5" max="5" width="12.796875" style="3" customWidth="1"/>
    <col min="6" max="6" width="13" style="3" customWidth="1"/>
    <col min="7" max="7" width="11.59765625" style="3" customWidth="1"/>
    <col min="8" max="8" width="13.19921875" style="3" customWidth="1"/>
    <col min="9" max="9" width="14.19921875" style="105" customWidth="1"/>
    <col min="10" max="16384" width="11.3984375" style="3"/>
  </cols>
  <sheetData>
    <row r="1" spans="1:10" s="1" customFormat="1" ht="14" customHeight="1">
      <c r="I1" s="95"/>
    </row>
    <row r="2" spans="1:10" s="1" customFormat="1" ht="28" customHeight="1">
      <c r="A2" s="64" t="s">
        <v>1743</v>
      </c>
      <c r="I2" s="95"/>
    </row>
    <row r="3" spans="1:10" ht="24" customHeight="1">
      <c r="A3" s="2"/>
      <c r="B3" s="74"/>
      <c r="C3" s="17"/>
      <c r="D3" s="74"/>
      <c r="E3" s="2"/>
      <c r="F3" s="90"/>
      <c r="G3" s="17"/>
      <c r="H3" s="74"/>
      <c r="I3" s="96"/>
    </row>
    <row r="4" spans="1:10" ht="15" customHeight="1">
      <c r="A4" s="82" t="s">
        <v>1663</v>
      </c>
      <c r="B4" s="75">
        <v>1996</v>
      </c>
      <c r="C4" s="18">
        <v>1997</v>
      </c>
      <c r="D4" s="75">
        <v>1998</v>
      </c>
      <c r="E4" s="18">
        <v>1999</v>
      </c>
      <c r="F4" s="75">
        <v>2000</v>
      </c>
      <c r="G4" s="18">
        <v>2001</v>
      </c>
      <c r="H4" s="75">
        <v>2002</v>
      </c>
      <c r="I4" s="4" t="s">
        <v>1744</v>
      </c>
    </row>
    <row r="5" spans="1:10" ht="15" customHeight="1">
      <c r="A5" s="82"/>
      <c r="B5" s="75"/>
      <c r="C5" s="18"/>
      <c r="D5" s="75"/>
      <c r="E5" s="18"/>
      <c r="F5" s="15"/>
      <c r="G5" s="108"/>
      <c r="H5" s="15"/>
      <c r="I5" s="4" t="s">
        <v>1745</v>
      </c>
    </row>
    <row r="6" spans="1:10" ht="15" customHeight="1">
      <c r="A6" s="82"/>
      <c r="B6" s="75"/>
      <c r="C6" s="18"/>
      <c r="D6" s="75"/>
      <c r="E6" s="18"/>
      <c r="F6" s="15"/>
      <c r="G6" s="108"/>
      <c r="H6" s="15"/>
      <c r="I6" s="4" t="s">
        <v>1746</v>
      </c>
    </row>
    <row r="7" spans="1:10" ht="15" customHeight="1">
      <c r="A7" s="82"/>
      <c r="B7" s="75"/>
      <c r="C7" s="18"/>
      <c r="D7" s="75"/>
      <c r="E7" s="18"/>
      <c r="F7" s="15"/>
      <c r="G7" s="108"/>
      <c r="H7" s="15"/>
      <c r="I7" s="4" t="s">
        <v>484</v>
      </c>
    </row>
    <row r="8" spans="1:10" ht="16" customHeight="1">
      <c r="A8" s="83"/>
      <c r="B8" s="78"/>
      <c r="C8" s="19"/>
      <c r="D8" s="78"/>
      <c r="E8" s="19"/>
      <c r="F8" s="16"/>
      <c r="G8" s="111"/>
      <c r="H8" s="16"/>
      <c r="I8" s="111"/>
    </row>
    <row r="9" spans="1:10" ht="30" customHeight="1" thickBot="1">
      <c r="A9" s="146" t="s">
        <v>1671</v>
      </c>
      <c r="B9" s="214">
        <v>208.02833699999999</v>
      </c>
      <c r="C9" s="215">
        <v>229.52549999999999</v>
      </c>
      <c r="D9" s="214">
        <v>252.184923</v>
      </c>
      <c r="E9" s="215">
        <v>278.32009199999999</v>
      </c>
      <c r="F9" s="214">
        <v>283.539986</v>
      </c>
      <c r="G9" s="215">
        <v>374.5</v>
      </c>
      <c r="H9" s="214">
        <v>462.54706099999999</v>
      </c>
      <c r="I9" s="99">
        <v>0.14245447924599652</v>
      </c>
      <c r="J9" s="43"/>
    </row>
    <row r="10" spans="1:10" ht="20" customHeight="1" thickBot="1">
      <c r="A10" s="148" t="s">
        <v>1672</v>
      </c>
      <c r="B10" s="214">
        <v>302.45588199999997</v>
      </c>
      <c r="C10" s="215">
        <v>366.411</v>
      </c>
      <c r="D10" s="214">
        <v>401.072923</v>
      </c>
      <c r="E10" s="215">
        <v>440.72847000000002</v>
      </c>
      <c r="F10" s="214">
        <v>450.38905799999998</v>
      </c>
      <c r="G10" s="215">
        <v>445.1136643925189</v>
      </c>
      <c r="H10" s="214">
        <v>449.552413</v>
      </c>
      <c r="I10" s="99">
        <v>6.8283161584814511E-2</v>
      </c>
      <c r="J10" s="43"/>
    </row>
    <row r="11" spans="1:10" ht="20" customHeight="1" thickBot="1">
      <c r="A11" s="148" t="s">
        <v>1673</v>
      </c>
      <c r="B11" s="214">
        <v>59.121053000000003</v>
      </c>
      <c r="C11" s="215">
        <v>62.993000000000002</v>
      </c>
      <c r="D11" s="214">
        <v>68.385987</v>
      </c>
      <c r="E11" s="215">
        <v>75.359249000000005</v>
      </c>
      <c r="F11" s="214">
        <v>76.206051000000002</v>
      </c>
      <c r="G11" s="215">
        <v>90.4</v>
      </c>
      <c r="H11" s="214">
        <v>109.296161</v>
      </c>
      <c r="I11" s="99">
        <v>0.10784021084888207</v>
      </c>
      <c r="J11" s="43"/>
    </row>
    <row r="12" spans="1:10" ht="20" customHeight="1" thickBot="1">
      <c r="A12" s="148" t="s">
        <v>1674</v>
      </c>
      <c r="B12" s="214">
        <v>12.372119</v>
      </c>
      <c r="C12" s="215">
        <v>13.022</v>
      </c>
      <c r="D12" s="214">
        <v>10.546873</v>
      </c>
      <c r="E12" s="215">
        <v>9.482208</v>
      </c>
      <c r="F12" s="214">
        <v>9.4232610000000001</v>
      </c>
      <c r="G12" s="215">
        <v>9.3591941299035799</v>
      </c>
      <c r="H12" s="214">
        <v>9.7607149999999994</v>
      </c>
      <c r="I12" s="99">
        <v>-3.8742833591436709E-2</v>
      </c>
      <c r="J12" s="43"/>
    </row>
    <row r="13" spans="1:10" ht="20" customHeight="1" thickBot="1">
      <c r="A13" s="148" t="s">
        <v>1675</v>
      </c>
      <c r="B13" s="214">
        <v>20.749811000000001</v>
      </c>
      <c r="C13" s="215">
        <v>22.084499999999998</v>
      </c>
      <c r="D13" s="214">
        <v>24.426442999999999</v>
      </c>
      <c r="E13" s="215">
        <v>26.996661</v>
      </c>
      <c r="F13" s="214">
        <v>27.426707</v>
      </c>
      <c r="G13" s="215">
        <v>28.228442394075312</v>
      </c>
      <c r="H13" s="214">
        <v>48.576996000000001</v>
      </c>
      <c r="I13" s="99">
        <v>0.15231023190999493</v>
      </c>
      <c r="J13" s="43"/>
    </row>
    <row r="14" spans="1:10" ht="20" customHeight="1" thickBot="1">
      <c r="A14" s="148" t="s">
        <v>1676</v>
      </c>
      <c r="B14" s="214">
        <v>5.4437319999999998</v>
      </c>
      <c r="C14" s="215">
        <v>5.7229999999999999</v>
      </c>
      <c r="D14" s="214">
        <v>6.2395350000000001</v>
      </c>
      <c r="E14" s="215">
        <v>8.2163050000000002</v>
      </c>
      <c r="F14" s="214">
        <v>13.891306999999999</v>
      </c>
      <c r="G14" s="215">
        <v>14.26696008169843</v>
      </c>
      <c r="H14" s="214">
        <v>15.217139</v>
      </c>
      <c r="I14" s="99">
        <v>0.18687790544217786</v>
      </c>
      <c r="J14" s="43"/>
    </row>
    <row r="15" spans="1:10" ht="20" customHeight="1" thickBot="1">
      <c r="A15" s="148" t="s">
        <v>1677</v>
      </c>
      <c r="B15" s="214">
        <v>6.0800130000000001</v>
      </c>
      <c r="C15" s="215">
        <v>6.4104999999999999</v>
      </c>
      <c r="D15" s="214">
        <v>8.5528999999999993</v>
      </c>
      <c r="E15" s="215">
        <v>7.7602570000000002</v>
      </c>
      <c r="F15" s="214">
        <v>7.8876049999999998</v>
      </c>
      <c r="G15" s="215">
        <v>8.0788652727799821</v>
      </c>
      <c r="H15" s="214">
        <v>8.7197600000000008</v>
      </c>
      <c r="I15" s="99">
        <v>6.1940059500708466E-2</v>
      </c>
      <c r="J15" s="43"/>
    </row>
    <row r="16" spans="1:10" ht="20" customHeight="1" thickBot="1">
      <c r="A16" s="148" t="s">
        <v>1678</v>
      </c>
      <c r="B16" s="214">
        <v>6.8753640000000003</v>
      </c>
      <c r="C16" s="215">
        <v>7.1334999999999997</v>
      </c>
      <c r="D16" s="214">
        <v>11.703683</v>
      </c>
      <c r="E16" s="215">
        <v>10.225053000000001</v>
      </c>
      <c r="F16" s="214">
        <v>10.215057</v>
      </c>
      <c r="G16" s="215">
        <v>10.330177415570359</v>
      </c>
      <c r="H16" s="214">
        <v>12.645275</v>
      </c>
      <c r="I16" s="99">
        <v>0.10689246342942482</v>
      </c>
      <c r="J16" s="43"/>
    </row>
    <row r="17" spans="1:10" ht="20" customHeight="1" thickBot="1">
      <c r="A17" s="148" t="s">
        <v>1679</v>
      </c>
      <c r="B17" s="214">
        <v>15.58887</v>
      </c>
      <c r="C17" s="215">
        <v>16.641999999999999</v>
      </c>
      <c r="D17" s="214">
        <v>18.408573000000001</v>
      </c>
      <c r="E17" s="215">
        <v>20.402721</v>
      </c>
      <c r="F17" s="214">
        <v>20.812159000000001</v>
      </c>
      <c r="G17" s="215">
        <v>21.509964723021834</v>
      </c>
      <c r="H17" s="214">
        <v>27.942114</v>
      </c>
      <c r="I17" s="99">
        <v>0.10215016703015434</v>
      </c>
      <c r="J17" s="43"/>
    </row>
    <row r="18" spans="1:10" ht="20" customHeight="1" thickBot="1">
      <c r="A18" s="148" t="s">
        <v>1680</v>
      </c>
      <c r="B18" s="214">
        <v>77.661556000000004</v>
      </c>
      <c r="C18" s="215">
        <v>86.614000000000004</v>
      </c>
      <c r="D18" s="214">
        <v>94.908370000000005</v>
      </c>
      <c r="E18" s="215">
        <v>104.299892</v>
      </c>
      <c r="F18" s="214">
        <v>106.172915</v>
      </c>
      <c r="G18" s="215">
        <v>109.42260126347651</v>
      </c>
      <c r="H18" s="214">
        <v>112.121354</v>
      </c>
      <c r="I18" s="99">
        <v>6.3115314515586718E-2</v>
      </c>
      <c r="J18" s="43"/>
    </row>
    <row r="19" spans="1:10" ht="20" customHeight="1" thickBot="1">
      <c r="A19" s="148" t="s">
        <v>1681</v>
      </c>
      <c r="B19" s="214">
        <v>41.428924000000002</v>
      </c>
      <c r="C19" s="215">
        <v>47.377760000000002</v>
      </c>
      <c r="D19" s="214">
        <v>48.877597000000002</v>
      </c>
      <c r="E19" s="215">
        <v>54.281216999999998</v>
      </c>
      <c r="F19" s="214">
        <v>65.992671999999999</v>
      </c>
      <c r="G19" s="215">
        <v>67.724899335484295</v>
      </c>
      <c r="H19" s="214">
        <v>71.053872999999996</v>
      </c>
      <c r="I19" s="99">
        <v>9.4075644643699441E-2</v>
      </c>
      <c r="J19" s="43"/>
    </row>
    <row r="20" spans="1:10" ht="20" customHeight="1" thickBot="1">
      <c r="A20" s="148" t="s">
        <v>1682</v>
      </c>
      <c r="B20" s="214">
        <v>71.015961000000004</v>
      </c>
      <c r="C20" s="215">
        <v>79.185000000000002</v>
      </c>
      <c r="D20" s="214">
        <v>86.502579999999995</v>
      </c>
      <c r="E20" s="215">
        <v>94.720517999999998</v>
      </c>
      <c r="F20" s="214">
        <v>95.936736999999994</v>
      </c>
      <c r="G20" s="215">
        <v>97.711005187842218</v>
      </c>
      <c r="H20" s="214">
        <v>92.189965000000001</v>
      </c>
      <c r="I20" s="99">
        <v>4.4450703980198014E-2</v>
      </c>
      <c r="J20" s="43"/>
    </row>
    <row r="21" spans="1:10" ht="20" customHeight="1" thickBot="1">
      <c r="A21" s="148" t="s">
        <v>1683</v>
      </c>
      <c r="B21" s="214">
        <v>49.96922</v>
      </c>
      <c r="C21" s="215">
        <v>75.2</v>
      </c>
      <c r="D21" s="214">
        <v>69</v>
      </c>
      <c r="E21" s="215">
        <v>68</v>
      </c>
      <c r="F21" s="214">
        <v>68.866</v>
      </c>
      <c r="G21" s="215">
        <v>70.599999999999994</v>
      </c>
      <c r="H21" s="214">
        <v>94.837588999999994</v>
      </c>
      <c r="I21" s="99">
        <v>0.11270401651178297</v>
      </c>
      <c r="J21" s="43"/>
    </row>
    <row r="22" spans="1:10" ht="20" customHeight="1" thickBot="1">
      <c r="A22" s="148" t="s">
        <v>1684</v>
      </c>
      <c r="B22" s="214">
        <v>13.023387</v>
      </c>
      <c r="C22" s="215">
        <v>16.504200000000001</v>
      </c>
      <c r="D22" s="214">
        <v>19.61</v>
      </c>
      <c r="E22" s="215">
        <v>21.48</v>
      </c>
      <c r="F22" s="214">
        <v>21.7</v>
      </c>
      <c r="G22" s="215">
        <v>21</v>
      </c>
      <c r="H22" s="214">
        <v>26.869229000000001</v>
      </c>
      <c r="I22" s="99">
        <v>0.12829295497932214</v>
      </c>
      <c r="J22" s="43"/>
    </row>
    <row r="23" spans="1:10" ht="20" customHeight="1" thickBot="1">
      <c r="A23" s="148" t="s">
        <v>1685</v>
      </c>
      <c r="B23" s="214">
        <v>12.338538</v>
      </c>
      <c r="C23" s="215">
        <v>15.352069999999999</v>
      </c>
      <c r="D23" s="214">
        <v>11.720817</v>
      </c>
      <c r="E23" s="215">
        <v>19.864765999999999</v>
      </c>
      <c r="F23" s="214">
        <v>19.985984999999999</v>
      </c>
      <c r="G23" s="215">
        <v>17.692041315171217</v>
      </c>
      <c r="H23" s="214">
        <v>17.108695999999998</v>
      </c>
      <c r="I23" s="99">
        <v>5.5987719776141587E-2</v>
      </c>
      <c r="J23" s="43"/>
    </row>
    <row r="24" spans="1:10" ht="20" customHeight="1" thickBot="1">
      <c r="A24" s="148" t="s">
        <v>1686</v>
      </c>
      <c r="B24" s="214">
        <v>5.054894</v>
      </c>
      <c r="C24" s="215">
        <v>5.1719999999999997</v>
      </c>
      <c r="D24" s="214">
        <v>4.4902410000000001</v>
      </c>
      <c r="E24" s="215">
        <v>4.3181000000000003</v>
      </c>
      <c r="F24" s="214">
        <v>4.3823920000000003</v>
      </c>
      <c r="G24" s="215">
        <v>4.4641876788328441</v>
      </c>
      <c r="H24" s="214">
        <v>4.8611490000000002</v>
      </c>
      <c r="I24" s="99">
        <v>-6.4925075330509729E-3</v>
      </c>
      <c r="J24" s="43"/>
    </row>
    <row r="25" spans="1:10" ht="20" customHeight="1" thickBot="1">
      <c r="A25" s="148" t="s">
        <v>1687</v>
      </c>
      <c r="B25" s="214">
        <v>77.060625000000002</v>
      </c>
      <c r="C25" s="215">
        <v>81.010999999999996</v>
      </c>
      <c r="D25" s="214">
        <v>88.668353999999994</v>
      </c>
      <c r="E25" s="215">
        <v>97.827527000000003</v>
      </c>
      <c r="F25" s="214">
        <v>107.107665</v>
      </c>
      <c r="G25" s="215">
        <v>108.57650572945687</v>
      </c>
      <c r="H25" s="214">
        <v>115.413934</v>
      </c>
      <c r="I25" s="99">
        <v>6.963996126220251E-2</v>
      </c>
      <c r="J25" s="43"/>
    </row>
    <row r="26" spans="1:10" ht="20" customHeight="1" thickBot="1">
      <c r="A26" s="148" t="s">
        <v>1688</v>
      </c>
      <c r="B26" s="214">
        <v>32.733091000000002</v>
      </c>
      <c r="C26" s="215">
        <v>44.806449999999998</v>
      </c>
      <c r="D26" s="214">
        <v>49.330170000000003</v>
      </c>
      <c r="E26" s="215">
        <v>50.118406</v>
      </c>
      <c r="F26" s="214">
        <v>44.911866000000003</v>
      </c>
      <c r="G26" s="215">
        <v>46.217323673464278</v>
      </c>
      <c r="H26" s="214">
        <v>52.626936000000001</v>
      </c>
      <c r="I26" s="99">
        <v>8.2356122065963433E-2</v>
      </c>
      <c r="J26" s="43"/>
    </row>
    <row r="27" spans="1:10" ht="20" customHeight="1" thickBot="1">
      <c r="A27" s="148" t="s">
        <v>1689</v>
      </c>
      <c r="B27" s="214">
        <v>91.058794000000006</v>
      </c>
      <c r="C27" s="215">
        <v>95.263999999999996</v>
      </c>
      <c r="D27" s="214">
        <v>104.94936300000001</v>
      </c>
      <c r="E27" s="215">
        <v>116.237341</v>
      </c>
      <c r="F27" s="214">
        <v>118.30915400000001</v>
      </c>
      <c r="G27" s="215">
        <v>121.96191314696804</v>
      </c>
      <c r="H27" s="214">
        <v>128.05476100000001</v>
      </c>
      <c r="I27" s="99">
        <v>5.8471021733218276E-2</v>
      </c>
      <c r="J27" s="43"/>
    </row>
    <row r="28" spans="1:10" ht="20" customHeight="1" thickBot="1">
      <c r="A28" s="148" t="s">
        <v>1690</v>
      </c>
      <c r="B28" s="214">
        <v>76.282949000000002</v>
      </c>
      <c r="C28" s="215">
        <v>79.948999999999998</v>
      </c>
      <c r="D28" s="214">
        <v>89.029636999999994</v>
      </c>
      <c r="E28" s="215">
        <v>99.167377000000002</v>
      </c>
      <c r="F28" s="214">
        <v>101.064455</v>
      </c>
      <c r="G28" s="215">
        <v>103.64968751452297</v>
      </c>
      <c r="H28" s="214">
        <v>107.566062</v>
      </c>
      <c r="I28" s="99">
        <v>5.8947995402638842E-2</v>
      </c>
      <c r="J28" s="43"/>
    </row>
    <row r="29" spans="1:10" ht="20" customHeight="1" thickBot="1">
      <c r="A29" s="148" t="s">
        <v>1691</v>
      </c>
      <c r="B29" s="214">
        <v>104.03184400000001</v>
      </c>
      <c r="C29" s="215">
        <v>117.878</v>
      </c>
      <c r="D29" s="214">
        <v>129.50498099999999</v>
      </c>
      <c r="E29" s="215">
        <v>142.82915299999999</v>
      </c>
      <c r="F29" s="214">
        <v>143.635469</v>
      </c>
      <c r="G29" s="215">
        <v>147.12041913599123</v>
      </c>
      <c r="H29" s="214">
        <v>148.05582799999999</v>
      </c>
      <c r="I29" s="99">
        <v>6.0579435155664996E-2</v>
      </c>
      <c r="J29" s="43"/>
    </row>
    <row r="30" spans="1:10" ht="20" customHeight="1" thickBot="1">
      <c r="A30" s="148" t="s">
        <v>1692</v>
      </c>
      <c r="B30" s="214">
        <v>214.67393300000001</v>
      </c>
      <c r="C30" s="215">
        <v>253.94399999999999</v>
      </c>
      <c r="D30" s="214">
        <v>273.51549499999999</v>
      </c>
      <c r="E30" s="215">
        <v>298.11779300000001</v>
      </c>
      <c r="F30" s="214">
        <v>301.99840399999999</v>
      </c>
      <c r="G30" s="215">
        <v>309.29850757185102</v>
      </c>
      <c r="H30" s="214">
        <v>297.95711699999998</v>
      </c>
      <c r="I30" s="99">
        <v>5.6158442776605755E-2</v>
      </c>
      <c r="J30" s="43"/>
    </row>
    <row r="31" spans="1:10" ht="20" customHeight="1" thickBot="1">
      <c r="A31" s="148" t="s">
        <v>1693</v>
      </c>
      <c r="B31" s="214">
        <v>93.321123</v>
      </c>
      <c r="C31" s="215">
        <v>102.413</v>
      </c>
      <c r="D31" s="214">
        <v>110.830467</v>
      </c>
      <c r="E31" s="215">
        <v>120.494721</v>
      </c>
      <c r="F31" s="214">
        <v>121.71149</v>
      </c>
      <c r="G31" s="215">
        <v>123.17747842133434</v>
      </c>
      <c r="H31" s="214">
        <v>128.974806</v>
      </c>
      <c r="I31" s="99">
        <v>5.5409067698504177E-2</v>
      </c>
      <c r="J31" s="43"/>
    </row>
    <row r="32" spans="1:10" ht="20" customHeight="1" thickBot="1">
      <c r="A32" s="148" t="s">
        <v>1694</v>
      </c>
      <c r="B32" s="214">
        <v>58.042910999999997</v>
      </c>
      <c r="C32" s="215">
        <v>63.843000000000004</v>
      </c>
      <c r="D32" s="214">
        <v>70.720545999999999</v>
      </c>
      <c r="E32" s="215">
        <v>78.427205999999998</v>
      </c>
      <c r="F32" s="214">
        <v>79.717989000000003</v>
      </c>
      <c r="G32" s="215">
        <v>81.360590227278706</v>
      </c>
      <c r="H32" s="214">
        <v>78.859297999999995</v>
      </c>
      <c r="I32" s="99">
        <v>5.2407546371887381E-2</v>
      </c>
      <c r="J32" s="43"/>
    </row>
    <row r="33" spans="1:13" ht="20" customHeight="1" thickBot="1">
      <c r="A33" s="148" t="s">
        <v>1695</v>
      </c>
      <c r="B33" s="214">
        <v>137.43656300000001</v>
      </c>
      <c r="C33" s="215">
        <v>166.33799999999999</v>
      </c>
      <c r="D33" s="214">
        <v>181.58435900000001</v>
      </c>
      <c r="E33" s="215">
        <v>197.51832300000001</v>
      </c>
      <c r="F33" s="214">
        <v>199.71304699999999</v>
      </c>
      <c r="G33" s="215">
        <v>207.30310235958041</v>
      </c>
      <c r="H33" s="214">
        <v>195.58747399999999</v>
      </c>
      <c r="I33" s="99">
        <v>6.0571108186364242E-2</v>
      </c>
    </row>
    <row r="34" spans="1:13" ht="20" customHeight="1" thickBot="1">
      <c r="A34" s="148" t="s">
        <v>1696</v>
      </c>
      <c r="B34" s="214">
        <v>23.719118999999999</v>
      </c>
      <c r="C34" s="215">
        <v>26.375</v>
      </c>
      <c r="D34" s="214">
        <v>28.527671000000002</v>
      </c>
      <c r="E34" s="215">
        <v>31.454294999999998</v>
      </c>
      <c r="F34" s="214">
        <v>31.835632</v>
      </c>
      <c r="G34" s="215">
        <v>32.558516196523982</v>
      </c>
      <c r="H34" s="214">
        <v>32.030568000000002</v>
      </c>
      <c r="I34" s="99">
        <v>5.1342806908307059E-2</v>
      </c>
      <c r="K34" s="45"/>
      <c r="L34" s="45"/>
      <c r="M34" s="45"/>
    </row>
    <row r="35" spans="1:13" s="115" customFormat="1" ht="30" customHeight="1" thickBot="1">
      <c r="A35" s="149" t="s">
        <v>1697</v>
      </c>
      <c r="B35" s="216">
        <v>1815.5686129999999</v>
      </c>
      <c r="C35" s="217">
        <v>2087.17148</v>
      </c>
      <c r="D35" s="216">
        <v>2263.292488</v>
      </c>
      <c r="E35" s="217">
        <v>2476.6476510000002</v>
      </c>
      <c r="F35" s="216">
        <v>2532.833063</v>
      </c>
      <c r="G35" s="217">
        <v>2671.6260471673481</v>
      </c>
      <c r="H35" s="216">
        <v>2848.426273</v>
      </c>
      <c r="I35" s="102">
        <v>7.7950254661069973E-2</v>
      </c>
    </row>
    <row r="36" spans="1:13" ht="20" customHeight="1">
      <c r="A36" s="140" t="s">
        <v>466</v>
      </c>
      <c r="B36" s="151"/>
      <c r="C36" s="151"/>
      <c r="D36" s="151"/>
      <c r="E36" s="151"/>
      <c r="F36" s="151"/>
      <c r="G36" s="151"/>
      <c r="H36" s="151"/>
      <c r="I36" s="197"/>
    </row>
    <row r="37" spans="1:13" ht="11.25" customHeight="1">
      <c r="A37" s="38"/>
      <c r="B37" s="152"/>
      <c r="C37" s="152"/>
      <c r="D37" s="152"/>
      <c r="E37" s="152"/>
      <c r="F37" s="152"/>
      <c r="G37" s="152"/>
      <c r="H37" s="152"/>
      <c r="I37" s="199"/>
    </row>
    <row r="38" spans="1:13">
      <c r="A38" s="3" t="s">
        <v>1747</v>
      </c>
    </row>
  </sheetData>
  <phoneticPr fontId="0" type="noConversion"/>
  <pageMargins left="0.78740157480314965" right="0.51" top="1.48" bottom="0.49" header="0.94"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984D-6CD8-F842-8F12-084B482C94D7}">
  <dimension ref="A1:M40"/>
  <sheetViews>
    <sheetView zoomScale="75" workbookViewId="0">
      <selection activeCell="J11" sqref="J11"/>
    </sheetView>
  </sheetViews>
  <sheetFormatPr baseColWidth="10" defaultColWidth="11.3984375" defaultRowHeight="13"/>
  <cols>
    <col min="1" max="1" width="11.19921875" style="3" customWidth="1"/>
    <col min="2" max="3" width="11" style="3" customWidth="1"/>
    <col min="4" max="4" width="10.3984375" style="3" customWidth="1"/>
    <col min="5" max="5" width="13.59765625" style="3" customWidth="1"/>
    <col min="6" max="6" width="12.19921875" style="3" customWidth="1"/>
    <col min="7" max="7" width="11" style="3" customWidth="1"/>
    <col min="8" max="8" width="11.796875" style="3" customWidth="1"/>
    <col min="9" max="9" width="12.59765625" style="3" customWidth="1"/>
    <col min="10" max="16384" width="11.3984375" style="3"/>
  </cols>
  <sheetData>
    <row r="1" spans="1:10" s="1" customFormat="1" ht="14" customHeight="1"/>
    <row r="2" spans="1:10" s="1" customFormat="1" ht="28" customHeight="1">
      <c r="A2" s="64" t="s">
        <v>1748</v>
      </c>
    </row>
    <row r="3" spans="1:10" ht="24" customHeight="1">
      <c r="A3" s="2"/>
      <c r="B3" s="74"/>
      <c r="C3" s="17"/>
      <c r="D3" s="74"/>
      <c r="E3" s="2"/>
      <c r="F3" s="90"/>
      <c r="G3" s="17"/>
      <c r="H3" s="74"/>
      <c r="I3" s="17"/>
    </row>
    <row r="4" spans="1:10" ht="15" customHeight="1">
      <c r="A4" s="82" t="s">
        <v>1663</v>
      </c>
      <c r="B4" s="75">
        <v>1996</v>
      </c>
      <c r="C4" s="18">
        <v>1997</v>
      </c>
      <c r="D4" s="75">
        <v>1998</v>
      </c>
      <c r="E4" s="18">
        <v>1999</v>
      </c>
      <c r="F4" s="75">
        <v>2000</v>
      </c>
      <c r="G4" s="18">
        <v>2001</v>
      </c>
      <c r="H4" s="75">
        <v>2002</v>
      </c>
      <c r="I4" s="18" t="s">
        <v>1749</v>
      </c>
    </row>
    <row r="5" spans="1:10" ht="15" customHeight="1">
      <c r="A5" s="82"/>
      <c r="B5" s="75"/>
      <c r="C5" s="18"/>
      <c r="D5" s="75"/>
      <c r="E5" s="18"/>
      <c r="F5" s="15"/>
      <c r="G5" s="108"/>
      <c r="H5" s="15"/>
      <c r="I5" s="4" t="s">
        <v>485</v>
      </c>
    </row>
    <row r="6" spans="1:10" ht="15" customHeight="1">
      <c r="A6" s="82"/>
      <c r="B6" s="75"/>
      <c r="C6" s="18"/>
      <c r="D6" s="75"/>
      <c r="E6" s="18"/>
      <c r="F6" s="15"/>
      <c r="G6" s="108"/>
      <c r="H6" s="15"/>
      <c r="I6" s="4"/>
    </row>
    <row r="7" spans="1:10" ht="15" customHeight="1">
      <c r="A7" s="82"/>
      <c r="B7" s="75"/>
      <c r="C7" s="18"/>
      <c r="D7" s="75"/>
      <c r="E7" s="18"/>
      <c r="F7" s="15"/>
      <c r="G7" s="108"/>
      <c r="H7" s="15"/>
      <c r="I7" s="18"/>
    </row>
    <row r="8" spans="1:10" ht="16" customHeight="1">
      <c r="A8" s="83"/>
      <c r="B8" s="78"/>
      <c r="C8" s="19"/>
      <c r="D8" s="78"/>
      <c r="E8" s="19"/>
      <c r="F8" s="16"/>
      <c r="G8" s="111"/>
      <c r="H8" s="16"/>
      <c r="I8" s="19"/>
    </row>
    <row r="9" spans="1:10" ht="30" customHeight="1" thickBot="1">
      <c r="A9" s="146" t="s">
        <v>1671</v>
      </c>
      <c r="B9" s="218">
        <v>0.5</v>
      </c>
      <c r="C9" s="147">
        <v>0.5</v>
      </c>
      <c r="D9" s="218">
        <v>0.5</v>
      </c>
      <c r="E9" s="147">
        <v>0.5</v>
      </c>
      <c r="F9" s="218">
        <v>0.5</v>
      </c>
      <c r="G9" s="99">
        <v>0.65864001941811379</v>
      </c>
      <c r="H9" s="218">
        <v>0.8</v>
      </c>
      <c r="I9" s="99">
        <v>0.56552000277401626</v>
      </c>
      <c r="J9" s="43"/>
    </row>
    <row r="10" spans="1:10" ht="20" customHeight="1" thickBot="1">
      <c r="A10" s="148" t="s">
        <v>1672</v>
      </c>
      <c r="B10" s="218">
        <v>0.9</v>
      </c>
      <c r="C10" s="147">
        <v>1</v>
      </c>
      <c r="D10" s="218">
        <v>1</v>
      </c>
      <c r="E10" s="147">
        <v>1</v>
      </c>
      <c r="F10" s="218">
        <v>1</v>
      </c>
      <c r="G10" s="99">
        <v>1</v>
      </c>
      <c r="H10" s="218">
        <v>1</v>
      </c>
      <c r="I10" s="99">
        <v>0.98571428571428577</v>
      </c>
      <c r="J10" s="43"/>
    </row>
    <row r="11" spans="1:10" ht="20" customHeight="1" thickBot="1">
      <c r="A11" s="148" t="s">
        <v>1673</v>
      </c>
      <c r="B11" s="218">
        <v>0.5</v>
      </c>
      <c r="C11" s="147">
        <v>0.5</v>
      </c>
      <c r="D11" s="218">
        <v>0.5</v>
      </c>
      <c r="E11" s="147">
        <v>0.5</v>
      </c>
      <c r="F11" s="218">
        <v>0.5</v>
      </c>
      <c r="G11" s="99">
        <v>0.58473787438369773</v>
      </c>
      <c r="H11" s="218">
        <v>0.67</v>
      </c>
      <c r="I11" s="99">
        <v>0.53639112491195673</v>
      </c>
      <c r="J11" s="43"/>
    </row>
    <row r="12" spans="1:10" ht="20" customHeight="1" thickBot="1">
      <c r="A12" s="148" t="s">
        <v>1674</v>
      </c>
      <c r="B12" s="218">
        <v>1</v>
      </c>
      <c r="C12" s="147">
        <v>1</v>
      </c>
      <c r="D12" s="218">
        <v>0.75</v>
      </c>
      <c r="E12" s="147">
        <v>0.62</v>
      </c>
      <c r="F12" s="218">
        <v>0.61299999999999999</v>
      </c>
      <c r="G12" s="99">
        <v>0.6</v>
      </c>
      <c r="H12" s="218">
        <v>0.6</v>
      </c>
      <c r="I12" s="99">
        <v>0.74042857142857144</v>
      </c>
      <c r="J12" s="43"/>
    </row>
    <row r="13" spans="1:10" ht="20" customHeight="1" thickBot="1">
      <c r="A13" s="148" t="s">
        <v>1675</v>
      </c>
      <c r="B13" s="218">
        <v>0.5</v>
      </c>
      <c r="C13" s="147">
        <v>0.5</v>
      </c>
      <c r="D13" s="218">
        <v>0.5</v>
      </c>
      <c r="E13" s="147">
        <v>0.5</v>
      </c>
      <c r="F13" s="218">
        <v>0.5</v>
      </c>
      <c r="G13" s="99">
        <v>0.5</v>
      </c>
      <c r="H13" s="218">
        <v>0.8</v>
      </c>
      <c r="I13" s="99">
        <v>0.54285714285714282</v>
      </c>
      <c r="J13" s="43"/>
    </row>
    <row r="14" spans="1:10" ht="20" customHeight="1" thickBot="1">
      <c r="A14" s="148" t="s">
        <v>1676</v>
      </c>
      <c r="B14" s="218">
        <v>0.5</v>
      </c>
      <c r="C14" s="147">
        <v>0.5</v>
      </c>
      <c r="D14" s="218">
        <v>0.5</v>
      </c>
      <c r="E14" s="147">
        <v>0.6</v>
      </c>
      <c r="F14" s="218">
        <v>1</v>
      </c>
      <c r="G14" s="99">
        <v>1</v>
      </c>
      <c r="H14" s="218">
        <v>1</v>
      </c>
      <c r="I14" s="99">
        <v>0.72857142857142854</v>
      </c>
      <c r="J14" s="43"/>
    </row>
    <row r="15" spans="1:10" ht="20" customHeight="1" thickBot="1">
      <c r="A15" s="148" t="s">
        <v>1677</v>
      </c>
      <c r="B15" s="218">
        <v>0.5</v>
      </c>
      <c r="C15" s="147">
        <v>0.5</v>
      </c>
      <c r="D15" s="218">
        <v>0.60799999999999998</v>
      </c>
      <c r="E15" s="147">
        <v>0.5</v>
      </c>
      <c r="F15" s="218">
        <v>0.5</v>
      </c>
      <c r="G15" s="99">
        <v>0.5</v>
      </c>
      <c r="H15" s="218">
        <v>0.5</v>
      </c>
      <c r="I15" s="99">
        <v>0.51542857142857146</v>
      </c>
      <c r="J15" s="43"/>
    </row>
    <row r="16" spans="1:10" ht="20" customHeight="1" thickBot="1">
      <c r="A16" s="148" t="s">
        <v>1678</v>
      </c>
      <c r="B16" s="218">
        <v>0.5</v>
      </c>
      <c r="C16" s="147">
        <v>0.5</v>
      </c>
      <c r="D16" s="218">
        <v>0.75</v>
      </c>
      <c r="E16" s="147">
        <v>0.6</v>
      </c>
      <c r="F16" s="218">
        <v>0.6</v>
      </c>
      <c r="G16" s="99">
        <v>0.6</v>
      </c>
      <c r="H16" s="218">
        <v>0.7</v>
      </c>
      <c r="I16" s="99">
        <v>0.6071428571428571</v>
      </c>
      <c r="J16" s="43"/>
    </row>
    <row r="17" spans="1:10" ht="20" customHeight="1" thickBot="1">
      <c r="A17" s="148" t="s">
        <v>1679</v>
      </c>
      <c r="B17" s="218">
        <v>0.5</v>
      </c>
      <c r="C17" s="147">
        <v>0.5</v>
      </c>
      <c r="D17" s="218">
        <v>0.5</v>
      </c>
      <c r="E17" s="147">
        <v>0.5</v>
      </c>
      <c r="F17" s="218">
        <v>0.5</v>
      </c>
      <c r="G17" s="99">
        <v>0.5</v>
      </c>
      <c r="H17" s="218">
        <v>0.6</v>
      </c>
      <c r="I17" s="99">
        <v>0.51428571428571435</v>
      </c>
      <c r="J17" s="43"/>
    </row>
    <row r="18" spans="1:10" ht="20" customHeight="1" thickBot="1">
      <c r="A18" s="148" t="s">
        <v>1680</v>
      </c>
      <c r="B18" s="218">
        <v>1</v>
      </c>
      <c r="C18" s="147">
        <v>1</v>
      </c>
      <c r="D18" s="218">
        <v>1</v>
      </c>
      <c r="E18" s="147">
        <v>1</v>
      </c>
      <c r="F18" s="218">
        <v>1</v>
      </c>
      <c r="G18" s="99">
        <v>1</v>
      </c>
      <c r="H18" s="218">
        <v>1</v>
      </c>
      <c r="I18" s="99">
        <v>1</v>
      </c>
      <c r="J18" s="43"/>
    </row>
    <row r="19" spans="1:10" ht="20" customHeight="1" thickBot="1">
      <c r="A19" s="148" t="s">
        <v>1681</v>
      </c>
      <c r="B19" s="218">
        <v>0.5</v>
      </c>
      <c r="C19" s="147">
        <v>0.53</v>
      </c>
      <c r="D19" s="218">
        <v>0.5</v>
      </c>
      <c r="E19" s="147">
        <v>0.5</v>
      </c>
      <c r="F19" s="218">
        <v>0.6</v>
      </c>
      <c r="G19" s="99">
        <v>0.6</v>
      </c>
      <c r="H19" s="218">
        <v>0.62</v>
      </c>
      <c r="I19" s="99">
        <v>0.55000000000000004</v>
      </c>
      <c r="J19" s="43"/>
    </row>
    <row r="20" spans="1:10" ht="20" customHeight="1" thickBot="1">
      <c r="A20" s="148" t="s">
        <v>1682</v>
      </c>
      <c r="B20" s="218">
        <v>1</v>
      </c>
      <c r="C20" s="147">
        <v>1</v>
      </c>
      <c r="D20" s="218">
        <v>1</v>
      </c>
      <c r="E20" s="147">
        <v>1</v>
      </c>
      <c r="F20" s="218">
        <v>1</v>
      </c>
      <c r="G20" s="99">
        <v>1</v>
      </c>
      <c r="H20" s="218">
        <v>1</v>
      </c>
      <c r="I20" s="99">
        <v>1</v>
      </c>
      <c r="J20" s="43"/>
    </row>
    <row r="21" spans="1:10" ht="20" customHeight="1" thickBot="1">
      <c r="A21" s="148" t="s">
        <v>1683</v>
      </c>
      <c r="B21" s="218">
        <v>0.56999999999999995</v>
      </c>
      <c r="C21" s="147">
        <v>0.78300000000000003</v>
      </c>
      <c r="D21" s="218">
        <v>0.65</v>
      </c>
      <c r="E21" s="147">
        <v>0.5875999999999999</v>
      </c>
      <c r="F21" s="218">
        <v>0.58750000000000002</v>
      </c>
      <c r="G21" s="99">
        <v>0.58790310592613926</v>
      </c>
      <c r="H21" s="218">
        <v>0.77339999999999998</v>
      </c>
      <c r="I21" s="99">
        <v>0.64848615798944842</v>
      </c>
      <c r="J21" s="43"/>
    </row>
    <row r="22" spans="1:10" ht="20" customHeight="1" thickBot="1">
      <c r="A22" s="148" t="s">
        <v>1684</v>
      </c>
      <c r="B22" s="218">
        <v>0.504</v>
      </c>
      <c r="C22" s="147">
        <v>0.6</v>
      </c>
      <c r="D22" s="218">
        <v>0.65300000000000002</v>
      </c>
      <c r="E22" s="147">
        <v>0.65</v>
      </c>
      <c r="F22" s="218">
        <v>0.64779999999999993</v>
      </c>
      <c r="G22" s="99">
        <v>0.6175728838238721</v>
      </c>
      <c r="H22" s="218">
        <v>0.77400000000000002</v>
      </c>
      <c r="I22" s="99">
        <v>0.63519612626055311</v>
      </c>
      <c r="J22" s="43"/>
    </row>
    <row r="23" spans="1:10" ht="20" customHeight="1" thickBot="1">
      <c r="A23" s="148" t="s">
        <v>1685</v>
      </c>
      <c r="B23" s="218">
        <v>0.65</v>
      </c>
      <c r="C23" s="147">
        <v>0.79</v>
      </c>
      <c r="D23" s="218">
        <v>0.55000000000000004</v>
      </c>
      <c r="E23" s="147">
        <v>0.85</v>
      </c>
      <c r="F23" s="218">
        <v>0.85</v>
      </c>
      <c r="G23" s="99">
        <v>0.74</v>
      </c>
      <c r="H23" s="218">
        <v>0.68</v>
      </c>
      <c r="I23" s="99">
        <v>0.73</v>
      </c>
      <c r="J23" s="43"/>
    </row>
    <row r="24" spans="1:10" ht="20" customHeight="1" thickBot="1">
      <c r="A24" s="148" t="s">
        <v>1686</v>
      </c>
      <c r="B24" s="218">
        <v>1</v>
      </c>
      <c r="C24" s="147">
        <v>1</v>
      </c>
      <c r="D24" s="218">
        <v>0.8</v>
      </c>
      <c r="E24" s="147">
        <v>0.7</v>
      </c>
      <c r="F24" s="218">
        <v>0.7</v>
      </c>
      <c r="G24" s="99">
        <v>0.7</v>
      </c>
      <c r="H24" s="218">
        <v>0.7</v>
      </c>
      <c r="I24" s="99">
        <v>0.8</v>
      </c>
      <c r="J24" s="43"/>
    </row>
    <row r="25" spans="1:10" ht="20" customHeight="1" thickBot="1">
      <c r="A25" s="148" t="s">
        <v>1687</v>
      </c>
      <c r="B25" s="218">
        <v>0.5</v>
      </c>
      <c r="C25" s="147">
        <v>0.5</v>
      </c>
      <c r="D25" s="218">
        <v>0.5</v>
      </c>
      <c r="E25" s="147">
        <v>0.5</v>
      </c>
      <c r="F25" s="218">
        <v>0.54</v>
      </c>
      <c r="G25" s="99">
        <v>0.54</v>
      </c>
      <c r="H25" s="218">
        <v>0.54400000000000004</v>
      </c>
      <c r="I25" s="99">
        <v>0.51771428571428568</v>
      </c>
      <c r="J25" s="43"/>
    </row>
    <row r="26" spans="1:10" ht="20" customHeight="1" thickBot="1">
      <c r="A26" s="148" t="s">
        <v>1688</v>
      </c>
      <c r="B26" s="218">
        <v>0.5</v>
      </c>
      <c r="C26" s="147">
        <v>0.65</v>
      </c>
      <c r="D26" s="218">
        <v>0.65</v>
      </c>
      <c r="E26" s="147">
        <v>0.6</v>
      </c>
      <c r="F26" s="218">
        <v>0.53560000000000008</v>
      </c>
      <c r="G26" s="99">
        <v>0.55000000000000004</v>
      </c>
      <c r="H26" s="218">
        <v>0.59</v>
      </c>
      <c r="I26" s="99">
        <v>0.58222857142857143</v>
      </c>
      <c r="J26" s="43"/>
    </row>
    <row r="27" spans="1:10" ht="20" customHeight="1" thickBot="1">
      <c r="A27" s="148" t="s">
        <v>1689</v>
      </c>
      <c r="B27" s="218">
        <v>0.5</v>
      </c>
      <c r="C27" s="147">
        <v>0.5</v>
      </c>
      <c r="D27" s="218">
        <v>0.5</v>
      </c>
      <c r="E27" s="147">
        <v>0.5</v>
      </c>
      <c r="F27" s="218">
        <v>0.5</v>
      </c>
      <c r="G27" s="99">
        <v>0.5</v>
      </c>
      <c r="H27" s="218">
        <v>0.5</v>
      </c>
      <c r="I27" s="99">
        <v>0.5</v>
      </c>
      <c r="J27" s="43"/>
    </row>
    <row r="28" spans="1:10" ht="20" customHeight="1" thickBot="1">
      <c r="A28" s="148" t="s">
        <v>1690</v>
      </c>
      <c r="B28" s="218">
        <v>1</v>
      </c>
      <c r="C28" s="147">
        <v>1</v>
      </c>
      <c r="D28" s="218">
        <v>1</v>
      </c>
      <c r="E28" s="147">
        <v>1</v>
      </c>
      <c r="F28" s="218">
        <v>1</v>
      </c>
      <c r="G28" s="99">
        <v>1</v>
      </c>
      <c r="H28" s="218">
        <v>1</v>
      </c>
      <c r="I28" s="99">
        <v>1</v>
      </c>
      <c r="J28" s="43"/>
    </row>
    <row r="29" spans="1:10" ht="20" customHeight="1" thickBot="1">
      <c r="A29" s="148" t="s">
        <v>1691</v>
      </c>
      <c r="B29" s="218">
        <v>1</v>
      </c>
      <c r="C29" s="147">
        <v>1</v>
      </c>
      <c r="D29" s="218">
        <v>1</v>
      </c>
      <c r="E29" s="147">
        <v>1</v>
      </c>
      <c r="F29" s="218">
        <v>1</v>
      </c>
      <c r="G29" s="99">
        <v>1</v>
      </c>
      <c r="H29" s="218">
        <v>1</v>
      </c>
      <c r="I29" s="99">
        <v>1</v>
      </c>
      <c r="J29" s="43"/>
    </row>
    <row r="30" spans="1:10" ht="20" customHeight="1" thickBot="1">
      <c r="A30" s="148" t="s">
        <v>1692</v>
      </c>
      <c r="B30" s="218">
        <v>1</v>
      </c>
      <c r="C30" s="147">
        <v>1</v>
      </c>
      <c r="D30" s="218">
        <v>1</v>
      </c>
      <c r="E30" s="147">
        <v>1</v>
      </c>
      <c r="F30" s="218">
        <v>1</v>
      </c>
      <c r="G30" s="99">
        <v>1</v>
      </c>
      <c r="H30" s="218">
        <v>1</v>
      </c>
      <c r="I30" s="99">
        <v>1</v>
      </c>
      <c r="J30" s="43"/>
    </row>
    <row r="31" spans="1:10" ht="20" customHeight="1" thickBot="1">
      <c r="A31" s="148" t="s">
        <v>1693</v>
      </c>
      <c r="B31" s="218">
        <v>1</v>
      </c>
      <c r="C31" s="147">
        <v>1</v>
      </c>
      <c r="D31" s="218">
        <v>1</v>
      </c>
      <c r="E31" s="147">
        <v>1</v>
      </c>
      <c r="F31" s="218">
        <v>1</v>
      </c>
      <c r="G31" s="99">
        <v>1</v>
      </c>
      <c r="H31" s="218">
        <v>1</v>
      </c>
      <c r="I31" s="99">
        <v>1</v>
      </c>
      <c r="J31" s="43"/>
    </row>
    <row r="32" spans="1:10" ht="20" customHeight="1" thickBot="1">
      <c r="A32" s="148" t="s">
        <v>1694</v>
      </c>
      <c r="B32" s="218">
        <v>1</v>
      </c>
      <c r="C32" s="147">
        <v>1</v>
      </c>
      <c r="D32" s="218">
        <v>1</v>
      </c>
      <c r="E32" s="147">
        <v>1</v>
      </c>
      <c r="F32" s="218">
        <v>1</v>
      </c>
      <c r="G32" s="99">
        <v>1</v>
      </c>
      <c r="H32" s="218">
        <v>1</v>
      </c>
      <c r="I32" s="99">
        <v>1</v>
      </c>
      <c r="J32" s="43"/>
    </row>
    <row r="33" spans="1:13" ht="20" customHeight="1" thickBot="1">
      <c r="A33" s="148" t="s">
        <v>1695</v>
      </c>
      <c r="B33" s="218">
        <v>1</v>
      </c>
      <c r="C33" s="147">
        <v>1</v>
      </c>
      <c r="D33" s="218">
        <v>1</v>
      </c>
      <c r="E33" s="147">
        <v>1</v>
      </c>
      <c r="F33" s="218">
        <v>1</v>
      </c>
      <c r="G33" s="99">
        <v>1</v>
      </c>
      <c r="H33" s="218">
        <v>1</v>
      </c>
      <c r="I33" s="99">
        <v>1</v>
      </c>
    </row>
    <row r="34" spans="1:13" ht="20" customHeight="1" thickBot="1">
      <c r="A34" s="148" t="s">
        <v>1696</v>
      </c>
      <c r="B34" s="218">
        <v>1</v>
      </c>
      <c r="C34" s="147">
        <v>1</v>
      </c>
      <c r="D34" s="218">
        <v>1</v>
      </c>
      <c r="E34" s="147">
        <v>1</v>
      </c>
      <c r="F34" s="218">
        <v>1</v>
      </c>
      <c r="G34" s="99">
        <v>1</v>
      </c>
      <c r="H34" s="218">
        <v>1</v>
      </c>
      <c r="I34" s="99">
        <v>1</v>
      </c>
      <c r="K34" s="45"/>
      <c r="L34" s="45"/>
      <c r="M34" s="45"/>
    </row>
    <row r="35" spans="1:13" s="115" customFormat="1" ht="30" customHeight="1" thickBot="1">
      <c r="A35" s="149" t="s">
        <v>1697</v>
      </c>
      <c r="B35" s="219">
        <v>0.73499999999999999</v>
      </c>
      <c r="C35" s="150">
        <v>0.76800000000000002</v>
      </c>
      <c r="D35" s="219">
        <v>0.76100000000000001</v>
      </c>
      <c r="E35" s="150">
        <v>0.75738460275229358</v>
      </c>
      <c r="F35" s="219">
        <v>0.76301643711402323</v>
      </c>
      <c r="G35" s="102">
        <v>0.79300268508168947</v>
      </c>
      <c r="H35" s="219">
        <v>0.83299999999999996</v>
      </c>
      <c r="I35" s="102">
        <v>0.77291481784971516</v>
      </c>
    </row>
    <row r="36" spans="1:13" ht="20" customHeight="1">
      <c r="A36" s="140" t="s">
        <v>466</v>
      </c>
      <c r="B36" s="151"/>
      <c r="C36" s="151"/>
      <c r="D36" s="151"/>
      <c r="E36" s="151"/>
      <c r="F36" s="151"/>
      <c r="G36" s="151"/>
      <c r="H36" s="151"/>
      <c r="I36" s="151"/>
    </row>
    <row r="37" spans="1:13" ht="11.25" customHeight="1">
      <c r="A37" s="141"/>
      <c r="B37" s="152"/>
      <c r="C37" s="152"/>
      <c r="D37" s="152"/>
      <c r="E37" s="152"/>
      <c r="F37" s="152"/>
      <c r="G37" s="152"/>
      <c r="H37" s="152"/>
      <c r="I37" s="152"/>
    </row>
    <row r="38" spans="1:13" ht="20" customHeight="1">
      <c r="A38" s="141" t="s">
        <v>1747</v>
      </c>
      <c r="B38" s="152"/>
      <c r="C38" s="152"/>
      <c r="D38" s="152"/>
      <c r="E38" s="152"/>
      <c r="F38" s="152"/>
      <c r="G38" s="152"/>
      <c r="H38" s="152"/>
      <c r="I38" s="152"/>
    </row>
    <row r="39" spans="1:13" ht="16.5" customHeight="1">
      <c r="A39" s="141"/>
      <c r="B39" s="152"/>
      <c r="C39" s="152"/>
      <c r="D39" s="152"/>
      <c r="E39" s="152"/>
      <c r="F39" s="152"/>
      <c r="G39" s="152"/>
      <c r="H39" s="152"/>
      <c r="I39" s="152"/>
    </row>
    <row r="40" spans="1:13" ht="11.25" customHeight="1">
      <c r="A40" s="3" t="s">
        <v>1750</v>
      </c>
      <c r="B40" s="152"/>
      <c r="C40" s="152"/>
      <c r="D40" s="152"/>
      <c r="E40" s="152"/>
      <c r="F40" s="152"/>
      <c r="G40" s="152"/>
      <c r="H40" s="152"/>
      <c r="I40" s="152"/>
    </row>
  </sheetData>
  <phoneticPr fontId="0" type="noConversion"/>
  <pageMargins left="0.78740157480314965" right="0.51" top="1.48" bottom="0.49" header="0.94"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5559-AFED-B042-AD46-12DE2CF2E8AA}">
  <dimension ref="A1:I44"/>
  <sheetViews>
    <sheetView zoomScale="75" workbookViewId="0">
      <selection activeCell="D16" sqref="D16"/>
    </sheetView>
  </sheetViews>
  <sheetFormatPr baseColWidth="10" defaultColWidth="11.3984375" defaultRowHeight="13"/>
  <cols>
    <col min="1" max="7" width="13.19921875" style="3" customWidth="1"/>
    <col min="8" max="8" width="12.796875" style="3" customWidth="1"/>
    <col min="9" max="9" width="13.19921875" style="105" customWidth="1"/>
    <col min="10" max="16384" width="11.3984375" style="3"/>
  </cols>
  <sheetData>
    <row r="1" spans="1:9" s="1" customFormat="1" ht="14" customHeight="1">
      <c r="I1" s="95"/>
    </row>
    <row r="2" spans="1:9" s="1" customFormat="1" ht="28" customHeight="1">
      <c r="A2" s="64" t="s">
        <v>486</v>
      </c>
      <c r="H2" s="220"/>
      <c r="I2" s="201"/>
    </row>
    <row r="3" spans="1:9" ht="24" customHeight="1">
      <c r="A3" s="2" t="s">
        <v>1663</v>
      </c>
      <c r="B3" s="1309" t="s">
        <v>295</v>
      </c>
      <c r="C3" s="1305"/>
      <c r="D3" s="1305"/>
      <c r="E3" s="1309" t="s">
        <v>296</v>
      </c>
      <c r="F3" s="1305"/>
      <c r="G3" s="1305"/>
      <c r="H3" s="221" t="s">
        <v>1751</v>
      </c>
      <c r="I3" s="222" t="s">
        <v>1752</v>
      </c>
    </row>
    <row r="4" spans="1:9" ht="15" customHeight="1">
      <c r="A4" s="82"/>
      <c r="B4" s="75" t="s">
        <v>1310</v>
      </c>
      <c r="C4" s="66" t="s">
        <v>1311</v>
      </c>
      <c r="D4" s="15" t="s">
        <v>607</v>
      </c>
      <c r="E4" s="66" t="s">
        <v>1310</v>
      </c>
      <c r="F4" s="15" t="s">
        <v>1311</v>
      </c>
      <c r="G4" s="18" t="s">
        <v>607</v>
      </c>
      <c r="H4" s="15" t="s">
        <v>1753</v>
      </c>
      <c r="I4" s="4" t="s">
        <v>1350</v>
      </c>
    </row>
    <row r="5" spans="1:9" ht="15" customHeight="1">
      <c r="A5" s="82"/>
      <c r="B5" s="75" t="s">
        <v>1313</v>
      </c>
      <c r="C5" s="18" t="s">
        <v>1313</v>
      </c>
      <c r="D5" s="75" t="s">
        <v>1313</v>
      </c>
      <c r="E5" s="66" t="s">
        <v>1313</v>
      </c>
      <c r="F5" s="15" t="s">
        <v>1313</v>
      </c>
      <c r="G5" s="18" t="s">
        <v>1313</v>
      </c>
      <c r="H5" s="15" t="s">
        <v>297</v>
      </c>
      <c r="I5" s="4" t="s">
        <v>298</v>
      </c>
    </row>
    <row r="6" spans="1:9" ht="15" customHeight="1">
      <c r="A6" s="82"/>
      <c r="B6" s="75"/>
      <c r="C6" s="18"/>
      <c r="D6" s="75"/>
      <c r="E6" s="66"/>
      <c r="F6" s="15"/>
      <c r="G6" s="18"/>
      <c r="H6" s="223">
        <v>2000</v>
      </c>
      <c r="I6" s="4" t="s">
        <v>1754</v>
      </c>
    </row>
    <row r="7" spans="1:9" ht="16" customHeight="1">
      <c r="A7" s="83"/>
      <c r="B7" s="78"/>
      <c r="C7" s="19"/>
      <c r="D7" s="78"/>
      <c r="E7" s="67"/>
      <c r="F7" s="16"/>
      <c r="G7" s="19"/>
      <c r="H7" s="16"/>
      <c r="I7" s="5"/>
    </row>
    <row r="8" spans="1:9" ht="30" customHeight="1" thickBot="1">
      <c r="A8" s="146" t="s">
        <v>1671</v>
      </c>
      <c r="B8" s="92">
        <v>620680</v>
      </c>
      <c r="C8" s="98">
        <v>638375</v>
      </c>
      <c r="D8" s="92">
        <v>1259055</v>
      </c>
      <c r="E8" s="147">
        <v>0.27727492427659983</v>
      </c>
      <c r="F8" s="218">
        <v>0.31884080673585274</v>
      </c>
      <c r="G8" s="147">
        <v>0.29834995294089617</v>
      </c>
      <c r="H8" s="92">
        <v>567573</v>
      </c>
      <c r="I8" s="224">
        <v>0.43748028887913976</v>
      </c>
    </row>
    <row r="9" spans="1:9" ht="20" customHeight="1" thickBot="1">
      <c r="A9" s="148" t="s">
        <v>1672</v>
      </c>
      <c r="B9" s="92">
        <v>466437</v>
      </c>
      <c r="C9" s="98">
        <v>492148</v>
      </c>
      <c r="D9" s="92">
        <v>958585</v>
      </c>
      <c r="E9" s="147">
        <v>0.31730758923498781</v>
      </c>
      <c r="F9" s="218">
        <v>0.3623239350764404</v>
      </c>
      <c r="G9" s="147">
        <v>0.34041947245158227</v>
      </c>
      <c r="H9" s="92">
        <v>415901</v>
      </c>
      <c r="I9" s="224">
        <v>0.47624554882051257</v>
      </c>
    </row>
    <row r="10" spans="1:9" ht="20" customHeight="1" thickBot="1">
      <c r="A10" s="148" t="s">
        <v>1673</v>
      </c>
      <c r="B10" s="92">
        <v>172989</v>
      </c>
      <c r="C10" s="98">
        <v>178469</v>
      </c>
      <c r="D10" s="92">
        <v>351458</v>
      </c>
      <c r="E10" s="147">
        <v>0.36809854961876187</v>
      </c>
      <c r="F10" s="218">
        <v>0.39471280726624791</v>
      </c>
      <c r="G10" s="147">
        <v>0.38161316572677245</v>
      </c>
      <c r="H10" s="92">
        <v>140594</v>
      </c>
      <c r="I10" s="224">
        <v>0.41269897719675092</v>
      </c>
    </row>
    <row r="11" spans="1:9" ht="20" customHeight="1" thickBot="1">
      <c r="A11" s="148" t="s">
        <v>1674</v>
      </c>
      <c r="B11" s="92">
        <v>17158</v>
      </c>
      <c r="C11" s="98">
        <v>17038</v>
      </c>
      <c r="D11" s="92">
        <v>34196</v>
      </c>
      <c r="E11" s="147">
        <v>0.36093950343862918</v>
      </c>
      <c r="F11" s="218">
        <v>0.38267402277262591</v>
      </c>
      <c r="G11" s="147">
        <v>0.37176862790969706</v>
      </c>
      <c r="H11" s="92">
        <v>13430</v>
      </c>
      <c r="I11" s="224">
        <v>0.38659717051377512</v>
      </c>
    </row>
    <row r="12" spans="1:9" ht="20" customHeight="1" thickBot="1">
      <c r="A12" s="148" t="s">
        <v>1675</v>
      </c>
      <c r="B12" s="92">
        <v>66704</v>
      </c>
      <c r="C12" s="98">
        <v>65389</v>
      </c>
      <c r="D12" s="92">
        <v>132093</v>
      </c>
      <c r="E12" s="147">
        <v>0.39056128568001919</v>
      </c>
      <c r="F12" s="218">
        <v>0.40763737019988072</v>
      </c>
      <c r="G12" s="147">
        <v>0.39901433081238219</v>
      </c>
      <c r="H12" s="92">
        <v>50089</v>
      </c>
      <c r="I12" s="224">
        <v>0.45213519934516561</v>
      </c>
    </row>
    <row r="13" spans="1:9" ht="20" customHeight="1" thickBot="1">
      <c r="A13" s="148" t="s">
        <v>1676</v>
      </c>
      <c r="B13" s="92">
        <v>16541</v>
      </c>
      <c r="C13" s="98">
        <v>16307</v>
      </c>
      <c r="D13" s="92">
        <v>32848</v>
      </c>
      <c r="E13" s="147">
        <v>0.52028293331721176</v>
      </c>
      <c r="F13" s="218">
        <v>0.57312810449500218</v>
      </c>
      <c r="G13" s="147">
        <v>0.54651729176814423</v>
      </c>
      <c r="H13" s="92">
        <v>12445</v>
      </c>
      <c r="I13" s="224">
        <v>0.64612294094013656</v>
      </c>
    </row>
    <row r="14" spans="1:9" ht="20" customHeight="1" thickBot="1">
      <c r="A14" s="148" t="s">
        <v>1677</v>
      </c>
      <c r="B14" s="92">
        <v>19211</v>
      </c>
      <c r="C14" s="98">
        <v>18695</v>
      </c>
      <c r="D14" s="92">
        <v>37906</v>
      </c>
      <c r="E14" s="147">
        <v>0.41054604133048772</v>
      </c>
      <c r="F14" s="218">
        <v>0.44231077828296333</v>
      </c>
      <c r="G14" s="147">
        <v>0.42621220914894742</v>
      </c>
      <c r="H14" s="92">
        <v>15153</v>
      </c>
      <c r="I14" s="224">
        <v>0.49033194746914804</v>
      </c>
    </row>
    <row r="15" spans="1:9" ht="20" customHeight="1" thickBot="1">
      <c r="A15" s="148" t="s">
        <v>1678</v>
      </c>
      <c r="B15" s="92">
        <v>18870</v>
      </c>
      <c r="C15" s="98">
        <v>19226</v>
      </c>
      <c r="D15" s="92">
        <v>38096</v>
      </c>
      <c r="E15" s="147">
        <v>0.34504504504504502</v>
      </c>
      <c r="F15" s="218">
        <v>0.3624778945178404</v>
      </c>
      <c r="G15" s="147">
        <v>0.35384292314153715</v>
      </c>
      <c r="H15" s="92">
        <v>15382</v>
      </c>
      <c r="I15" s="224">
        <v>0.45475230789234172</v>
      </c>
    </row>
    <row r="16" spans="1:9" ht="20" customHeight="1" thickBot="1">
      <c r="A16" s="148" t="s">
        <v>1679</v>
      </c>
      <c r="B16" s="92">
        <v>51382</v>
      </c>
      <c r="C16" s="98">
        <v>50709</v>
      </c>
      <c r="D16" s="92">
        <v>102091</v>
      </c>
      <c r="E16" s="147">
        <v>0.29778910902650735</v>
      </c>
      <c r="F16" s="218">
        <v>0.31339604409473665</v>
      </c>
      <c r="G16" s="147">
        <v>0.305541134869871</v>
      </c>
      <c r="H16" s="92">
        <v>40819</v>
      </c>
      <c r="I16" s="224">
        <v>0.39670251598520295</v>
      </c>
    </row>
    <row r="17" spans="1:9" ht="20" customHeight="1" thickBot="1">
      <c r="A17" s="148" t="s">
        <v>1680</v>
      </c>
      <c r="B17" s="92">
        <v>121300</v>
      </c>
      <c r="C17" s="98">
        <v>122481</v>
      </c>
      <c r="D17" s="92">
        <v>243781</v>
      </c>
      <c r="E17" s="147">
        <v>0.41516900247320693</v>
      </c>
      <c r="F17" s="218">
        <v>0.36627721850736034</v>
      </c>
      <c r="G17" s="147">
        <v>0.39060468207120325</v>
      </c>
      <c r="H17" s="92">
        <v>94093</v>
      </c>
      <c r="I17" s="224">
        <v>0.40411082652269564</v>
      </c>
    </row>
    <row r="18" spans="1:9" ht="20" customHeight="1" thickBot="1">
      <c r="A18" s="148" t="s">
        <v>1681</v>
      </c>
      <c r="B18" s="92">
        <v>120145</v>
      </c>
      <c r="C18" s="98">
        <v>124420</v>
      </c>
      <c r="D18" s="92">
        <v>244565</v>
      </c>
      <c r="E18" s="147">
        <v>0.31124058429397811</v>
      </c>
      <c r="F18" s="218">
        <v>0.32531747307506831</v>
      </c>
      <c r="G18" s="147">
        <v>0.31840206080183181</v>
      </c>
      <c r="H18" s="92">
        <v>102584</v>
      </c>
      <c r="I18" s="224">
        <v>0.28514193246510178</v>
      </c>
    </row>
    <row r="19" spans="1:9" ht="20" customHeight="1" thickBot="1">
      <c r="A19" s="148" t="s">
        <v>1682</v>
      </c>
      <c r="B19" s="92">
        <v>90592</v>
      </c>
      <c r="C19" s="98">
        <v>100322</v>
      </c>
      <c r="D19" s="92">
        <v>190914</v>
      </c>
      <c r="E19" s="147">
        <v>0.29169242317202404</v>
      </c>
      <c r="F19" s="218">
        <v>0.31594266461992382</v>
      </c>
      <c r="G19" s="147">
        <v>0.30443550499177641</v>
      </c>
      <c r="H19" s="92">
        <v>95999</v>
      </c>
      <c r="I19" s="224">
        <v>0.34974322649194262</v>
      </c>
    </row>
    <row r="20" spans="1:9" ht="20" customHeight="1" thickBot="1">
      <c r="A20" s="148" t="s">
        <v>1683</v>
      </c>
      <c r="B20" s="92">
        <v>127872</v>
      </c>
      <c r="C20" s="98">
        <v>132948</v>
      </c>
      <c r="D20" s="92">
        <v>260820</v>
      </c>
      <c r="E20" s="147">
        <v>0.44906625375375375</v>
      </c>
      <c r="F20" s="218">
        <v>0.44961940006619128</v>
      </c>
      <c r="G20" s="147">
        <v>0.44934820949313703</v>
      </c>
      <c r="H20" s="92">
        <v>111675</v>
      </c>
      <c r="I20" s="224">
        <v>0.45447056189836582</v>
      </c>
    </row>
    <row r="21" spans="1:9" ht="20" customHeight="1" thickBot="1">
      <c r="A21" s="148" t="s">
        <v>1684</v>
      </c>
      <c r="B21" s="92">
        <v>35961</v>
      </c>
      <c r="C21" s="98">
        <v>37730</v>
      </c>
      <c r="D21" s="92">
        <v>73691</v>
      </c>
      <c r="E21" s="147">
        <v>0.36103000472734353</v>
      </c>
      <c r="F21" s="218">
        <v>0.36138351444473893</v>
      </c>
      <c r="G21" s="147">
        <v>0.36121100270046547</v>
      </c>
      <c r="H21" s="92">
        <v>31427</v>
      </c>
      <c r="I21" s="224">
        <v>0.41190695898431284</v>
      </c>
    </row>
    <row r="22" spans="1:9" ht="20" customHeight="1" thickBot="1">
      <c r="A22" s="148" t="s">
        <v>1685</v>
      </c>
      <c r="B22" s="92">
        <v>26274</v>
      </c>
      <c r="C22" s="98">
        <v>26563</v>
      </c>
      <c r="D22" s="92">
        <v>52837</v>
      </c>
      <c r="E22" s="147">
        <v>0.2853391185202101</v>
      </c>
      <c r="F22" s="218">
        <v>0.29405564130557543</v>
      </c>
      <c r="G22" s="147">
        <v>0.28972121808581108</v>
      </c>
      <c r="H22" s="92">
        <v>21572</v>
      </c>
      <c r="I22" s="224">
        <v>0.27030409790469129</v>
      </c>
    </row>
    <row r="23" spans="1:9" ht="20" customHeight="1" thickBot="1">
      <c r="A23" s="148" t="s">
        <v>1686</v>
      </c>
      <c r="B23" s="92">
        <v>7495</v>
      </c>
      <c r="C23" s="98">
        <v>7220</v>
      </c>
      <c r="D23" s="92">
        <v>14715</v>
      </c>
      <c r="E23" s="147">
        <v>0.59613075383589065</v>
      </c>
      <c r="F23" s="218">
        <v>0.60013850415512471</v>
      </c>
      <c r="G23" s="147">
        <v>0.59809717974855592</v>
      </c>
      <c r="H23" s="92">
        <v>5290</v>
      </c>
      <c r="I23" s="224">
        <v>0.56672967863894141</v>
      </c>
    </row>
    <row r="24" spans="1:9" ht="20" customHeight="1" thickBot="1">
      <c r="A24" s="148" t="s">
        <v>1687</v>
      </c>
      <c r="B24" s="92">
        <v>225320</v>
      </c>
      <c r="C24" s="98">
        <v>230027</v>
      </c>
      <c r="D24" s="92">
        <v>455347</v>
      </c>
      <c r="E24" s="147">
        <v>0.33087164921001244</v>
      </c>
      <c r="F24" s="218">
        <v>0.42531528907476079</v>
      </c>
      <c r="G24" s="147">
        <v>0.37858160919035372</v>
      </c>
      <c r="H24" s="92">
        <v>183750</v>
      </c>
      <c r="I24" s="224">
        <v>0.37565714285714286</v>
      </c>
    </row>
    <row r="25" spans="1:9" ht="20" customHeight="1" thickBot="1">
      <c r="A25" s="148" t="s">
        <v>1688</v>
      </c>
      <c r="B25" s="92">
        <v>93816</v>
      </c>
      <c r="C25" s="98">
        <v>95564</v>
      </c>
      <c r="D25" s="92">
        <v>189380</v>
      </c>
      <c r="E25" s="147">
        <v>0.33481495693698304</v>
      </c>
      <c r="F25" s="218">
        <v>0.36734544389100499</v>
      </c>
      <c r="G25" s="147">
        <v>0.35123033055232866</v>
      </c>
      <c r="H25" s="92">
        <v>77781</v>
      </c>
      <c r="I25" s="224">
        <v>0.37434591995474475</v>
      </c>
    </row>
    <row r="26" spans="1:9" ht="20" customHeight="1" thickBot="1">
      <c r="A26" s="148" t="s">
        <v>1689</v>
      </c>
      <c r="B26" s="92">
        <v>276330</v>
      </c>
      <c r="C26" s="98">
        <v>277633</v>
      </c>
      <c r="D26" s="92">
        <v>553963</v>
      </c>
      <c r="E26" s="147">
        <v>0.22583143343104259</v>
      </c>
      <c r="F26" s="218">
        <v>0.25044933419298138</v>
      </c>
      <c r="G26" s="147">
        <v>0.23816933621920597</v>
      </c>
      <c r="H26" s="92">
        <v>224128</v>
      </c>
      <c r="I26" s="224">
        <v>0.21390455454026272</v>
      </c>
    </row>
    <row r="27" spans="1:9" ht="20" customHeight="1" thickBot="1">
      <c r="A27" s="148" t="s">
        <v>1690</v>
      </c>
      <c r="B27" s="92">
        <v>114135</v>
      </c>
      <c r="C27" s="98">
        <v>115549</v>
      </c>
      <c r="D27" s="92">
        <v>229684</v>
      </c>
      <c r="E27" s="147">
        <v>0.43511630963332898</v>
      </c>
      <c r="F27" s="218">
        <v>0.45419692078685231</v>
      </c>
      <c r="G27" s="147">
        <v>0.44471534804339874</v>
      </c>
      <c r="H27" s="92">
        <v>91537</v>
      </c>
      <c r="I27" s="224">
        <v>0.66504255109955535</v>
      </c>
    </row>
    <row r="28" spans="1:9" ht="20" customHeight="1" thickBot="1">
      <c r="A28" s="148" t="s">
        <v>1691</v>
      </c>
      <c r="B28" s="92">
        <v>150045</v>
      </c>
      <c r="C28" s="98">
        <v>162644</v>
      </c>
      <c r="D28" s="92">
        <v>312689</v>
      </c>
      <c r="E28" s="147">
        <v>0.24387350461528209</v>
      </c>
      <c r="F28" s="218">
        <v>0.30516957280932588</v>
      </c>
      <c r="G28" s="147">
        <v>0.27575642251566251</v>
      </c>
      <c r="H28" s="92">
        <v>134916</v>
      </c>
      <c r="I28" s="224">
        <v>0.3976844851611373</v>
      </c>
    </row>
    <row r="29" spans="1:9" ht="20" customHeight="1" thickBot="1">
      <c r="A29" s="148" t="s">
        <v>1692</v>
      </c>
      <c r="B29" s="92">
        <v>311236</v>
      </c>
      <c r="C29" s="98">
        <v>331200</v>
      </c>
      <c r="D29" s="92">
        <v>642436</v>
      </c>
      <c r="E29" s="147">
        <v>0.22125975144263518</v>
      </c>
      <c r="F29" s="218">
        <v>0.25480072463768116</v>
      </c>
      <c r="G29" s="147">
        <v>0.23855138877646956</v>
      </c>
      <c r="H29" s="92">
        <v>278752</v>
      </c>
      <c r="I29" s="224">
        <v>0.28152264378372172</v>
      </c>
    </row>
    <row r="30" spans="1:9" ht="20" customHeight="1" thickBot="1">
      <c r="A30" s="148" t="s">
        <v>1693</v>
      </c>
      <c r="B30" s="92">
        <v>137004</v>
      </c>
      <c r="C30" s="98">
        <v>141419</v>
      </c>
      <c r="D30" s="92">
        <v>278423</v>
      </c>
      <c r="E30" s="147">
        <v>0.29394032291027999</v>
      </c>
      <c r="F30" s="218">
        <v>0.35097829853131474</v>
      </c>
      <c r="G30" s="147">
        <v>0.32291154107239706</v>
      </c>
      <c r="H30" s="92">
        <v>107378</v>
      </c>
      <c r="I30" s="224">
        <v>0.44565925981113452</v>
      </c>
    </row>
    <row r="31" spans="1:9" ht="20" customHeight="1" thickBot="1">
      <c r="A31" s="148" t="s">
        <v>1694</v>
      </c>
      <c r="B31" s="92">
        <v>81092</v>
      </c>
      <c r="C31" s="98">
        <v>86742</v>
      </c>
      <c r="D31" s="92">
        <v>167834</v>
      </c>
      <c r="E31" s="147">
        <v>0.31768855127509493</v>
      </c>
      <c r="F31" s="218">
        <v>0.36433331027645199</v>
      </c>
      <c r="G31" s="147">
        <v>0.34179606039300736</v>
      </c>
      <c r="H31" s="92">
        <v>74049</v>
      </c>
      <c r="I31" s="224">
        <v>0.44037056543640024</v>
      </c>
    </row>
    <row r="32" spans="1:9" ht="20" customHeight="1" thickBot="1">
      <c r="A32" s="148" t="s">
        <v>1695</v>
      </c>
      <c r="B32" s="92">
        <v>201972</v>
      </c>
      <c r="C32" s="98">
        <v>220807</v>
      </c>
      <c r="D32" s="92">
        <v>422779</v>
      </c>
      <c r="E32" s="147">
        <v>0.3845384508743786</v>
      </c>
      <c r="F32" s="218">
        <v>0.41001417527524037</v>
      </c>
      <c r="G32" s="147">
        <v>0.39784379072754322</v>
      </c>
      <c r="H32" s="92">
        <v>181611</v>
      </c>
      <c r="I32" s="224">
        <v>0.61417535281453217</v>
      </c>
    </row>
    <row r="33" spans="1:9" ht="20" customHeight="1" thickBot="1">
      <c r="A33" s="148" t="s">
        <v>1696</v>
      </c>
      <c r="B33" s="92">
        <v>33090</v>
      </c>
      <c r="C33" s="98">
        <v>34494</v>
      </c>
      <c r="D33" s="92">
        <v>67584</v>
      </c>
      <c r="E33" s="147">
        <v>0.35324871562405563</v>
      </c>
      <c r="F33" s="218">
        <v>0.428422334319012</v>
      </c>
      <c r="G33" s="147">
        <v>0.39161635890151514</v>
      </c>
      <c r="H33" s="92">
        <v>27471</v>
      </c>
      <c r="I33" s="224">
        <v>0.51104801426959334</v>
      </c>
    </row>
    <row r="34" spans="1:9" ht="30" customHeight="1" thickBot="1">
      <c r="A34" s="149" t="s">
        <v>1697</v>
      </c>
      <c r="B34" s="155">
        <v>3603651</v>
      </c>
      <c r="C34" s="154">
        <v>3744119</v>
      </c>
      <c r="D34" s="155">
        <v>7347770</v>
      </c>
      <c r="E34" s="150">
        <v>0.31350233416054996</v>
      </c>
      <c r="F34" s="219">
        <v>0.34829795741000752</v>
      </c>
      <c r="G34" s="150">
        <v>0.33123274136234532</v>
      </c>
      <c r="H34" s="225">
        <v>3115399</v>
      </c>
      <c r="I34" s="226">
        <v>0.41388117541284442</v>
      </c>
    </row>
    <row r="35" spans="1:9" ht="20" customHeight="1">
      <c r="A35" s="140" t="s">
        <v>466</v>
      </c>
      <c r="B35" s="151"/>
      <c r="C35" s="151"/>
      <c r="D35" s="151"/>
      <c r="E35" s="151"/>
      <c r="F35" s="151"/>
      <c r="G35" s="151"/>
    </row>
    <row r="36" spans="1:9" ht="14.25" customHeight="1">
      <c r="A36" s="141"/>
      <c r="B36" s="152"/>
      <c r="C36" s="152"/>
      <c r="D36" s="152"/>
      <c r="E36" s="152"/>
      <c r="F36" s="152"/>
      <c r="G36" s="152"/>
    </row>
    <row r="37" spans="1:9" ht="20" customHeight="1">
      <c r="A37" s="141" t="s">
        <v>1755</v>
      </c>
      <c r="B37" s="152"/>
      <c r="C37" s="152"/>
      <c r="D37" s="152"/>
      <c r="E37" s="152"/>
      <c r="F37" s="152"/>
      <c r="G37" s="152"/>
    </row>
    <row r="38" spans="1:9" ht="15.75" customHeight="1">
      <c r="A38" s="141"/>
      <c r="B38" s="152"/>
      <c r="C38" s="152"/>
      <c r="D38" s="152"/>
      <c r="E38" s="152"/>
      <c r="F38" s="152"/>
      <c r="G38" s="152"/>
    </row>
    <row r="39" spans="1:9" ht="11.25" customHeight="1">
      <c r="A39" s="38" t="s">
        <v>1756</v>
      </c>
      <c r="B39" s="152"/>
      <c r="C39" s="152"/>
      <c r="D39" s="152"/>
      <c r="E39" s="152"/>
      <c r="F39" s="152"/>
      <c r="G39" s="152"/>
    </row>
    <row r="40" spans="1:9">
      <c r="A40" s="3" t="s">
        <v>1757</v>
      </c>
    </row>
    <row r="41" spans="1:9">
      <c r="A41" s="3" t="s">
        <v>1758</v>
      </c>
    </row>
    <row r="42" spans="1:9">
      <c r="A42" s="3" t="s">
        <v>1759</v>
      </c>
    </row>
    <row r="43" spans="1:9">
      <c r="A43" s="227" t="s">
        <v>293</v>
      </c>
    </row>
    <row r="44" spans="1:9">
      <c r="A44" s="227" t="s">
        <v>294</v>
      </c>
    </row>
  </sheetData>
  <mergeCells count="2">
    <mergeCell ref="B3:D3"/>
    <mergeCell ref="E3:G3"/>
  </mergeCells>
  <phoneticPr fontId="0" type="noConversion"/>
  <pageMargins left="0.42" right="0.32" top="1.46" bottom="0.49" header="0.94" footer="0.4921259845"/>
  <pageSetup paperSize="9" scale="80" orientation="portrait" horizontalDpi="4294967292" verticalDpi="4294967292"/>
  <headerFooter alignWithMargins="0">
    <oddHeader>&amp;L&amp;"Arial,Bold"&amp;14Prämienverbilligung in der OKP</oddHeader>
    <oddFooter>&amp;L&amp;"Arial,Regular"Statistik über die Krankenversicherung, Bundesamt für Sozialversicherung</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5C2D-7A1B-D942-864F-701A96C46982}">
  <dimension ref="A1:B5"/>
  <sheetViews>
    <sheetView workbookViewId="0">
      <selection activeCell="A2" sqref="A2"/>
    </sheetView>
  </sheetViews>
  <sheetFormatPr baseColWidth="10" defaultColWidth="11.3984375" defaultRowHeight="13"/>
  <cols>
    <col min="1" max="1" width="5.59765625" style="316" customWidth="1"/>
    <col min="2" max="16384" width="11.3984375" style="316"/>
  </cols>
  <sheetData>
    <row r="1" spans="1:2" ht="16">
      <c r="A1" s="315" t="s">
        <v>1003</v>
      </c>
    </row>
    <row r="2" spans="1:2" ht="16">
      <c r="A2" s="315"/>
    </row>
    <row r="3" spans="1:2">
      <c r="A3" s="316">
        <v>5.01</v>
      </c>
      <c r="B3" s="317" t="s">
        <v>1004</v>
      </c>
    </row>
    <row r="4" spans="1:2">
      <c r="A4" s="316">
        <v>5.0199999999999996</v>
      </c>
      <c r="B4" s="317" t="s">
        <v>1005</v>
      </c>
    </row>
    <row r="5" spans="1:2">
      <c r="A5" s="316">
        <v>5.03</v>
      </c>
      <c r="B5" s="316" t="s">
        <v>1006</v>
      </c>
    </row>
  </sheetData>
  <phoneticPr fontId="23" type="noConversion"/>
  <pageMargins left="0.46" right="0.35" top="0.93" bottom="0.984251969" header="0.36" footer="0.4921259845"/>
  <pageSetup paperSize="9" orientation="portrait"/>
  <headerFooter alignWithMargins="0">
    <oddHeader>&amp;LIndividuelle Daten Pro Versicherer</oddHeader>
    <oddFooter>&amp;LStatistik der Krankenversicherung, Bundesamt für Sozialversicherung</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9562-9463-F840-8434-9B1EC27C2DE8}">
  <dimension ref="A1:Q108"/>
  <sheetViews>
    <sheetView zoomScale="75" workbookViewId="0">
      <selection activeCell="A3" sqref="A3"/>
    </sheetView>
  </sheetViews>
  <sheetFormatPr baseColWidth="10" defaultColWidth="11.3984375" defaultRowHeight="13"/>
  <cols>
    <col min="1" max="1" width="5.796875" style="3" customWidth="1"/>
    <col min="2" max="2" width="48.796875" style="105" customWidth="1"/>
    <col min="3" max="4" width="10.796875" style="105" customWidth="1"/>
    <col min="5" max="5" width="10.796875" style="3" customWidth="1"/>
    <col min="6" max="7" width="10.796875" style="43" customWidth="1"/>
    <col min="8" max="16" width="10.796875" style="3" customWidth="1"/>
    <col min="17" max="17" width="12.796875" style="387" customWidth="1"/>
    <col min="18" max="16384" width="11.3984375" style="3"/>
  </cols>
  <sheetData>
    <row r="1" spans="1:17" s="1" customFormat="1" ht="14" customHeight="1">
      <c r="B1" s="95"/>
      <c r="C1" s="95"/>
      <c r="D1" s="95"/>
      <c r="F1" s="106"/>
      <c r="G1" s="106"/>
      <c r="Q1" s="318"/>
    </row>
    <row r="2" spans="1:17" s="1" customFormat="1" ht="19.5" customHeight="1">
      <c r="A2" s="81" t="s">
        <v>177</v>
      </c>
      <c r="C2" s="95"/>
      <c r="D2" s="95"/>
      <c r="F2" s="106"/>
      <c r="G2" s="106"/>
      <c r="H2" s="63"/>
      <c r="Q2" s="318"/>
    </row>
    <row r="3" spans="1:17" s="1" customFormat="1" ht="20.25" customHeight="1">
      <c r="B3" s="95"/>
      <c r="C3" s="95"/>
      <c r="D3" s="95"/>
      <c r="F3" s="106"/>
      <c r="G3" s="106"/>
      <c r="Q3" s="318"/>
    </row>
    <row r="4" spans="1:17" ht="18" customHeight="1">
      <c r="A4" s="319" t="s">
        <v>1007</v>
      </c>
      <c r="B4" s="319" t="s">
        <v>1008</v>
      </c>
      <c r="C4" s="320" t="s">
        <v>998</v>
      </c>
      <c r="D4" s="321" t="s">
        <v>1009</v>
      </c>
      <c r="E4" s="320" t="s">
        <v>46</v>
      </c>
      <c r="F4" s="322" t="s">
        <v>1010</v>
      </c>
      <c r="G4" s="323" t="s">
        <v>1316</v>
      </c>
      <c r="H4" s="320" t="s">
        <v>1316</v>
      </c>
      <c r="I4" s="321" t="s">
        <v>1011</v>
      </c>
      <c r="J4" s="320" t="s">
        <v>1011</v>
      </c>
      <c r="K4" s="321" t="s">
        <v>1012</v>
      </c>
      <c r="L4" s="323" t="s">
        <v>1013</v>
      </c>
      <c r="M4" s="322" t="s">
        <v>1013</v>
      </c>
      <c r="N4" s="323" t="s">
        <v>1013</v>
      </c>
      <c r="O4" s="321" t="s">
        <v>1013</v>
      </c>
      <c r="P4" s="323" t="s">
        <v>1014</v>
      </c>
      <c r="Q4" s="324" t="s">
        <v>1015</v>
      </c>
    </row>
    <row r="5" spans="1:17" ht="15" customHeight="1">
      <c r="A5" s="325" t="s">
        <v>1016</v>
      </c>
      <c r="B5" s="325"/>
      <c r="C5" s="326" t="s">
        <v>1017</v>
      </c>
      <c r="D5" s="327" t="s">
        <v>607</v>
      </c>
      <c r="E5" s="326" t="s">
        <v>342</v>
      </c>
      <c r="F5" s="328" t="s">
        <v>1018</v>
      </c>
      <c r="G5" s="329" t="s">
        <v>1019</v>
      </c>
      <c r="H5" s="326" t="s">
        <v>1019</v>
      </c>
      <c r="I5" s="327" t="s">
        <v>1020</v>
      </c>
      <c r="J5" s="326" t="s">
        <v>1020</v>
      </c>
      <c r="K5" s="327" t="s">
        <v>1021</v>
      </c>
      <c r="L5" s="329" t="s">
        <v>1022</v>
      </c>
      <c r="M5" s="328" t="s">
        <v>1022</v>
      </c>
      <c r="N5" s="329" t="s">
        <v>1014</v>
      </c>
      <c r="O5" s="327" t="s">
        <v>1014</v>
      </c>
      <c r="P5" s="329" t="s">
        <v>794</v>
      </c>
      <c r="Q5" s="330" t="s">
        <v>1023</v>
      </c>
    </row>
    <row r="6" spans="1:17" ht="15" customHeight="1">
      <c r="A6" s="325"/>
      <c r="B6" s="325"/>
      <c r="C6" s="326"/>
      <c r="D6" s="327" t="s">
        <v>342</v>
      </c>
      <c r="E6" s="326"/>
      <c r="F6" s="328" t="s">
        <v>1024</v>
      </c>
      <c r="G6" s="329" t="s">
        <v>1025</v>
      </c>
      <c r="H6" s="326" t="s">
        <v>1025</v>
      </c>
      <c r="I6" s="327" t="s">
        <v>1026</v>
      </c>
      <c r="J6" s="326" t="s">
        <v>1026</v>
      </c>
      <c r="K6" s="327" t="s">
        <v>1027</v>
      </c>
      <c r="L6" s="329" t="s">
        <v>1028</v>
      </c>
      <c r="M6" s="328" t="s">
        <v>1029</v>
      </c>
      <c r="N6" s="329" t="s">
        <v>1030</v>
      </c>
      <c r="O6" s="327" t="s">
        <v>1031</v>
      </c>
      <c r="P6" s="329" t="s">
        <v>46</v>
      </c>
      <c r="Q6" s="330" t="s">
        <v>1032</v>
      </c>
    </row>
    <row r="7" spans="1:17" ht="15" customHeight="1">
      <c r="A7" s="325"/>
      <c r="B7" s="325"/>
      <c r="C7" s="326" t="s">
        <v>1033</v>
      </c>
      <c r="D7" s="327"/>
      <c r="E7" s="326"/>
      <c r="F7" s="328" t="s">
        <v>1034</v>
      </c>
      <c r="G7" s="329" t="s">
        <v>1030</v>
      </c>
      <c r="H7" s="326" t="s">
        <v>1031</v>
      </c>
      <c r="I7" s="327" t="s">
        <v>1035</v>
      </c>
      <c r="J7" s="326" t="s">
        <v>1036</v>
      </c>
      <c r="K7" s="327" t="s">
        <v>1037</v>
      </c>
      <c r="L7" s="329" t="s">
        <v>1030</v>
      </c>
      <c r="M7" s="328" t="s">
        <v>1027</v>
      </c>
      <c r="N7" s="329"/>
      <c r="O7" s="327" t="s">
        <v>1038</v>
      </c>
      <c r="P7" s="329"/>
      <c r="Q7" s="330" t="s">
        <v>1039</v>
      </c>
    </row>
    <row r="8" spans="1:17" ht="15" customHeight="1">
      <c r="A8" s="325"/>
      <c r="B8" s="325"/>
      <c r="C8" s="326" t="s">
        <v>1040</v>
      </c>
      <c r="D8" s="327"/>
      <c r="E8" s="326"/>
      <c r="F8" s="328"/>
      <c r="G8" s="329"/>
      <c r="H8" s="326" t="s">
        <v>1038</v>
      </c>
      <c r="I8" s="327" t="s">
        <v>1041</v>
      </c>
      <c r="J8" s="326" t="s">
        <v>1027</v>
      </c>
      <c r="K8" s="327" t="s">
        <v>1042</v>
      </c>
      <c r="L8" s="329"/>
      <c r="M8" s="328" t="s">
        <v>1043</v>
      </c>
      <c r="N8" s="329"/>
      <c r="O8" s="327" t="s">
        <v>1044</v>
      </c>
      <c r="P8" s="329"/>
      <c r="Q8" s="330" t="s">
        <v>1045</v>
      </c>
    </row>
    <row r="9" spans="1:17" ht="15" customHeight="1">
      <c r="A9" s="325"/>
      <c r="B9" s="325"/>
      <c r="C9" s="326"/>
      <c r="D9" s="327"/>
      <c r="E9" s="326"/>
      <c r="F9" s="328"/>
      <c r="G9" s="329"/>
      <c r="H9" s="326" t="s">
        <v>1044</v>
      </c>
      <c r="I9" s="327" t="s">
        <v>1046</v>
      </c>
      <c r="J9" s="326" t="s">
        <v>1047</v>
      </c>
      <c r="K9" s="327"/>
      <c r="L9" s="329"/>
      <c r="M9" s="328" t="s">
        <v>1304</v>
      </c>
      <c r="N9" s="329"/>
      <c r="O9" s="327"/>
      <c r="P9" s="329"/>
      <c r="Q9" s="330"/>
    </row>
    <row r="10" spans="1:17" ht="18" customHeight="1">
      <c r="A10" s="331"/>
      <c r="B10" s="332"/>
      <c r="C10" s="333">
        <v>1</v>
      </c>
      <c r="D10" s="334">
        <v>2</v>
      </c>
      <c r="E10" s="333">
        <v>3</v>
      </c>
      <c r="F10" s="335">
        <v>4</v>
      </c>
      <c r="G10" s="336">
        <v>5</v>
      </c>
      <c r="H10" s="333" t="s">
        <v>1048</v>
      </c>
      <c r="I10" s="334" t="s">
        <v>1049</v>
      </c>
      <c r="J10" s="333" t="s">
        <v>1050</v>
      </c>
      <c r="K10" s="334">
        <v>7</v>
      </c>
      <c r="L10" s="336">
        <v>8</v>
      </c>
      <c r="M10" s="335" t="s">
        <v>1051</v>
      </c>
      <c r="N10" s="336">
        <v>9</v>
      </c>
      <c r="O10" s="334" t="s">
        <v>1052</v>
      </c>
      <c r="P10" s="336" t="s">
        <v>1053</v>
      </c>
      <c r="Q10" s="337">
        <v>10</v>
      </c>
    </row>
    <row r="11" spans="1:17" ht="14" thickBot="1">
      <c r="A11" s="338">
        <v>8</v>
      </c>
      <c r="B11" s="339" t="s">
        <v>184</v>
      </c>
      <c r="C11" s="340">
        <v>987133</v>
      </c>
      <c r="D11" s="341">
        <v>2009.8823766</v>
      </c>
      <c r="E11" s="342">
        <v>1983.77995205</v>
      </c>
      <c r="F11" s="343">
        <v>-4.306837007369E-2</v>
      </c>
      <c r="G11" s="342">
        <v>1973.30995598</v>
      </c>
      <c r="H11" s="344">
        <v>1999.0314942160701</v>
      </c>
      <c r="I11" s="345">
        <v>5.6844432884020003E-2</v>
      </c>
      <c r="J11" s="344">
        <v>115.208813766736</v>
      </c>
      <c r="K11" s="346">
        <v>9.3418950232643301</v>
      </c>
      <c r="L11" s="342">
        <v>502.8</v>
      </c>
      <c r="M11" s="346">
        <v>509.35385606600101</v>
      </c>
      <c r="N11" s="342">
        <v>286.45358012000003</v>
      </c>
      <c r="O11" s="346">
        <v>290.18742167468798</v>
      </c>
      <c r="P11" s="347">
        <v>0.14439786016789999</v>
      </c>
      <c r="Q11" s="348" t="s">
        <v>488</v>
      </c>
    </row>
    <row r="12" spans="1:17" ht="14" thickBot="1">
      <c r="A12" s="349">
        <v>32</v>
      </c>
      <c r="B12" s="350" t="s">
        <v>185</v>
      </c>
      <c r="C12" s="351">
        <v>31305</v>
      </c>
      <c r="D12" s="352">
        <v>65.222181300000003</v>
      </c>
      <c r="E12" s="353">
        <v>65.679009500000006</v>
      </c>
      <c r="F12" s="354">
        <v>-9.7357669943400008E-3</v>
      </c>
      <c r="G12" s="353">
        <v>61.262235050000001</v>
      </c>
      <c r="H12" s="355">
        <v>1956.9472943619201</v>
      </c>
      <c r="I12" s="356">
        <v>2.2182333819110001E-2</v>
      </c>
      <c r="J12" s="355">
        <v>44.008205717936399</v>
      </c>
      <c r="K12" s="357">
        <v>99.5125730713943</v>
      </c>
      <c r="L12" s="353">
        <v>16.5</v>
      </c>
      <c r="M12" s="357">
        <v>527.07235265931899</v>
      </c>
      <c r="N12" s="353">
        <v>19.281703669999999</v>
      </c>
      <c r="O12" s="357">
        <v>615.93047979556002</v>
      </c>
      <c r="P12" s="358">
        <v>0.29357482423664999</v>
      </c>
      <c r="Q12" s="348" t="s">
        <v>259</v>
      </c>
    </row>
    <row r="13" spans="1:17" ht="14" thickBot="1">
      <c r="A13" s="349">
        <v>57</v>
      </c>
      <c r="B13" s="350" t="s">
        <v>186</v>
      </c>
      <c r="C13" s="351">
        <v>26623</v>
      </c>
      <c r="D13" s="352">
        <v>62.471571470000001</v>
      </c>
      <c r="E13" s="353">
        <v>63.482229400000001</v>
      </c>
      <c r="F13" s="354">
        <v>6.5032185911170007E-2</v>
      </c>
      <c r="G13" s="353">
        <v>50.36555705</v>
      </c>
      <c r="H13" s="355">
        <v>1891.80622206362</v>
      </c>
      <c r="I13" s="356">
        <v>4.8838560494150002E-2</v>
      </c>
      <c r="J13" s="355">
        <v>120</v>
      </c>
      <c r="K13" s="357">
        <v>-110.548509559403</v>
      </c>
      <c r="L13" s="353">
        <v>19.021750000000001</v>
      </c>
      <c r="M13" s="357">
        <v>714.48559516207695</v>
      </c>
      <c r="N13" s="353">
        <v>12.21382996</v>
      </c>
      <c r="O13" s="357">
        <v>458.76985914434903</v>
      </c>
      <c r="P13" s="358">
        <v>0.19239762175082001</v>
      </c>
      <c r="Q13" s="348" t="s">
        <v>488</v>
      </c>
    </row>
    <row r="14" spans="1:17" ht="14" thickBot="1">
      <c r="A14" s="349">
        <v>62</v>
      </c>
      <c r="B14" s="350" t="s">
        <v>187</v>
      </c>
      <c r="C14" s="351">
        <v>144648</v>
      </c>
      <c r="D14" s="352">
        <v>370.03788214000002</v>
      </c>
      <c r="E14" s="353">
        <v>391.42151035000001</v>
      </c>
      <c r="F14" s="354">
        <v>-9.0962554442639995E-2</v>
      </c>
      <c r="G14" s="353">
        <v>471.10174501</v>
      </c>
      <c r="H14" s="355">
        <v>3256.8839182705601</v>
      </c>
      <c r="I14" s="356">
        <v>7.4126743560530006E-2</v>
      </c>
      <c r="J14" s="355">
        <v>196.66984949670899</v>
      </c>
      <c r="K14" s="357">
        <v>-94.960838449200807</v>
      </c>
      <c r="L14" s="353">
        <v>100.42133269999999</v>
      </c>
      <c r="M14" s="357">
        <v>694.24625781206805</v>
      </c>
      <c r="N14" s="353">
        <v>-12.567756320000001</v>
      </c>
      <c r="O14" s="357">
        <v>-86.885102593883104</v>
      </c>
      <c r="P14" s="358">
        <v>-3.2107985860970002E-2</v>
      </c>
      <c r="Q14" s="348" t="s">
        <v>488</v>
      </c>
    </row>
    <row r="15" spans="1:17" ht="14" thickBot="1">
      <c r="A15" s="349">
        <v>97</v>
      </c>
      <c r="B15" s="350" t="s">
        <v>188</v>
      </c>
      <c r="C15" s="351">
        <v>957</v>
      </c>
      <c r="D15" s="352">
        <v>1.4546995</v>
      </c>
      <c r="E15" s="353">
        <v>1.4740883</v>
      </c>
      <c r="F15" s="354">
        <v>4.3545728860149999E-2</v>
      </c>
      <c r="G15" s="353">
        <v>1.4352831500000001</v>
      </c>
      <c r="H15" s="355">
        <v>1499.77340647857</v>
      </c>
      <c r="I15" s="356">
        <v>2.8800207839700001E-3</v>
      </c>
      <c r="J15" s="355">
        <v>4.3670323928944601</v>
      </c>
      <c r="K15" s="357">
        <v>3.74242424242424</v>
      </c>
      <c r="L15" s="353">
        <v>0.25</v>
      </c>
      <c r="M15" s="357">
        <v>261.23301985370898</v>
      </c>
      <c r="N15" s="353">
        <v>0.45585417</v>
      </c>
      <c r="O15" s="357">
        <v>476.33664576802499</v>
      </c>
      <c r="P15" s="358">
        <v>0.30924481932323</v>
      </c>
      <c r="Q15" s="348" t="s">
        <v>259</v>
      </c>
    </row>
    <row r="16" spans="1:17" ht="14" thickBot="1">
      <c r="A16" s="349">
        <v>109</v>
      </c>
      <c r="B16" s="350" t="s">
        <v>189</v>
      </c>
      <c r="C16" s="351">
        <v>282</v>
      </c>
      <c r="D16" s="352">
        <v>0.3636798</v>
      </c>
      <c r="E16" s="353">
        <v>0.35043495000000002</v>
      </c>
      <c r="F16" s="354">
        <v>1.631380131643E-2</v>
      </c>
      <c r="G16" s="353">
        <v>0.46603984999999998</v>
      </c>
      <c r="H16" s="355">
        <v>1652.6235815602799</v>
      </c>
      <c r="I16" s="356">
        <v>3.7975663539899999E-2</v>
      </c>
      <c r="J16" s="355">
        <v>63.5758865248227</v>
      </c>
      <c r="K16" s="357">
        <v>-384.47712765957402</v>
      </c>
      <c r="L16" s="353">
        <v>0.14214694999999999</v>
      </c>
      <c r="M16" s="357">
        <v>504.06719858155998</v>
      </c>
      <c r="N16" s="353">
        <v>0.33034350000000001</v>
      </c>
      <c r="O16" s="357">
        <v>1171.43085106383</v>
      </c>
      <c r="P16" s="358">
        <v>0.94266710554983002</v>
      </c>
      <c r="Q16" s="348" t="s">
        <v>488</v>
      </c>
    </row>
    <row r="17" spans="1:17" ht="14" thickBot="1">
      <c r="A17" s="349">
        <v>134</v>
      </c>
      <c r="B17" s="350" t="s">
        <v>190</v>
      </c>
      <c r="C17" s="351">
        <v>1999</v>
      </c>
      <c r="D17" s="352">
        <v>3.2741318399999999</v>
      </c>
      <c r="E17" s="353">
        <v>3.2105847000000001</v>
      </c>
      <c r="F17" s="354">
        <v>-7.3727941267010003E-2</v>
      </c>
      <c r="G17" s="353">
        <v>3.1450182999999998</v>
      </c>
      <c r="H17" s="355">
        <v>1573.29579789894</v>
      </c>
      <c r="I17" s="356">
        <v>5.5876363997829998E-2</v>
      </c>
      <c r="J17" s="355">
        <v>88.773986993496706</v>
      </c>
      <c r="K17" s="357">
        <v>49.127458729364598</v>
      </c>
      <c r="L17" s="353">
        <v>1.25</v>
      </c>
      <c r="M17" s="357">
        <v>625.31265632816405</v>
      </c>
      <c r="N17" s="353">
        <v>1.5550541600000001</v>
      </c>
      <c r="O17" s="357">
        <v>777.91603801900897</v>
      </c>
      <c r="P17" s="358">
        <v>0.48435232373715997</v>
      </c>
      <c r="Q17" s="348" t="s">
        <v>488</v>
      </c>
    </row>
    <row r="18" spans="1:17" ht="14" thickBot="1">
      <c r="A18" s="349">
        <v>160</v>
      </c>
      <c r="B18" s="350" t="s">
        <v>191</v>
      </c>
      <c r="C18" s="351">
        <v>20056</v>
      </c>
      <c r="D18" s="352">
        <v>44.283676649999997</v>
      </c>
      <c r="E18" s="353">
        <v>44.613609599999997</v>
      </c>
      <c r="F18" s="354">
        <v>0.11133425796974</v>
      </c>
      <c r="G18" s="353">
        <v>36.925258309999997</v>
      </c>
      <c r="H18" s="355">
        <v>1841.10781362185</v>
      </c>
      <c r="I18" s="356">
        <v>4.653153587666E-2</v>
      </c>
      <c r="J18" s="355">
        <v>103.05305544475399</v>
      </c>
      <c r="K18" s="357">
        <v>-6.6913277822098198</v>
      </c>
      <c r="L18" s="353">
        <v>10.2424</v>
      </c>
      <c r="M18" s="357">
        <v>510.69006781013098</v>
      </c>
      <c r="N18" s="353">
        <v>5.9208772500000002</v>
      </c>
      <c r="O18" s="357">
        <v>295.21725418827202</v>
      </c>
      <c r="P18" s="358">
        <v>0.13271459769980001</v>
      </c>
      <c r="Q18" s="348" t="s">
        <v>259</v>
      </c>
    </row>
    <row r="19" spans="1:17" ht="14" thickBot="1">
      <c r="A19" s="349">
        <v>178</v>
      </c>
      <c r="B19" s="350" t="s">
        <v>192</v>
      </c>
      <c r="C19" s="351">
        <v>1009</v>
      </c>
      <c r="D19" s="352">
        <v>1.3890256000000001</v>
      </c>
      <c r="E19" s="353">
        <v>1.4750305500000001</v>
      </c>
      <c r="F19" s="354">
        <v>0.21237909510090999</v>
      </c>
      <c r="G19" s="353">
        <v>1.3238617500000001</v>
      </c>
      <c r="H19" s="355">
        <v>1312.05327056491</v>
      </c>
      <c r="I19" s="356">
        <v>5.6749561302669997E-2</v>
      </c>
      <c r="J19" s="355">
        <v>88.1892963330029</v>
      </c>
      <c r="K19" s="357">
        <v>-177.372547076313</v>
      </c>
      <c r="L19" s="353">
        <v>0.4</v>
      </c>
      <c r="M19" s="357">
        <v>396.43211100099097</v>
      </c>
      <c r="N19" s="353">
        <v>0.61959569999999997</v>
      </c>
      <c r="O19" s="357">
        <v>614.06907829534202</v>
      </c>
      <c r="P19" s="358">
        <v>0.42005618120926003</v>
      </c>
      <c r="Q19" s="348" t="s">
        <v>259</v>
      </c>
    </row>
    <row r="20" spans="1:17" ht="14" thickBot="1">
      <c r="A20" s="349">
        <v>182</v>
      </c>
      <c r="B20" s="350" t="s">
        <v>193</v>
      </c>
      <c r="C20" s="351">
        <v>28140</v>
      </c>
      <c r="D20" s="352">
        <v>59.607067180000001</v>
      </c>
      <c r="E20" s="353">
        <v>58.292775949999999</v>
      </c>
      <c r="F20" s="354">
        <v>3.0197761526569999E-2</v>
      </c>
      <c r="G20" s="353">
        <v>54.886656979999998</v>
      </c>
      <c r="H20" s="355">
        <v>1950.4853226723501</v>
      </c>
      <c r="I20" s="356">
        <v>6.0714179652800002E-2</v>
      </c>
      <c r="J20" s="355">
        <v>131.71309097370201</v>
      </c>
      <c r="K20" s="357">
        <v>-51.163211798152098</v>
      </c>
      <c r="L20" s="353">
        <v>14.4</v>
      </c>
      <c r="M20" s="357">
        <v>511.72707889125797</v>
      </c>
      <c r="N20" s="353">
        <v>9.9452777500000007</v>
      </c>
      <c r="O20" s="357">
        <v>353.42138415067501</v>
      </c>
      <c r="P20" s="358">
        <v>0.17060909500227001</v>
      </c>
      <c r="Q20" s="348" t="s">
        <v>259</v>
      </c>
    </row>
    <row r="21" spans="1:17" ht="14" thickBot="1">
      <c r="A21" s="349">
        <v>194</v>
      </c>
      <c r="B21" s="350" t="s">
        <v>194</v>
      </c>
      <c r="C21" s="351">
        <v>14086</v>
      </c>
      <c r="D21" s="352">
        <v>21.750827699999999</v>
      </c>
      <c r="E21" s="353">
        <v>21.607335200000001</v>
      </c>
      <c r="F21" s="354">
        <v>0.25201157287453002</v>
      </c>
      <c r="G21" s="353">
        <v>14.710557850000001</v>
      </c>
      <c r="H21" s="355">
        <v>1044.33890742581</v>
      </c>
      <c r="I21" s="356">
        <v>3.2202099275879997E-2</v>
      </c>
      <c r="J21" s="355">
        <v>47.7200056793979</v>
      </c>
      <c r="K21" s="357">
        <v>62.253945051824502</v>
      </c>
      <c r="L21" s="353">
        <v>2.65</v>
      </c>
      <c r="M21" s="357">
        <v>188.13005821382899</v>
      </c>
      <c r="N21" s="353">
        <v>7.18487937</v>
      </c>
      <c r="O21" s="357">
        <v>510.07236759903401</v>
      </c>
      <c r="P21" s="358">
        <v>0.33252038270780998</v>
      </c>
      <c r="Q21" s="348" t="s">
        <v>259</v>
      </c>
    </row>
    <row r="22" spans="1:17" ht="14" thickBot="1">
      <c r="A22" s="349">
        <v>216</v>
      </c>
      <c r="B22" s="350" t="s">
        <v>195</v>
      </c>
      <c r="C22" s="351">
        <v>745</v>
      </c>
      <c r="D22" s="352">
        <v>1.79406256</v>
      </c>
      <c r="E22" s="353">
        <v>1.7118937999999999</v>
      </c>
      <c r="F22" s="354">
        <v>-3.1776483870210002E-2</v>
      </c>
      <c r="G22" s="353">
        <v>1.5141574499999999</v>
      </c>
      <c r="H22" s="355">
        <v>2032.4261073825501</v>
      </c>
      <c r="I22" s="356">
        <v>8.4905537603719994E-2</v>
      </c>
      <c r="J22" s="355">
        <v>189.15704697986499</v>
      </c>
      <c r="K22" s="357">
        <v>180.284778523489</v>
      </c>
      <c r="L22" s="353">
        <v>0.59</v>
      </c>
      <c r="M22" s="357">
        <v>791.94630872483197</v>
      </c>
      <c r="N22" s="353">
        <v>1.5152749999999999</v>
      </c>
      <c r="O22" s="357">
        <v>2033.92617449664</v>
      </c>
      <c r="P22" s="358">
        <v>0.88514544535413997</v>
      </c>
      <c r="Q22" s="348" t="s">
        <v>259</v>
      </c>
    </row>
    <row r="23" spans="1:17" ht="14" thickBot="1">
      <c r="A23" s="349">
        <v>240</v>
      </c>
      <c r="B23" s="350" t="s">
        <v>196</v>
      </c>
      <c r="C23" s="351">
        <v>295</v>
      </c>
      <c r="D23" s="352">
        <v>0.53922809999999999</v>
      </c>
      <c r="E23" s="353">
        <v>0.53657805000000003</v>
      </c>
      <c r="F23" s="354">
        <v>3.6147967808049998E-2</v>
      </c>
      <c r="G23" s="353">
        <v>0.4481831</v>
      </c>
      <c r="H23" s="355">
        <v>1519.2647457627099</v>
      </c>
      <c r="I23" s="356">
        <v>0.15678865731353001</v>
      </c>
      <c r="J23" s="355">
        <v>291.54949152542298</v>
      </c>
      <c r="K23" s="357">
        <v>-31.614406779661</v>
      </c>
      <c r="L23" s="353">
        <v>0.16</v>
      </c>
      <c r="M23" s="357">
        <v>542.37288135593201</v>
      </c>
      <c r="N23" s="353">
        <v>0.61254383000000001</v>
      </c>
      <c r="O23" s="357">
        <v>2076.4197627118601</v>
      </c>
      <c r="P23" s="358">
        <v>1.1415745202398699</v>
      </c>
      <c r="Q23" s="348" t="s">
        <v>259</v>
      </c>
    </row>
    <row r="24" spans="1:17" ht="14" thickBot="1">
      <c r="A24" s="349">
        <v>246</v>
      </c>
      <c r="B24" s="350" t="s">
        <v>197</v>
      </c>
      <c r="C24" s="351">
        <v>3696</v>
      </c>
      <c r="D24" s="352">
        <v>6.2010003500000002</v>
      </c>
      <c r="E24" s="353">
        <v>6.1836378999999999</v>
      </c>
      <c r="F24" s="354">
        <v>0.19875744725607</v>
      </c>
      <c r="G24" s="353">
        <v>4.3858358500000003</v>
      </c>
      <c r="H24" s="355">
        <v>1186.6438988095199</v>
      </c>
      <c r="I24" s="356">
        <v>5.7051810657160001E-2</v>
      </c>
      <c r="J24" s="355">
        <v>94.604504870129801</v>
      </c>
      <c r="K24" s="357">
        <v>19.538933982683901</v>
      </c>
      <c r="L24" s="353">
        <v>1.425</v>
      </c>
      <c r="M24" s="357">
        <v>385.55194805194799</v>
      </c>
      <c r="N24" s="353">
        <v>2.5594435</v>
      </c>
      <c r="O24" s="357">
        <v>692.49012445887399</v>
      </c>
      <c r="P24" s="358">
        <v>0.41390578513661003</v>
      </c>
      <c r="Q24" s="348" t="s">
        <v>259</v>
      </c>
    </row>
    <row r="25" spans="1:17" ht="14" thickBot="1">
      <c r="A25" s="349">
        <v>261</v>
      </c>
      <c r="B25" s="350" t="s">
        <v>198</v>
      </c>
      <c r="C25" s="351">
        <v>22740</v>
      </c>
      <c r="D25" s="352">
        <v>34.433395599999997</v>
      </c>
      <c r="E25" s="353">
        <v>33.2816671</v>
      </c>
      <c r="F25" s="354">
        <v>0.24037208227003001</v>
      </c>
      <c r="G25" s="353">
        <v>26.322850949999999</v>
      </c>
      <c r="H25" s="355">
        <v>1157.55720976253</v>
      </c>
      <c r="I25" s="356">
        <v>8.2862450207059998E-2</v>
      </c>
      <c r="J25" s="355">
        <v>140.347335092348</v>
      </c>
      <c r="K25" s="357">
        <v>-179.51721416007001</v>
      </c>
      <c r="L25" s="353">
        <v>6.35</v>
      </c>
      <c r="M25" s="357">
        <v>279.24362357080003</v>
      </c>
      <c r="N25" s="353">
        <v>1.7389401</v>
      </c>
      <c r="O25" s="357">
        <v>76.470540897097607</v>
      </c>
      <c r="P25" s="358">
        <v>5.224918856303E-2</v>
      </c>
      <c r="Q25" s="348" t="s">
        <v>488</v>
      </c>
    </row>
    <row r="26" spans="1:17" ht="14" thickBot="1">
      <c r="A26" s="349">
        <v>263</v>
      </c>
      <c r="B26" s="350" t="s">
        <v>199</v>
      </c>
      <c r="C26" s="351">
        <v>32247</v>
      </c>
      <c r="D26" s="352">
        <v>82.89505235</v>
      </c>
      <c r="E26" s="353">
        <v>84.150934599999999</v>
      </c>
      <c r="F26" s="354">
        <v>3.8845162874180002E-2</v>
      </c>
      <c r="G26" s="353">
        <v>73.410000789999998</v>
      </c>
      <c r="H26" s="355">
        <v>2276.4908608552701</v>
      </c>
      <c r="I26" s="356">
        <v>5.6941523346739999E-2</v>
      </c>
      <c r="J26" s="355">
        <v>143.590005271808</v>
      </c>
      <c r="K26" s="357">
        <v>48.918411014978098</v>
      </c>
      <c r="L26" s="353">
        <v>19.367999999999999</v>
      </c>
      <c r="M26" s="357">
        <v>600.61401060563696</v>
      </c>
      <c r="N26" s="353">
        <v>13.93525786</v>
      </c>
      <c r="O26" s="357">
        <v>432.14121809780698</v>
      </c>
      <c r="P26" s="358">
        <v>0.16559837304528</v>
      </c>
      <c r="Q26" s="348" t="s">
        <v>259</v>
      </c>
    </row>
    <row r="27" spans="1:17" ht="14" thickBot="1">
      <c r="A27" s="349">
        <v>290</v>
      </c>
      <c r="B27" s="350" t="s">
        <v>200</v>
      </c>
      <c r="C27" s="351">
        <v>546722</v>
      </c>
      <c r="D27" s="352">
        <v>1084.0231789500001</v>
      </c>
      <c r="E27" s="353">
        <v>1080.9431912499999</v>
      </c>
      <c r="F27" s="354">
        <v>-5.0488702605979999E-2</v>
      </c>
      <c r="G27" s="353">
        <v>1076.9892434599999</v>
      </c>
      <c r="H27" s="355">
        <v>1969.90288201316</v>
      </c>
      <c r="I27" s="356">
        <v>5.7867182104539998E-2</v>
      </c>
      <c r="J27" s="355">
        <v>114.17212418742901</v>
      </c>
      <c r="K27" s="357">
        <v>9.7655298488079705</v>
      </c>
      <c r="L27" s="353">
        <v>295.39704974</v>
      </c>
      <c r="M27" s="357">
        <v>540.30576735525506</v>
      </c>
      <c r="N27" s="353">
        <v>174.79170547000001</v>
      </c>
      <c r="O27" s="357">
        <v>319.70856389536101</v>
      </c>
      <c r="P27" s="358">
        <v>0.16170295246308999</v>
      </c>
      <c r="Q27" s="348" t="s">
        <v>259</v>
      </c>
    </row>
    <row r="28" spans="1:17" ht="14" thickBot="1">
      <c r="A28" s="349">
        <v>294</v>
      </c>
      <c r="B28" s="350" t="s">
        <v>201</v>
      </c>
      <c r="C28" s="351">
        <v>5627</v>
      </c>
      <c r="D28" s="352">
        <v>6.3342892500000003</v>
      </c>
      <c r="E28" s="353">
        <v>6.6709856500000004</v>
      </c>
      <c r="F28" s="354">
        <v>8.6177624427229996E-2</v>
      </c>
      <c r="G28" s="353">
        <v>4.9745597000000004</v>
      </c>
      <c r="H28" s="355">
        <v>884.05183934600996</v>
      </c>
      <c r="I28" s="356">
        <v>5.728975998145E-2</v>
      </c>
      <c r="J28" s="355">
        <v>60.8537053492091</v>
      </c>
      <c r="K28" s="357">
        <v>63.486502576861497</v>
      </c>
      <c r="L28" s="353">
        <v>0.95</v>
      </c>
      <c r="M28" s="357">
        <v>168.82886084947501</v>
      </c>
      <c r="N28" s="353">
        <v>2.3116522700000002</v>
      </c>
      <c r="O28" s="357">
        <v>410.81433623600498</v>
      </c>
      <c r="P28" s="358">
        <v>0.34652334621646003</v>
      </c>
      <c r="Q28" s="348" t="s">
        <v>259</v>
      </c>
    </row>
    <row r="29" spans="1:17" ht="14" thickBot="1">
      <c r="A29" s="349">
        <v>312</v>
      </c>
      <c r="B29" s="350" t="s">
        <v>202</v>
      </c>
      <c r="C29" s="351">
        <v>112509</v>
      </c>
      <c r="D29" s="352">
        <v>216.73051853000001</v>
      </c>
      <c r="E29" s="353">
        <v>223.46985119999999</v>
      </c>
      <c r="F29" s="354">
        <v>-1.8958682089940001E-2</v>
      </c>
      <c r="G29" s="353">
        <v>204.6084578</v>
      </c>
      <c r="H29" s="355">
        <v>1818.5963594023499</v>
      </c>
      <c r="I29" s="356">
        <v>4.7448038917260002E-2</v>
      </c>
      <c r="J29" s="355">
        <v>88.9915731185949</v>
      </c>
      <c r="K29" s="357">
        <v>50.780882062768299</v>
      </c>
      <c r="L29" s="353">
        <v>65.376000000000005</v>
      </c>
      <c r="M29" s="357">
        <v>581.07351411886998</v>
      </c>
      <c r="N29" s="353">
        <v>45.083729900000002</v>
      </c>
      <c r="O29" s="357">
        <v>400.71220880107302</v>
      </c>
      <c r="P29" s="358">
        <v>0.2017441263683</v>
      </c>
      <c r="Q29" s="348" t="s">
        <v>259</v>
      </c>
    </row>
    <row r="30" spans="1:17" ht="14" thickBot="1">
      <c r="A30" s="349">
        <v>343</v>
      </c>
      <c r="B30" s="350" t="s">
        <v>203</v>
      </c>
      <c r="C30" s="351">
        <v>80178</v>
      </c>
      <c r="D30" s="352">
        <v>180.38869023000001</v>
      </c>
      <c r="E30" s="353">
        <v>182.46369039999999</v>
      </c>
      <c r="F30" s="354">
        <v>3.3973756681669999E-2</v>
      </c>
      <c r="G30" s="353">
        <v>159.81725600999999</v>
      </c>
      <c r="H30" s="355">
        <v>1993.2806506772399</v>
      </c>
      <c r="I30" s="356">
        <v>7.1925274096650005E-2</v>
      </c>
      <c r="J30" s="355">
        <v>164.896912494699</v>
      </c>
      <c r="K30" s="357">
        <v>-42.7616023098605</v>
      </c>
      <c r="L30" s="353">
        <v>42.525500000000001</v>
      </c>
      <c r="M30" s="357">
        <v>530.38863528648699</v>
      </c>
      <c r="N30" s="353">
        <v>19.178342090000001</v>
      </c>
      <c r="O30" s="357">
        <v>239.19706266058</v>
      </c>
      <c r="P30" s="358">
        <v>0.10510771785858</v>
      </c>
      <c r="Q30" s="348" t="s">
        <v>259</v>
      </c>
    </row>
    <row r="31" spans="1:17" ht="14" thickBot="1">
      <c r="A31" s="349">
        <v>354</v>
      </c>
      <c r="B31" s="350" t="s">
        <v>204</v>
      </c>
      <c r="C31" s="351">
        <v>22098</v>
      </c>
      <c r="D31" s="352">
        <v>45.923017629999997</v>
      </c>
      <c r="E31" s="353">
        <v>47.566752350000002</v>
      </c>
      <c r="F31" s="354">
        <v>3.1335397460020002E-2</v>
      </c>
      <c r="G31" s="353">
        <v>43.72467649</v>
      </c>
      <c r="H31" s="355">
        <v>1978.6712141370199</v>
      </c>
      <c r="I31" s="356">
        <v>0.11320219158644999</v>
      </c>
      <c r="J31" s="355">
        <v>198.363947868585</v>
      </c>
      <c r="K31" s="357">
        <v>325.85489682324101</v>
      </c>
      <c r="L31" s="353">
        <v>4.0948096500000002</v>
      </c>
      <c r="M31" s="357">
        <v>185.302273961444</v>
      </c>
      <c r="N31" s="353">
        <v>-10.660826370000001</v>
      </c>
      <c r="O31" s="357">
        <v>-482.43399266901901</v>
      </c>
      <c r="P31" s="358">
        <v>-0.22412348632835999</v>
      </c>
      <c r="Q31" s="348" t="s">
        <v>259</v>
      </c>
    </row>
    <row r="32" spans="1:17" ht="14" thickBot="1">
      <c r="A32" s="349">
        <v>360</v>
      </c>
      <c r="B32" s="350" t="s">
        <v>205</v>
      </c>
      <c r="C32" s="351">
        <v>15258</v>
      </c>
      <c r="D32" s="352">
        <v>22.152875349999999</v>
      </c>
      <c r="E32" s="353">
        <v>21.604125400000001</v>
      </c>
      <c r="F32" s="354">
        <v>0.19698210417636999</v>
      </c>
      <c r="G32" s="353">
        <v>15.54903073</v>
      </c>
      <c r="H32" s="355">
        <v>1019.0739762747399</v>
      </c>
      <c r="I32" s="356">
        <v>3.2205038908729999E-2</v>
      </c>
      <c r="J32" s="355">
        <v>45.339588412635997</v>
      </c>
      <c r="K32" s="357">
        <v>44.044476995674302</v>
      </c>
      <c r="L32" s="353">
        <v>4.0510950499999998</v>
      </c>
      <c r="M32" s="357">
        <v>265.50629505833001</v>
      </c>
      <c r="N32" s="353">
        <v>6.9168799999999999</v>
      </c>
      <c r="O32" s="357">
        <v>453.32809018219899</v>
      </c>
      <c r="P32" s="358">
        <v>0.32016477741791999</v>
      </c>
      <c r="Q32" s="348" t="s">
        <v>259</v>
      </c>
    </row>
    <row r="33" spans="1:17" ht="14" thickBot="1">
      <c r="A33" s="349">
        <v>376</v>
      </c>
      <c r="B33" s="350" t="s">
        <v>206</v>
      </c>
      <c r="C33" s="351">
        <v>336800</v>
      </c>
      <c r="D33" s="352">
        <v>662.85458839</v>
      </c>
      <c r="E33" s="353">
        <v>687.38521270000001</v>
      </c>
      <c r="F33" s="354">
        <v>7.6396694368510001E-2</v>
      </c>
      <c r="G33" s="353">
        <v>595.80166991999999</v>
      </c>
      <c r="H33" s="355">
        <v>1769.0073334916799</v>
      </c>
      <c r="I33" s="356">
        <v>7.4780999694449998E-2</v>
      </c>
      <c r="J33" s="355">
        <v>154.28978274940599</v>
      </c>
      <c r="K33" s="357">
        <v>-95.1261479216152</v>
      </c>
      <c r="L33" s="353">
        <v>166.80447000000001</v>
      </c>
      <c r="M33" s="357">
        <v>495.26267814726799</v>
      </c>
      <c r="N33" s="353">
        <v>103.27716707</v>
      </c>
      <c r="O33" s="357">
        <v>306.64242004156699</v>
      </c>
      <c r="P33" s="358">
        <v>0.15024641956484999</v>
      </c>
      <c r="Q33" s="348" t="s">
        <v>488</v>
      </c>
    </row>
    <row r="34" spans="1:17" ht="14" thickBot="1">
      <c r="A34" s="349">
        <v>411</v>
      </c>
      <c r="B34" s="350" t="s">
        <v>207</v>
      </c>
      <c r="C34" s="351">
        <v>42617</v>
      </c>
      <c r="D34" s="352">
        <v>66.477689580000003</v>
      </c>
      <c r="E34" s="353">
        <v>62.486691100000002</v>
      </c>
      <c r="F34" s="354">
        <v>0.15310832949077</v>
      </c>
      <c r="G34" s="353">
        <v>54.058147839999997</v>
      </c>
      <c r="H34" s="355">
        <v>1268.46441185442</v>
      </c>
      <c r="I34" s="356">
        <v>5.5695764879250001E-2</v>
      </c>
      <c r="J34" s="355">
        <v>90.5029889480723</v>
      </c>
      <c r="K34" s="357">
        <v>-65.066142384494398</v>
      </c>
      <c r="L34" s="353">
        <v>17.075328949999999</v>
      </c>
      <c r="M34" s="357">
        <v>400.66942651993298</v>
      </c>
      <c r="N34" s="353">
        <v>4.8052045999999997</v>
      </c>
      <c r="O34" s="357">
        <v>112.75323462468</v>
      </c>
      <c r="P34" s="358">
        <v>7.6899648795770006E-2</v>
      </c>
      <c r="Q34" s="348" t="s">
        <v>488</v>
      </c>
    </row>
    <row r="35" spans="1:17" ht="14" thickBot="1">
      <c r="A35" s="349">
        <v>445</v>
      </c>
      <c r="B35" s="350" t="s">
        <v>208</v>
      </c>
      <c r="C35" s="351">
        <v>51632</v>
      </c>
      <c r="D35" s="352">
        <v>116.39347770000001</v>
      </c>
      <c r="E35" s="353">
        <v>116.5627089</v>
      </c>
      <c r="F35" s="354">
        <v>0.17466440046064</v>
      </c>
      <c r="G35" s="353">
        <v>92.801649549999993</v>
      </c>
      <c r="H35" s="355">
        <v>1797.3669342655701</v>
      </c>
      <c r="I35" s="356">
        <v>5.7019200336789998E-2</v>
      </c>
      <c r="J35" s="355">
        <v>132.082399093585</v>
      </c>
      <c r="K35" s="357">
        <v>-62.165235319181903</v>
      </c>
      <c r="L35" s="353">
        <v>25.782699999999998</v>
      </c>
      <c r="M35" s="357">
        <v>499.35505113108098</v>
      </c>
      <c r="N35" s="353">
        <v>11.47246694</v>
      </c>
      <c r="O35" s="357">
        <v>222.19683413387</v>
      </c>
      <c r="P35" s="358">
        <v>9.8423132477490002E-2</v>
      </c>
      <c r="Q35" s="348" t="s">
        <v>259</v>
      </c>
    </row>
    <row r="36" spans="1:17" ht="14" thickBot="1">
      <c r="A36" s="349">
        <v>455</v>
      </c>
      <c r="B36" s="350" t="s">
        <v>209</v>
      </c>
      <c r="C36" s="351">
        <v>92152</v>
      </c>
      <c r="D36" s="352">
        <v>160.63126703</v>
      </c>
      <c r="E36" s="353">
        <v>153.63930495</v>
      </c>
      <c r="F36" s="354">
        <v>1.3047684854579999E-2</v>
      </c>
      <c r="G36" s="353">
        <v>146.87699327000001</v>
      </c>
      <c r="H36" s="355">
        <v>1593.8557304236399</v>
      </c>
      <c r="I36" s="356">
        <v>8.0420102079870007E-2</v>
      </c>
      <c r="J36" s="355">
        <v>144.560840242208</v>
      </c>
      <c r="K36" s="357">
        <v>-54.458853199062403</v>
      </c>
      <c r="L36" s="353">
        <v>37.654157599999998</v>
      </c>
      <c r="M36" s="357">
        <v>408.60922823161701</v>
      </c>
      <c r="N36" s="353">
        <v>18.48516549</v>
      </c>
      <c r="O36" s="357">
        <v>200.594295186214</v>
      </c>
      <c r="P36" s="358">
        <v>0.12031534180668001</v>
      </c>
      <c r="Q36" s="348" t="s">
        <v>488</v>
      </c>
    </row>
    <row r="37" spans="1:17" ht="14" thickBot="1">
      <c r="A37" s="349">
        <v>484</v>
      </c>
      <c r="B37" s="350" t="s">
        <v>210</v>
      </c>
      <c r="C37" s="351">
        <v>49389</v>
      </c>
      <c r="D37" s="352">
        <v>75.619178039999994</v>
      </c>
      <c r="E37" s="353">
        <v>80.733755149999993</v>
      </c>
      <c r="F37" s="354">
        <v>0.11004068036283</v>
      </c>
      <c r="G37" s="353">
        <v>68.860820590000003</v>
      </c>
      <c r="H37" s="355">
        <v>1394.2541981007901</v>
      </c>
      <c r="I37" s="356">
        <v>0.10534280529538</v>
      </c>
      <c r="J37" s="355">
        <v>183.07178278564001</v>
      </c>
      <c r="K37" s="357">
        <v>-206.77345522282201</v>
      </c>
      <c r="L37" s="353">
        <v>20</v>
      </c>
      <c r="M37" s="357">
        <v>404.948470307153</v>
      </c>
      <c r="N37" s="353">
        <v>2.0153132299999998</v>
      </c>
      <c r="O37" s="357">
        <v>40.8049004839134</v>
      </c>
      <c r="P37" s="358">
        <v>2.4962461194270001E-2</v>
      </c>
      <c r="Q37" s="348" t="s">
        <v>488</v>
      </c>
    </row>
    <row r="38" spans="1:17" ht="14" thickBot="1">
      <c r="A38" s="349">
        <v>509</v>
      </c>
      <c r="B38" s="350" t="s">
        <v>211</v>
      </c>
      <c r="C38" s="351">
        <v>131958</v>
      </c>
      <c r="D38" s="352">
        <v>357.16698351999997</v>
      </c>
      <c r="E38" s="353">
        <v>325.49736769999998</v>
      </c>
      <c r="F38" s="354">
        <v>-1.628451471823E-2</v>
      </c>
      <c r="G38" s="353">
        <v>353.44213788000002</v>
      </c>
      <c r="H38" s="355">
        <v>2678.4441858773198</v>
      </c>
      <c r="I38" s="356">
        <v>5.65565893889E-2</v>
      </c>
      <c r="J38" s="355">
        <v>160.46421232513299</v>
      </c>
      <c r="K38" s="357">
        <v>-130.56113786204699</v>
      </c>
      <c r="L38" s="353">
        <v>108.15627517</v>
      </c>
      <c r="M38" s="357">
        <v>819.62651123842397</v>
      </c>
      <c r="N38" s="353">
        <v>52.453100900000003</v>
      </c>
      <c r="O38" s="357">
        <v>397.49845329574498</v>
      </c>
      <c r="P38" s="358">
        <v>0.16114754251513</v>
      </c>
      <c r="Q38" s="348" t="s">
        <v>259</v>
      </c>
    </row>
    <row r="39" spans="1:17" ht="14" thickBot="1">
      <c r="A39" s="349">
        <v>556</v>
      </c>
      <c r="B39" s="350" t="s">
        <v>212</v>
      </c>
      <c r="C39" s="351">
        <v>2486</v>
      </c>
      <c r="D39" s="352">
        <v>4.5353320999999998</v>
      </c>
      <c r="E39" s="353">
        <v>4.4824870499999996</v>
      </c>
      <c r="F39" s="354">
        <v>8.9772918724070006E-2</v>
      </c>
      <c r="G39" s="353">
        <v>3.7382610500000002</v>
      </c>
      <c r="H39" s="355">
        <v>1503.72528157683</v>
      </c>
      <c r="I39" s="356">
        <v>2.754484732757E-2</v>
      </c>
      <c r="J39" s="355">
        <v>50.650249396621</v>
      </c>
      <c r="K39" s="357">
        <v>-14.4792719227675</v>
      </c>
      <c r="L39" s="353">
        <v>1.18</v>
      </c>
      <c r="M39" s="357">
        <v>474.65808527755399</v>
      </c>
      <c r="N39" s="353">
        <v>2.06066292</v>
      </c>
      <c r="O39" s="357">
        <v>828.90704746580798</v>
      </c>
      <c r="P39" s="358">
        <v>0.45971419370860001</v>
      </c>
      <c r="Q39" s="348" t="s">
        <v>259</v>
      </c>
    </row>
    <row r="40" spans="1:17" ht="14" thickBot="1">
      <c r="A40" s="349">
        <v>558</v>
      </c>
      <c r="B40" s="350" t="s">
        <v>213</v>
      </c>
      <c r="C40" s="351">
        <v>1685</v>
      </c>
      <c r="D40" s="352">
        <v>2.5308592600000002</v>
      </c>
      <c r="E40" s="353">
        <v>2.4599795000000002</v>
      </c>
      <c r="F40" s="354">
        <v>0.19821252328349001</v>
      </c>
      <c r="G40" s="353">
        <v>1.6033923999999999</v>
      </c>
      <c r="H40" s="355">
        <v>951.56818991097896</v>
      </c>
      <c r="I40" s="356">
        <v>9.8864114794429997E-2</v>
      </c>
      <c r="J40" s="355">
        <v>138.83005934718099</v>
      </c>
      <c r="K40" s="357">
        <v>97.742350148367905</v>
      </c>
      <c r="L40" s="353">
        <v>0.48499999999999999</v>
      </c>
      <c r="M40" s="357">
        <v>287.833827893175</v>
      </c>
      <c r="N40" s="353">
        <v>1.1338757399999999</v>
      </c>
      <c r="O40" s="357">
        <v>672.92328783382698</v>
      </c>
      <c r="P40" s="358">
        <v>0.46092893863545997</v>
      </c>
      <c r="Q40" s="348" t="s">
        <v>488</v>
      </c>
    </row>
    <row r="41" spans="1:17" ht="14" thickBot="1">
      <c r="A41" s="349">
        <v>591</v>
      </c>
      <c r="B41" s="350" t="s">
        <v>214</v>
      </c>
      <c r="C41" s="351">
        <v>8011</v>
      </c>
      <c r="D41" s="352">
        <v>11.206112149999999</v>
      </c>
      <c r="E41" s="353">
        <v>10.937863</v>
      </c>
      <c r="F41" s="354">
        <v>8.1191495125270005E-2</v>
      </c>
      <c r="G41" s="353">
        <v>11.010555780000001</v>
      </c>
      <c r="H41" s="355">
        <v>1374.4296317563301</v>
      </c>
      <c r="I41" s="356">
        <v>3.6046048754539997E-2</v>
      </c>
      <c r="J41" s="355">
        <v>56.194668580701503</v>
      </c>
      <c r="K41" s="357">
        <v>-160.12827612033399</v>
      </c>
      <c r="L41" s="353">
        <v>3.44</v>
      </c>
      <c r="M41" s="357">
        <v>429.40956185245301</v>
      </c>
      <c r="N41" s="353">
        <v>2.32964897</v>
      </c>
      <c r="O41" s="357">
        <v>290.80626263887098</v>
      </c>
      <c r="P41" s="358">
        <v>0.21298940844294001</v>
      </c>
      <c r="Q41" s="348" t="s">
        <v>259</v>
      </c>
    </row>
    <row r="42" spans="1:17" ht="14" thickBot="1">
      <c r="A42" s="349">
        <v>623</v>
      </c>
      <c r="B42" s="350" t="s">
        <v>215</v>
      </c>
      <c r="C42" s="351">
        <v>824</v>
      </c>
      <c r="D42" s="352">
        <v>0.99043789999999998</v>
      </c>
      <c r="E42" s="353">
        <v>0.90847675000000006</v>
      </c>
      <c r="F42" s="354">
        <v>9.0017758811529999E-2</v>
      </c>
      <c r="G42" s="353">
        <v>0.95059844999999998</v>
      </c>
      <c r="H42" s="355">
        <v>1153.63889563106</v>
      </c>
      <c r="I42" s="356">
        <v>5.3354314739539999E-2</v>
      </c>
      <c r="J42" s="355">
        <v>67.033859223300894</v>
      </c>
      <c r="K42" s="357">
        <v>-54.4028519417475</v>
      </c>
      <c r="L42" s="353">
        <v>0.246</v>
      </c>
      <c r="M42" s="357">
        <v>298.54368932038801</v>
      </c>
      <c r="N42" s="353">
        <v>0.75402239999999998</v>
      </c>
      <c r="O42" s="357">
        <v>915.07572815534002</v>
      </c>
      <c r="P42" s="358">
        <v>0.82998535735779</v>
      </c>
      <c r="Q42" s="348" t="s">
        <v>259</v>
      </c>
    </row>
    <row r="43" spans="1:17" ht="14" thickBot="1">
      <c r="A43" s="349">
        <v>627</v>
      </c>
      <c r="B43" s="350" t="s">
        <v>216</v>
      </c>
      <c r="C43" s="351">
        <v>2568</v>
      </c>
      <c r="D43" s="352">
        <v>2.8113215999999901</v>
      </c>
      <c r="E43" s="353">
        <v>2.8221101000000002</v>
      </c>
      <c r="F43" s="354">
        <v>0.12742014289649001</v>
      </c>
      <c r="G43" s="353">
        <v>2.9290664500000001</v>
      </c>
      <c r="H43" s="355">
        <v>1140.6022001557601</v>
      </c>
      <c r="I43" s="356">
        <v>5.5513767749139999E-2</v>
      </c>
      <c r="J43" s="355">
        <v>76.329723520249203</v>
      </c>
      <c r="K43" s="357">
        <v>-280.21784657320802</v>
      </c>
      <c r="L43" s="353">
        <v>0.9</v>
      </c>
      <c r="M43" s="357">
        <v>350.46728971962602</v>
      </c>
      <c r="N43" s="353">
        <v>2.5043968099999998</v>
      </c>
      <c r="O43" s="357">
        <v>975.23240264797505</v>
      </c>
      <c r="P43" s="358">
        <v>0.88741995218400005</v>
      </c>
      <c r="Q43" s="348" t="s">
        <v>488</v>
      </c>
    </row>
    <row r="44" spans="1:17" ht="14" thickBot="1">
      <c r="A44" s="349">
        <v>743</v>
      </c>
      <c r="B44" s="350" t="s">
        <v>217</v>
      </c>
      <c r="C44" s="351">
        <v>295</v>
      </c>
      <c r="D44" s="352">
        <v>0.45547694999999999</v>
      </c>
      <c r="E44" s="353">
        <v>0.40246399999999999</v>
      </c>
      <c r="F44" s="354">
        <v>-5.9588745379979997E-2</v>
      </c>
      <c r="G44" s="353">
        <v>0.53922535000000005</v>
      </c>
      <c r="H44" s="355">
        <v>1827.8825423728799</v>
      </c>
      <c r="I44" s="356">
        <v>3.7097322668389998E-2</v>
      </c>
      <c r="J44" s="355">
        <v>66.897627118643996</v>
      </c>
      <c r="K44" s="357">
        <v>-259.31101694915202</v>
      </c>
      <c r="L44" s="353">
        <v>0.2485</v>
      </c>
      <c r="M44" s="357">
        <v>842.37288135593201</v>
      </c>
      <c r="N44" s="353">
        <v>0.48679536000000001</v>
      </c>
      <c r="O44" s="357">
        <v>1650.1537627118601</v>
      </c>
      <c r="P44" s="358">
        <v>1.20953764808777</v>
      </c>
      <c r="Q44" s="348" t="s">
        <v>488</v>
      </c>
    </row>
    <row r="45" spans="1:17" ht="14" thickBot="1">
      <c r="A45" s="349">
        <v>749</v>
      </c>
      <c r="B45" s="350" t="s">
        <v>218</v>
      </c>
      <c r="C45" s="351">
        <v>66942</v>
      </c>
      <c r="D45" s="352">
        <v>172.58104865999999</v>
      </c>
      <c r="E45" s="353">
        <v>171.72315180000001</v>
      </c>
      <c r="F45" s="354">
        <v>0.14282599672088001</v>
      </c>
      <c r="G45" s="353">
        <v>145.18018168</v>
      </c>
      <c r="H45" s="355">
        <v>2168.7458050252399</v>
      </c>
      <c r="I45" s="356">
        <v>5.5237521500519998E-2</v>
      </c>
      <c r="J45" s="355">
        <v>142.75839099518899</v>
      </c>
      <c r="K45" s="357">
        <v>-6.3776832183083902</v>
      </c>
      <c r="L45" s="353">
        <v>39.951300000000003</v>
      </c>
      <c r="M45" s="357">
        <v>596.80469660302902</v>
      </c>
      <c r="N45" s="353">
        <v>20.49333992</v>
      </c>
      <c r="O45" s="357">
        <v>306.135758118968</v>
      </c>
      <c r="P45" s="358">
        <v>0.11933941175193</v>
      </c>
      <c r="Q45" s="348" t="s">
        <v>259</v>
      </c>
    </row>
    <row r="46" spans="1:17" ht="14" thickBot="1">
      <c r="A46" s="349">
        <v>758</v>
      </c>
      <c r="B46" s="350" t="s">
        <v>219</v>
      </c>
      <c r="C46" s="351">
        <v>1541</v>
      </c>
      <c r="D46" s="352">
        <v>1.95020357</v>
      </c>
      <c r="E46" s="353">
        <v>1.9647222</v>
      </c>
      <c r="F46" s="354">
        <v>1.197175021067E-2</v>
      </c>
      <c r="G46" s="353">
        <v>2.0074236000000001</v>
      </c>
      <c r="H46" s="355">
        <v>1302.6759247242001</v>
      </c>
      <c r="I46" s="356">
        <v>6.9847514835439994E-2</v>
      </c>
      <c r="J46" s="355">
        <v>99.0005775470473</v>
      </c>
      <c r="K46" s="357">
        <v>-151.837358857884</v>
      </c>
      <c r="L46" s="353">
        <v>0.6</v>
      </c>
      <c r="M46" s="357">
        <v>389.35756002595701</v>
      </c>
      <c r="N46" s="353">
        <v>1.5486312900000001</v>
      </c>
      <c r="O46" s="357">
        <v>1004.95216742375</v>
      </c>
      <c r="P46" s="358">
        <v>0.78821896042095996</v>
      </c>
      <c r="Q46" s="348" t="s">
        <v>488</v>
      </c>
    </row>
    <row r="47" spans="1:17" ht="14" thickBot="1">
      <c r="A47" s="349">
        <v>762</v>
      </c>
      <c r="B47" s="350" t="s">
        <v>220</v>
      </c>
      <c r="C47" s="351">
        <v>30250</v>
      </c>
      <c r="D47" s="352">
        <v>52.725014450000003</v>
      </c>
      <c r="E47" s="353">
        <v>53.455802200000001</v>
      </c>
      <c r="F47" s="354">
        <v>0.11301449723927</v>
      </c>
      <c r="G47" s="353">
        <v>41.704369249999999</v>
      </c>
      <c r="H47" s="355">
        <v>1378.65683471074</v>
      </c>
      <c r="I47" s="356">
        <v>8.094639909055E-2</v>
      </c>
      <c r="J47" s="355">
        <v>144.17684099173499</v>
      </c>
      <c r="K47" s="357">
        <v>-38.1639659504132</v>
      </c>
      <c r="L47" s="353">
        <v>13.6</v>
      </c>
      <c r="M47" s="357">
        <v>449.58677685950403</v>
      </c>
      <c r="N47" s="353">
        <v>6.7768663199999999</v>
      </c>
      <c r="O47" s="357">
        <v>224.02863867768599</v>
      </c>
      <c r="P47" s="358">
        <v>0.12677513087625</v>
      </c>
      <c r="Q47" s="348" t="s">
        <v>259</v>
      </c>
    </row>
    <row r="48" spans="1:17" ht="14" thickBot="1">
      <c r="A48" s="349">
        <v>774</v>
      </c>
      <c r="B48" s="350" t="s">
        <v>221</v>
      </c>
      <c r="C48" s="351">
        <v>1189</v>
      </c>
      <c r="D48" s="352">
        <v>2.5320291500000001</v>
      </c>
      <c r="E48" s="353">
        <v>2.4847560999999998</v>
      </c>
      <c r="F48" s="354">
        <v>-0.16025526404384999</v>
      </c>
      <c r="G48" s="353">
        <v>2.8915587999999999</v>
      </c>
      <c r="H48" s="355">
        <v>2431.9249789739201</v>
      </c>
      <c r="I48" s="356">
        <v>7.7778694058310005E-2</v>
      </c>
      <c r="J48" s="355">
        <v>183.16047098402001</v>
      </c>
      <c r="K48" s="357">
        <v>-225.34747687132</v>
      </c>
      <c r="L48" s="353">
        <v>0.83</v>
      </c>
      <c r="M48" s="357">
        <v>698.06560134566803</v>
      </c>
      <c r="N48" s="353">
        <v>2.0218126299999999</v>
      </c>
      <c r="O48" s="357">
        <v>1700.4311438183299</v>
      </c>
      <c r="P48" s="358">
        <v>0.81368655458779005</v>
      </c>
      <c r="Q48" s="348" t="s">
        <v>259</v>
      </c>
    </row>
    <row r="49" spans="1:17" ht="14" thickBot="1">
      <c r="A49" s="349">
        <v>780</v>
      </c>
      <c r="B49" s="350" t="s">
        <v>222</v>
      </c>
      <c r="C49" s="351">
        <v>2703</v>
      </c>
      <c r="D49" s="352">
        <v>3.5588997</v>
      </c>
      <c r="E49" s="353">
        <v>3.5125093999999999</v>
      </c>
      <c r="F49" s="354">
        <v>0.16803673899548</v>
      </c>
      <c r="G49" s="353">
        <v>2.9020704500000001</v>
      </c>
      <c r="H49" s="355">
        <v>1073.6479652238199</v>
      </c>
      <c r="I49" s="356">
        <v>1.467254808249E-2</v>
      </c>
      <c r="J49" s="355">
        <v>19.167554568997399</v>
      </c>
      <c r="K49" s="357">
        <v>10.293192748797599</v>
      </c>
      <c r="L49" s="353">
        <v>0.55000000000000004</v>
      </c>
      <c r="M49" s="357">
        <v>203.477617462079</v>
      </c>
      <c r="N49" s="353">
        <v>1.2605172499999999</v>
      </c>
      <c r="O49" s="357">
        <v>466.34008509064</v>
      </c>
      <c r="P49" s="358">
        <v>0.35886516061707002</v>
      </c>
      <c r="Q49" s="348" t="s">
        <v>488</v>
      </c>
    </row>
    <row r="50" spans="1:17" ht="14" thickBot="1">
      <c r="A50" s="349">
        <v>790</v>
      </c>
      <c r="B50" s="350" t="s">
        <v>223</v>
      </c>
      <c r="C50" s="351">
        <v>1651</v>
      </c>
      <c r="D50" s="352">
        <v>2.1951730899999999</v>
      </c>
      <c r="E50" s="353">
        <v>2.3216831999999998</v>
      </c>
      <c r="F50" s="354">
        <v>-1.941441437768E-2</v>
      </c>
      <c r="G50" s="353">
        <v>2.5075699999999999</v>
      </c>
      <c r="H50" s="355">
        <v>1518.8188976377901</v>
      </c>
      <c r="I50" s="356">
        <v>5.8999224813550001E-2</v>
      </c>
      <c r="J50" s="355">
        <v>92.974179285281593</v>
      </c>
      <c r="K50" s="357">
        <v>-246.252138098122</v>
      </c>
      <c r="L50" s="353">
        <v>0.66</v>
      </c>
      <c r="M50" s="357">
        <v>399.757722592368</v>
      </c>
      <c r="N50" s="353">
        <v>0.82207659</v>
      </c>
      <c r="O50" s="357">
        <v>497.92646274984799</v>
      </c>
      <c r="P50" s="358">
        <v>0.35408646192554999</v>
      </c>
      <c r="Q50" s="348" t="s">
        <v>259</v>
      </c>
    </row>
    <row r="51" spans="1:17" ht="14" thickBot="1">
      <c r="A51" s="349">
        <v>820</v>
      </c>
      <c r="B51" s="350" t="s">
        <v>224</v>
      </c>
      <c r="C51" s="351">
        <v>3706</v>
      </c>
      <c r="D51" s="352">
        <v>4.8234950300000001</v>
      </c>
      <c r="E51" s="353">
        <v>4.7218730000000004</v>
      </c>
      <c r="F51" s="354">
        <v>7.5182621262069996E-2</v>
      </c>
      <c r="G51" s="353">
        <v>4.4730422000000001</v>
      </c>
      <c r="H51" s="355">
        <v>1206.97307069616</v>
      </c>
      <c r="I51" s="356">
        <v>5.0421832583619999E-2</v>
      </c>
      <c r="J51" s="355">
        <v>68.019929843496996</v>
      </c>
      <c r="K51" s="357">
        <v>-47.480701565029598</v>
      </c>
      <c r="L51" s="353">
        <v>0.34</v>
      </c>
      <c r="M51" s="357">
        <v>91.743119266055004</v>
      </c>
      <c r="N51" s="353">
        <v>0.84510626</v>
      </c>
      <c r="O51" s="357">
        <v>228.03730706961599</v>
      </c>
      <c r="P51" s="358">
        <v>0.17897691445746</v>
      </c>
      <c r="Q51" s="348" t="s">
        <v>259</v>
      </c>
    </row>
    <row r="52" spans="1:17" ht="14" thickBot="1">
      <c r="A52" s="349">
        <v>829</v>
      </c>
      <c r="B52" s="350" t="s">
        <v>225</v>
      </c>
      <c r="C52" s="351">
        <v>11738</v>
      </c>
      <c r="D52" s="352">
        <v>19.651202999999999</v>
      </c>
      <c r="E52" s="353">
        <v>19.637847099999998</v>
      </c>
      <c r="F52" s="354">
        <v>4.273299705875E-2</v>
      </c>
      <c r="G52" s="353">
        <v>18.450128200000002</v>
      </c>
      <c r="H52" s="355">
        <v>1571.8289487135801</v>
      </c>
      <c r="I52" s="356">
        <v>6.2148640595019997E-2</v>
      </c>
      <c r="J52" s="355">
        <v>112.743646277048</v>
      </c>
      <c r="K52" s="357">
        <v>-139.94415828931599</v>
      </c>
      <c r="L52" s="353">
        <v>5.16</v>
      </c>
      <c r="M52" s="357">
        <v>439.59788720395301</v>
      </c>
      <c r="N52" s="353">
        <v>3.35</v>
      </c>
      <c r="O52" s="357">
        <v>285.397853126597</v>
      </c>
      <c r="P52" s="358">
        <v>0.17058896440842</v>
      </c>
      <c r="Q52" s="348" t="s">
        <v>488</v>
      </c>
    </row>
    <row r="53" spans="1:17" ht="14" thickBot="1">
      <c r="A53" s="349">
        <v>881</v>
      </c>
      <c r="B53" s="350" t="s">
        <v>226</v>
      </c>
      <c r="C53" s="351">
        <v>123131</v>
      </c>
      <c r="D53" s="352">
        <v>218.80144751</v>
      </c>
      <c r="E53" s="353">
        <v>218.79349808000001</v>
      </c>
      <c r="F53" s="354">
        <v>8.7862304060490004E-2</v>
      </c>
      <c r="G53" s="353">
        <v>182.4234788</v>
      </c>
      <c r="H53" s="355">
        <v>1481.53981369435</v>
      </c>
      <c r="I53" s="356">
        <v>6.9635166636509996E-2</v>
      </c>
      <c r="J53" s="355">
        <v>126.385083204067</v>
      </c>
      <c r="K53" s="357">
        <v>-37.979591167130899</v>
      </c>
      <c r="L53" s="353">
        <v>56.3538383</v>
      </c>
      <c r="M53" s="357">
        <v>457.67384574152697</v>
      </c>
      <c r="N53" s="353">
        <v>49.010680469999997</v>
      </c>
      <c r="O53" s="357">
        <v>398.036891359609</v>
      </c>
      <c r="P53" s="358">
        <v>0.22400428212029999</v>
      </c>
      <c r="Q53" s="348" t="s">
        <v>259</v>
      </c>
    </row>
    <row r="54" spans="1:17" ht="14" thickBot="1">
      <c r="A54" s="349">
        <v>895</v>
      </c>
      <c r="B54" s="350" t="s">
        <v>227</v>
      </c>
      <c r="C54" s="351">
        <v>639</v>
      </c>
      <c r="D54" s="352">
        <v>0.89684005</v>
      </c>
      <c r="E54" s="353">
        <v>0.82758129999999996</v>
      </c>
      <c r="F54" s="354">
        <v>0.10882319539587</v>
      </c>
      <c r="G54" s="353">
        <v>0.74246380000000001</v>
      </c>
      <c r="H54" s="355">
        <v>1161.9151799686999</v>
      </c>
      <c r="I54" s="356">
        <v>5.2036281813719998E-2</v>
      </c>
      <c r="J54" s="355">
        <v>72.164632237871601</v>
      </c>
      <c r="K54" s="357">
        <v>16.691784037558602</v>
      </c>
      <c r="L54" s="353">
        <v>0.4</v>
      </c>
      <c r="M54" s="357">
        <v>625.97809076682302</v>
      </c>
      <c r="N54" s="353">
        <v>1.16474166</v>
      </c>
      <c r="O54" s="357">
        <v>1822.7569014084499</v>
      </c>
      <c r="P54" s="358">
        <v>1.4074045172359499</v>
      </c>
      <c r="Q54" s="348" t="s">
        <v>488</v>
      </c>
    </row>
    <row r="55" spans="1:17" ht="14" thickBot="1">
      <c r="A55" s="359">
        <v>901</v>
      </c>
      <c r="B55" s="360" t="s">
        <v>228</v>
      </c>
      <c r="C55" s="361">
        <v>2768</v>
      </c>
      <c r="D55" s="362">
        <v>3.3491356200000002</v>
      </c>
      <c r="E55" s="363">
        <v>3.4222561499999999</v>
      </c>
      <c r="F55" s="364">
        <v>6.0044313762360003E-2</v>
      </c>
      <c r="G55" s="363">
        <v>3.1774885500000001</v>
      </c>
      <c r="H55" s="365">
        <v>1147.9366148843901</v>
      </c>
      <c r="I55" s="366">
        <v>4.3825363704589997E-2</v>
      </c>
      <c r="J55" s="365">
        <v>57.236958092485501</v>
      </c>
      <c r="K55" s="367">
        <v>-96.0757333815029</v>
      </c>
      <c r="L55" s="363">
        <v>0.9</v>
      </c>
      <c r="M55" s="367">
        <v>325.14450867052</v>
      </c>
      <c r="N55" s="363">
        <v>1.80015112</v>
      </c>
      <c r="O55" s="367">
        <v>650.343612716763</v>
      </c>
      <c r="P55" s="368">
        <v>0.52601296954348997</v>
      </c>
      <c r="Q55" s="348" t="s">
        <v>259</v>
      </c>
    </row>
    <row r="56" spans="1:17" ht="14" thickBot="1">
      <c r="A56" s="338">
        <v>923</v>
      </c>
      <c r="B56" s="339" t="s">
        <v>229</v>
      </c>
      <c r="C56" s="340">
        <v>14182</v>
      </c>
      <c r="D56" s="341">
        <v>24.654261519999999</v>
      </c>
      <c r="E56" s="342">
        <v>25.1229054</v>
      </c>
      <c r="F56" s="343">
        <v>-0.13551774841398001</v>
      </c>
      <c r="G56" s="342">
        <v>26.463644649999999</v>
      </c>
      <c r="H56" s="344">
        <v>1866.0023022140699</v>
      </c>
      <c r="I56" s="345">
        <v>0.14735484693789999</v>
      </c>
      <c r="J56" s="344">
        <v>279.95800451276199</v>
      </c>
      <c r="K56" s="346">
        <v>-161.47079960513301</v>
      </c>
      <c r="L56" s="342">
        <v>8.3000000000000007</v>
      </c>
      <c r="M56" s="346">
        <v>585.24890706529402</v>
      </c>
      <c r="N56" s="342">
        <v>18.41717667</v>
      </c>
      <c r="O56" s="346">
        <v>1298.6304237766101</v>
      </c>
      <c r="P56" s="347">
        <v>0.73308307207175005</v>
      </c>
      <c r="Q56" s="348" t="s">
        <v>488</v>
      </c>
    </row>
    <row r="57" spans="1:17" ht="14" thickBot="1">
      <c r="A57" s="349">
        <v>941</v>
      </c>
      <c r="B57" s="350" t="s">
        <v>230</v>
      </c>
      <c r="C57" s="351">
        <v>13561</v>
      </c>
      <c r="D57" s="352">
        <v>18.94897581</v>
      </c>
      <c r="E57" s="353">
        <v>18.842592419999999</v>
      </c>
      <c r="F57" s="354">
        <v>0.13139971125436001</v>
      </c>
      <c r="G57" s="353">
        <v>16.521981100000001</v>
      </c>
      <c r="H57" s="355">
        <v>1218.34533588968</v>
      </c>
      <c r="I57" s="356">
        <v>2.0837122706070001E-2</v>
      </c>
      <c r="J57" s="355">
        <v>29.601432047784002</v>
      </c>
      <c r="K57" s="357">
        <v>-23.296295258461701</v>
      </c>
      <c r="L57" s="353">
        <v>5.3597700000000001</v>
      </c>
      <c r="M57" s="357">
        <v>395.23412727674901</v>
      </c>
      <c r="N57" s="353">
        <v>10.54469284</v>
      </c>
      <c r="O57" s="357">
        <v>777.57487205958205</v>
      </c>
      <c r="P57" s="358">
        <v>0.55962006739621994</v>
      </c>
      <c r="Q57" s="348" t="s">
        <v>259</v>
      </c>
    </row>
    <row r="58" spans="1:17" ht="14" thickBot="1">
      <c r="A58" s="349">
        <v>966</v>
      </c>
      <c r="B58" s="350" t="s">
        <v>231</v>
      </c>
      <c r="C58" s="351">
        <v>6432</v>
      </c>
      <c r="D58" s="352">
        <v>8.3261657499999995</v>
      </c>
      <c r="E58" s="353">
        <v>8.4314338000000006</v>
      </c>
      <c r="F58" s="354">
        <v>4.5934847021270001E-2</v>
      </c>
      <c r="G58" s="353">
        <v>8.0215032500000003</v>
      </c>
      <c r="H58" s="355">
        <v>1247.12426150497</v>
      </c>
      <c r="I58" s="356">
        <v>3.2712909066860002E-2</v>
      </c>
      <c r="J58" s="355">
        <v>44.350752487562097</v>
      </c>
      <c r="K58" s="357">
        <v>-61.265965485074602</v>
      </c>
      <c r="L58" s="353">
        <v>1.835</v>
      </c>
      <c r="M58" s="357">
        <v>285.292288557213</v>
      </c>
      <c r="N58" s="353">
        <v>2.1957879299999998</v>
      </c>
      <c r="O58" s="357">
        <v>341.38493936567102</v>
      </c>
      <c r="P58" s="358">
        <v>0.26042876954095001</v>
      </c>
      <c r="Q58" s="348" t="s">
        <v>259</v>
      </c>
    </row>
    <row r="59" spans="1:17" ht="14" thickBot="1">
      <c r="A59" s="349">
        <v>979</v>
      </c>
      <c r="B59" s="350" t="s">
        <v>232</v>
      </c>
      <c r="C59" s="351">
        <v>1731</v>
      </c>
      <c r="D59" s="352">
        <v>1.8442304599999999</v>
      </c>
      <c r="E59" s="353">
        <v>1.9058803</v>
      </c>
      <c r="F59" s="354">
        <v>-7.4350469192439997E-2</v>
      </c>
      <c r="G59" s="353">
        <v>2.1671992000000002</v>
      </c>
      <c r="H59" s="355">
        <v>1251.9926054303801</v>
      </c>
      <c r="I59" s="356">
        <v>9.2766265381969998E-2</v>
      </c>
      <c r="J59" s="355">
        <v>118.646649335644</v>
      </c>
      <c r="K59" s="357">
        <v>-213.57154246100501</v>
      </c>
      <c r="L59" s="353">
        <v>0.81329346999999996</v>
      </c>
      <c r="M59" s="357">
        <v>469.84024841132299</v>
      </c>
      <c r="N59" s="353">
        <v>3.4126701499999998</v>
      </c>
      <c r="O59" s="357">
        <v>1971.50210860774</v>
      </c>
      <c r="P59" s="358">
        <v>1.7906004642579001</v>
      </c>
      <c r="Q59" s="348" t="s">
        <v>488</v>
      </c>
    </row>
    <row r="60" spans="1:17" ht="14" thickBot="1">
      <c r="A60" s="349">
        <v>992</v>
      </c>
      <c r="B60" s="350" t="s">
        <v>233</v>
      </c>
      <c r="C60" s="351">
        <v>39672</v>
      </c>
      <c r="D60" s="352">
        <v>82.365324150000006</v>
      </c>
      <c r="E60" s="353">
        <v>84.3054226</v>
      </c>
      <c r="F60" s="354">
        <v>0.23125675333118001</v>
      </c>
      <c r="G60" s="353">
        <v>52.449277780000003</v>
      </c>
      <c r="H60" s="355">
        <v>1322.07294262956</v>
      </c>
      <c r="I60" s="356">
        <v>0.10126467267958</v>
      </c>
      <c r="J60" s="355">
        <v>210.31827359346599</v>
      </c>
      <c r="K60" s="357">
        <v>-0.75894383948374999</v>
      </c>
      <c r="L60" s="353">
        <v>17.6952</v>
      </c>
      <c r="M60" s="357">
        <v>446.03750756200799</v>
      </c>
      <c r="N60" s="353">
        <v>4.4825904699999999</v>
      </c>
      <c r="O60" s="357">
        <v>112.991290330711</v>
      </c>
      <c r="P60" s="358">
        <v>5.3170843959440002E-2</v>
      </c>
      <c r="Q60" s="348" t="s">
        <v>259</v>
      </c>
    </row>
    <row r="61" spans="1:17" ht="14" thickBot="1">
      <c r="A61" s="349">
        <v>994</v>
      </c>
      <c r="B61" s="350" t="s">
        <v>234</v>
      </c>
      <c r="C61" s="351">
        <v>57257</v>
      </c>
      <c r="D61" s="352">
        <v>104.12852334</v>
      </c>
      <c r="E61" s="353">
        <v>105.61531859999999</v>
      </c>
      <c r="F61" s="354">
        <v>0.30519880605847</v>
      </c>
      <c r="G61" s="353">
        <v>66.6539523</v>
      </c>
      <c r="H61" s="355">
        <v>1164.11883787135</v>
      </c>
      <c r="I61" s="356">
        <v>4.6164224354370002E-2</v>
      </c>
      <c r="J61" s="355">
        <v>83.060439247602901</v>
      </c>
      <c r="K61" s="357">
        <v>19.3782002200604</v>
      </c>
      <c r="L61" s="353">
        <v>21.56</v>
      </c>
      <c r="M61" s="357">
        <v>376.54784567825698</v>
      </c>
      <c r="N61" s="353">
        <v>13.131442310000001</v>
      </c>
      <c r="O61" s="357">
        <v>229.34212952128101</v>
      </c>
      <c r="P61" s="358">
        <v>0.12433274343216</v>
      </c>
      <c r="Q61" s="348" t="s">
        <v>259</v>
      </c>
    </row>
    <row r="62" spans="1:17" ht="14" thickBot="1">
      <c r="A62" s="349">
        <v>1003</v>
      </c>
      <c r="B62" s="350" t="s">
        <v>235</v>
      </c>
      <c r="C62" s="351">
        <v>195</v>
      </c>
      <c r="D62" s="352">
        <v>0.21429904999999999</v>
      </c>
      <c r="E62" s="353">
        <v>0.22382360000000001</v>
      </c>
      <c r="F62" s="354">
        <v>-0.20455060346744</v>
      </c>
      <c r="G62" s="353">
        <v>0.25266125</v>
      </c>
      <c r="H62" s="355">
        <v>1295.6987179487101</v>
      </c>
      <c r="I62" s="356">
        <v>8.9021302379390002E-2</v>
      </c>
      <c r="J62" s="355">
        <v>104.878461538461</v>
      </c>
      <c r="K62" s="357">
        <v>-79.158205128205097</v>
      </c>
      <c r="L62" s="353">
        <v>0.20699999999999999</v>
      </c>
      <c r="M62" s="357">
        <v>1061.5384615384601</v>
      </c>
      <c r="N62" s="353">
        <v>0.70386156</v>
      </c>
      <c r="O62" s="357">
        <v>3609.5464615384599</v>
      </c>
      <c r="P62" s="358">
        <v>3.1447155706547401</v>
      </c>
      <c r="Q62" s="348" t="s">
        <v>488</v>
      </c>
    </row>
    <row r="63" spans="1:17" ht="14" thickBot="1">
      <c r="A63" s="349">
        <v>1007</v>
      </c>
      <c r="B63" s="350" t="s">
        <v>236</v>
      </c>
      <c r="C63" s="351">
        <v>14410</v>
      </c>
      <c r="D63" s="352">
        <v>30.73389641</v>
      </c>
      <c r="E63" s="353">
        <v>30.865829300000001</v>
      </c>
      <c r="F63" s="354">
        <v>0.30150487677783999</v>
      </c>
      <c r="G63" s="353">
        <v>19.37279492</v>
      </c>
      <c r="H63" s="355">
        <v>1344.39936988202</v>
      </c>
      <c r="I63" s="356">
        <v>5.4849281550950001E-2</v>
      </c>
      <c r="J63" s="355">
        <v>116.909360860513</v>
      </c>
      <c r="K63" s="357">
        <v>1.3515648854961799</v>
      </c>
      <c r="L63" s="353">
        <v>5.3521000000000001</v>
      </c>
      <c r="M63" s="357">
        <v>371.415683553088</v>
      </c>
      <c r="N63" s="353">
        <v>4.9912659399999999</v>
      </c>
      <c r="O63" s="357">
        <v>346.375151977793</v>
      </c>
      <c r="P63" s="358">
        <v>0.1617084670393</v>
      </c>
      <c r="Q63" s="348" t="s">
        <v>259</v>
      </c>
    </row>
    <row r="64" spans="1:17" ht="14" thickBot="1">
      <c r="A64" s="349">
        <v>1040</v>
      </c>
      <c r="B64" s="350" t="s">
        <v>237</v>
      </c>
      <c r="C64" s="351">
        <v>2351</v>
      </c>
      <c r="D64" s="352">
        <v>2.6049132899999998</v>
      </c>
      <c r="E64" s="353">
        <v>2.69940355</v>
      </c>
      <c r="F64" s="354">
        <v>0.15650463359569</v>
      </c>
      <c r="G64" s="353">
        <v>2.1353871500000001</v>
      </c>
      <c r="H64" s="355">
        <v>908.28887707358501</v>
      </c>
      <c r="I64" s="356">
        <v>0.10124433234884</v>
      </c>
      <c r="J64" s="355">
        <v>123.19633347511601</v>
      </c>
      <c r="K64" s="357">
        <v>-108.81977456401501</v>
      </c>
      <c r="L64" s="353">
        <v>0.78486509999999998</v>
      </c>
      <c r="M64" s="357">
        <v>333.84308804763901</v>
      </c>
      <c r="N64" s="353">
        <v>2.6728805800000002</v>
      </c>
      <c r="O64" s="357">
        <v>1136.91219906422</v>
      </c>
      <c r="P64" s="358">
        <v>0.99017450725363998</v>
      </c>
      <c r="Q64" s="348" t="s">
        <v>488</v>
      </c>
    </row>
    <row r="65" spans="1:17" ht="14" thickBot="1">
      <c r="A65" s="349">
        <v>1058</v>
      </c>
      <c r="B65" s="350" t="s">
        <v>238</v>
      </c>
      <c r="C65" s="351">
        <v>114</v>
      </c>
      <c r="D65" s="352">
        <v>0.1732428</v>
      </c>
      <c r="E65" s="353">
        <v>8.1430000000000002E-2</v>
      </c>
      <c r="F65" s="354">
        <v>1.92215780396E-3</v>
      </c>
      <c r="G65" s="353">
        <v>0.19324089999999999</v>
      </c>
      <c r="H65" s="355">
        <v>1695.09561403508</v>
      </c>
      <c r="I65" s="356">
        <v>3.8958545702919997E-2</v>
      </c>
      <c r="J65" s="355">
        <v>69.245175438596505</v>
      </c>
      <c r="K65" s="357">
        <v>-257.73289473684201</v>
      </c>
      <c r="L65" s="353">
        <v>0.06</v>
      </c>
      <c r="M65" s="357">
        <v>526.31578947368405</v>
      </c>
      <c r="N65" s="353">
        <v>0.64045405</v>
      </c>
      <c r="O65" s="357">
        <v>5618.0179824561401</v>
      </c>
      <c r="P65" s="358">
        <v>7.8650871914527798</v>
      </c>
      <c r="Q65" s="348" t="s">
        <v>488</v>
      </c>
    </row>
    <row r="66" spans="1:17" ht="14" thickBot="1">
      <c r="A66" s="349">
        <v>1060</v>
      </c>
      <c r="B66" s="350" t="s">
        <v>239</v>
      </c>
      <c r="C66" s="351">
        <v>279847</v>
      </c>
      <c r="D66" s="352">
        <v>615.30521759999999</v>
      </c>
      <c r="E66" s="353">
        <v>609.02151005999997</v>
      </c>
      <c r="F66" s="354">
        <v>-0.16234007796913</v>
      </c>
      <c r="G66" s="353">
        <v>698.53987845999995</v>
      </c>
      <c r="H66" s="355">
        <v>2496.14924748166</v>
      </c>
      <c r="I66" s="356">
        <v>6.2707561685530003E-2</v>
      </c>
      <c r="J66" s="355">
        <v>144.32378882031901</v>
      </c>
      <c r="K66" s="357">
        <v>-102.81716823835799</v>
      </c>
      <c r="L66" s="353">
        <v>177.2</v>
      </c>
      <c r="M66" s="357">
        <v>633.20314314607594</v>
      </c>
      <c r="N66" s="353">
        <v>95.059106560000004</v>
      </c>
      <c r="O66" s="357">
        <v>339.68242132308001</v>
      </c>
      <c r="P66" s="358">
        <v>0.15608497399481</v>
      </c>
      <c r="Q66" s="348" t="s">
        <v>259</v>
      </c>
    </row>
    <row r="67" spans="1:17" ht="14" thickBot="1">
      <c r="A67" s="349">
        <v>1079</v>
      </c>
      <c r="B67" s="350" t="s">
        <v>240</v>
      </c>
      <c r="C67" s="351">
        <v>5084</v>
      </c>
      <c r="D67" s="352">
        <v>7.68527995</v>
      </c>
      <c r="E67" s="353">
        <v>8.0637481999999991</v>
      </c>
      <c r="F67" s="354">
        <v>0.20562100668823999</v>
      </c>
      <c r="G67" s="353">
        <v>5.3324075500000001</v>
      </c>
      <c r="H67" s="355">
        <v>1048.8606510621501</v>
      </c>
      <c r="I67" s="356">
        <v>8.2102281567830004E-2</v>
      </c>
      <c r="J67" s="355">
        <v>126.36485051140799</v>
      </c>
      <c r="K67" s="357">
        <v>-27.454868214004701</v>
      </c>
      <c r="L67" s="353">
        <v>1.63</v>
      </c>
      <c r="M67" s="357">
        <v>320.61369000786698</v>
      </c>
      <c r="N67" s="353">
        <v>2.8832514800000002</v>
      </c>
      <c r="O67" s="357">
        <v>567.12263571990502</v>
      </c>
      <c r="P67" s="358">
        <v>0.35755723126374001</v>
      </c>
      <c r="Q67" s="348" t="s">
        <v>259</v>
      </c>
    </row>
    <row r="68" spans="1:17" ht="14" thickBot="1">
      <c r="A68" s="349">
        <v>1097</v>
      </c>
      <c r="B68" s="350" t="s">
        <v>1172</v>
      </c>
      <c r="C68" s="351">
        <v>2185</v>
      </c>
      <c r="D68" s="352">
        <v>3.5836086100000002</v>
      </c>
      <c r="E68" s="353">
        <v>3.7776133999999999</v>
      </c>
      <c r="F68" s="354">
        <v>-3.2739903479580001E-2</v>
      </c>
      <c r="G68" s="353">
        <v>3.86276953</v>
      </c>
      <c r="H68" s="355">
        <v>1767.8579084668099</v>
      </c>
      <c r="I68" s="356">
        <v>6.0356014738320002E-2</v>
      </c>
      <c r="J68" s="355">
        <v>101.310778032036</v>
      </c>
      <c r="K68" s="357">
        <v>-38.457665903890103</v>
      </c>
      <c r="L68" s="353">
        <v>0.99</v>
      </c>
      <c r="M68" s="357">
        <v>453.089244851258</v>
      </c>
      <c r="N68" s="353">
        <v>2.3807273900000001</v>
      </c>
      <c r="O68" s="357">
        <v>1089.5777528604101</v>
      </c>
      <c r="P68" s="358">
        <v>0.63021996639465006</v>
      </c>
      <c r="Q68" s="348" t="s">
        <v>259</v>
      </c>
    </row>
    <row r="69" spans="1:17" ht="14" thickBot="1">
      <c r="A69" s="349">
        <v>1113</v>
      </c>
      <c r="B69" s="350" t="s">
        <v>1173</v>
      </c>
      <c r="C69" s="351">
        <v>3394</v>
      </c>
      <c r="D69" s="352">
        <v>2.4825102499999998</v>
      </c>
      <c r="E69" s="353">
        <v>4.8988901</v>
      </c>
      <c r="F69" s="354">
        <v>2.8442400187470001E-2</v>
      </c>
      <c r="G69" s="353">
        <v>4.9111507000000003</v>
      </c>
      <c r="H69" s="355">
        <v>1447.0096346493799</v>
      </c>
      <c r="I69" s="356">
        <v>8.6926733517199997E-2</v>
      </c>
      <c r="J69" s="355">
        <v>72.150220978196799</v>
      </c>
      <c r="K69" s="357">
        <v>-98.571022392457294</v>
      </c>
      <c r="L69" s="353">
        <v>0.69799999999999995</v>
      </c>
      <c r="M69" s="357">
        <v>205.65704183853799</v>
      </c>
      <c r="N69" s="353">
        <v>1.8672605499999999</v>
      </c>
      <c r="O69" s="357">
        <v>550.16515910430098</v>
      </c>
      <c r="P69" s="358">
        <v>0.38115991824352002</v>
      </c>
      <c r="Q69" s="348" t="s">
        <v>488</v>
      </c>
    </row>
    <row r="70" spans="1:17" ht="14" thickBot="1">
      <c r="A70" s="349">
        <v>1142</v>
      </c>
      <c r="B70" s="350" t="s">
        <v>1174</v>
      </c>
      <c r="C70" s="351">
        <v>1197</v>
      </c>
      <c r="D70" s="352">
        <v>3.1407992</v>
      </c>
      <c r="E70" s="353">
        <v>2.85470625</v>
      </c>
      <c r="F70" s="354">
        <v>-1.17732868755188</v>
      </c>
      <c r="G70" s="353">
        <v>3.8437746000000002</v>
      </c>
      <c r="H70" s="355">
        <v>3211.1734335839601</v>
      </c>
      <c r="I70" s="356">
        <v>3.3746930449810003E-2</v>
      </c>
      <c r="J70" s="355">
        <v>85.352923976608096</v>
      </c>
      <c r="K70" s="357">
        <v>94.686842105263096</v>
      </c>
      <c r="L70" s="353">
        <v>1.67</v>
      </c>
      <c r="M70" s="357">
        <v>1395.1545530492899</v>
      </c>
      <c r="N70" s="353">
        <v>11.6398151</v>
      </c>
      <c r="O70" s="357">
        <v>9724.1563074352507</v>
      </c>
      <c r="P70" s="358">
        <v>4.0774125533931898</v>
      </c>
      <c r="Q70" s="348" t="s">
        <v>488</v>
      </c>
    </row>
    <row r="71" spans="1:17" ht="14" thickBot="1">
      <c r="A71" s="349">
        <v>1147</v>
      </c>
      <c r="B71" s="350" t="s">
        <v>1175</v>
      </c>
      <c r="C71" s="351">
        <v>422</v>
      </c>
      <c r="D71" s="352">
        <v>0.74838910000000003</v>
      </c>
      <c r="E71" s="353">
        <v>0.69528999999999996</v>
      </c>
      <c r="F71" s="354">
        <v>-0.15140920678827999</v>
      </c>
      <c r="G71" s="353">
        <v>0.75041495000000003</v>
      </c>
      <c r="H71" s="355">
        <v>1778.23447867298</v>
      </c>
      <c r="I71" s="356">
        <v>0.10001652060049</v>
      </c>
      <c r="J71" s="355">
        <v>167.77748815165799</v>
      </c>
      <c r="K71" s="357">
        <v>95.936137440758301</v>
      </c>
      <c r="L71" s="353">
        <v>0.56499999999999995</v>
      </c>
      <c r="M71" s="357">
        <v>1338.8625592417</v>
      </c>
      <c r="N71" s="353">
        <v>0.99283915</v>
      </c>
      <c r="O71" s="357">
        <v>2352.6994075829298</v>
      </c>
      <c r="P71" s="358">
        <v>1.4279497044398699</v>
      </c>
      <c r="Q71" s="348" t="s">
        <v>488</v>
      </c>
    </row>
    <row r="72" spans="1:17" ht="14" thickBot="1">
      <c r="A72" s="349">
        <v>1159</v>
      </c>
      <c r="B72" s="350" t="s">
        <v>1176</v>
      </c>
      <c r="C72" s="351">
        <v>13960</v>
      </c>
      <c r="D72" s="352">
        <v>22.41198091</v>
      </c>
      <c r="E72" s="353">
        <v>22.5834774</v>
      </c>
      <c r="F72" s="354">
        <v>0.17311883387641999</v>
      </c>
      <c r="G72" s="353">
        <v>15.544639800000001</v>
      </c>
      <c r="H72" s="355">
        <v>1113.5128796561601</v>
      </c>
      <c r="I72" s="356">
        <v>7.8932679570639999E-2</v>
      </c>
      <c r="J72" s="355">
        <v>136.04142908309399</v>
      </c>
      <c r="K72" s="357">
        <v>-118.06935100286501</v>
      </c>
      <c r="L72" s="353">
        <v>4.7699999999999996</v>
      </c>
      <c r="M72" s="357">
        <v>341.69054441260698</v>
      </c>
      <c r="N72" s="353">
        <v>0.27887041000000001</v>
      </c>
      <c r="O72" s="357">
        <v>19.976390401146102</v>
      </c>
      <c r="P72" s="358">
        <v>1.234842646509E-2</v>
      </c>
      <c r="Q72" s="348" t="s">
        <v>259</v>
      </c>
    </row>
    <row r="73" spans="1:17" ht="14" thickBot="1">
      <c r="A73" s="349">
        <v>1215</v>
      </c>
      <c r="B73" s="350" t="s">
        <v>1177</v>
      </c>
      <c r="C73" s="351">
        <v>5068</v>
      </c>
      <c r="D73" s="352">
        <v>9.4676812100000003</v>
      </c>
      <c r="E73" s="353">
        <v>10.030260800000001</v>
      </c>
      <c r="F73" s="354">
        <v>0.19437219728694</v>
      </c>
      <c r="G73" s="353">
        <v>6.0429911900000004</v>
      </c>
      <c r="H73" s="355">
        <v>1192.38184490923</v>
      </c>
      <c r="I73" s="356">
        <v>7.5901239953779995E-2</v>
      </c>
      <c r="J73" s="355">
        <v>136.140785319652</v>
      </c>
      <c r="K73" s="357">
        <v>74.472744672454596</v>
      </c>
      <c r="L73" s="353">
        <v>1.905</v>
      </c>
      <c r="M73" s="357">
        <v>375.88792423046499</v>
      </c>
      <c r="N73" s="353">
        <v>2.8123849299999999</v>
      </c>
      <c r="O73" s="357">
        <v>554.92993883188603</v>
      </c>
      <c r="P73" s="358">
        <v>0.28039001039733003</v>
      </c>
      <c r="Q73" s="348" t="s">
        <v>259</v>
      </c>
    </row>
    <row r="74" spans="1:17" ht="14" thickBot="1">
      <c r="A74" s="349">
        <v>1305</v>
      </c>
      <c r="B74" s="350" t="s">
        <v>1178</v>
      </c>
      <c r="C74" s="351">
        <v>23667</v>
      </c>
      <c r="D74" s="352">
        <v>49.61160589</v>
      </c>
      <c r="E74" s="353">
        <v>47.3820651999999</v>
      </c>
      <c r="F74" s="354">
        <v>2.3644713347929999E-2</v>
      </c>
      <c r="G74" s="353">
        <v>47.985068400000003</v>
      </c>
      <c r="H74" s="355">
        <v>2027.5095449359801</v>
      </c>
      <c r="I74" s="356">
        <v>3.7132759814229997E-2</v>
      </c>
      <c r="J74" s="355">
        <v>82.851094350783796</v>
      </c>
      <c r="K74" s="357">
        <v>-134.97743102209799</v>
      </c>
      <c r="L74" s="353">
        <v>13.307926</v>
      </c>
      <c r="M74" s="357">
        <v>562.29881269277905</v>
      </c>
      <c r="N74" s="353">
        <v>11.2665331</v>
      </c>
      <c r="O74" s="357">
        <v>476.043989521274</v>
      </c>
      <c r="P74" s="358">
        <v>0.23778054106429999</v>
      </c>
      <c r="Q74" s="348" t="s">
        <v>488</v>
      </c>
    </row>
    <row r="75" spans="1:17" ht="14" thickBot="1">
      <c r="A75" s="349">
        <v>1318</v>
      </c>
      <c r="B75" s="350" t="s">
        <v>1179</v>
      </c>
      <c r="C75" s="351">
        <v>3217</v>
      </c>
      <c r="D75" s="352">
        <v>5.4032289999999996</v>
      </c>
      <c r="E75" s="353">
        <v>5.4427643999999997</v>
      </c>
      <c r="F75" s="354">
        <v>1.750804935345E-2</v>
      </c>
      <c r="G75" s="353">
        <v>3.9638711500000001</v>
      </c>
      <c r="H75" s="355">
        <v>1232.1638638483</v>
      </c>
      <c r="I75" s="356">
        <v>9.5152408068529995E-2</v>
      </c>
      <c r="J75" s="355">
        <v>154.80679204227499</v>
      </c>
      <c r="K75" s="357">
        <v>52.651165682312701</v>
      </c>
      <c r="L75" s="353">
        <v>1.8</v>
      </c>
      <c r="M75" s="357">
        <v>559.52751010257998</v>
      </c>
      <c r="N75" s="353">
        <v>2.36958461</v>
      </c>
      <c r="O75" s="357">
        <v>736.58209822816195</v>
      </c>
      <c r="P75" s="358">
        <v>0.43536417082466</v>
      </c>
      <c r="Q75" s="348" t="s">
        <v>259</v>
      </c>
    </row>
    <row r="76" spans="1:17" ht="14" thickBot="1">
      <c r="A76" s="349">
        <v>1322</v>
      </c>
      <c r="B76" s="350" t="s">
        <v>1180</v>
      </c>
      <c r="C76" s="351">
        <v>7255</v>
      </c>
      <c r="D76" s="352">
        <v>10.463594199999999</v>
      </c>
      <c r="E76" s="353">
        <v>10.69208675</v>
      </c>
      <c r="F76" s="354">
        <v>0.24164099846303</v>
      </c>
      <c r="G76" s="353">
        <v>7.3441507000000001</v>
      </c>
      <c r="H76" s="355">
        <v>1012.28817367332</v>
      </c>
      <c r="I76" s="356">
        <v>4.9613836086960003E-2</v>
      </c>
      <c r="J76" s="355">
        <v>71.556037215713303</v>
      </c>
      <c r="K76" s="357">
        <v>-6.8917987468398003E-6</v>
      </c>
      <c r="L76" s="353">
        <v>0.88747598000000005</v>
      </c>
      <c r="M76" s="357">
        <v>122.32611716057799</v>
      </c>
      <c r="N76" s="353">
        <v>0</v>
      </c>
      <c r="O76" s="357">
        <v>0</v>
      </c>
      <c r="P76" s="358">
        <v>0</v>
      </c>
      <c r="Q76" s="348" t="s">
        <v>259</v>
      </c>
    </row>
    <row r="77" spans="1:17" ht="14" thickBot="1">
      <c r="A77" s="349">
        <v>1328</v>
      </c>
      <c r="B77" s="350" t="s">
        <v>1181</v>
      </c>
      <c r="C77" s="351">
        <v>8402</v>
      </c>
      <c r="D77" s="352">
        <v>14.71885335</v>
      </c>
      <c r="E77" s="353">
        <v>14.58801695</v>
      </c>
      <c r="F77" s="354">
        <v>-2.44517688601E-2</v>
      </c>
      <c r="G77" s="353">
        <v>14.6913239</v>
      </c>
      <c r="H77" s="355">
        <v>1748.55080933111</v>
      </c>
      <c r="I77" s="356">
        <v>0.10116258653642</v>
      </c>
      <c r="J77" s="355">
        <v>190.34074149012099</v>
      </c>
      <c r="K77" s="357">
        <v>-129.70562128064699</v>
      </c>
      <c r="L77" s="353">
        <v>4.5225980000000003</v>
      </c>
      <c r="M77" s="357">
        <v>538.27636277076795</v>
      </c>
      <c r="N77" s="353">
        <v>6.1892351999999997</v>
      </c>
      <c r="O77" s="357">
        <v>736.638324208521</v>
      </c>
      <c r="P77" s="358">
        <v>0.42426844040648998</v>
      </c>
      <c r="Q77" s="348" t="s">
        <v>259</v>
      </c>
    </row>
    <row r="78" spans="1:17" ht="14" thickBot="1">
      <c r="A78" s="349">
        <v>1331</v>
      </c>
      <c r="B78" s="350" t="s">
        <v>1182</v>
      </c>
      <c r="C78" s="351">
        <v>663</v>
      </c>
      <c r="D78" s="352">
        <v>0.96337490000000003</v>
      </c>
      <c r="E78" s="353">
        <v>0.91775799999999996</v>
      </c>
      <c r="F78" s="354">
        <v>-3.1834387630400002E-2</v>
      </c>
      <c r="G78" s="353">
        <v>1.0204658</v>
      </c>
      <c r="H78" s="355">
        <v>1539.1641025640999</v>
      </c>
      <c r="I78" s="356">
        <v>4.9253243562490001E-2</v>
      </c>
      <c r="J78" s="355">
        <v>78.729411764705901</v>
      </c>
      <c r="K78" s="357">
        <v>-145.407315233785</v>
      </c>
      <c r="L78" s="353">
        <v>0.245</v>
      </c>
      <c r="M78" s="357">
        <v>369.53242835595699</v>
      </c>
      <c r="N78" s="353">
        <v>1.35618185</v>
      </c>
      <c r="O78" s="357">
        <v>2045.52315233785</v>
      </c>
      <c r="P78" s="358">
        <v>1.4777118259933399</v>
      </c>
      <c r="Q78" s="348" t="s">
        <v>488</v>
      </c>
    </row>
    <row r="79" spans="1:17" ht="14" thickBot="1">
      <c r="A79" s="349">
        <v>1362</v>
      </c>
      <c r="B79" s="350" t="s">
        <v>1183</v>
      </c>
      <c r="C79" s="351">
        <v>494</v>
      </c>
      <c r="D79" s="352">
        <v>0.71001619999999999</v>
      </c>
      <c r="E79" s="353">
        <v>0.66318125000000006</v>
      </c>
      <c r="F79" s="354">
        <v>1.701087947007E-2</v>
      </c>
      <c r="G79" s="353">
        <v>0.51926669999999997</v>
      </c>
      <c r="H79" s="355">
        <v>1051.1471659919</v>
      </c>
      <c r="I79" s="356">
        <v>5.9534609737940003E-2</v>
      </c>
      <c r="J79" s="355">
        <v>71.933198380566793</v>
      </c>
      <c r="K79" s="357">
        <v>229.02125506072801</v>
      </c>
      <c r="L79" s="353">
        <v>0.21099999999999999</v>
      </c>
      <c r="M79" s="357">
        <v>427.12550607287397</v>
      </c>
      <c r="N79" s="353">
        <v>0.82137119999999997</v>
      </c>
      <c r="O79" s="357">
        <v>1662.6947368420999</v>
      </c>
      <c r="P79" s="358">
        <v>1.2385320001130899</v>
      </c>
      <c r="Q79" s="348" t="s">
        <v>259</v>
      </c>
    </row>
    <row r="80" spans="1:17" ht="14" thickBot="1">
      <c r="A80" s="349">
        <v>1384</v>
      </c>
      <c r="B80" s="350" t="s">
        <v>1184</v>
      </c>
      <c r="C80" s="351">
        <v>479361</v>
      </c>
      <c r="D80" s="352">
        <v>993.35688775999995</v>
      </c>
      <c r="E80" s="353">
        <v>944.99504779999995</v>
      </c>
      <c r="F80" s="354">
        <v>-3.3743831288650002E-2</v>
      </c>
      <c r="G80" s="353">
        <v>926.19311876999996</v>
      </c>
      <c r="H80" s="355">
        <v>1932.1411603572201</v>
      </c>
      <c r="I80" s="356">
        <v>6.6238533398670002E-2</v>
      </c>
      <c r="J80" s="355">
        <v>136.67415181877499</v>
      </c>
      <c r="K80" s="357">
        <v>8.8890082213613493</v>
      </c>
      <c r="L80" s="353">
        <v>255.16002988</v>
      </c>
      <c r="M80" s="357">
        <v>532.29200932074104</v>
      </c>
      <c r="N80" s="353">
        <v>158.64862237</v>
      </c>
      <c r="O80" s="357">
        <v>330.95855184297397</v>
      </c>
      <c r="P80" s="358">
        <v>0.16788301985215001</v>
      </c>
      <c r="Q80" s="348" t="s">
        <v>259</v>
      </c>
    </row>
    <row r="81" spans="1:17" ht="14" thickBot="1">
      <c r="A81" s="349">
        <v>1386</v>
      </c>
      <c r="B81" s="350" t="s">
        <v>1185</v>
      </c>
      <c r="C81" s="351">
        <v>25384</v>
      </c>
      <c r="D81" s="352">
        <v>51.252031199999998</v>
      </c>
      <c r="E81" s="353">
        <v>52.983571400000002</v>
      </c>
      <c r="F81" s="354">
        <v>1.187096366241E-2</v>
      </c>
      <c r="G81" s="353">
        <v>54.298502550000002</v>
      </c>
      <c r="H81" s="355">
        <v>2139.08377521273</v>
      </c>
      <c r="I81" s="356">
        <v>4.3476876179949997E-2</v>
      </c>
      <c r="J81" s="355">
        <v>98.317274661203896</v>
      </c>
      <c r="K81" s="357">
        <v>-242.300978963126</v>
      </c>
      <c r="L81" s="353">
        <v>13.87</v>
      </c>
      <c r="M81" s="357">
        <v>546.40718562874201</v>
      </c>
      <c r="N81" s="353">
        <v>-5.6376601500000003</v>
      </c>
      <c r="O81" s="357">
        <v>-222.09502639457901</v>
      </c>
      <c r="P81" s="358">
        <v>-0.10640392863362</v>
      </c>
      <c r="Q81" s="348" t="s">
        <v>259</v>
      </c>
    </row>
    <row r="82" spans="1:17" ht="14" thickBot="1">
      <c r="A82" s="349">
        <v>1395</v>
      </c>
      <c r="B82" s="350" t="s">
        <v>1186</v>
      </c>
      <c r="C82" s="351">
        <v>16966</v>
      </c>
      <c r="D82" s="352">
        <v>33.027487960000002</v>
      </c>
      <c r="E82" s="353">
        <v>28.9102064</v>
      </c>
      <c r="F82" s="354">
        <v>0.23959070122389001</v>
      </c>
      <c r="G82" s="353">
        <v>20.3917155</v>
      </c>
      <c r="H82" s="355">
        <v>1201.91650948956</v>
      </c>
      <c r="I82" s="356">
        <v>0.10195141949875</v>
      </c>
      <c r="J82" s="355">
        <v>198.46748084404101</v>
      </c>
      <c r="K82" s="357">
        <v>2.2246864389705999E-14</v>
      </c>
      <c r="L82" s="353">
        <v>5.1794304999999996</v>
      </c>
      <c r="M82" s="357">
        <v>305.28294824943998</v>
      </c>
      <c r="N82" s="353">
        <v>3.7828621999999998</v>
      </c>
      <c r="O82" s="357">
        <v>222.96724036307899</v>
      </c>
      <c r="P82" s="358">
        <v>0.130848674951</v>
      </c>
      <c r="Q82" s="348" t="s">
        <v>488</v>
      </c>
    </row>
    <row r="83" spans="1:17" ht="14" thickBot="1">
      <c r="A83" s="349">
        <v>1401</v>
      </c>
      <c r="B83" s="350" t="s">
        <v>1187</v>
      </c>
      <c r="C83" s="351">
        <v>16479</v>
      </c>
      <c r="D83" s="352">
        <v>26.717936770000001</v>
      </c>
      <c r="E83" s="353">
        <v>27.115835950000001</v>
      </c>
      <c r="F83" s="354">
        <v>0.27361278166539998</v>
      </c>
      <c r="G83" s="353">
        <v>20.1703489</v>
      </c>
      <c r="H83" s="355">
        <v>1224.00321014624</v>
      </c>
      <c r="I83" s="356">
        <v>3.9120335389090002E-2</v>
      </c>
      <c r="J83" s="355">
        <v>70.065576187875394</v>
      </c>
      <c r="K83" s="357">
        <v>-169.69457187936101</v>
      </c>
      <c r="L83" s="353">
        <v>4.95</v>
      </c>
      <c r="M83" s="357">
        <v>300.38230475150101</v>
      </c>
      <c r="N83" s="353">
        <v>3.8168149999999998E-2</v>
      </c>
      <c r="O83" s="357">
        <v>2.31616906365677</v>
      </c>
      <c r="P83" s="358">
        <v>1.40759628692E-3</v>
      </c>
      <c r="Q83" s="348" t="s">
        <v>259</v>
      </c>
    </row>
    <row r="84" spans="1:17" ht="14" thickBot="1">
      <c r="A84" s="349">
        <v>1423</v>
      </c>
      <c r="B84" s="350" t="s">
        <v>1188</v>
      </c>
      <c r="C84" s="351">
        <v>5429</v>
      </c>
      <c r="D84" s="352">
        <v>9.5132357899999995</v>
      </c>
      <c r="E84" s="353">
        <v>9.3936696499999996</v>
      </c>
      <c r="F84" s="354">
        <v>0.21276325371096</v>
      </c>
      <c r="G84" s="353">
        <v>6.9271985000000003</v>
      </c>
      <c r="H84" s="355">
        <v>1275.9621477251701</v>
      </c>
      <c r="I84" s="356">
        <v>4.6959448726529997E-2</v>
      </c>
      <c r="J84" s="355">
        <v>81.206085835328693</v>
      </c>
      <c r="K84" s="357">
        <v>23.0187603610241</v>
      </c>
      <c r="L84" s="353">
        <v>2</v>
      </c>
      <c r="M84" s="357">
        <v>368.39196905507401</v>
      </c>
      <c r="N84" s="353">
        <v>0.14507833000000001</v>
      </c>
      <c r="O84" s="357">
        <v>26.722845827960899</v>
      </c>
      <c r="P84" s="358">
        <v>1.544426570291E-2</v>
      </c>
      <c r="Q84" s="348" t="s">
        <v>259</v>
      </c>
    </row>
    <row r="85" spans="1:17" ht="14" thickBot="1">
      <c r="A85" s="349">
        <v>1442</v>
      </c>
      <c r="B85" s="350" t="s">
        <v>1189</v>
      </c>
      <c r="C85" s="351">
        <v>333</v>
      </c>
      <c r="D85" s="352">
        <v>0.76104274999999999</v>
      </c>
      <c r="E85" s="353">
        <v>0.76284010000000002</v>
      </c>
      <c r="F85" s="354">
        <v>6.5709843500900006E-2</v>
      </c>
      <c r="G85" s="353">
        <v>0.61958745000000004</v>
      </c>
      <c r="H85" s="355">
        <v>1860.62297297297</v>
      </c>
      <c r="I85" s="356">
        <v>5.808700526696E-2</v>
      </c>
      <c r="J85" s="355">
        <v>128.764264264264</v>
      </c>
      <c r="K85" s="357">
        <v>68.665465465465402</v>
      </c>
      <c r="L85" s="353">
        <v>0.215</v>
      </c>
      <c r="M85" s="357">
        <v>645.645645645645</v>
      </c>
      <c r="N85" s="353">
        <v>0.81100934000000002</v>
      </c>
      <c r="O85" s="357">
        <v>2435.4634834834801</v>
      </c>
      <c r="P85" s="358">
        <v>1.0631446092044701</v>
      </c>
      <c r="Q85" s="348" t="s">
        <v>259</v>
      </c>
    </row>
    <row r="86" spans="1:17" ht="14" thickBot="1">
      <c r="A86" s="349">
        <v>1448</v>
      </c>
      <c r="B86" s="350" t="s">
        <v>1190</v>
      </c>
      <c r="C86" s="351">
        <v>1166</v>
      </c>
      <c r="D86" s="352">
        <v>1.560381</v>
      </c>
      <c r="E86" s="353">
        <v>1.5340492999999999</v>
      </c>
      <c r="F86" s="354">
        <v>5.0396025073360003E-2</v>
      </c>
      <c r="G86" s="353">
        <v>1.52317565</v>
      </c>
      <c r="H86" s="355">
        <v>1306.3256003430499</v>
      </c>
      <c r="I86" s="356">
        <v>5.7625709158170002E-2</v>
      </c>
      <c r="J86" s="355">
        <v>84.033876500857602</v>
      </c>
      <c r="K86" s="357">
        <v>-120.03644939965599</v>
      </c>
      <c r="L86" s="353">
        <v>0.6</v>
      </c>
      <c r="M86" s="357">
        <v>514.57975986277802</v>
      </c>
      <c r="N86" s="353">
        <v>1.0727460499999999</v>
      </c>
      <c r="O86" s="357">
        <v>920.02234133790705</v>
      </c>
      <c r="P86" s="358">
        <v>0.69929046608866996</v>
      </c>
      <c r="Q86" s="348" t="s">
        <v>488</v>
      </c>
    </row>
    <row r="87" spans="1:17" ht="14" thickBot="1">
      <c r="A87" s="349">
        <v>1454</v>
      </c>
      <c r="B87" s="350" t="s">
        <v>1191</v>
      </c>
      <c r="C87" s="351">
        <v>5720</v>
      </c>
      <c r="D87" s="352">
        <v>9.3178739000000004</v>
      </c>
      <c r="E87" s="353">
        <v>8.7908881000000001</v>
      </c>
      <c r="F87" s="354">
        <v>0.23570494981692999</v>
      </c>
      <c r="G87" s="353">
        <v>6.6986089900000003</v>
      </c>
      <c r="H87" s="355">
        <v>1171.0854877622301</v>
      </c>
      <c r="I87" s="356">
        <v>2.678259906614E-2</v>
      </c>
      <c r="J87" s="355">
        <v>42.794388111888097</v>
      </c>
      <c r="K87" s="357">
        <v>31.155945804195799</v>
      </c>
      <c r="L87" s="353">
        <v>1.95</v>
      </c>
      <c r="M87" s="357">
        <v>340.90909090909003</v>
      </c>
      <c r="N87" s="353">
        <v>2.9907029000000001</v>
      </c>
      <c r="O87" s="357">
        <v>522.85015734265698</v>
      </c>
      <c r="P87" s="358">
        <v>0.34020486508068998</v>
      </c>
      <c r="Q87" s="348" t="s">
        <v>259</v>
      </c>
    </row>
    <row r="88" spans="1:17" ht="14" thickBot="1">
      <c r="A88" s="349">
        <v>1479</v>
      </c>
      <c r="B88" s="350" t="s">
        <v>1192</v>
      </c>
      <c r="C88" s="351">
        <v>102212</v>
      </c>
      <c r="D88" s="352">
        <v>248.96560661000001</v>
      </c>
      <c r="E88" s="353">
        <v>252.29355079999999</v>
      </c>
      <c r="F88" s="354">
        <v>9.1912996785309994E-2</v>
      </c>
      <c r="G88" s="353">
        <v>209.56804459</v>
      </c>
      <c r="H88" s="355">
        <v>2050.3272080577599</v>
      </c>
      <c r="I88" s="356">
        <v>6.6672414380929995E-2</v>
      </c>
      <c r="J88" s="355">
        <v>163.32413219582801</v>
      </c>
      <c r="K88" s="357">
        <v>-13.8740987359605</v>
      </c>
      <c r="L88" s="353">
        <v>56.379100000000001</v>
      </c>
      <c r="M88" s="357">
        <v>551.58983289633295</v>
      </c>
      <c r="N88" s="353">
        <v>47.870960140000001</v>
      </c>
      <c r="O88" s="357">
        <v>468.34970590537301</v>
      </c>
      <c r="P88" s="358">
        <v>0.18974309881566001</v>
      </c>
      <c r="Q88" s="348" t="s">
        <v>259</v>
      </c>
    </row>
    <row r="89" spans="1:17" ht="14" thickBot="1">
      <c r="A89" s="349">
        <v>1507</v>
      </c>
      <c r="B89" s="350" t="s">
        <v>1193</v>
      </c>
      <c r="C89" s="351">
        <v>5035</v>
      </c>
      <c r="D89" s="352">
        <v>3.9811132200000001</v>
      </c>
      <c r="E89" s="353">
        <v>7.5385993500000001</v>
      </c>
      <c r="F89" s="354">
        <v>2.2952127947770001E-2</v>
      </c>
      <c r="G89" s="353">
        <v>7.5720744</v>
      </c>
      <c r="H89" s="355">
        <v>1503.88766633565</v>
      </c>
      <c r="I89" s="356">
        <v>6.1701610183739999E-2</v>
      </c>
      <c r="J89" s="355">
        <v>50.873644488579899</v>
      </c>
      <c r="K89" s="357">
        <v>-33.822979145978103</v>
      </c>
      <c r="L89" s="353">
        <v>1.2310000000000001</v>
      </c>
      <c r="M89" s="357">
        <v>244.488579940417</v>
      </c>
      <c r="N89" s="353">
        <v>3.0384326399999999</v>
      </c>
      <c r="O89" s="357">
        <v>603.46229195630497</v>
      </c>
      <c r="P89" s="358">
        <v>0.40305002281357999</v>
      </c>
      <c r="Q89" s="348" t="s">
        <v>488</v>
      </c>
    </row>
    <row r="90" spans="1:17" ht="14" thickBot="1">
      <c r="A90" s="349">
        <v>1509</v>
      </c>
      <c r="B90" s="350" t="s">
        <v>1194</v>
      </c>
      <c r="C90" s="351">
        <v>395603</v>
      </c>
      <c r="D90" s="352">
        <v>750.02981409999995</v>
      </c>
      <c r="E90" s="353">
        <v>762.28033425000001</v>
      </c>
      <c r="F90" s="354">
        <v>0.21772904973911</v>
      </c>
      <c r="G90" s="353">
        <v>548.64874395000004</v>
      </c>
      <c r="H90" s="355">
        <v>1386.8669953210599</v>
      </c>
      <c r="I90" s="356">
        <v>8.0873607909010006E-2</v>
      </c>
      <c r="J90" s="355">
        <v>161.307046963749</v>
      </c>
      <c r="K90" s="357">
        <v>-98.641938761839498</v>
      </c>
      <c r="L90" s="353">
        <v>169.58500000000001</v>
      </c>
      <c r="M90" s="357">
        <v>428.67470671354801</v>
      </c>
      <c r="N90" s="353">
        <v>82.049323560000005</v>
      </c>
      <c r="O90" s="357">
        <v>207.40318844902501</v>
      </c>
      <c r="P90" s="358">
        <v>0.10763667888760001</v>
      </c>
      <c r="Q90" s="348" t="s">
        <v>259</v>
      </c>
    </row>
    <row r="91" spans="1:17" ht="14" thickBot="1">
      <c r="A91" s="349">
        <v>1519</v>
      </c>
      <c r="B91" s="350" t="s">
        <v>1195</v>
      </c>
      <c r="C91" s="351">
        <v>82433</v>
      </c>
      <c r="D91" s="352">
        <v>142.46862192</v>
      </c>
      <c r="E91" s="353">
        <v>142.28363899999999</v>
      </c>
      <c r="F91" s="354">
        <v>6.2469896037859997E-2</v>
      </c>
      <c r="G91" s="353">
        <v>112.88730295000001</v>
      </c>
      <c r="H91" s="355">
        <v>1369.4430986376799</v>
      </c>
      <c r="I91" s="356">
        <v>0.10007204526981001</v>
      </c>
      <c r="J91" s="355">
        <v>176.766087853165</v>
      </c>
      <c r="K91" s="357">
        <v>-38.092306600511897</v>
      </c>
      <c r="L91" s="353">
        <v>33.15</v>
      </c>
      <c r="M91" s="357">
        <v>402.14477211796202</v>
      </c>
      <c r="N91" s="353">
        <v>19.906903249999999</v>
      </c>
      <c r="O91" s="357">
        <v>241.49191767859901</v>
      </c>
      <c r="P91" s="358">
        <v>0.13990999520330999</v>
      </c>
      <c r="Q91" s="348" t="s">
        <v>259</v>
      </c>
    </row>
    <row r="92" spans="1:17" ht="14" thickBot="1">
      <c r="A92" s="349">
        <v>1520</v>
      </c>
      <c r="B92" s="350" t="s">
        <v>1196</v>
      </c>
      <c r="C92" s="351">
        <v>18569</v>
      </c>
      <c r="D92" s="352">
        <v>42.715484719999999</v>
      </c>
      <c r="E92" s="353">
        <v>42.572633099999997</v>
      </c>
      <c r="F92" s="354">
        <v>0.20737086464226001</v>
      </c>
      <c r="G92" s="353">
        <v>31.780364899999999</v>
      </c>
      <c r="H92" s="355">
        <v>1711.4742258603001</v>
      </c>
      <c r="I92" s="356">
        <v>6.3648275457369993E-2</v>
      </c>
      <c r="J92" s="355">
        <v>146.38351822930599</v>
      </c>
      <c r="K92" s="357">
        <v>0.48345468253542001</v>
      </c>
      <c r="L92" s="353">
        <v>10.35</v>
      </c>
      <c r="M92" s="357">
        <v>557.38058053745397</v>
      </c>
      <c r="N92" s="353">
        <v>11.0140715</v>
      </c>
      <c r="O92" s="357">
        <v>593.14295330927905</v>
      </c>
      <c r="P92" s="358">
        <v>0.25871248024825</v>
      </c>
      <c r="Q92" s="348" t="s">
        <v>488</v>
      </c>
    </row>
    <row r="93" spans="1:17" ht="14" thickBot="1">
      <c r="A93" s="349">
        <v>1529</v>
      </c>
      <c r="B93" s="350" t="s">
        <v>1197</v>
      </c>
      <c r="C93" s="351">
        <v>402544</v>
      </c>
      <c r="D93" s="352">
        <v>830.94034908000003</v>
      </c>
      <c r="E93" s="353">
        <v>871.21034450000002</v>
      </c>
      <c r="F93" s="354">
        <v>0.18286375432151</v>
      </c>
      <c r="G93" s="353">
        <v>699.13198045000001</v>
      </c>
      <c r="H93" s="355">
        <v>1736.78400485412</v>
      </c>
      <c r="I93" s="356">
        <v>3.4531204498789998E-2</v>
      </c>
      <c r="J93" s="355">
        <v>77.361566462299706</v>
      </c>
      <c r="K93" s="357">
        <v>-176.11549030664901</v>
      </c>
      <c r="L93" s="353">
        <v>192.77680329</v>
      </c>
      <c r="M93" s="357">
        <v>478.89622821356102</v>
      </c>
      <c r="N93" s="353">
        <v>-22.136229289999999</v>
      </c>
      <c r="O93" s="357">
        <v>-54.990831536428303</v>
      </c>
      <c r="P93" s="358">
        <v>-2.5408593263090001E-2</v>
      </c>
      <c r="Q93" s="348" t="s">
        <v>488</v>
      </c>
    </row>
    <row r="94" spans="1:17" ht="14" thickBot="1">
      <c r="A94" s="349">
        <v>1535</v>
      </c>
      <c r="B94" s="350" t="s">
        <v>1198</v>
      </c>
      <c r="C94" s="351">
        <v>141690</v>
      </c>
      <c r="D94" s="352">
        <v>326.99682049</v>
      </c>
      <c r="E94" s="353">
        <v>327.99847195000001</v>
      </c>
      <c r="F94" s="354">
        <v>0.12312793084552</v>
      </c>
      <c r="G94" s="353">
        <v>274.98205615000001</v>
      </c>
      <c r="H94" s="355">
        <v>1940.7301584444899</v>
      </c>
      <c r="I94" s="356">
        <v>5.998682947977E-2</v>
      </c>
      <c r="J94" s="355">
        <v>149.59330651422101</v>
      </c>
      <c r="K94" s="357">
        <v>-185.93644230362</v>
      </c>
      <c r="L94" s="353">
        <v>71.47</v>
      </c>
      <c r="M94" s="357">
        <v>504.41103818194603</v>
      </c>
      <c r="N94" s="353">
        <v>43.763507689999997</v>
      </c>
      <c r="O94" s="357">
        <v>308.86800543439898</v>
      </c>
      <c r="P94" s="358">
        <v>0.13342594991317</v>
      </c>
      <c r="Q94" s="348" t="s">
        <v>259</v>
      </c>
    </row>
    <row r="95" spans="1:17" ht="14" thickBot="1">
      <c r="A95" s="349">
        <v>1542</v>
      </c>
      <c r="B95" s="350" t="s">
        <v>1199</v>
      </c>
      <c r="C95" s="351">
        <v>286582</v>
      </c>
      <c r="D95" s="352">
        <v>564.87692265999999</v>
      </c>
      <c r="E95" s="353">
        <v>555.09240199999999</v>
      </c>
      <c r="F95" s="354">
        <v>0.35143457260597999</v>
      </c>
      <c r="G95" s="353">
        <v>305.43627455000001</v>
      </c>
      <c r="H95" s="355">
        <v>1065.79015622055</v>
      </c>
      <c r="I95" s="356">
        <v>5.7073623240709997E-2</v>
      </c>
      <c r="J95" s="355">
        <v>106.54000006978799</v>
      </c>
      <c r="K95" s="357">
        <v>104.371353504407</v>
      </c>
      <c r="L95" s="353">
        <v>99.08</v>
      </c>
      <c r="M95" s="357">
        <v>345.73001793552902</v>
      </c>
      <c r="N95" s="353">
        <v>83.742852220000003</v>
      </c>
      <c r="O95" s="357">
        <v>292.21253330634801</v>
      </c>
      <c r="P95" s="358">
        <v>0.15086290483940001</v>
      </c>
      <c r="Q95" s="348" t="s">
        <v>488</v>
      </c>
    </row>
    <row r="96" spans="1:17" ht="14" thickBot="1">
      <c r="A96" s="349">
        <v>1549</v>
      </c>
      <c r="B96" s="350" t="s">
        <v>1200</v>
      </c>
      <c r="C96" s="351">
        <v>59086</v>
      </c>
      <c r="D96" s="352">
        <v>136.58606939000001</v>
      </c>
      <c r="E96" s="353">
        <v>137.6970905</v>
      </c>
      <c r="F96" s="354">
        <v>0.17684076917853001</v>
      </c>
      <c r="G96" s="353">
        <v>97.602584109999995</v>
      </c>
      <c r="H96" s="355">
        <v>1651.87327133331</v>
      </c>
      <c r="I96" s="356">
        <v>7.8606327499419995E-2</v>
      </c>
      <c r="J96" s="355">
        <v>187.47437887147501</v>
      </c>
      <c r="K96" s="357">
        <v>-73.329614291033394</v>
      </c>
      <c r="L96" s="353">
        <v>27.542300000000001</v>
      </c>
      <c r="M96" s="357">
        <v>466.13918694783803</v>
      </c>
      <c r="N96" s="353">
        <v>9.3238093800000001</v>
      </c>
      <c r="O96" s="357">
        <v>157.80065294655199</v>
      </c>
      <c r="P96" s="358">
        <v>6.7712464701639996E-2</v>
      </c>
      <c r="Q96" s="348" t="s">
        <v>259</v>
      </c>
    </row>
    <row r="97" spans="1:17" ht="14" thickBot="1">
      <c r="A97" s="349">
        <v>1551</v>
      </c>
      <c r="B97" s="350" t="s">
        <v>1201</v>
      </c>
      <c r="C97" s="351">
        <v>69331</v>
      </c>
      <c r="D97" s="352">
        <v>149.18494303</v>
      </c>
      <c r="E97" s="353">
        <v>150.08555200000001</v>
      </c>
      <c r="F97" s="354">
        <v>0.16866821020228001</v>
      </c>
      <c r="G97" s="353">
        <v>113.95402885</v>
      </c>
      <c r="H97" s="355">
        <v>1643.62303803493</v>
      </c>
      <c r="I97" s="356">
        <v>5.3778483090200002E-2</v>
      </c>
      <c r="J97" s="355">
        <v>115.39848956455199</v>
      </c>
      <c r="K97" s="357">
        <v>5.9667857091344398</v>
      </c>
      <c r="L97" s="353">
        <v>32.466079999999998</v>
      </c>
      <c r="M97" s="357">
        <v>468.27652853701801</v>
      </c>
      <c r="N97" s="353">
        <v>11.93799913</v>
      </c>
      <c r="O97" s="357">
        <v>172.188474564047</v>
      </c>
      <c r="P97" s="358">
        <v>7.9541294754340006E-2</v>
      </c>
      <c r="Q97" s="348" t="s">
        <v>259</v>
      </c>
    </row>
    <row r="98" spans="1:17" ht="14" thickBot="1">
      <c r="A98" s="349">
        <v>1552</v>
      </c>
      <c r="B98" s="350" t="s">
        <v>1202</v>
      </c>
      <c r="C98" s="351">
        <v>3940</v>
      </c>
      <c r="D98" s="352">
        <v>6.3150249499999997</v>
      </c>
      <c r="E98" s="353">
        <v>6.6964934999999999</v>
      </c>
      <c r="F98" s="354">
        <v>0.22464883531457</v>
      </c>
      <c r="G98" s="353">
        <v>4.45042955</v>
      </c>
      <c r="H98" s="355">
        <v>1129.5506472081199</v>
      </c>
      <c r="I98" s="356">
        <v>6.2394262533740003E-2</v>
      </c>
      <c r="J98" s="355">
        <v>101.884761421319</v>
      </c>
      <c r="K98" s="357">
        <v>-30.1205431472081</v>
      </c>
      <c r="L98" s="353">
        <v>1.47</v>
      </c>
      <c r="M98" s="357">
        <v>373.09644670050699</v>
      </c>
      <c r="N98" s="353">
        <v>2.0331474100000002</v>
      </c>
      <c r="O98" s="357">
        <v>516.02726142131905</v>
      </c>
      <c r="P98" s="358">
        <v>0.30361373605454001</v>
      </c>
      <c r="Q98" s="348" t="s">
        <v>259</v>
      </c>
    </row>
    <row r="99" spans="1:17" ht="14" thickBot="1">
      <c r="A99" s="349">
        <v>1555</v>
      </c>
      <c r="B99" s="350" t="s">
        <v>1203</v>
      </c>
      <c r="C99" s="351">
        <v>480262</v>
      </c>
      <c r="D99" s="352">
        <v>1187.8823336800001</v>
      </c>
      <c r="E99" s="353">
        <v>1185.6777663600001</v>
      </c>
      <c r="F99" s="354">
        <v>-0.27033254380101002</v>
      </c>
      <c r="G99" s="353">
        <v>1443.7877605799999</v>
      </c>
      <c r="H99" s="355">
        <v>3006.25025627678</v>
      </c>
      <c r="I99" s="356">
        <v>5.7348169434799999E-2</v>
      </c>
      <c r="J99" s="355">
        <v>142.183366974693</v>
      </c>
      <c r="K99" s="357">
        <v>-5.8960854491922996</v>
      </c>
      <c r="L99" s="353">
        <v>478.20685706</v>
      </c>
      <c r="M99" s="357">
        <v>995.72078794491301</v>
      </c>
      <c r="N99" s="353">
        <v>257.06801762999999</v>
      </c>
      <c r="O99" s="357">
        <v>535.26620392618997</v>
      </c>
      <c r="P99" s="358">
        <v>0.21681102987972001</v>
      </c>
      <c r="Q99" s="348" t="s">
        <v>488</v>
      </c>
    </row>
    <row r="100" spans="1:17" ht="14" thickBot="1">
      <c r="A100" s="349">
        <v>1560</v>
      </c>
      <c r="B100" s="350" t="s">
        <v>1204</v>
      </c>
      <c r="C100" s="351">
        <v>76945</v>
      </c>
      <c r="D100" s="352">
        <v>103.7888342</v>
      </c>
      <c r="E100" s="353">
        <v>106.41449514999999</v>
      </c>
      <c r="F100" s="354">
        <v>0.29987497441222</v>
      </c>
      <c r="G100" s="353">
        <v>57.507064470000003</v>
      </c>
      <c r="H100" s="355">
        <v>747.37883514198404</v>
      </c>
      <c r="I100" s="356">
        <v>9.7449608606250002E-2</v>
      </c>
      <c r="J100" s="355">
        <v>139.03594775488901</v>
      </c>
      <c r="K100" s="357">
        <v>-77.876696601468495</v>
      </c>
      <c r="L100" s="353">
        <v>25.42282075</v>
      </c>
      <c r="M100" s="357">
        <v>330.40250503606399</v>
      </c>
      <c r="N100" s="353">
        <v>16.114005330000001</v>
      </c>
      <c r="O100" s="357">
        <v>209.42238391058501</v>
      </c>
      <c r="P100" s="358">
        <v>0.15142678924788999</v>
      </c>
      <c r="Q100" s="348" t="s">
        <v>259</v>
      </c>
    </row>
    <row r="101" spans="1:17" ht="14" thickBot="1">
      <c r="A101" s="349">
        <v>1562</v>
      </c>
      <c r="B101" s="350" t="s">
        <v>1205</v>
      </c>
      <c r="C101" s="351">
        <v>1036283</v>
      </c>
      <c r="D101" s="352">
        <v>2320.9638983099999</v>
      </c>
      <c r="E101" s="353">
        <v>2331.35633448</v>
      </c>
      <c r="F101" s="354">
        <v>-0.12528836799733001</v>
      </c>
      <c r="G101" s="353">
        <v>2521.5225957399998</v>
      </c>
      <c r="H101" s="355">
        <v>2433.2374416448001</v>
      </c>
      <c r="I101" s="356">
        <v>4.312764637745E-2</v>
      </c>
      <c r="J101" s="355">
        <v>95.550287633783398</v>
      </c>
      <c r="K101" s="357">
        <v>24.177945474354001</v>
      </c>
      <c r="L101" s="353">
        <v>621</v>
      </c>
      <c r="M101" s="357">
        <v>599.25715272758498</v>
      </c>
      <c r="N101" s="353">
        <v>130.05278534999999</v>
      </c>
      <c r="O101" s="357">
        <v>125.499294449489</v>
      </c>
      <c r="P101" s="358">
        <v>5.5784173112690003E-2</v>
      </c>
      <c r="Q101" s="348" t="s">
        <v>488</v>
      </c>
    </row>
    <row r="102" spans="1:17" ht="14" thickBot="1">
      <c r="A102" s="349">
        <v>1563</v>
      </c>
      <c r="B102" s="350" t="s">
        <v>1206</v>
      </c>
      <c r="C102" s="351">
        <v>49332</v>
      </c>
      <c r="D102" s="352">
        <v>90.00206661</v>
      </c>
      <c r="E102" s="353">
        <v>94.555930700000005</v>
      </c>
      <c r="F102" s="354">
        <v>6.0872468892739999E-2</v>
      </c>
      <c r="G102" s="353">
        <v>80.611510999999993</v>
      </c>
      <c r="H102" s="355">
        <v>1634.0612786832</v>
      </c>
      <c r="I102" s="356">
        <v>8.8808960875239998E-2</v>
      </c>
      <c r="J102" s="355">
        <v>171.61486317197699</v>
      </c>
      <c r="K102" s="357">
        <v>-107.989286467201</v>
      </c>
      <c r="L102" s="353">
        <v>22.571000000000002</v>
      </c>
      <c r="M102" s="357">
        <v>457.53263601718902</v>
      </c>
      <c r="N102" s="353">
        <v>27.281094899999999</v>
      </c>
      <c r="O102" s="357">
        <v>553.01011311116497</v>
      </c>
      <c r="P102" s="358">
        <v>0.28851807282775999</v>
      </c>
      <c r="Q102" s="348" t="s">
        <v>259</v>
      </c>
    </row>
    <row r="103" spans="1:17" ht="14" thickBot="1">
      <c r="A103" s="349">
        <v>1564</v>
      </c>
      <c r="B103" s="350" t="s">
        <v>1207</v>
      </c>
      <c r="C103" s="351">
        <v>14163</v>
      </c>
      <c r="D103" s="352">
        <v>31.631191560000001</v>
      </c>
      <c r="E103" s="353">
        <v>31.946110699999998</v>
      </c>
      <c r="F103" s="354">
        <v>0.23311268043801001</v>
      </c>
      <c r="G103" s="353">
        <v>18.15944</v>
      </c>
      <c r="H103" s="355">
        <v>1282.17468050554</v>
      </c>
      <c r="I103" s="356">
        <v>6.6710158854220006E-2</v>
      </c>
      <c r="J103" s="355">
        <v>170.10571136058701</v>
      </c>
      <c r="K103" s="357">
        <v>-316.55410435642102</v>
      </c>
      <c r="L103" s="353">
        <v>9.3465000000000007</v>
      </c>
      <c r="M103" s="357">
        <v>659.92374496928596</v>
      </c>
      <c r="N103" s="353">
        <v>-0.73803494999999997</v>
      </c>
      <c r="O103" s="357">
        <v>-52.110072018640103</v>
      </c>
      <c r="P103" s="358">
        <v>-2.310249773222E-2</v>
      </c>
      <c r="Q103" s="348" t="s">
        <v>259</v>
      </c>
    </row>
    <row r="104" spans="1:17" s="36" customFormat="1" ht="14" thickBot="1">
      <c r="A104" s="369" t="s">
        <v>607</v>
      </c>
      <c r="B104" s="370">
        <v>93</v>
      </c>
      <c r="C104" s="371">
        <v>7344636</v>
      </c>
      <c r="D104" s="372">
        <v>15349.41558734</v>
      </c>
      <c r="E104" s="373">
        <v>15355.04523505</v>
      </c>
      <c r="F104" s="374" t="s">
        <v>490</v>
      </c>
      <c r="G104" s="373">
        <v>14592.75704395</v>
      </c>
      <c r="H104" s="375">
        <v>1986.8591233044001</v>
      </c>
      <c r="I104" s="376">
        <v>5.9305732530140001E-2</v>
      </c>
      <c r="J104" s="375">
        <v>125.74801373955</v>
      </c>
      <c r="K104" s="377">
        <v>-30.4538390779338</v>
      </c>
      <c r="L104" s="373">
        <v>4018.0238041399998</v>
      </c>
      <c r="M104" s="377">
        <v>547.06915416094103</v>
      </c>
      <c r="N104" s="373">
        <v>1965.5320860300001</v>
      </c>
      <c r="O104" s="377">
        <v>267.61463550133698</v>
      </c>
      <c r="P104" s="378">
        <v>0.12800562003838001</v>
      </c>
      <c r="Q104" s="379">
        <v>58</v>
      </c>
    </row>
    <row r="105" spans="1:17" ht="14" thickBot="1">
      <c r="A105" s="380"/>
      <c r="B105" s="381"/>
      <c r="C105" s="382"/>
      <c r="D105" s="383"/>
      <c r="E105" s="383"/>
      <c r="F105" s="384"/>
      <c r="G105" s="383"/>
      <c r="H105" s="385"/>
      <c r="I105" s="386"/>
      <c r="J105" s="385"/>
      <c r="K105" s="385"/>
      <c r="L105" s="383"/>
      <c r="M105" s="385"/>
      <c r="N105" s="383"/>
      <c r="O105" s="385"/>
      <c r="P105" s="384"/>
    </row>
    <row r="106" spans="1:17" ht="14" thickBot="1">
      <c r="A106" s="388"/>
      <c r="B106" s="8" t="s">
        <v>178</v>
      </c>
      <c r="C106" s="389"/>
      <c r="D106" s="390"/>
      <c r="E106" s="390"/>
      <c r="F106" s="391"/>
      <c r="G106" s="390"/>
      <c r="H106" s="392"/>
      <c r="I106" s="393"/>
      <c r="J106" s="394"/>
      <c r="K106" s="394"/>
      <c r="L106" s="390"/>
      <c r="M106" s="394"/>
      <c r="N106" s="390"/>
      <c r="O106" s="394"/>
      <c r="P106" s="391"/>
    </row>
    <row r="108" spans="1:17">
      <c r="B108" s="94" t="s">
        <v>1054</v>
      </c>
    </row>
  </sheetData>
  <phoneticPr fontId="0" type="noConversion"/>
  <pageMargins left="0.46" right="0.43" top="0.62" bottom="0.56999999999999995" header="0.36" footer="0.28000000000000003"/>
  <pageSetup paperSize="9" scale="80" pageOrder="overThenDown" orientation="portrait" horizontalDpi="1200" verticalDpi="1200"/>
  <headerFooter alignWithMargins="0">
    <oddHeader>&amp;L&amp;"Arial,Bold"&amp;14Individuelle Daten pro Versicherer</oddHeader>
    <oddFooter>&amp;L&amp;"Arial,Regular"Statistik über die Krankenversicherung, Bundesamt für Sozialversicherung - &amp;P / &amp;N</oddFooter>
  </headerFooter>
  <rowBreaks count="1" manualBreakCount="1">
    <brk id="55" max="16383"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14AE-BF60-5C4B-AC64-3AACDAF4530E}">
  <dimension ref="A1:K52"/>
  <sheetViews>
    <sheetView topLeftCell="A42" zoomScale="75" workbookViewId="0">
      <selection activeCell="K17" sqref="K17"/>
    </sheetView>
  </sheetViews>
  <sheetFormatPr baseColWidth="10" defaultColWidth="11.3984375" defaultRowHeight="13"/>
  <cols>
    <col min="1" max="1" width="16.796875" style="403" customWidth="1"/>
    <col min="2" max="2" width="11.796875" style="3" customWidth="1"/>
    <col min="3" max="3" width="12.796875" style="105" customWidth="1"/>
    <col min="4" max="4" width="12.19921875" style="3" customWidth="1"/>
    <col min="5" max="5" width="12.59765625" style="105" customWidth="1"/>
    <col min="6" max="6" width="13.19921875" style="3" customWidth="1"/>
    <col min="7" max="7" width="11.19921875" style="105" customWidth="1"/>
    <col min="8" max="8" width="11.3984375" style="3"/>
    <col min="9" max="9" width="11.796875" style="3" customWidth="1"/>
    <col min="10" max="16384" width="11.3984375" style="3"/>
  </cols>
  <sheetData>
    <row r="1" spans="1:11" s="1" customFormat="1" ht="19.5" customHeight="1">
      <c r="A1" s="395" t="s">
        <v>1055</v>
      </c>
      <c r="B1"/>
      <c r="C1"/>
      <c r="D1"/>
      <c r="E1"/>
      <c r="F1"/>
      <c r="G1"/>
      <c r="H1"/>
      <c r="I1"/>
      <c r="J1"/>
    </row>
    <row r="2" spans="1:11" s="1" customFormat="1" ht="21" customHeight="1">
      <c r="A2" s="396" t="s">
        <v>1056</v>
      </c>
      <c r="B2"/>
      <c r="C2"/>
      <c r="D2"/>
      <c r="E2"/>
      <c r="F2"/>
      <c r="G2"/>
      <c r="H2"/>
      <c r="I2"/>
      <c r="J2"/>
    </row>
    <row r="3" spans="1:11" s="1" customFormat="1" ht="21" customHeight="1">
      <c r="A3" s="396"/>
      <c r="B3"/>
      <c r="C3"/>
      <c r="D3"/>
      <c r="E3"/>
      <c r="F3"/>
      <c r="G3"/>
      <c r="H3"/>
      <c r="I3"/>
      <c r="J3"/>
    </row>
    <row r="4" spans="1:11" ht="14.25" customHeight="1">
      <c r="A4" s="397" t="s">
        <v>1057</v>
      </c>
      <c r="B4"/>
      <c r="C4"/>
      <c r="D4"/>
      <c r="E4"/>
      <c r="F4"/>
      <c r="G4"/>
      <c r="H4"/>
      <c r="I4"/>
      <c r="J4"/>
    </row>
    <row r="5" spans="1:11" ht="15" customHeight="1">
      <c r="A5" s="398" t="s">
        <v>1058</v>
      </c>
      <c r="B5"/>
      <c r="C5"/>
      <c r="D5"/>
      <c r="E5"/>
      <c r="F5"/>
      <c r="G5"/>
      <c r="H5"/>
      <c r="I5"/>
      <c r="J5"/>
    </row>
    <row r="6" spans="1:11" ht="15" customHeight="1">
      <c r="A6" s="398"/>
      <c r="B6"/>
      <c r="C6"/>
      <c r="D6"/>
      <c r="E6"/>
      <c r="F6"/>
      <c r="G6"/>
      <c r="H6"/>
      <c r="I6"/>
      <c r="J6"/>
    </row>
    <row r="7" spans="1:11" ht="18.75" customHeight="1">
      <c r="A7" s="397" t="s">
        <v>1059</v>
      </c>
      <c r="B7"/>
      <c r="C7"/>
      <c r="D7"/>
      <c r="E7"/>
      <c r="F7"/>
      <c r="G7"/>
      <c r="H7"/>
      <c r="I7"/>
      <c r="J7"/>
    </row>
    <row r="8" spans="1:11" ht="32.25" customHeight="1">
      <c r="A8" s="1310" t="s">
        <v>1060</v>
      </c>
      <c r="B8" s="1311"/>
      <c r="C8" s="1311"/>
      <c r="D8" s="1311"/>
      <c r="E8" s="1311"/>
      <c r="F8" s="1311"/>
      <c r="G8" s="1311"/>
      <c r="H8" s="1311"/>
      <c r="I8" s="1311"/>
      <c r="J8" s="1311"/>
    </row>
    <row r="9" spans="1:11" ht="20" customHeight="1">
      <c r="A9" s="398"/>
      <c r="B9"/>
      <c r="C9"/>
      <c r="D9"/>
      <c r="E9"/>
      <c r="F9"/>
      <c r="G9"/>
      <c r="H9"/>
      <c r="I9"/>
      <c r="J9"/>
    </row>
    <row r="10" spans="1:11" ht="15.75" customHeight="1">
      <c r="A10" s="397" t="s">
        <v>1061</v>
      </c>
      <c r="B10"/>
      <c r="C10"/>
      <c r="D10"/>
      <c r="E10"/>
      <c r="F10"/>
      <c r="G10"/>
      <c r="H10"/>
      <c r="I10"/>
      <c r="J10"/>
      <c r="K10" s="45"/>
    </row>
    <row r="11" spans="1:11" ht="14.25" customHeight="1">
      <c r="A11" s="398" t="s">
        <v>1062</v>
      </c>
      <c r="B11"/>
      <c r="C11"/>
      <c r="D11"/>
      <c r="E11"/>
      <c r="F11"/>
      <c r="G11"/>
      <c r="H11"/>
      <c r="I11"/>
      <c r="J11"/>
    </row>
    <row r="12" spans="1:11" ht="13.5" customHeight="1">
      <c r="A12" s="398"/>
      <c r="B12"/>
      <c r="C12"/>
      <c r="D12"/>
      <c r="E12"/>
      <c r="F12"/>
      <c r="G12"/>
      <c r="H12"/>
      <c r="I12"/>
      <c r="J12"/>
    </row>
    <row r="13" spans="1:11" ht="20" customHeight="1">
      <c r="A13" s="397" t="s">
        <v>1063</v>
      </c>
      <c r="B13"/>
      <c r="C13"/>
      <c r="D13"/>
      <c r="E13"/>
      <c r="F13"/>
      <c r="G13"/>
      <c r="H13"/>
      <c r="I13"/>
      <c r="J13"/>
    </row>
    <row r="14" spans="1:11" ht="57.75" customHeight="1">
      <c r="A14" s="1310" t="s">
        <v>1655</v>
      </c>
      <c r="B14" s="1311"/>
      <c r="C14" s="1311"/>
      <c r="D14" s="1311"/>
      <c r="E14" s="1311"/>
      <c r="F14" s="1311"/>
      <c r="G14" s="1311"/>
      <c r="H14" s="1311"/>
      <c r="I14" s="1311"/>
      <c r="J14" s="1311"/>
    </row>
    <row r="15" spans="1:11" ht="20" customHeight="1">
      <c r="A15" s="398"/>
      <c r="B15"/>
      <c r="C15"/>
      <c r="D15"/>
      <c r="E15"/>
      <c r="F15"/>
      <c r="G15"/>
      <c r="H15"/>
      <c r="I15"/>
      <c r="J15"/>
    </row>
    <row r="16" spans="1:11" ht="17.25" customHeight="1">
      <c r="A16" s="397" t="s">
        <v>1064</v>
      </c>
      <c r="B16"/>
      <c r="C16"/>
      <c r="D16"/>
      <c r="E16"/>
      <c r="F16"/>
      <c r="G16"/>
      <c r="H16"/>
      <c r="I16"/>
      <c r="J16"/>
    </row>
    <row r="17" spans="1:10" ht="28.5" customHeight="1">
      <c r="A17" s="1310" t="s">
        <v>1065</v>
      </c>
      <c r="B17" s="1311"/>
      <c r="C17" s="1311"/>
      <c r="D17" s="1311"/>
      <c r="E17" s="1311"/>
      <c r="F17" s="1311"/>
      <c r="G17" s="1311"/>
      <c r="H17" s="1311"/>
      <c r="I17" s="1311"/>
      <c r="J17" s="1311"/>
    </row>
    <row r="18" spans="1:10" ht="15.75" customHeight="1">
      <c r="A18" s="398"/>
      <c r="B18"/>
      <c r="C18"/>
      <c r="D18"/>
      <c r="E18"/>
      <c r="F18"/>
      <c r="G18"/>
      <c r="H18"/>
      <c r="I18"/>
      <c r="J18"/>
    </row>
    <row r="19" spans="1:10" ht="15.75" customHeight="1">
      <c r="A19" s="397" t="s">
        <v>1066</v>
      </c>
      <c r="B19"/>
      <c r="C19"/>
      <c r="D19"/>
      <c r="E19"/>
      <c r="F19"/>
      <c r="G19"/>
      <c r="H19"/>
      <c r="I19"/>
      <c r="J19"/>
    </row>
    <row r="20" spans="1:10" ht="36" customHeight="1">
      <c r="A20" s="1310" t="s">
        <v>1067</v>
      </c>
      <c r="B20" s="1311"/>
      <c r="C20" s="1311"/>
      <c r="D20" s="1311"/>
      <c r="E20" s="1311"/>
      <c r="F20" s="1311"/>
      <c r="G20" s="1311"/>
      <c r="H20" s="1311"/>
      <c r="I20" s="1311"/>
      <c r="J20" s="1311"/>
    </row>
    <row r="21" spans="1:10" ht="12.75" customHeight="1">
      <c r="A21" s="398"/>
      <c r="B21"/>
      <c r="C21"/>
      <c r="D21"/>
      <c r="E21"/>
      <c r="F21"/>
      <c r="G21"/>
      <c r="H21"/>
      <c r="I21"/>
      <c r="J21"/>
    </row>
    <row r="22" spans="1:10">
      <c r="A22" s="397" t="s">
        <v>1068</v>
      </c>
      <c r="B22"/>
      <c r="C22"/>
      <c r="D22"/>
      <c r="E22"/>
      <c r="F22"/>
      <c r="G22"/>
      <c r="H22"/>
      <c r="I22"/>
      <c r="J22"/>
    </row>
    <row r="23" spans="1:10" ht="30.75" customHeight="1">
      <c r="A23" s="1310" t="s">
        <v>1069</v>
      </c>
      <c r="B23" s="1311"/>
      <c r="C23" s="1311"/>
      <c r="D23" s="1311"/>
      <c r="E23" s="1311"/>
      <c r="F23" s="1311"/>
      <c r="G23" s="1311"/>
      <c r="H23" s="1311"/>
      <c r="I23" s="1311"/>
      <c r="J23" s="1311"/>
    </row>
    <row r="24" spans="1:10" ht="12.75" customHeight="1">
      <c r="A24" s="398"/>
      <c r="B24"/>
      <c r="C24"/>
      <c r="D24"/>
      <c r="E24"/>
      <c r="F24"/>
      <c r="G24"/>
      <c r="H24"/>
      <c r="I24"/>
      <c r="J24"/>
    </row>
    <row r="25" spans="1:10">
      <c r="A25" s="397" t="s">
        <v>1070</v>
      </c>
      <c r="B25"/>
      <c r="C25"/>
      <c r="D25"/>
      <c r="E25"/>
      <c r="F25"/>
      <c r="G25"/>
      <c r="H25"/>
      <c r="I25"/>
      <c r="J25"/>
    </row>
    <row r="26" spans="1:10" ht="42" customHeight="1">
      <c r="A26" s="1310" t="s">
        <v>270</v>
      </c>
      <c r="B26" s="1311"/>
      <c r="C26" s="1311"/>
      <c r="D26" s="1311"/>
      <c r="E26" s="1311"/>
      <c r="F26" s="1311"/>
      <c r="G26" s="1311"/>
      <c r="H26" s="1311"/>
      <c r="I26" s="1311"/>
      <c r="J26" s="1311"/>
    </row>
    <row r="27" spans="1:10" ht="12.75" customHeight="1">
      <c r="A27" s="398"/>
      <c r="B27"/>
      <c r="C27"/>
      <c r="D27"/>
      <c r="E27"/>
      <c r="F27"/>
      <c r="G27"/>
      <c r="H27"/>
      <c r="I27"/>
      <c r="J27"/>
    </row>
    <row r="28" spans="1:10">
      <c r="A28" s="397" t="s">
        <v>1713</v>
      </c>
      <c r="B28"/>
      <c r="C28"/>
      <c r="D28"/>
      <c r="E28"/>
      <c r="F28"/>
      <c r="G28"/>
      <c r="H28"/>
      <c r="I28"/>
      <c r="J28"/>
    </row>
    <row r="29" spans="1:10" ht="28.5" customHeight="1">
      <c r="A29" s="1310" t="s">
        <v>269</v>
      </c>
      <c r="B29" s="1311"/>
      <c r="C29" s="1311"/>
      <c r="D29" s="1311"/>
      <c r="E29" s="1311"/>
      <c r="F29" s="1311"/>
      <c r="G29" s="1311"/>
      <c r="H29" s="1311"/>
      <c r="I29" s="1311"/>
      <c r="J29" s="1311"/>
    </row>
    <row r="30" spans="1:10" ht="12.75" customHeight="1">
      <c r="A30" s="398"/>
      <c r="B30"/>
      <c r="C30"/>
      <c r="D30"/>
      <c r="E30"/>
      <c r="F30"/>
      <c r="G30"/>
      <c r="H30"/>
      <c r="I30"/>
      <c r="J30"/>
    </row>
    <row r="31" spans="1:10" ht="28">
      <c r="A31" s="399" t="s">
        <v>1714</v>
      </c>
      <c r="B31" s="400" t="s">
        <v>1715</v>
      </c>
      <c r="C31" s="400" t="s">
        <v>1716</v>
      </c>
      <c r="D31" s="400" t="s">
        <v>1717</v>
      </c>
      <c r="E31" s="400" t="s">
        <v>1718</v>
      </c>
      <c r="F31" s="400" t="s">
        <v>1719</v>
      </c>
      <c r="G31" s="400" t="s">
        <v>1720</v>
      </c>
      <c r="H31" s="400" t="s">
        <v>1721</v>
      </c>
      <c r="I31" s="400" t="s">
        <v>1722</v>
      </c>
      <c r="J31" s="400" t="s">
        <v>1723</v>
      </c>
    </row>
    <row r="32" spans="1:10" ht="28">
      <c r="A32" s="401" t="s">
        <v>1724</v>
      </c>
      <c r="B32" s="402">
        <v>182</v>
      </c>
      <c r="C32" s="402">
        <v>96</v>
      </c>
      <c r="D32" s="402">
        <v>73</v>
      </c>
      <c r="E32" s="402">
        <v>52</v>
      </c>
      <c r="F32" s="402">
        <v>42</v>
      </c>
      <c r="G32" s="402">
        <v>34</v>
      </c>
      <c r="H32" s="402">
        <v>24</v>
      </c>
      <c r="I32" s="402">
        <v>20</v>
      </c>
      <c r="J32" s="402">
        <v>15</v>
      </c>
    </row>
    <row r="33" spans="1:10">
      <c r="A33" s="398"/>
      <c r="B33"/>
      <c r="C33"/>
      <c r="D33"/>
      <c r="E33"/>
      <c r="F33"/>
      <c r="G33"/>
      <c r="H33"/>
      <c r="I33"/>
      <c r="J33"/>
    </row>
    <row r="34" spans="1:10">
      <c r="A34" s="398" t="s">
        <v>1725</v>
      </c>
      <c r="B34"/>
      <c r="C34"/>
      <c r="D34"/>
      <c r="E34"/>
      <c r="F34"/>
      <c r="G34"/>
      <c r="H34"/>
      <c r="I34"/>
      <c r="J34"/>
    </row>
    <row r="35" spans="1:10" ht="23.25" customHeight="1">
      <c r="C35" s="3"/>
      <c r="E35" s="3"/>
      <c r="G35" s="3"/>
    </row>
    <row r="36" spans="1:10" ht="17.25" customHeight="1">
      <c r="B36" s="404" t="s">
        <v>1726</v>
      </c>
      <c r="C36" s="3"/>
      <c r="E36" s="3"/>
      <c r="G36" s="3"/>
    </row>
    <row r="37" spans="1:10">
      <c r="A37" s="405">
        <v>1</v>
      </c>
      <c r="B37" s="406" t="s">
        <v>1727</v>
      </c>
      <c r="C37" s="38"/>
      <c r="D37" s="38"/>
      <c r="E37" s="38"/>
      <c r="G37" s="3"/>
    </row>
    <row r="38" spans="1:10">
      <c r="A38" s="405">
        <v>2</v>
      </c>
      <c r="B38" s="406" t="s">
        <v>1728</v>
      </c>
      <c r="C38" s="38"/>
      <c r="D38" s="38"/>
      <c r="E38" s="38"/>
      <c r="G38" s="3"/>
    </row>
    <row r="39" spans="1:10">
      <c r="A39" s="405">
        <v>3</v>
      </c>
      <c r="B39" s="406" t="s">
        <v>1729</v>
      </c>
      <c r="C39" s="38"/>
      <c r="D39" s="38"/>
      <c r="E39" s="38"/>
      <c r="G39" s="3"/>
    </row>
    <row r="40" spans="1:10">
      <c r="A40" s="405">
        <v>4</v>
      </c>
      <c r="B40" s="406" t="s">
        <v>1730</v>
      </c>
      <c r="C40" s="38"/>
      <c r="D40" s="38"/>
      <c r="E40" s="38"/>
      <c r="G40" s="3"/>
    </row>
    <row r="41" spans="1:10">
      <c r="A41" s="405">
        <v>5</v>
      </c>
      <c r="B41" s="406" t="s">
        <v>1731</v>
      </c>
      <c r="C41" s="38"/>
      <c r="D41" s="38"/>
      <c r="E41" s="38"/>
      <c r="G41" s="3"/>
    </row>
    <row r="42" spans="1:10">
      <c r="A42" s="407" t="s">
        <v>1732</v>
      </c>
      <c r="B42" s="408" t="s">
        <v>1733</v>
      </c>
      <c r="C42" s="38"/>
      <c r="D42" s="38"/>
      <c r="E42" s="38"/>
      <c r="G42" s="3"/>
    </row>
    <row r="43" spans="1:10">
      <c r="A43" s="409" t="s">
        <v>1049</v>
      </c>
      <c r="B43" s="406" t="s">
        <v>1734</v>
      </c>
      <c r="C43" s="38"/>
      <c r="D43" s="38"/>
      <c r="E43" s="38"/>
      <c r="G43" s="3"/>
    </row>
    <row r="44" spans="1:10">
      <c r="A44" s="410" t="s">
        <v>1050</v>
      </c>
      <c r="B44" s="406" t="s">
        <v>241</v>
      </c>
      <c r="C44" s="38"/>
      <c r="D44" s="38"/>
      <c r="E44" s="38"/>
      <c r="G44" s="3"/>
    </row>
    <row r="45" spans="1:10">
      <c r="A45" s="405">
        <v>7</v>
      </c>
      <c r="B45" s="406" t="s">
        <v>242</v>
      </c>
      <c r="C45" s="38"/>
      <c r="D45" s="38"/>
      <c r="E45" s="38"/>
      <c r="G45" s="3"/>
    </row>
    <row r="46" spans="1:10">
      <c r="A46" s="405">
        <v>8</v>
      </c>
      <c r="B46" s="406" t="s">
        <v>243</v>
      </c>
      <c r="C46" s="38"/>
      <c r="D46" s="38"/>
      <c r="E46" s="38"/>
      <c r="G46" s="3"/>
    </row>
    <row r="47" spans="1:10">
      <c r="A47" s="410" t="s">
        <v>244</v>
      </c>
      <c r="B47" s="408" t="s">
        <v>245</v>
      </c>
      <c r="C47" s="38"/>
      <c r="D47" s="38"/>
      <c r="E47" s="38"/>
      <c r="G47" s="3"/>
    </row>
    <row r="48" spans="1:10">
      <c r="A48" s="405">
        <v>9</v>
      </c>
      <c r="B48" s="406" t="s">
        <v>246</v>
      </c>
      <c r="C48" s="38"/>
      <c r="D48" s="38"/>
      <c r="E48" s="38"/>
      <c r="G48" s="3"/>
    </row>
    <row r="49" spans="1:7">
      <c r="A49" s="407" t="s">
        <v>247</v>
      </c>
      <c r="B49" s="408" t="s">
        <v>248</v>
      </c>
      <c r="C49" s="38"/>
      <c r="D49" s="38"/>
      <c r="E49" s="38"/>
      <c r="G49" s="3"/>
    </row>
    <row r="50" spans="1:7">
      <c r="A50" s="410" t="s">
        <v>249</v>
      </c>
      <c r="B50" s="408" t="s">
        <v>250</v>
      </c>
      <c r="C50" s="38"/>
      <c r="D50" s="38"/>
      <c r="E50" s="38"/>
      <c r="G50" s="3"/>
    </row>
    <row r="51" spans="1:7">
      <c r="A51" s="411">
        <v>10</v>
      </c>
      <c r="B51" s="412" t="s">
        <v>251</v>
      </c>
      <c r="C51" s="38"/>
      <c r="D51" s="38"/>
      <c r="E51" s="38"/>
      <c r="G51" s="3"/>
    </row>
    <row r="52" spans="1:7">
      <c r="C52" s="3"/>
      <c r="E52" s="3"/>
      <c r="G52" s="3"/>
    </row>
  </sheetData>
  <mergeCells count="7">
    <mergeCell ref="A23:J23"/>
    <mergeCell ref="A26:J26"/>
    <mergeCell ref="A29:J29"/>
    <mergeCell ref="A8:J8"/>
    <mergeCell ref="A14:J14"/>
    <mergeCell ref="A17:J17"/>
    <mergeCell ref="A20:J20"/>
  </mergeCells>
  <phoneticPr fontId="0" type="noConversion"/>
  <pageMargins left="0.38" right="0.3" top="0.62992125984251968" bottom="0.61" header="0.35433070866141736" footer="0.36"/>
  <pageSetup paperSize="9" scale="75" orientation="portrait" horizontalDpi="1200" verticalDpi="1200"/>
  <headerFooter alignWithMargins="0">
    <oddHeader>&amp;L&amp;"Arial,Bold"&amp;14Individuelle Daten pro Versicherer</oddHeader>
    <oddFooter>&amp;L&amp;"Arial,Regular"Statistik über die Krankenversicherung, Bundesamt für Sozialversicherung</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31DA-EE8B-0345-AFB9-ABB54C595162}">
  <dimension ref="A1:I116"/>
  <sheetViews>
    <sheetView topLeftCell="A4" zoomScale="75" workbookViewId="0">
      <selection activeCell="A56" sqref="A56:IV56"/>
    </sheetView>
  </sheetViews>
  <sheetFormatPr baseColWidth="10" defaultColWidth="11.3984375" defaultRowHeight="13"/>
  <cols>
    <col min="1" max="1" width="5.796875" style="3" customWidth="1"/>
    <col min="2" max="2" width="48.796875" style="105" customWidth="1"/>
    <col min="3" max="3" width="11.796875" style="105" customWidth="1"/>
    <col min="4" max="4" width="10.796875" style="105" customWidth="1"/>
    <col min="5" max="5" width="10.796875" style="3" customWidth="1"/>
    <col min="6" max="7" width="10.796875" style="43" customWidth="1"/>
    <col min="8" max="9" width="10.796875" style="3" customWidth="1"/>
    <col min="10" max="10" width="6.19921875" style="3" customWidth="1"/>
    <col min="11" max="16384" width="11.3984375" style="3"/>
  </cols>
  <sheetData>
    <row r="1" spans="1:9" s="1" customFormat="1" ht="14" customHeight="1">
      <c r="B1" s="95"/>
      <c r="C1" s="95"/>
      <c r="D1" s="95"/>
      <c r="F1" s="106"/>
      <c r="G1" s="106"/>
    </row>
    <row r="2" spans="1:9" s="1" customFormat="1" ht="19.5" customHeight="1">
      <c r="A2" s="81" t="s">
        <v>179</v>
      </c>
      <c r="C2" s="95"/>
      <c r="D2" s="95"/>
      <c r="F2" s="106"/>
      <c r="G2" s="106"/>
      <c r="H2" s="63"/>
    </row>
    <row r="3" spans="1:9" s="1" customFormat="1" ht="20.25" customHeight="1">
      <c r="B3" s="95"/>
      <c r="C3" s="95"/>
      <c r="D3" s="95"/>
      <c r="F3" s="106"/>
      <c r="G3" s="106"/>
    </row>
    <row r="4" spans="1:9" ht="18" customHeight="1">
      <c r="A4" s="319" t="s">
        <v>1007</v>
      </c>
      <c r="B4" s="319" t="s">
        <v>1008</v>
      </c>
      <c r="C4" s="320" t="s">
        <v>252</v>
      </c>
      <c r="D4" s="321" t="s">
        <v>46</v>
      </c>
      <c r="E4" s="323" t="s">
        <v>1316</v>
      </c>
      <c r="F4" s="322" t="s">
        <v>1011</v>
      </c>
      <c r="G4" s="323" t="s">
        <v>1325</v>
      </c>
      <c r="H4" s="322" t="s">
        <v>1013</v>
      </c>
      <c r="I4" s="320" t="s">
        <v>1013</v>
      </c>
    </row>
    <row r="5" spans="1:9" ht="15" customHeight="1">
      <c r="A5" s="325" t="s">
        <v>1016</v>
      </c>
      <c r="B5" s="325"/>
      <c r="C5" s="326" t="s">
        <v>253</v>
      </c>
      <c r="D5" s="327"/>
      <c r="E5" s="326"/>
      <c r="F5" s="328" t="s">
        <v>1020</v>
      </c>
      <c r="G5" s="329" t="s">
        <v>254</v>
      </c>
      <c r="H5" s="328" t="s">
        <v>1022</v>
      </c>
      <c r="I5" s="326" t="s">
        <v>1014</v>
      </c>
    </row>
    <row r="6" spans="1:9" ht="15" customHeight="1">
      <c r="A6" s="325"/>
      <c r="B6" s="325"/>
      <c r="C6" s="326" t="s">
        <v>255</v>
      </c>
      <c r="D6" s="327"/>
      <c r="E6" s="326"/>
      <c r="F6" s="328" t="s">
        <v>1026</v>
      </c>
      <c r="G6" s="329"/>
      <c r="H6" s="328" t="s">
        <v>1028</v>
      </c>
      <c r="I6" s="326"/>
    </row>
    <row r="7" spans="1:9" ht="15" customHeight="1">
      <c r="A7" s="325"/>
      <c r="B7" s="325"/>
      <c r="C7" s="326" t="s">
        <v>256</v>
      </c>
      <c r="D7" s="327" t="s">
        <v>257</v>
      </c>
      <c r="E7" s="326" t="s">
        <v>257</v>
      </c>
      <c r="F7" s="327" t="s">
        <v>1035</v>
      </c>
      <c r="G7" s="326" t="s">
        <v>257</v>
      </c>
      <c r="H7" s="327" t="s">
        <v>257</v>
      </c>
      <c r="I7" s="326" t="s">
        <v>257</v>
      </c>
    </row>
    <row r="8" spans="1:9" ht="15" customHeight="1">
      <c r="A8" s="325"/>
      <c r="B8" s="325"/>
      <c r="C8" s="326" t="s">
        <v>258</v>
      </c>
      <c r="D8" s="327" t="s">
        <v>1377</v>
      </c>
      <c r="E8" s="326" t="s">
        <v>1377</v>
      </c>
      <c r="F8" s="327" t="s">
        <v>257</v>
      </c>
      <c r="G8" s="326" t="s">
        <v>1377</v>
      </c>
      <c r="H8" s="327" t="s">
        <v>1377</v>
      </c>
      <c r="I8" s="326" t="s">
        <v>1377</v>
      </c>
    </row>
    <row r="9" spans="1:9" ht="15" customHeight="1">
      <c r="A9" s="325"/>
      <c r="B9" s="325"/>
      <c r="C9" s="326" t="s">
        <v>259</v>
      </c>
      <c r="D9" s="327"/>
      <c r="E9" s="326"/>
      <c r="F9" s="327" t="s">
        <v>1377</v>
      </c>
      <c r="G9" s="329"/>
      <c r="H9" s="327"/>
      <c r="I9" s="326"/>
    </row>
    <row r="10" spans="1:9" ht="18" customHeight="1">
      <c r="A10" s="331"/>
      <c r="B10" s="332"/>
      <c r="C10" s="333">
        <v>1</v>
      </c>
      <c r="D10" s="334">
        <v>2</v>
      </c>
      <c r="E10" s="333">
        <v>3</v>
      </c>
      <c r="F10" s="335">
        <v>4</v>
      </c>
      <c r="G10" s="336">
        <v>5</v>
      </c>
      <c r="H10" s="334">
        <v>6</v>
      </c>
      <c r="I10" s="333">
        <v>7</v>
      </c>
    </row>
    <row r="11" spans="1:9" ht="14" thickBot="1">
      <c r="A11" s="338">
        <v>8</v>
      </c>
      <c r="B11" s="339" t="s">
        <v>184</v>
      </c>
      <c r="C11" s="413" t="s">
        <v>1208</v>
      </c>
      <c r="D11" s="341">
        <v>2567.373</v>
      </c>
      <c r="E11" s="342">
        <v>1503.992</v>
      </c>
      <c r="F11" s="341">
        <v>147.18158</v>
      </c>
      <c r="G11" s="342">
        <v>458.85581000000002</v>
      </c>
      <c r="H11" s="341">
        <v>2000</v>
      </c>
      <c r="I11" s="414">
        <v>6116.5423700000001</v>
      </c>
    </row>
    <row r="12" spans="1:9" ht="14" thickBot="1">
      <c r="A12" s="349">
        <v>32</v>
      </c>
      <c r="B12" s="350" t="s">
        <v>185</v>
      </c>
      <c r="C12" s="415" t="s">
        <v>1208</v>
      </c>
      <c r="D12" s="352">
        <v>2189.4299999999998</v>
      </c>
      <c r="E12" s="353">
        <v>2201.1089999999999</v>
      </c>
      <c r="F12" s="352">
        <v>256.11255</v>
      </c>
      <c r="G12" s="353">
        <v>-75.22448</v>
      </c>
      <c r="H12" s="352">
        <v>230</v>
      </c>
      <c r="I12" s="416">
        <v>-684.84175000000005</v>
      </c>
    </row>
    <row r="13" spans="1:9" ht="14" thickBot="1">
      <c r="A13" s="349">
        <v>57</v>
      </c>
      <c r="B13" s="350" t="s">
        <v>186</v>
      </c>
      <c r="C13" s="415" t="s">
        <v>1208</v>
      </c>
      <c r="D13" s="352">
        <v>27833.643</v>
      </c>
      <c r="E13" s="353">
        <v>26681.397000000001</v>
      </c>
      <c r="F13" s="352">
        <v>3247.6355600000002</v>
      </c>
      <c r="G13" s="353">
        <v>-2389.18651</v>
      </c>
      <c r="H13" s="352">
        <v>6980</v>
      </c>
      <c r="I13" s="416">
        <v>24321.94687</v>
      </c>
    </row>
    <row r="14" spans="1:9" ht="14" thickBot="1">
      <c r="A14" s="349">
        <v>62</v>
      </c>
      <c r="B14" s="350" t="s">
        <v>187</v>
      </c>
      <c r="C14" s="415" t="s">
        <v>1208</v>
      </c>
      <c r="D14" s="352">
        <v>24.300999999999998</v>
      </c>
      <c r="E14" s="353">
        <v>23.57</v>
      </c>
      <c r="F14" s="352">
        <v>0</v>
      </c>
      <c r="G14" s="353">
        <v>0.73119999999999996</v>
      </c>
      <c r="H14" s="352">
        <v>0</v>
      </c>
      <c r="I14" s="416">
        <v>60.719349999999999</v>
      </c>
    </row>
    <row r="15" spans="1:9" ht="14" thickBot="1">
      <c r="A15" s="349">
        <v>97</v>
      </c>
      <c r="B15" s="350" t="s">
        <v>188</v>
      </c>
      <c r="C15" s="415" t="s">
        <v>1208</v>
      </c>
      <c r="D15" s="352">
        <v>37.878999999999998</v>
      </c>
      <c r="E15" s="353">
        <v>55.395000000000003</v>
      </c>
      <c r="F15" s="352">
        <v>0</v>
      </c>
      <c r="G15" s="353">
        <v>4.75</v>
      </c>
      <c r="H15" s="352">
        <v>10</v>
      </c>
      <c r="I15" s="416">
        <v>27.663650000000001</v>
      </c>
    </row>
    <row r="16" spans="1:9" ht="14" thickBot="1">
      <c r="A16" s="349">
        <v>134</v>
      </c>
      <c r="B16" s="350" t="s">
        <v>190</v>
      </c>
      <c r="C16" s="415" t="s">
        <v>1208</v>
      </c>
      <c r="D16" s="352">
        <v>103.684</v>
      </c>
      <c r="E16" s="353">
        <v>46.222000000000001</v>
      </c>
      <c r="F16" s="352">
        <v>3.8715999999999999</v>
      </c>
      <c r="G16" s="353">
        <v>51.81765</v>
      </c>
      <c r="H16" s="352">
        <v>100</v>
      </c>
      <c r="I16" s="416">
        <v>336.05464999999998</v>
      </c>
    </row>
    <row r="17" spans="1:9" ht="14" thickBot="1">
      <c r="A17" s="349">
        <v>160</v>
      </c>
      <c r="B17" s="350" t="s">
        <v>191</v>
      </c>
      <c r="C17" s="415" t="s">
        <v>1208</v>
      </c>
      <c r="D17" s="352">
        <v>1165.134</v>
      </c>
      <c r="E17" s="353">
        <v>1072.829</v>
      </c>
      <c r="F17" s="352">
        <v>187.3698</v>
      </c>
      <c r="G17" s="353">
        <v>43.909199999999998</v>
      </c>
      <c r="H17" s="352">
        <v>120</v>
      </c>
      <c r="I17" s="416">
        <v>511.97433000000001</v>
      </c>
    </row>
    <row r="18" spans="1:9" ht="14" thickBot="1">
      <c r="A18" s="349">
        <v>178</v>
      </c>
      <c r="B18" s="350" t="s">
        <v>192</v>
      </c>
      <c r="C18" s="415" t="s">
        <v>1208</v>
      </c>
      <c r="D18" s="352">
        <v>25.4</v>
      </c>
      <c r="E18" s="353">
        <v>3.722</v>
      </c>
      <c r="F18" s="352">
        <v>2.738</v>
      </c>
      <c r="G18" s="353">
        <v>25.036200000000001</v>
      </c>
      <c r="H18" s="352">
        <v>0</v>
      </c>
      <c r="I18" s="416">
        <v>103.62215</v>
      </c>
    </row>
    <row r="19" spans="1:9" ht="14" thickBot="1">
      <c r="A19" s="349">
        <v>182</v>
      </c>
      <c r="B19" s="350" t="s">
        <v>193</v>
      </c>
      <c r="C19" s="415" t="s">
        <v>1208</v>
      </c>
      <c r="D19" s="352">
        <v>3.7749999999999999</v>
      </c>
      <c r="E19" s="353">
        <v>0.92</v>
      </c>
      <c r="F19" s="352">
        <v>0.33698</v>
      </c>
      <c r="G19" s="353">
        <v>10.29843</v>
      </c>
      <c r="H19" s="352">
        <v>0</v>
      </c>
      <c r="I19" s="416">
        <v>341.68054999999998</v>
      </c>
    </row>
    <row r="20" spans="1:9" ht="14" thickBot="1">
      <c r="A20" s="349">
        <v>194</v>
      </c>
      <c r="B20" s="350" t="s">
        <v>194</v>
      </c>
      <c r="C20" s="415" t="s">
        <v>1208</v>
      </c>
      <c r="D20" s="352">
        <v>830.53599999999994</v>
      </c>
      <c r="E20" s="353">
        <v>494.60199999999998</v>
      </c>
      <c r="F20" s="352">
        <v>118.6207</v>
      </c>
      <c r="G20" s="353">
        <v>181.55510000000001</v>
      </c>
      <c r="H20" s="352">
        <v>350</v>
      </c>
      <c r="I20" s="416">
        <v>792.95529999999997</v>
      </c>
    </row>
    <row r="21" spans="1:9" ht="14" thickBot="1">
      <c r="A21" s="349">
        <v>216</v>
      </c>
      <c r="B21" s="350" t="s">
        <v>195</v>
      </c>
      <c r="C21" s="415" t="s">
        <v>1208</v>
      </c>
      <c r="D21" s="352">
        <v>92.998000000000005</v>
      </c>
      <c r="E21" s="353">
        <v>73.328999999999994</v>
      </c>
      <c r="F21" s="352">
        <v>13.2508</v>
      </c>
      <c r="G21" s="353">
        <v>4.0819200000000002</v>
      </c>
      <c r="H21" s="352">
        <v>28</v>
      </c>
      <c r="I21" s="416">
        <v>90.741</v>
      </c>
    </row>
    <row r="22" spans="1:9" ht="14" thickBot="1">
      <c r="A22" s="349">
        <v>240</v>
      </c>
      <c r="B22" s="350" t="s">
        <v>196</v>
      </c>
      <c r="C22" s="415" t="s">
        <v>1208</v>
      </c>
      <c r="D22" s="352">
        <v>49.569000000000003</v>
      </c>
      <c r="E22" s="353">
        <v>48.924999999999997</v>
      </c>
      <c r="F22" s="352">
        <v>9.9138000000000002</v>
      </c>
      <c r="G22" s="353">
        <v>-11.030049999999999</v>
      </c>
      <c r="H22" s="352">
        <v>15</v>
      </c>
      <c r="I22" s="416">
        <v>48.997369999999997</v>
      </c>
    </row>
    <row r="23" spans="1:9" ht="14" thickBot="1">
      <c r="A23" s="349">
        <v>246</v>
      </c>
      <c r="B23" s="350" t="s">
        <v>197</v>
      </c>
      <c r="C23" s="415" t="s">
        <v>1208</v>
      </c>
      <c r="D23" s="352">
        <v>49.408000000000001</v>
      </c>
      <c r="E23" s="353">
        <v>7.2329999999999997</v>
      </c>
      <c r="F23" s="352">
        <v>5.9264000000000001</v>
      </c>
      <c r="G23" s="353">
        <v>36.705399999999997</v>
      </c>
      <c r="H23" s="352">
        <v>23</v>
      </c>
      <c r="I23" s="416">
        <v>222.67474999999999</v>
      </c>
    </row>
    <row r="24" spans="1:9" ht="14" thickBot="1">
      <c r="A24" s="349">
        <v>261</v>
      </c>
      <c r="B24" s="350" t="s">
        <v>198</v>
      </c>
      <c r="C24" s="415" t="s">
        <v>1208</v>
      </c>
      <c r="D24" s="352">
        <v>1266.566</v>
      </c>
      <c r="E24" s="353">
        <v>1470.598</v>
      </c>
      <c r="F24" s="352">
        <v>134.11060000000001</v>
      </c>
      <c r="G24" s="353">
        <v>-206.96035000000001</v>
      </c>
      <c r="H24" s="352">
        <v>1150</v>
      </c>
      <c r="I24" s="416">
        <v>1362.3737000000001</v>
      </c>
    </row>
    <row r="25" spans="1:9" ht="14" thickBot="1">
      <c r="A25" s="349">
        <v>263</v>
      </c>
      <c r="B25" s="350" t="s">
        <v>199</v>
      </c>
      <c r="C25" s="415" t="s">
        <v>1208</v>
      </c>
      <c r="D25" s="352">
        <v>12885.007</v>
      </c>
      <c r="E25" s="353">
        <v>12330.652</v>
      </c>
      <c r="F25" s="352">
        <v>1912.18875</v>
      </c>
      <c r="G25" s="353">
        <v>-25.542849999999898</v>
      </c>
      <c r="H25" s="352">
        <v>1750</v>
      </c>
      <c r="I25" s="416">
        <v>5593.7628999999997</v>
      </c>
    </row>
    <row r="26" spans="1:9" ht="14" thickBot="1">
      <c r="A26" s="349">
        <v>290</v>
      </c>
      <c r="B26" s="350" t="s">
        <v>200</v>
      </c>
      <c r="C26" s="415" t="s">
        <v>1208</v>
      </c>
      <c r="D26" s="352">
        <v>17315.203000000001</v>
      </c>
      <c r="E26" s="353">
        <v>14658.075000000001</v>
      </c>
      <c r="F26" s="352">
        <v>2365.1850399999898</v>
      </c>
      <c r="G26" s="353">
        <v>286.78530000000001</v>
      </c>
      <c r="H26" s="352">
        <v>2366.0657500000002</v>
      </c>
      <c r="I26" s="416">
        <v>2639.7094099999999</v>
      </c>
    </row>
    <row r="27" spans="1:9" ht="14" thickBot="1">
      <c r="A27" s="349">
        <v>294</v>
      </c>
      <c r="B27" s="350" t="s">
        <v>201</v>
      </c>
      <c r="C27" s="415" t="s">
        <v>1208</v>
      </c>
      <c r="D27" s="352">
        <v>65.293999999999997</v>
      </c>
      <c r="E27" s="353">
        <v>66.28</v>
      </c>
      <c r="F27" s="352">
        <v>13.095000000000001</v>
      </c>
      <c r="G27" s="353">
        <v>-5.6357999999999997</v>
      </c>
      <c r="H27" s="352">
        <v>51</v>
      </c>
      <c r="I27" s="416">
        <v>81.922349999999994</v>
      </c>
    </row>
    <row r="28" spans="1:9" ht="14" thickBot="1">
      <c r="A28" s="349">
        <v>312</v>
      </c>
      <c r="B28" s="350" t="s">
        <v>202</v>
      </c>
      <c r="C28" s="415" t="s">
        <v>1208</v>
      </c>
      <c r="D28" s="352">
        <v>843.36</v>
      </c>
      <c r="E28" s="353">
        <v>662.11699999999996</v>
      </c>
      <c r="F28" s="352">
        <v>37.788530000000002</v>
      </c>
      <c r="G28" s="353">
        <v>114.15724</v>
      </c>
      <c r="H28" s="352">
        <v>337</v>
      </c>
      <c r="I28" s="416">
        <v>1960.9822099999999</v>
      </c>
    </row>
    <row r="29" spans="1:9" ht="14" thickBot="1">
      <c r="A29" s="349">
        <v>343</v>
      </c>
      <c r="B29" s="350" t="s">
        <v>203</v>
      </c>
      <c r="C29" s="415" t="s">
        <v>1208</v>
      </c>
      <c r="D29" s="352">
        <v>2976.0590000000002</v>
      </c>
      <c r="E29" s="353">
        <v>2251.5360000000001</v>
      </c>
      <c r="F29" s="352">
        <v>476.51853</v>
      </c>
      <c r="G29" s="353">
        <v>501.93572</v>
      </c>
      <c r="H29" s="352">
        <v>200</v>
      </c>
      <c r="I29" s="416">
        <v>3529.9669399999998</v>
      </c>
    </row>
    <row r="30" spans="1:9" ht="14" thickBot="1">
      <c r="A30" s="349">
        <v>354</v>
      </c>
      <c r="B30" s="350" t="s">
        <v>204</v>
      </c>
      <c r="C30" s="415" t="s">
        <v>1208</v>
      </c>
      <c r="D30" s="352">
        <v>1844.05</v>
      </c>
      <c r="E30" s="353">
        <v>2453.5329999999999</v>
      </c>
      <c r="F30" s="352">
        <v>183.56565000000001</v>
      </c>
      <c r="G30" s="353">
        <v>-814.23779000000002</v>
      </c>
      <c r="H30" s="352">
        <v>397.8</v>
      </c>
      <c r="I30" s="416">
        <v>-802.08127999999999</v>
      </c>
    </row>
    <row r="31" spans="1:9" ht="14" thickBot="1">
      <c r="A31" s="349">
        <v>360</v>
      </c>
      <c r="B31" s="350" t="s">
        <v>205</v>
      </c>
      <c r="C31" s="415" t="s">
        <v>1208</v>
      </c>
      <c r="D31" s="352">
        <v>596.27</v>
      </c>
      <c r="E31" s="353">
        <v>493.25900000000001</v>
      </c>
      <c r="F31" s="352">
        <v>18.309100000000001</v>
      </c>
      <c r="G31" s="353">
        <v>92.693449999999999</v>
      </c>
      <c r="H31" s="352">
        <v>223.55430000000001</v>
      </c>
      <c r="I31" s="416">
        <v>1006.2355</v>
      </c>
    </row>
    <row r="32" spans="1:9" ht="14" thickBot="1">
      <c r="A32" s="349">
        <v>376</v>
      </c>
      <c r="B32" s="350" t="s">
        <v>206</v>
      </c>
      <c r="C32" s="415" t="s">
        <v>1208</v>
      </c>
      <c r="D32" s="352">
        <v>1898.9280000000001</v>
      </c>
      <c r="E32" s="353">
        <v>1369.2329999999999</v>
      </c>
      <c r="F32" s="352">
        <v>121.88869</v>
      </c>
      <c r="G32" s="353">
        <v>349.67133000000001</v>
      </c>
      <c r="H32" s="352">
        <v>747.72400000000005</v>
      </c>
      <c r="I32" s="416">
        <v>1433.4057600000001</v>
      </c>
    </row>
    <row r="33" spans="1:9" ht="14" thickBot="1">
      <c r="A33" s="349">
        <v>411</v>
      </c>
      <c r="B33" s="350" t="s">
        <v>207</v>
      </c>
      <c r="C33" s="415" t="s">
        <v>1208</v>
      </c>
      <c r="D33" s="352">
        <v>5745.58</v>
      </c>
      <c r="E33" s="353">
        <v>5211.4939999999997</v>
      </c>
      <c r="F33" s="352">
        <v>320.14305000000002</v>
      </c>
      <c r="G33" s="353">
        <v>-188.49469999999999</v>
      </c>
      <c r="H33" s="352">
        <v>1032.9264700000001</v>
      </c>
      <c r="I33" s="416">
        <v>1843.6012000000001</v>
      </c>
    </row>
    <row r="34" spans="1:9" ht="14" thickBot="1">
      <c r="A34" s="349">
        <v>445</v>
      </c>
      <c r="B34" s="350" t="s">
        <v>208</v>
      </c>
      <c r="C34" s="415" t="s">
        <v>1208</v>
      </c>
      <c r="D34" s="352">
        <v>2746.8519999999999</v>
      </c>
      <c r="E34" s="353">
        <v>2980.0349999999999</v>
      </c>
      <c r="F34" s="352">
        <v>372.44436999999999</v>
      </c>
      <c r="G34" s="353">
        <v>-176.0633</v>
      </c>
      <c r="H34" s="352">
        <v>250</v>
      </c>
      <c r="I34" s="416">
        <v>375.07299</v>
      </c>
    </row>
    <row r="35" spans="1:9" ht="14" thickBot="1">
      <c r="A35" s="349">
        <v>455</v>
      </c>
      <c r="B35" s="350" t="s">
        <v>209</v>
      </c>
      <c r="C35" s="415" t="s">
        <v>1208</v>
      </c>
      <c r="D35" s="352">
        <v>10439.228999999999</v>
      </c>
      <c r="E35" s="353">
        <v>10065.619000000001</v>
      </c>
      <c r="F35" s="352">
        <v>920.63374999999996</v>
      </c>
      <c r="G35" s="353">
        <v>-748.32380000000001</v>
      </c>
      <c r="H35" s="352">
        <v>83.4</v>
      </c>
      <c r="I35" s="416">
        <v>9351.2633800000003</v>
      </c>
    </row>
    <row r="36" spans="1:9" ht="14" thickBot="1">
      <c r="A36" s="349">
        <v>484</v>
      </c>
      <c r="B36" s="350" t="s">
        <v>210</v>
      </c>
      <c r="C36" s="415" t="s">
        <v>1208</v>
      </c>
      <c r="D36" s="352">
        <v>53.106000000000002</v>
      </c>
      <c r="E36" s="353">
        <v>68.73</v>
      </c>
      <c r="F36" s="352">
        <v>5.99</v>
      </c>
      <c r="G36" s="353">
        <v>-39.139000000000003</v>
      </c>
      <c r="H36" s="352">
        <v>20</v>
      </c>
      <c r="I36" s="416">
        <v>240.60993999999999</v>
      </c>
    </row>
    <row r="37" spans="1:9" ht="14" thickBot="1">
      <c r="A37" s="349">
        <v>509</v>
      </c>
      <c r="B37" s="350" t="s">
        <v>211</v>
      </c>
      <c r="C37" s="415" t="s">
        <v>1208</v>
      </c>
      <c r="D37" s="352">
        <v>84.757000000000005</v>
      </c>
      <c r="E37" s="353">
        <v>131.346</v>
      </c>
      <c r="F37" s="352">
        <v>5.8703000000000003</v>
      </c>
      <c r="G37" s="353">
        <v>-62.842979999999997</v>
      </c>
      <c r="H37" s="352">
        <v>2100</v>
      </c>
      <c r="I37" s="416">
        <v>3237.92121</v>
      </c>
    </row>
    <row r="38" spans="1:9" ht="14" thickBot="1">
      <c r="A38" s="349">
        <v>556</v>
      </c>
      <c r="B38" s="350" t="s">
        <v>212</v>
      </c>
      <c r="C38" s="415" t="s">
        <v>1208</v>
      </c>
      <c r="D38" s="352">
        <v>401.39100000000002</v>
      </c>
      <c r="E38" s="353">
        <v>265.52699999999999</v>
      </c>
      <c r="F38" s="352">
        <v>80.278000000000006</v>
      </c>
      <c r="G38" s="353">
        <v>57.148249999999997</v>
      </c>
      <c r="H38" s="352">
        <v>67</v>
      </c>
      <c r="I38" s="416">
        <v>836.32970999999998</v>
      </c>
    </row>
    <row r="39" spans="1:9" ht="14" thickBot="1">
      <c r="A39" s="349">
        <v>558</v>
      </c>
      <c r="B39" s="350" t="s">
        <v>213</v>
      </c>
      <c r="C39" s="415" t="s">
        <v>1208</v>
      </c>
      <c r="D39" s="352">
        <v>15.303000000000001</v>
      </c>
      <c r="E39" s="353">
        <v>7.9610000000000003</v>
      </c>
      <c r="F39" s="352">
        <v>1.23109</v>
      </c>
      <c r="G39" s="353">
        <v>6.2952500000000002</v>
      </c>
      <c r="H39" s="352">
        <v>24.6</v>
      </c>
      <c r="I39" s="416">
        <v>86.767150000000001</v>
      </c>
    </row>
    <row r="40" spans="1:9" ht="14" thickBot="1">
      <c r="A40" s="349">
        <v>591</v>
      </c>
      <c r="B40" s="350" t="s">
        <v>214</v>
      </c>
      <c r="C40" s="415" t="s">
        <v>1208</v>
      </c>
      <c r="D40" s="352">
        <v>583.67600000000004</v>
      </c>
      <c r="E40" s="353">
        <v>742.11800000000005</v>
      </c>
      <c r="F40" s="352">
        <v>30.341999999999999</v>
      </c>
      <c r="G40" s="353">
        <v>-175.05965</v>
      </c>
      <c r="H40" s="352">
        <v>90</v>
      </c>
      <c r="I40" s="416">
        <v>509.16635000000002</v>
      </c>
    </row>
    <row r="41" spans="1:9" ht="14" thickBot="1">
      <c r="A41" s="349">
        <v>623</v>
      </c>
      <c r="B41" s="350" t="s">
        <v>215</v>
      </c>
      <c r="C41" s="415" t="s">
        <v>1208</v>
      </c>
      <c r="D41" s="352">
        <v>39.567999999999998</v>
      </c>
      <c r="E41" s="353">
        <v>5.97</v>
      </c>
      <c r="F41" s="352">
        <v>0.99970000000000003</v>
      </c>
      <c r="G41" s="353">
        <v>6.8779500000000002</v>
      </c>
      <c r="H41" s="352">
        <v>40</v>
      </c>
      <c r="I41" s="416">
        <v>44.886000000000003</v>
      </c>
    </row>
    <row r="42" spans="1:9" ht="14" thickBot="1">
      <c r="A42" s="349">
        <v>627</v>
      </c>
      <c r="B42" s="350" t="s">
        <v>216</v>
      </c>
      <c r="C42" s="415" t="s">
        <v>1208</v>
      </c>
      <c r="D42" s="352">
        <v>75.736999999999995</v>
      </c>
      <c r="E42" s="353">
        <v>119.288</v>
      </c>
      <c r="F42" s="352">
        <v>5.2324000000000002</v>
      </c>
      <c r="G42" s="353">
        <v>-35.965600000000002</v>
      </c>
      <c r="H42" s="352">
        <v>10</v>
      </c>
      <c r="I42" s="416">
        <v>115.76560000000001</v>
      </c>
    </row>
    <row r="43" spans="1:9" ht="14" thickBot="1">
      <c r="A43" s="349">
        <v>749</v>
      </c>
      <c r="B43" s="350" t="s">
        <v>218</v>
      </c>
      <c r="C43" s="415" t="s">
        <v>1208</v>
      </c>
      <c r="D43" s="352">
        <v>5342.4359999999997</v>
      </c>
      <c r="E43" s="353">
        <v>6582.1170000000002</v>
      </c>
      <c r="F43" s="352">
        <v>801.88153</v>
      </c>
      <c r="G43" s="353">
        <v>-1051.35383</v>
      </c>
      <c r="H43" s="352">
        <v>766</v>
      </c>
      <c r="I43" s="416">
        <v>-2104.8257899999999</v>
      </c>
    </row>
    <row r="44" spans="1:9" ht="14" thickBot="1">
      <c r="A44" s="349">
        <v>758</v>
      </c>
      <c r="B44" s="350" t="s">
        <v>219</v>
      </c>
      <c r="C44" s="415" t="s">
        <v>1208</v>
      </c>
      <c r="D44" s="352">
        <v>30.36</v>
      </c>
      <c r="E44" s="353">
        <v>41.5</v>
      </c>
      <c r="F44" s="352">
        <v>2.5358999999999998</v>
      </c>
      <c r="G44" s="353">
        <v>-2.8480500000000002</v>
      </c>
      <c r="H44" s="352">
        <v>20</v>
      </c>
      <c r="I44" s="416">
        <v>73.263419999999996</v>
      </c>
    </row>
    <row r="45" spans="1:9" ht="14" thickBot="1">
      <c r="A45" s="349">
        <v>762</v>
      </c>
      <c r="B45" s="350" t="s">
        <v>220</v>
      </c>
      <c r="C45" s="415" t="s">
        <v>1208</v>
      </c>
      <c r="D45" s="352">
        <v>612.346</v>
      </c>
      <c r="E45" s="353">
        <v>676.05700000000002</v>
      </c>
      <c r="F45" s="352">
        <v>73.921170000000004</v>
      </c>
      <c r="G45" s="353">
        <v>-124.42599</v>
      </c>
      <c r="H45" s="352">
        <v>250</v>
      </c>
      <c r="I45" s="416">
        <v>626.96376999999995</v>
      </c>
    </row>
    <row r="46" spans="1:9" ht="14" thickBot="1">
      <c r="A46" s="349">
        <v>774</v>
      </c>
      <c r="B46" s="350" t="s">
        <v>221</v>
      </c>
      <c r="C46" s="415" t="s">
        <v>1208</v>
      </c>
      <c r="D46" s="352">
        <v>387.28300000000002</v>
      </c>
      <c r="E46" s="353">
        <v>355.08300000000003</v>
      </c>
      <c r="F46" s="352">
        <v>38.624749999999999</v>
      </c>
      <c r="G46" s="353">
        <v>-74.843900000000005</v>
      </c>
      <c r="H46" s="352">
        <v>280</v>
      </c>
      <c r="I46" s="416">
        <v>740.18647999999996</v>
      </c>
    </row>
    <row r="47" spans="1:9" ht="14" thickBot="1">
      <c r="A47" s="349">
        <v>780</v>
      </c>
      <c r="B47" s="350" t="s">
        <v>222</v>
      </c>
      <c r="C47" s="415" t="s">
        <v>1208</v>
      </c>
      <c r="D47" s="352">
        <v>176.16800000000001</v>
      </c>
      <c r="E47" s="353">
        <v>149.995</v>
      </c>
      <c r="F47" s="352">
        <v>54.711399999999998</v>
      </c>
      <c r="G47" s="353">
        <v>-23.215599999999998</v>
      </c>
      <c r="H47" s="352">
        <v>18</v>
      </c>
      <c r="I47" s="416">
        <v>200.05725000000001</v>
      </c>
    </row>
    <row r="48" spans="1:9" ht="14" thickBot="1">
      <c r="A48" s="349">
        <v>790</v>
      </c>
      <c r="B48" s="350" t="s">
        <v>223</v>
      </c>
      <c r="C48" s="415" t="s">
        <v>1208</v>
      </c>
      <c r="D48" s="352">
        <v>45.948999999999998</v>
      </c>
      <c r="E48" s="353">
        <v>9.3390000000000004</v>
      </c>
      <c r="F48" s="352">
        <v>4.6100000000000003</v>
      </c>
      <c r="G48" s="353">
        <v>1.5228999999999999</v>
      </c>
      <c r="H48" s="352">
        <v>20</v>
      </c>
      <c r="I48" s="416">
        <v>48.313749999999999</v>
      </c>
    </row>
    <row r="49" spans="1:9" ht="14" thickBot="1">
      <c r="A49" s="349">
        <v>820</v>
      </c>
      <c r="B49" s="350" t="s">
        <v>224</v>
      </c>
      <c r="C49" s="415" t="s">
        <v>1208</v>
      </c>
      <c r="D49" s="352">
        <v>303.59199999999998</v>
      </c>
      <c r="E49" s="353">
        <v>288.94499999999999</v>
      </c>
      <c r="F49" s="352">
        <v>0</v>
      </c>
      <c r="G49" s="353">
        <v>-2.85595</v>
      </c>
      <c r="H49" s="352">
        <v>35</v>
      </c>
      <c r="I49" s="416">
        <v>1.9458500000000001</v>
      </c>
    </row>
    <row r="50" spans="1:9" ht="14" thickBot="1">
      <c r="A50" s="349">
        <v>829</v>
      </c>
      <c r="B50" s="350" t="s">
        <v>225</v>
      </c>
      <c r="C50" s="415" t="s">
        <v>1208</v>
      </c>
      <c r="D50" s="352">
        <v>1593.1890000000001</v>
      </c>
      <c r="E50" s="353">
        <v>1070.059</v>
      </c>
      <c r="F50" s="352">
        <v>248.61279999999999</v>
      </c>
      <c r="G50" s="353">
        <v>268.47424999999998</v>
      </c>
      <c r="H50" s="352">
        <v>310</v>
      </c>
      <c r="I50" s="416">
        <v>550</v>
      </c>
    </row>
    <row r="51" spans="1:9" ht="14" thickBot="1">
      <c r="A51" s="349">
        <v>881</v>
      </c>
      <c r="B51" s="350" t="s">
        <v>226</v>
      </c>
      <c r="C51" s="415" t="s">
        <v>1208</v>
      </c>
      <c r="D51" s="352">
        <v>1461.4069999999999</v>
      </c>
      <c r="E51" s="353">
        <v>764.80399999999997</v>
      </c>
      <c r="F51" s="352">
        <v>123.22368</v>
      </c>
      <c r="G51" s="353">
        <v>1042.40473</v>
      </c>
      <c r="H51" s="352">
        <v>224.68546000000001</v>
      </c>
      <c r="I51" s="416">
        <v>1867.6724400000001</v>
      </c>
    </row>
    <row r="52" spans="1:9" ht="14" thickBot="1">
      <c r="A52" s="349">
        <v>895</v>
      </c>
      <c r="B52" s="350" t="s">
        <v>227</v>
      </c>
      <c r="C52" s="415" t="s">
        <v>1208</v>
      </c>
      <c r="D52" s="352">
        <v>5.335</v>
      </c>
      <c r="E52" s="353">
        <v>0</v>
      </c>
      <c r="F52" s="352">
        <v>0</v>
      </c>
      <c r="G52" s="353">
        <v>0.31590000000000001</v>
      </c>
      <c r="H52" s="352">
        <v>0</v>
      </c>
      <c r="I52" s="416">
        <v>31</v>
      </c>
    </row>
    <row r="53" spans="1:9" ht="14" thickBot="1">
      <c r="A53" s="349">
        <v>901</v>
      </c>
      <c r="B53" s="350" t="s">
        <v>228</v>
      </c>
      <c r="C53" s="415" t="s">
        <v>1208</v>
      </c>
      <c r="D53" s="352">
        <v>302.68200000000002</v>
      </c>
      <c r="E53" s="353">
        <v>323.58800000000002</v>
      </c>
      <c r="F53" s="352">
        <v>9.0804500000000008</v>
      </c>
      <c r="G53" s="353">
        <v>-7.42560000000001</v>
      </c>
      <c r="H53" s="352">
        <v>30</v>
      </c>
      <c r="I53" s="416">
        <v>299.55315000000002</v>
      </c>
    </row>
    <row r="54" spans="1:9" ht="14" thickBot="1">
      <c r="A54" s="349">
        <v>923</v>
      </c>
      <c r="B54" s="350" t="s">
        <v>229</v>
      </c>
      <c r="C54" s="415" t="s">
        <v>1208</v>
      </c>
      <c r="D54" s="352">
        <v>347.11700000000002</v>
      </c>
      <c r="E54" s="353">
        <v>36.616</v>
      </c>
      <c r="F54" s="352">
        <v>4.65191</v>
      </c>
      <c r="G54" s="353">
        <v>301.24596000000003</v>
      </c>
      <c r="H54" s="352">
        <v>30</v>
      </c>
      <c r="I54" s="416">
        <v>2788.8859699999998</v>
      </c>
    </row>
    <row r="55" spans="1:9">
      <c r="A55" s="359">
        <v>941</v>
      </c>
      <c r="B55" s="360" t="s">
        <v>230</v>
      </c>
      <c r="C55" s="417" t="s">
        <v>1208</v>
      </c>
      <c r="D55" s="362">
        <v>1342.5150000000001</v>
      </c>
      <c r="E55" s="363">
        <v>1092.5899999999999</v>
      </c>
      <c r="F55" s="362">
        <v>154.77282</v>
      </c>
      <c r="G55" s="363">
        <v>80</v>
      </c>
      <c r="H55" s="362">
        <v>342.23079999999999</v>
      </c>
      <c r="I55" s="418">
        <v>1423.4585</v>
      </c>
    </row>
    <row r="56" spans="1:9" ht="14" thickBot="1">
      <c r="A56" s="338">
        <v>966</v>
      </c>
      <c r="B56" s="339" t="s">
        <v>231</v>
      </c>
      <c r="C56" s="413" t="s">
        <v>1208</v>
      </c>
      <c r="D56" s="341">
        <v>756.47500000000002</v>
      </c>
      <c r="E56" s="342">
        <v>748.7</v>
      </c>
      <c r="F56" s="341">
        <v>83</v>
      </c>
      <c r="G56" s="342">
        <v>14.2407</v>
      </c>
      <c r="H56" s="341">
        <v>300</v>
      </c>
      <c r="I56" s="414">
        <v>735.62739999999997</v>
      </c>
    </row>
    <row r="57" spans="1:9" ht="14" thickBot="1">
      <c r="A57" s="349">
        <v>979</v>
      </c>
      <c r="B57" s="350" t="s">
        <v>232</v>
      </c>
      <c r="C57" s="415" t="s">
        <v>1208</v>
      </c>
      <c r="D57" s="352">
        <v>14.821</v>
      </c>
      <c r="E57" s="353">
        <v>1.58</v>
      </c>
      <c r="F57" s="352">
        <v>5.3809500000000003</v>
      </c>
      <c r="G57" s="353">
        <v>0</v>
      </c>
      <c r="H57" s="352">
        <v>8.0176800000000004</v>
      </c>
      <c r="I57" s="416">
        <v>43.762149999999998</v>
      </c>
    </row>
    <row r="58" spans="1:9" ht="14" thickBot="1">
      <c r="A58" s="349">
        <v>992</v>
      </c>
      <c r="B58" s="350" t="s">
        <v>233</v>
      </c>
      <c r="C58" s="415" t="s">
        <v>1208</v>
      </c>
      <c r="D58" s="352">
        <v>242.702</v>
      </c>
      <c r="E58" s="353">
        <v>128.25399999999999</v>
      </c>
      <c r="F58" s="352">
        <v>42.37229</v>
      </c>
      <c r="G58" s="353">
        <v>18.480509999999999</v>
      </c>
      <c r="H58" s="352">
        <v>30</v>
      </c>
      <c r="I58" s="416">
        <v>493.85417999999999</v>
      </c>
    </row>
    <row r="59" spans="1:9" ht="14" thickBot="1">
      <c r="A59" s="349">
        <v>994</v>
      </c>
      <c r="B59" s="350" t="s">
        <v>234</v>
      </c>
      <c r="C59" s="415" t="s">
        <v>1208</v>
      </c>
      <c r="D59" s="352">
        <v>456.30900000000003</v>
      </c>
      <c r="E59" s="353">
        <v>252.44300000000001</v>
      </c>
      <c r="F59" s="352">
        <v>45.626440000000002</v>
      </c>
      <c r="G59" s="353">
        <v>140.68780000000001</v>
      </c>
      <c r="H59" s="352">
        <v>245</v>
      </c>
      <c r="I59" s="416">
        <v>730.79058999999995</v>
      </c>
    </row>
    <row r="60" spans="1:9" ht="14" thickBot="1">
      <c r="A60" s="349">
        <v>1003</v>
      </c>
      <c r="B60" s="350" t="s">
        <v>235</v>
      </c>
      <c r="C60" s="415" t="s">
        <v>1208</v>
      </c>
      <c r="D60" s="352">
        <v>0.52200000000000002</v>
      </c>
      <c r="E60" s="353">
        <v>0</v>
      </c>
      <c r="F60" s="352">
        <v>2.0400000000000001E-2</v>
      </c>
      <c r="G60" s="353">
        <v>0.51590000000000003</v>
      </c>
      <c r="H60" s="352">
        <v>20</v>
      </c>
      <c r="I60" s="416">
        <v>5.4561200000000003</v>
      </c>
    </row>
    <row r="61" spans="1:9" ht="14" thickBot="1">
      <c r="A61" s="349">
        <v>1007</v>
      </c>
      <c r="B61" s="350" t="s">
        <v>236</v>
      </c>
      <c r="C61" s="415" t="s">
        <v>1208</v>
      </c>
      <c r="D61" s="352">
        <v>591.14800000000002</v>
      </c>
      <c r="E61" s="353">
        <v>562.83000000000004</v>
      </c>
      <c r="F61" s="352">
        <v>96.789349999999999</v>
      </c>
      <c r="G61" s="353">
        <v>-27.691559999999999</v>
      </c>
      <c r="H61" s="352">
        <v>50</v>
      </c>
      <c r="I61" s="416">
        <v>410.61214000000001</v>
      </c>
    </row>
    <row r="62" spans="1:9" ht="14" thickBot="1">
      <c r="A62" s="349">
        <v>1032</v>
      </c>
      <c r="B62" s="350" t="s">
        <v>1209</v>
      </c>
      <c r="C62" s="415" t="s">
        <v>259</v>
      </c>
      <c r="D62" s="352">
        <v>5.32</v>
      </c>
      <c r="E62" s="353">
        <v>67.814999999999998</v>
      </c>
      <c r="F62" s="352">
        <v>0</v>
      </c>
      <c r="G62" s="353">
        <v>-62.562950000000001</v>
      </c>
      <c r="H62" s="352">
        <v>0</v>
      </c>
      <c r="I62" s="416">
        <v>0</v>
      </c>
    </row>
    <row r="63" spans="1:9" ht="14" thickBot="1">
      <c r="A63" s="349">
        <v>1040</v>
      </c>
      <c r="B63" s="350" t="s">
        <v>237</v>
      </c>
      <c r="C63" s="415" t="s">
        <v>1208</v>
      </c>
      <c r="D63" s="352">
        <v>117.78100000000001</v>
      </c>
      <c r="E63" s="353">
        <v>38.098999999999997</v>
      </c>
      <c r="F63" s="352">
        <v>8.4781999999999993</v>
      </c>
      <c r="G63" s="353">
        <v>53.824950000000001</v>
      </c>
      <c r="H63" s="352">
        <v>15.1349</v>
      </c>
      <c r="I63" s="416">
        <v>399.74507999999997</v>
      </c>
    </row>
    <row r="64" spans="1:9" ht="14" thickBot="1">
      <c r="A64" s="349">
        <v>1060</v>
      </c>
      <c r="B64" s="350" t="s">
        <v>239</v>
      </c>
      <c r="C64" s="415" t="s">
        <v>1208</v>
      </c>
      <c r="D64" s="352">
        <v>11690.878000000001</v>
      </c>
      <c r="E64" s="353">
        <v>10091.579</v>
      </c>
      <c r="F64" s="352">
        <v>2142.12601</v>
      </c>
      <c r="G64" s="353">
        <v>1366.9312500000001</v>
      </c>
      <c r="H64" s="352">
        <v>4000</v>
      </c>
      <c r="I64" s="416">
        <v>2266.9536499999999</v>
      </c>
    </row>
    <row r="65" spans="1:9" ht="14" thickBot="1">
      <c r="A65" s="349">
        <v>1079</v>
      </c>
      <c r="B65" s="350" t="s">
        <v>240</v>
      </c>
      <c r="C65" s="415" t="s">
        <v>1208</v>
      </c>
      <c r="D65" s="352">
        <v>35.238</v>
      </c>
      <c r="E65" s="353">
        <v>3.3079999999999998</v>
      </c>
      <c r="F65" s="352">
        <v>5.4872500000000004</v>
      </c>
      <c r="G65" s="353">
        <v>30.646609999999999</v>
      </c>
      <c r="H65" s="352">
        <v>5</v>
      </c>
      <c r="I65" s="416">
        <v>-23.23451</v>
      </c>
    </row>
    <row r="66" spans="1:9" ht="14" thickBot="1">
      <c r="A66" s="349">
        <v>1097</v>
      </c>
      <c r="B66" s="350" t="s">
        <v>1172</v>
      </c>
      <c r="C66" s="415" t="s">
        <v>1208</v>
      </c>
      <c r="D66" s="352">
        <v>62.744</v>
      </c>
      <c r="E66" s="353">
        <v>83.459000000000003</v>
      </c>
      <c r="F66" s="352">
        <v>9.4101099999999995</v>
      </c>
      <c r="G66" s="353">
        <v>-33.690199999999997</v>
      </c>
      <c r="H66" s="352">
        <v>20</v>
      </c>
      <c r="I66" s="416">
        <v>86.589529999999996</v>
      </c>
    </row>
    <row r="67" spans="1:9" ht="14" thickBot="1">
      <c r="A67" s="349">
        <v>1147</v>
      </c>
      <c r="B67" s="350" t="s">
        <v>1175</v>
      </c>
      <c r="C67" s="415" t="s">
        <v>1208</v>
      </c>
      <c r="D67" s="352">
        <v>15.606</v>
      </c>
      <c r="E67" s="353">
        <v>4.24</v>
      </c>
      <c r="F67" s="352">
        <v>1.1000000000000001</v>
      </c>
      <c r="G67" s="353">
        <v>8.9025999999999996</v>
      </c>
      <c r="H67" s="352">
        <v>31</v>
      </c>
      <c r="I67" s="416">
        <v>103.66785</v>
      </c>
    </row>
    <row r="68" spans="1:9" ht="14" thickBot="1">
      <c r="A68" s="349">
        <v>1179</v>
      </c>
      <c r="B68" s="350" t="s">
        <v>1210</v>
      </c>
      <c r="C68" s="415" t="s">
        <v>259</v>
      </c>
      <c r="D68" s="352">
        <v>2921.4229999999998</v>
      </c>
      <c r="E68" s="353">
        <v>1124.8620000000001</v>
      </c>
      <c r="F68" s="352">
        <v>116.8569</v>
      </c>
      <c r="G68" s="353">
        <v>693.58005000000003</v>
      </c>
      <c r="H68" s="352">
        <v>200</v>
      </c>
      <c r="I68" s="416">
        <v>758.19105000000002</v>
      </c>
    </row>
    <row r="69" spans="1:9" ht="14" thickBot="1">
      <c r="A69" s="349">
        <v>1215</v>
      </c>
      <c r="B69" s="350" t="s">
        <v>1177</v>
      </c>
      <c r="C69" s="415" t="s">
        <v>1208</v>
      </c>
      <c r="D69" s="352">
        <v>81.341999999999999</v>
      </c>
      <c r="E69" s="353">
        <v>42.262</v>
      </c>
      <c r="F69" s="352">
        <v>10.76817</v>
      </c>
      <c r="G69" s="353">
        <v>3.79921</v>
      </c>
      <c r="H69" s="352">
        <v>10</v>
      </c>
      <c r="I69" s="416">
        <v>128.49669</v>
      </c>
    </row>
    <row r="70" spans="1:9" ht="14" thickBot="1">
      <c r="A70" s="349">
        <v>1285</v>
      </c>
      <c r="B70" s="350" t="s">
        <v>1211</v>
      </c>
      <c r="C70" s="415" t="s">
        <v>259</v>
      </c>
      <c r="D70" s="352">
        <v>0.52600000000000002</v>
      </c>
      <c r="E70" s="353">
        <v>0</v>
      </c>
      <c r="F70" s="352">
        <v>3.1232500000000001</v>
      </c>
      <c r="G70" s="353">
        <v>2.4344999999999999</v>
      </c>
      <c r="H70" s="352">
        <v>0</v>
      </c>
      <c r="I70" s="416">
        <v>241.91541000000001</v>
      </c>
    </row>
    <row r="71" spans="1:9" ht="14" thickBot="1">
      <c r="A71" s="349">
        <v>1305</v>
      </c>
      <c r="B71" s="350" t="s">
        <v>1178</v>
      </c>
      <c r="C71" s="415" t="s">
        <v>1208</v>
      </c>
      <c r="D71" s="352">
        <v>487.017</v>
      </c>
      <c r="E71" s="353">
        <v>835.68499999999995</v>
      </c>
      <c r="F71" s="352">
        <v>28.74</v>
      </c>
      <c r="G71" s="353">
        <v>-104.40765</v>
      </c>
      <c r="H71" s="352">
        <v>630.846</v>
      </c>
      <c r="I71" s="416">
        <v>558.90504999999996</v>
      </c>
    </row>
    <row r="72" spans="1:9" ht="14" thickBot="1">
      <c r="A72" s="349">
        <v>1318</v>
      </c>
      <c r="B72" s="350" t="s">
        <v>1179</v>
      </c>
      <c r="C72" s="415" t="s">
        <v>1208</v>
      </c>
      <c r="D72" s="352">
        <v>26.754999999999999</v>
      </c>
      <c r="E72" s="353">
        <v>0</v>
      </c>
      <c r="F72" s="352">
        <v>2.3435999999999999</v>
      </c>
      <c r="G72" s="353">
        <v>23.139500000000002</v>
      </c>
      <c r="H72" s="352">
        <v>20</v>
      </c>
      <c r="I72" s="416">
        <v>108.45046000000001</v>
      </c>
    </row>
    <row r="73" spans="1:9" ht="14" thickBot="1">
      <c r="A73" s="349">
        <v>1322</v>
      </c>
      <c r="B73" s="350" t="s">
        <v>1180</v>
      </c>
      <c r="C73" s="415" t="s">
        <v>1208</v>
      </c>
      <c r="D73" s="352">
        <v>87.224999999999994</v>
      </c>
      <c r="E73" s="353">
        <v>74.48</v>
      </c>
      <c r="F73" s="352">
        <v>11.034599999999999</v>
      </c>
      <c r="G73" s="353">
        <v>40.774700000000003</v>
      </c>
      <c r="H73" s="352">
        <v>34.549999999999997</v>
      </c>
      <c r="I73" s="416">
        <v>122.79883</v>
      </c>
    </row>
    <row r="74" spans="1:9" ht="14" thickBot="1">
      <c r="A74" s="349">
        <v>1328</v>
      </c>
      <c r="B74" s="350" t="s">
        <v>1181</v>
      </c>
      <c r="C74" s="415" t="s">
        <v>1208</v>
      </c>
      <c r="D74" s="352">
        <v>990.18700000000001</v>
      </c>
      <c r="E74" s="353">
        <v>1303.866</v>
      </c>
      <c r="F74" s="352">
        <v>125.30163</v>
      </c>
      <c r="G74" s="353">
        <v>-398.44448</v>
      </c>
      <c r="H74" s="352">
        <v>671.77918</v>
      </c>
      <c r="I74" s="416">
        <v>740.78931</v>
      </c>
    </row>
    <row r="75" spans="1:9" ht="14" thickBot="1">
      <c r="A75" s="349">
        <v>1331</v>
      </c>
      <c r="B75" s="350" t="s">
        <v>1182</v>
      </c>
      <c r="C75" s="415" t="s">
        <v>1208</v>
      </c>
      <c r="D75" s="352">
        <v>5.6219999999999999</v>
      </c>
      <c r="E75" s="353">
        <v>8.0670000000000002</v>
      </c>
      <c r="F75" s="352">
        <v>8.0219000000000005</v>
      </c>
      <c r="G75" s="353">
        <v>-2.3900999999999999</v>
      </c>
      <c r="H75" s="352">
        <v>134.4</v>
      </c>
      <c r="I75" s="416">
        <v>548.24244999999996</v>
      </c>
    </row>
    <row r="76" spans="1:9" ht="14" thickBot="1">
      <c r="A76" s="349">
        <v>1362</v>
      </c>
      <c r="B76" s="350" t="s">
        <v>1183</v>
      </c>
      <c r="C76" s="415" t="s">
        <v>1208</v>
      </c>
      <c r="D76" s="352">
        <v>20.059999999999999</v>
      </c>
      <c r="E76" s="353">
        <v>11.723000000000001</v>
      </c>
      <c r="F76" s="352">
        <v>0</v>
      </c>
      <c r="G76" s="353">
        <v>0.56850000000000001</v>
      </c>
      <c r="H76" s="352">
        <v>1.5</v>
      </c>
      <c r="I76" s="416">
        <v>4.3070000000000004</v>
      </c>
    </row>
    <row r="77" spans="1:9" ht="14" thickBot="1">
      <c r="A77" s="349">
        <v>1384</v>
      </c>
      <c r="B77" s="350" t="s">
        <v>1184</v>
      </c>
      <c r="C77" s="415" t="s">
        <v>1208</v>
      </c>
      <c r="D77" s="352">
        <v>11720.611999999999</v>
      </c>
      <c r="E77" s="353">
        <v>10052.769</v>
      </c>
      <c r="F77" s="352">
        <v>842.76978999999994</v>
      </c>
      <c r="G77" s="353">
        <v>1309.1491799999999</v>
      </c>
      <c r="H77" s="352">
        <v>1093.5889999999999</v>
      </c>
      <c r="I77" s="416">
        <v>2229.1469900000002</v>
      </c>
    </row>
    <row r="78" spans="1:9" ht="14" thickBot="1">
      <c r="A78" s="349">
        <v>1386</v>
      </c>
      <c r="B78" s="350" t="s">
        <v>1185</v>
      </c>
      <c r="C78" s="415" t="s">
        <v>1208</v>
      </c>
      <c r="D78" s="352">
        <v>1379.9849999999999</v>
      </c>
      <c r="E78" s="353">
        <v>1201.847</v>
      </c>
      <c r="F78" s="352">
        <v>138.20484999999999</v>
      </c>
      <c r="G78" s="353">
        <v>-5.1662999999999997</v>
      </c>
      <c r="H78" s="352">
        <v>100</v>
      </c>
      <c r="I78" s="416">
        <v>0</v>
      </c>
    </row>
    <row r="79" spans="1:9" ht="14" thickBot="1">
      <c r="A79" s="349">
        <v>1401</v>
      </c>
      <c r="B79" s="350" t="s">
        <v>1187</v>
      </c>
      <c r="C79" s="415" t="s">
        <v>1208</v>
      </c>
      <c r="D79" s="352">
        <v>73.441999999999993</v>
      </c>
      <c r="E79" s="353">
        <v>40.021000000000001</v>
      </c>
      <c r="F79" s="352">
        <v>15.404</v>
      </c>
      <c r="G79" s="353">
        <v>14.882999999999999</v>
      </c>
      <c r="H79" s="352">
        <v>110</v>
      </c>
      <c r="I79" s="416">
        <v>209.15549999999999</v>
      </c>
    </row>
    <row r="80" spans="1:9" ht="14" thickBot="1">
      <c r="A80" s="349">
        <v>1402</v>
      </c>
      <c r="B80" s="350" t="s">
        <v>1212</v>
      </c>
      <c r="C80" s="415" t="s">
        <v>259</v>
      </c>
      <c r="D80" s="352">
        <v>0</v>
      </c>
      <c r="E80" s="353">
        <v>218.26</v>
      </c>
      <c r="F80" s="352">
        <v>4.2527499999999998</v>
      </c>
      <c r="G80" s="353">
        <v>228.76525000000001</v>
      </c>
      <c r="H80" s="352">
        <v>20</v>
      </c>
      <c r="I80" s="416">
        <v>614.66459999999995</v>
      </c>
    </row>
    <row r="81" spans="1:9" ht="14" thickBot="1">
      <c r="A81" s="349">
        <v>1423</v>
      </c>
      <c r="B81" s="350" t="s">
        <v>1188</v>
      </c>
      <c r="C81" s="415" t="s">
        <v>1208</v>
      </c>
      <c r="D81" s="352">
        <v>145.05500000000001</v>
      </c>
      <c r="E81" s="353">
        <v>129.72800000000001</v>
      </c>
      <c r="F81" s="352">
        <v>14.8187</v>
      </c>
      <c r="G81" s="353">
        <v>-0.58192999999999995</v>
      </c>
      <c r="H81" s="352">
        <v>120</v>
      </c>
      <c r="I81" s="416">
        <v>179.94958</v>
      </c>
    </row>
    <row r="82" spans="1:9" ht="14" thickBot="1">
      <c r="A82" s="349">
        <v>1442</v>
      </c>
      <c r="B82" s="350" t="s">
        <v>1189</v>
      </c>
      <c r="C82" s="415" t="s">
        <v>1208</v>
      </c>
      <c r="D82" s="352">
        <v>53.619</v>
      </c>
      <c r="E82" s="353">
        <v>35.284999999999997</v>
      </c>
      <c r="F82" s="352">
        <v>2.06725</v>
      </c>
      <c r="G82" s="353">
        <v>19.366050000000001</v>
      </c>
      <c r="H82" s="352">
        <v>10</v>
      </c>
      <c r="I82" s="416">
        <v>249.99098000000001</v>
      </c>
    </row>
    <row r="83" spans="1:9" ht="14" thickBot="1">
      <c r="A83" s="349">
        <v>1448</v>
      </c>
      <c r="B83" s="350" t="s">
        <v>1190</v>
      </c>
      <c r="C83" s="415" t="s">
        <v>1208</v>
      </c>
      <c r="D83" s="352">
        <v>103.383</v>
      </c>
      <c r="E83" s="353">
        <v>128.524</v>
      </c>
      <c r="F83" s="352">
        <v>6.8372999999999999</v>
      </c>
      <c r="G83" s="353">
        <v>-5.1239999999999997</v>
      </c>
      <c r="H83" s="352">
        <v>50</v>
      </c>
      <c r="I83" s="416">
        <v>161.29325</v>
      </c>
    </row>
    <row r="84" spans="1:9" ht="14" thickBot="1">
      <c r="A84" s="349">
        <v>1454</v>
      </c>
      <c r="B84" s="350" t="s">
        <v>1191</v>
      </c>
      <c r="C84" s="415" t="s">
        <v>1208</v>
      </c>
      <c r="D84" s="352">
        <v>1703.0029999999999</v>
      </c>
      <c r="E84" s="353">
        <v>936.88499999999999</v>
      </c>
      <c r="F84" s="352">
        <v>87.670400000000001</v>
      </c>
      <c r="G84" s="353">
        <v>65.019900000000007</v>
      </c>
      <c r="H84" s="352">
        <v>1450</v>
      </c>
      <c r="I84" s="416">
        <v>1250.9918</v>
      </c>
    </row>
    <row r="85" spans="1:9" ht="14" thickBot="1">
      <c r="A85" s="349">
        <v>1479</v>
      </c>
      <c r="B85" s="350" t="s">
        <v>1192</v>
      </c>
      <c r="C85" s="415" t="s">
        <v>1208</v>
      </c>
      <c r="D85" s="352">
        <v>11512.549000000001</v>
      </c>
      <c r="E85" s="353">
        <v>10734.619000000001</v>
      </c>
      <c r="F85" s="352">
        <v>1689.2777799999999</v>
      </c>
      <c r="G85" s="353">
        <v>106.71728</v>
      </c>
      <c r="H85" s="352">
        <v>1100</v>
      </c>
      <c r="I85" s="416">
        <v>8936.5840800000005</v>
      </c>
    </row>
    <row r="86" spans="1:9" ht="14" thickBot="1">
      <c r="A86" s="349">
        <v>1491</v>
      </c>
      <c r="B86" s="350" t="s">
        <v>1213</v>
      </c>
      <c r="C86" s="415" t="s">
        <v>259</v>
      </c>
      <c r="D86" s="352">
        <v>1818.7650000000001</v>
      </c>
      <c r="E86" s="353">
        <v>1817.5139999999999</v>
      </c>
      <c r="F86" s="352">
        <v>193.71</v>
      </c>
      <c r="G86" s="353">
        <v>-265.30880000000002</v>
      </c>
      <c r="H86" s="352">
        <v>0</v>
      </c>
      <c r="I86" s="416">
        <v>2071.721</v>
      </c>
    </row>
    <row r="87" spans="1:9" ht="14" thickBot="1">
      <c r="A87" s="349">
        <v>1507</v>
      </c>
      <c r="B87" s="350" t="s">
        <v>1193</v>
      </c>
      <c r="C87" s="415" t="s">
        <v>1208</v>
      </c>
      <c r="D87" s="352">
        <v>651.697</v>
      </c>
      <c r="E87" s="353">
        <v>346.548</v>
      </c>
      <c r="F87" s="352">
        <v>25</v>
      </c>
      <c r="G87" s="353">
        <v>280.14924999999999</v>
      </c>
      <c r="H87" s="352">
        <v>110</v>
      </c>
      <c r="I87" s="416">
        <v>1081.70012</v>
      </c>
    </row>
    <row r="88" spans="1:9" ht="14" thickBot="1">
      <c r="A88" s="349">
        <v>1509</v>
      </c>
      <c r="B88" s="350" t="s">
        <v>1194</v>
      </c>
      <c r="C88" s="415" t="s">
        <v>1208</v>
      </c>
      <c r="D88" s="352">
        <v>10831.699000000001</v>
      </c>
      <c r="E88" s="353">
        <v>8971.65</v>
      </c>
      <c r="F88" s="352">
        <v>990.29994999999997</v>
      </c>
      <c r="G88" s="353">
        <v>-2.4110500000000399</v>
      </c>
      <c r="H88" s="352">
        <v>3750</v>
      </c>
      <c r="I88" s="416">
        <v>5303.6018999999997</v>
      </c>
    </row>
    <row r="89" spans="1:9" ht="14" thickBot="1">
      <c r="A89" s="349">
        <v>1519</v>
      </c>
      <c r="B89" s="350" t="s">
        <v>1195</v>
      </c>
      <c r="C89" s="415" t="s">
        <v>1208</v>
      </c>
      <c r="D89" s="352">
        <v>980.57899999999995</v>
      </c>
      <c r="E89" s="353">
        <v>1700.777</v>
      </c>
      <c r="F89" s="352">
        <v>180.65326999999999</v>
      </c>
      <c r="G89" s="353">
        <v>-894.74275</v>
      </c>
      <c r="H89" s="352">
        <v>500</v>
      </c>
      <c r="I89" s="416">
        <v>-902.11982999999998</v>
      </c>
    </row>
    <row r="90" spans="1:9" ht="14" thickBot="1">
      <c r="A90" s="349">
        <v>1520</v>
      </c>
      <c r="B90" s="350" t="s">
        <v>1196</v>
      </c>
      <c r="C90" s="415" t="s">
        <v>1208</v>
      </c>
      <c r="D90" s="352">
        <v>23160.794000000002</v>
      </c>
      <c r="E90" s="353">
        <v>21354.928</v>
      </c>
      <c r="F90" s="352">
        <v>1000</v>
      </c>
      <c r="G90" s="353">
        <v>2264.0622100000001</v>
      </c>
      <c r="H90" s="352">
        <v>2500</v>
      </c>
      <c r="I90" s="416">
        <v>3236.7172</v>
      </c>
    </row>
    <row r="91" spans="1:9" ht="14" thickBot="1">
      <c r="A91" s="349">
        <v>1522</v>
      </c>
      <c r="B91" s="350" t="s">
        <v>1214</v>
      </c>
      <c r="C91" s="415" t="s">
        <v>259</v>
      </c>
      <c r="D91" s="352">
        <v>3269.7089999999998</v>
      </c>
      <c r="E91" s="353">
        <v>3163.971</v>
      </c>
      <c r="F91" s="352">
        <v>331.89645000000002</v>
      </c>
      <c r="G91" s="353">
        <v>35.039699999999897</v>
      </c>
      <c r="H91" s="352">
        <v>0</v>
      </c>
      <c r="I91" s="416">
        <v>4846.3621899999998</v>
      </c>
    </row>
    <row r="92" spans="1:9" ht="14" thickBot="1">
      <c r="A92" s="349">
        <v>1529</v>
      </c>
      <c r="B92" s="350" t="s">
        <v>1197</v>
      </c>
      <c r="C92" s="415" t="s">
        <v>1208</v>
      </c>
      <c r="D92" s="352">
        <v>5250.0129999999999</v>
      </c>
      <c r="E92" s="353">
        <v>2617.6819999999998</v>
      </c>
      <c r="F92" s="352">
        <v>97.812079999999995</v>
      </c>
      <c r="G92" s="353">
        <v>2974.1187</v>
      </c>
      <c r="H92" s="352">
        <v>719.86230999999998</v>
      </c>
      <c r="I92" s="416">
        <v>5461.1186900000002</v>
      </c>
    </row>
    <row r="93" spans="1:9" ht="14" thickBot="1">
      <c r="A93" s="349">
        <v>1534</v>
      </c>
      <c r="B93" s="350" t="s">
        <v>1215</v>
      </c>
      <c r="C93" s="415" t="s">
        <v>259</v>
      </c>
      <c r="D93" s="352">
        <v>1E-3</v>
      </c>
      <c r="E93" s="353">
        <v>1E-3</v>
      </c>
      <c r="F93" s="352">
        <v>9.2136499999999995</v>
      </c>
      <c r="G93" s="353">
        <v>-67.369150000000005</v>
      </c>
      <c r="H93" s="352">
        <v>0</v>
      </c>
      <c r="I93" s="416">
        <v>0</v>
      </c>
    </row>
    <row r="94" spans="1:9" ht="14" thickBot="1">
      <c r="A94" s="349">
        <v>1535</v>
      </c>
      <c r="B94" s="350" t="s">
        <v>1198</v>
      </c>
      <c r="C94" s="415" t="s">
        <v>1208</v>
      </c>
      <c r="D94" s="352">
        <v>21903.808000000001</v>
      </c>
      <c r="E94" s="353">
        <v>17610.661</v>
      </c>
      <c r="F94" s="352">
        <v>1650</v>
      </c>
      <c r="G94" s="353">
        <v>3034.0167200000001</v>
      </c>
      <c r="H94" s="352">
        <v>1814</v>
      </c>
      <c r="I94" s="416">
        <v>14512.51497</v>
      </c>
    </row>
    <row r="95" spans="1:9" ht="14" thickBot="1">
      <c r="A95" s="349">
        <v>1540</v>
      </c>
      <c r="B95" s="350" t="s">
        <v>1216</v>
      </c>
      <c r="C95" s="415" t="s">
        <v>259</v>
      </c>
      <c r="D95" s="352">
        <v>2523.7730000000001</v>
      </c>
      <c r="E95" s="353">
        <v>2644.2930000000001</v>
      </c>
      <c r="F95" s="352">
        <v>129.78295</v>
      </c>
      <c r="G95" s="353">
        <v>-135.29089999999999</v>
      </c>
      <c r="H95" s="352">
        <v>0</v>
      </c>
      <c r="I95" s="416">
        <v>1150.0474999999999</v>
      </c>
    </row>
    <row r="96" spans="1:9" ht="14" thickBot="1">
      <c r="A96" s="349">
        <v>1549</v>
      </c>
      <c r="B96" s="350" t="s">
        <v>1200</v>
      </c>
      <c r="C96" s="415" t="s">
        <v>1208</v>
      </c>
      <c r="D96" s="352">
        <v>641.06200000000001</v>
      </c>
      <c r="E96" s="353">
        <v>689.476</v>
      </c>
      <c r="F96" s="352">
        <v>102.35678</v>
      </c>
      <c r="G96" s="353">
        <v>-127.23231</v>
      </c>
      <c r="H96" s="352">
        <v>50</v>
      </c>
      <c r="I96" s="416">
        <v>-45.607529999999997</v>
      </c>
    </row>
    <row r="97" spans="1:9" ht="14" thickBot="1">
      <c r="A97" s="349">
        <v>1551</v>
      </c>
      <c r="B97" s="350" t="s">
        <v>1201</v>
      </c>
      <c r="C97" s="415" t="s">
        <v>1208</v>
      </c>
      <c r="D97" s="352">
        <v>2081.1680000000001</v>
      </c>
      <c r="E97" s="353">
        <v>1841.1120000000001</v>
      </c>
      <c r="F97" s="352">
        <v>227.22747000000001</v>
      </c>
      <c r="G97" s="353">
        <v>288.04617999999999</v>
      </c>
      <c r="H97" s="352">
        <v>300</v>
      </c>
      <c r="I97" s="416">
        <v>315.69720999999998</v>
      </c>
    </row>
    <row r="98" spans="1:9" ht="14" thickBot="1">
      <c r="A98" s="349">
        <v>1552</v>
      </c>
      <c r="B98" s="350" t="s">
        <v>1202</v>
      </c>
      <c r="C98" s="415" t="s">
        <v>1208</v>
      </c>
      <c r="D98" s="352">
        <v>0.22600000000000001</v>
      </c>
      <c r="E98" s="353">
        <v>0</v>
      </c>
      <c r="F98" s="352">
        <v>8.9999999999999993E-3</v>
      </c>
      <c r="G98" s="353">
        <v>0.21634999999999999</v>
      </c>
      <c r="H98" s="352">
        <v>7.4349999999999999E-2</v>
      </c>
      <c r="I98" s="416">
        <v>0.42759999999999998</v>
      </c>
    </row>
    <row r="99" spans="1:9" ht="14" thickBot="1">
      <c r="A99" s="349">
        <v>1555</v>
      </c>
      <c r="B99" s="350" t="s">
        <v>1203</v>
      </c>
      <c r="C99" s="415" t="s">
        <v>1208</v>
      </c>
      <c r="D99" s="352">
        <v>9593.23</v>
      </c>
      <c r="E99" s="353">
        <v>5848.5079999999998</v>
      </c>
      <c r="F99" s="352">
        <v>435.85329999999999</v>
      </c>
      <c r="G99" s="353">
        <v>3595.7270899999999</v>
      </c>
      <c r="H99" s="352">
        <v>1924</v>
      </c>
      <c r="I99" s="416">
        <v>34128.720450000001</v>
      </c>
    </row>
    <row r="100" spans="1:9" ht="14" thickBot="1">
      <c r="A100" s="349">
        <v>1560</v>
      </c>
      <c r="B100" s="350" t="s">
        <v>1204</v>
      </c>
      <c r="C100" s="415" t="s">
        <v>1208</v>
      </c>
      <c r="D100" s="352">
        <v>12161.459000000001</v>
      </c>
      <c r="E100" s="353">
        <v>8658.1080000000002</v>
      </c>
      <c r="F100" s="352">
        <v>1108.9914100000001</v>
      </c>
      <c r="G100" s="353">
        <v>1397.57781</v>
      </c>
      <c r="H100" s="352">
        <v>2554.1536999999998</v>
      </c>
      <c r="I100" s="416">
        <v>14204.021409999999</v>
      </c>
    </row>
    <row r="101" spans="1:9" ht="14" thickBot="1">
      <c r="A101" s="349">
        <v>1562</v>
      </c>
      <c r="B101" s="350" t="s">
        <v>1205</v>
      </c>
      <c r="C101" s="415" t="s">
        <v>1208</v>
      </c>
      <c r="D101" s="352">
        <v>121393.3</v>
      </c>
      <c r="E101" s="353">
        <v>110949.338</v>
      </c>
      <c r="F101" s="352">
        <v>12961.78457</v>
      </c>
      <c r="G101" s="353">
        <v>-2537.2921700000002</v>
      </c>
      <c r="H101" s="352">
        <v>50025</v>
      </c>
      <c r="I101" s="416">
        <v>45562.638129999999</v>
      </c>
    </row>
    <row r="102" spans="1:9" ht="14" thickBot="1">
      <c r="A102" s="349">
        <v>1563</v>
      </c>
      <c r="B102" s="350" t="s">
        <v>1206</v>
      </c>
      <c r="C102" s="415" t="s">
        <v>1208</v>
      </c>
      <c r="D102" s="352">
        <v>2638.4690000000001</v>
      </c>
      <c r="E102" s="353">
        <v>2413.8310000000001</v>
      </c>
      <c r="F102" s="352">
        <v>657.19515999999999</v>
      </c>
      <c r="G102" s="353">
        <v>-610.76868999999999</v>
      </c>
      <c r="H102" s="352">
        <v>912</v>
      </c>
      <c r="I102" s="416">
        <v>2328.5304599999999</v>
      </c>
    </row>
    <row r="103" spans="1:9" ht="14" thickBot="1">
      <c r="A103" s="349">
        <v>1564</v>
      </c>
      <c r="B103" s="350" t="s">
        <v>1207</v>
      </c>
      <c r="C103" s="415" t="s">
        <v>1208</v>
      </c>
      <c r="D103" s="352">
        <v>743.13</v>
      </c>
      <c r="E103" s="353">
        <v>702.20899999999995</v>
      </c>
      <c r="F103" s="352">
        <v>-30.268609999999999</v>
      </c>
      <c r="G103" s="353">
        <v>40.92107</v>
      </c>
      <c r="H103" s="352">
        <v>0</v>
      </c>
      <c r="I103" s="416">
        <v>109.22999</v>
      </c>
    </row>
    <row r="104" spans="1:9" s="36" customFormat="1" ht="14" thickBot="1">
      <c r="A104" s="369" t="s">
        <v>607</v>
      </c>
      <c r="B104" s="370">
        <v>93</v>
      </c>
      <c r="C104" s="419">
        <v>8</v>
      </c>
      <c r="D104" s="372">
        <v>371743.67599999998</v>
      </c>
      <c r="E104" s="373">
        <v>329149.10600000003</v>
      </c>
      <c r="F104" s="372">
        <v>38134.200029999898</v>
      </c>
      <c r="G104" s="373">
        <v>10458.420889999999</v>
      </c>
      <c r="H104" s="372">
        <v>98762.893899999995</v>
      </c>
      <c r="I104" s="420">
        <v>227947.88506999999</v>
      </c>
    </row>
    <row r="105" spans="1:9" ht="14" thickBot="1">
      <c r="A105" s="380"/>
      <c r="B105" s="381"/>
      <c r="C105" s="421"/>
      <c r="D105" s="383"/>
      <c r="E105" s="383"/>
      <c r="F105" s="384"/>
      <c r="G105" s="383"/>
      <c r="H105" s="385"/>
      <c r="I105" s="386"/>
    </row>
    <row r="106" spans="1:9" ht="14" thickBot="1">
      <c r="A106" s="388"/>
      <c r="B106" s="8" t="s">
        <v>178</v>
      </c>
      <c r="C106" s="422"/>
      <c r="D106" s="390"/>
      <c r="E106" s="390"/>
      <c r="F106" s="391"/>
      <c r="G106" s="390"/>
      <c r="H106" s="392"/>
      <c r="I106" s="393"/>
    </row>
    <row r="108" spans="1:9">
      <c r="B108" s="423" t="s">
        <v>1726</v>
      </c>
    </row>
    <row r="109" spans="1:9">
      <c r="A109" s="105"/>
      <c r="B109" s="94" t="s">
        <v>260</v>
      </c>
    </row>
    <row r="110" spans="1:9">
      <c r="A110" s="105">
        <v>1</v>
      </c>
      <c r="B110" s="94" t="s">
        <v>261</v>
      </c>
    </row>
    <row r="111" spans="1:9">
      <c r="A111" s="105">
        <v>2</v>
      </c>
      <c r="B111" s="94" t="s">
        <v>262</v>
      </c>
    </row>
    <row r="112" spans="1:9">
      <c r="A112" s="105">
        <v>3</v>
      </c>
      <c r="B112" s="94" t="s">
        <v>263</v>
      </c>
    </row>
    <row r="113" spans="1:2">
      <c r="A113" s="105" t="s">
        <v>264</v>
      </c>
      <c r="B113" s="94" t="s">
        <v>265</v>
      </c>
    </row>
    <row r="114" spans="1:2">
      <c r="A114" s="105">
        <v>5</v>
      </c>
      <c r="B114" s="94" t="s">
        <v>266</v>
      </c>
    </row>
    <row r="115" spans="1:2">
      <c r="A115" s="105">
        <v>6</v>
      </c>
      <c r="B115" s="94" t="s">
        <v>267</v>
      </c>
    </row>
    <row r="116" spans="1:2">
      <c r="A116" s="105">
        <v>7</v>
      </c>
      <c r="B116" s="94" t="s">
        <v>268</v>
      </c>
    </row>
  </sheetData>
  <phoneticPr fontId="0" type="noConversion"/>
  <pageMargins left="0.42" right="0.26" top="0.62" bottom="0.56999999999999995" header="0.36" footer="0.28000000000000003"/>
  <pageSetup paperSize="9" scale="70" pageOrder="overThenDown" orientation="portrait" horizontalDpi="4294967292" verticalDpi="4294967292"/>
  <headerFooter alignWithMargins="0">
    <oddHeader>&amp;L&amp;"Arial,Bold"&amp;14Individuelle Daten pro Versicherer</oddHeader>
    <oddFooter>&amp;L&amp;"Arial,Regular"Statistik über die Krankenversicherung, Bundesamt für Sozialversicherung - &amp;P / &amp;N</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9297-4799-294D-9D6F-0DD559AEDC3F}">
  <dimension ref="A1:B8"/>
  <sheetViews>
    <sheetView workbookViewId="0">
      <selection activeCell="D18" sqref="D18"/>
    </sheetView>
  </sheetViews>
  <sheetFormatPr baseColWidth="10" defaultColWidth="11.3984375" defaultRowHeight="13"/>
  <cols>
    <col min="1" max="1" width="5.59765625" style="278" customWidth="1"/>
    <col min="2" max="16384" width="11.3984375" style="278"/>
  </cols>
  <sheetData>
    <row r="1" spans="1:2" ht="16">
      <c r="A1" s="277" t="s">
        <v>491</v>
      </c>
    </row>
    <row r="2" spans="1:2" ht="16">
      <c r="A2" s="279"/>
    </row>
    <row r="3" spans="1:2">
      <c r="A3" s="278">
        <v>6.01</v>
      </c>
      <c r="B3" s="280" t="s">
        <v>492</v>
      </c>
    </row>
    <row r="4" spans="1:2">
      <c r="A4" s="278">
        <v>6.02</v>
      </c>
      <c r="B4" s="280" t="s">
        <v>493</v>
      </c>
    </row>
    <row r="5" spans="1:2">
      <c r="A5" s="278">
        <v>6.03</v>
      </c>
      <c r="B5" s="280" t="s">
        <v>494</v>
      </c>
    </row>
    <row r="6" spans="1:2">
      <c r="A6" s="278">
        <v>6.04</v>
      </c>
      <c r="B6" s="280" t="s">
        <v>40</v>
      </c>
    </row>
    <row r="7" spans="1:2">
      <c r="A7" s="278">
        <v>6.05</v>
      </c>
      <c r="B7" s="280" t="s">
        <v>41</v>
      </c>
    </row>
    <row r="8" spans="1:2">
      <c r="A8" s="278">
        <v>6.06</v>
      </c>
      <c r="B8" s="280" t="s">
        <v>42</v>
      </c>
    </row>
  </sheetData>
  <phoneticPr fontId="23" type="noConversion"/>
  <pageMargins left="0.46" right="0.35" top="0.83" bottom="0.984251969" header="0.36" footer="0.4921259845"/>
  <pageSetup paperSize="9" orientation="portrait"/>
  <headerFooter alignWithMargins="0">
    <oddHeader>&amp;LFreiwillige Taggeldversicherung KVG</oddHeader>
    <oddFooter>&amp;LStatistik der Krankenversicherung, Bundesamt für Sozialversicherung</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D170-93A5-214E-A170-1ED12D6122FA}">
  <dimension ref="A1:H20"/>
  <sheetViews>
    <sheetView zoomScale="75" workbookViewId="0">
      <selection activeCell="D12" sqref="D12"/>
    </sheetView>
  </sheetViews>
  <sheetFormatPr baseColWidth="10" defaultColWidth="11.3984375" defaultRowHeight="13"/>
  <cols>
    <col min="1" max="1" width="16.796875" style="3" customWidth="1"/>
    <col min="2" max="7" width="14.796875" style="3" customWidth="1"/>
    <col min="8" max="16384" width="11.3984375" style="3"/>
  </cols>
  <sheetData>
    <row r="1" spans="1:8" s="1" customFormat="1" ht="14" customHeight="1"/>
    <row r="2" spans="1:8" s="1" customFormat="1" ht="28" customHeight="1">
      <c r="A2" s="81" t="s">
        <v>991</v>
      </c>
    </row>
    <row r="3" spans="1:8" ht="24" customHeight="1">
      <c r="A3" s="2" t="s">
        <v>1308</v>
      </c>
      <c r="B3" s="74" t="s">
        <v>992</v>
      </c>
      <c r="C3" s="17" t="s">
        <v>786</v>
      </c>
      <c r="D3" s="74" t="s">
        <v>1316</v>
      </c>
      <c r="E3" s="17" t="s">
        <v>993</v>
      </c>
      <c r="F3" s="74" t="s">
        <v>994</v>
      </c>
      <c r="G3" s="96" t="s">
        <v>609</v>
      </c>
    </row>
    <row r="4" spans="1:8" ht="15" customHeight="1">
      <c r="A4" s="82"/>
      <c r="B4" s="75" t="s">
        <v>1304</v>
      </c>
      <c r="C4" s="18" t="s">
        <v>995</v>
      </c>
      <c r="D4" s="75" t="s">
        <v>1304</v>
      </c>
      <c r="E4" s="18" t="s">
        <v>996</v>
      </c>
      <c r="F4" s="75" t="s">
        <v>997</v>
      </c>
      <c r="G4" s="4" t="s">
        <v>610</v>
      </c>
    </row>
    <row r="5" spans="1:8" ht="15" customHeight="1">
      <c r="A5" s="82"/>
      <c r="B5" s="75"/>
      <c r="C5" s="18" t="s">
        <v>998</v>
      </c>
      <c r="D5" s="75"/>
      <c r="E5" s="18" t="s">
        <v>998</v>
      </c>
      <c r="F5" s="75" t="s">
        <v>999</v>
      </c>
      <c r="G5" s="4" t="s">
        <v>611</v>
      </c>
    </row>
    <row r="6" spans="1:8" ht="24" customHeight="1" thickBot="1">
      <c r="A6" s="83"/>
      <c r="B6" s="78"/>
      <c r="C6" s="19" t="s">
        <v>1000</v>
      </c>
      <c r="D6" s="78"/>
      <c r="E6" s="19" t="s">
        <v>1000</v>
      </c>
      <c r="F6" s="78"/>
      <c r="G6" s="5"/>
    </row>
    <row r="7" spans="1:8" ht="30" customHeight="1" thickBot="1">
      <c r="A7" s="85">
        <v>1994</v>
      </c>
      <c r="B7" s="314">
        <v>1057650000</v>
      </c>
      <c r="C7" s="302">
        <v>318.09835740161776</v>
      </c>
      <c r="D7" s="314">
        <v>983235000</v>
      </c>
      <c r="E7" s="302">
        <v>295.71733412733857</v>
      </c>
      <c r="F7" s="314">
        <v>3324915</v>
      </c>
      <c r="G7" s="191">
        <v>6.8528664295382902E-2</v>
      </c>
      <c r="H7" s="43"/>
    </row>
    <row r="8" spans="1:8" ht="20" customHeight="1" thickBot="1">
      <c r="A8" s="85">
        <v>1995</v>
      </c>
      <c r="B8" s="314">
        <v>1078822000</v>
      </c>
      <c r="C8" s="302">
        <v>329.71181366833588</v>
      </c>
      <c r="D8" s="314">
        <v>1017388000</v>
      </c>
      <c r="E8" s="302">
        <v>310.93622737059582</v>
      </c>
      <c r="F8" s="314">
        <v>3272015</v>
      </c>
      <c r="G8" s="191">
        <v>-1.591018116252596E-2</v>
      </c>
    </row>
    <row r="9" spans="1:8" ht="20" customHeight="1" thickBot="1">
      <c r="A9" s="85">
        <v>1996</v>
      </c>
      <c r="B9" s="314">
        <v>834293460.30999994</v>
      </c>
      <c r="C9" s="302">
        <v>376.29671172369871</v>
      </c>
      <c r="D9" s="314">
        <v>872501911.04999995</v>
      </c>
      <c r="E9" s="302">
        <v>393.53011346722496</v>
      </c>
      <c r="F9" s="314">
        <v>2217116</v>
      </c>
      <c r="G9" s="191">
        <v>-0.32240041686850457</v>
      </c>
    </row>
    <row r="10" spans="1:8" ht="20" customHeight="1" thickBot="1">
      <c r="A10" s="85">
        <v>1997</v>
      </c>
      <c r="B10" s="314">
        <v>560570162</v>
      </c>
      <c r="C10" s="302">
        <v>392.67</v>
      </c>
      <c r="D10" s="314">
        <v>621526120</v>
      </c>
      <c r="E10" s="302">
        <v>435.36</v>
      </c>
      <c r="F10" s="314">
        <v>1427603</v>
      </c>
      <c r="G10" s="191">
        <v>-0.35609909449934057</v>
      </c>
    </row>
    <row r="11" spans="1:8" ht="20" customHeight="1" thickBot="1">
      <c r="A11" s="85">
        <v>1998</v>
      </c>
      <c r="B11" s="314">
        <v>511396331</v>
      </c>
      <c r="C11" s="302">
        <v>426.81</v>
      </c>
      <c r="D11" s="314">
        <v>456362591</v>
      </c>
      <c r="E11" s="302">
        <v>380.88</v>
      </c>
      <c r="F11" s="314">
        <v>1198191</v>
      </c>
      <c r="G11" s="191">
        <v>-0.16069733672456557</v>
      </c>
    </row>
    <row r="12" spans="1:8" ht="20" customHeight="1" thickBot="1">
      <c r="A12" s="85">
        <v>1999</v>
      </c>
      <c r="B12" s="314">
        <v>464483007</v>
      </c>
      <c r="C12" s="302">
        <v>435.18</v>
      </c>
      <c r="D12" s="314">
        <v>412149153</v>
      </c>
      <c r="E12" s="302">
        <v>386.14</v>
      </c>
      <c r="F12" s="314">
        <v>1067344</v>
      </c>
      <c r="G12" s="191">
        <v>-0.1092037913821753</v>
      </c>
    </row>
    <row r="13" spans="1:8" ht="20" customHeight="1" thickBot="1">
      <c r="A13" s="85">
        <v>2000</v>
      </c>
      <c r="B13" s="314">
        <v>439226020</v>
      </c>
      <c r="C13" s="302">
        <v>461.5</v>
      </c>
      <c r="D13" s="314">
        <v>381639920</v>
      </c>
      <c r="E13" s="302">
        <v>400.99</v>
      </c>
      <c r="F13" s="314">
        <v>951742</v>
      </c>
      <c r="G13" s="191">
        <v>-0.10830809935690837</v>
      </c>
    </row>
    <row r="14" spans="1:8" ht="20" customHeight="1" thickBot="1">
      <c r="A14" s="85">
        <v>2001</v>
      </c>
      <c r="B14" s="314">
        <v>400711889</v>
      </c>
      <c r="C14" s="302">
        <v>461</v>
      </c>
      <c r="D14" s="314">
        <v>351971371</v>
      </c>
      <c r="E14" s="302">
        <v>405</v>
      </c>
      <c r="F14" s="314">
        <v>868760</v>
      </c>
      <c r="G14" s="191">
        <v>-8.7189595499620701E-2</v>
      </c>
    </row>
    <row r="15" spans="1:8" ht="30" customHeight="1" thickBot="1">
      <c r="A15" s="313">
        <v>2002</v>
      </c>
      <c r="B15" s="120">
        <v>371743676</v>
      </c>
      <c r="C15" s="121">
        <v>472.03</v>
      </c>
      <c r="D15" s="120">
        <v>329149106</v>
      </c>
      <c r="E15" s="121">
        <v>417.95</v>
      </c>
      <c r="F15" s="120">
        <v>787539</v>
      </c>
      <c r="G15" s="256">
        <v>-0.17252889963876764</v>
      </c>
    </row>
    <row r="16" spans="1:8" ht="20" customHeight="1">
      <c r="A16" s="9" t="s">
        <v>178</v>
      </c>
      <c r="B16" s="9"/>
      <c r="C16" s="9"/>
      <c r="D16" s="9"/>
      <c r="E16" s="9"/>
      <c r="F16" s="9"/>
      <c r="G16" s="9"/>
    </row>
    <row r="17" spans="1:7" ht="13.5" customHeight="1">
      <c r="A17" s="38"/>
      <c r="B17" s="38"/>
      <c r="C17" s="38"/>
      <c r="D17" s="38"/>
      <c r="E17" s="38"/>
      <c r="F17" s="38"/>
      <c r="G17" s="38"/>
    </row>
    <row r="18" spans="1:7" ht="15.75" customHeight="1">
      <c r="A18" s="38" t="s">
        <v>1001</v>
      </c>
      <c r="B18" s="38"/>
      <c r="C18" s="38"/>
      <c r="D18" s="38"/>
      <c r="E18" s="38"/>
      <c r="F18" s="38"/>
      <c r="G18" s="38"/>
    </row>
    <row r="19" spans="1:7" ht="14.25" customHeight="1">
      <c r="A19" s="38"/>
      <c r="B19" s="38"/>
      <c r="C19" s="38"/>
      <c r="D19" s="38"/>
      <c r="E19" s="38"/>
      <c r="F19" s="38"/>
      <c r="G19" s="38"/>
    </row>
    <row r="20" spans="1:7" ht="12.75" customHeight="1">
      <c r="A20" s="38" t="s">
        <v>1002</v>
      </c>
      <c r="B20" s="38"/>
      <c r="C20" s="38"/>
      <c r="D20" s="38"/>
      <c r="E20" s="38"/>
      <c r="F20" s="38"/>
      <c r="G20" s="38"/>
    </row>
  </sheetData>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&amp;L&amp;"Arial,Bold"&amp;14Freiwillige Taggeldversicherung KVG</oddHeader>
    <oddFooter>&amp;L&amp;"Arial,Regular"Statistik über die Krankenversicherung, Bundesamt für Sozialversicherung</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B62D-CD98-EE48-95FE-81DE70E30EE6}">
  <dimension ref="A1:K20"/>
  <sheetViews>
    <sheetView zoomScale="75" workbookViewId="0">
      <selection activeCell="B15" sqref="B15"/>
    </sheetView>
  </sheetViews>
  <sheetFormatPr baseColWidth="10" defaultColWidth="11.3984375" defaultRowHeight="13"/>
  <cols>
    <col min="1" max="1" width="16.796875" style="3" customWidth="1"/>
    <col min="2" max="2" width="14.796875" style="3" customWidth="1"/>
    <col min="3" max="3" width="14.796875" style="105" customWidth="1"/>
    <col min="4" max="4" width="14.796875" style="3" customWidth="1"/>
    <col min="5" max="5" width="14.796875" style="105" customWidth="1"/>
    <col min="6" max="6" width="14.796875" style="3" customWidth="1"/>
    <col min="7" max="7" width="14.796875" style="105" customWidth="1"/>
    <col min="8" max="16384" width="11.3984375" style="3"/>
  </cols>
  <sheetData>
    <row r="1" spans="1:11" s="1" customFormat="1" ht="14" customHeight="1">
      <c r="C1" s="95"/>
      <c r="E1" s="95"/>
      <c r="G1" s="95"/>
    </row>
    <row r="2" spans="1:11" s="1" customFormat="1" ht="28" customHeight="1">
      <c r="A2" s="81" t="s">
        <v>980</v>
      </c>
      <c r="C2" s="95"/>
      <c r="E2" s="95"/>
      <c r="G2" s="95"/>
    </row>
    <row r="3" spans="1:11" ht="24" customHeight="1">
      <c r="A3" s="2" t="s">
        <v>335</v>
      </c>
      <c r="B3" s="74" t="s">
        <v>981</v>
      </c>
      <c r="C3" s="96" t="s">
        <v>609</v>
      </c>
      <c r="D3" s="74" t="s">
        <v>982</v>
      </c>
      <c r="E3" s="96" t="s">
        <v>609</v>
      </c>
      <c r="F3" s="74" t="s">
        <v>1325</v>
      </c>
      <c r="G3" s="96" t="s">
        <v>609</v>
      </c>
    </row>
    <row r="4" spans="1:11" ht="15" customHeight="1">
      <c r="A4" s="82"/>
      <c r="B4" s="75" t="s">
        <v>1325</v>
      </c>
      <c r="C4" s="4" t="s">
        <v>610</v>
      </c>
      <c r="D4" s="75" t="s">
        <v>983</v>
      </c>
      <c r="E4" s="4" t="s">
        <v>610</v>
      </c>
      <c r="F4" s="75" t="s">
        <v>984</v>
      </c>
      <c r="G4" s="4" t="s">
        <v>610</v>
      </c>
    </row>
    <row r="5" spans="1:11" ht="15" customHeight="1">
      <c r="A5" s="82"/>
      <c r="B5" s="75" t="s">
        <v>988</v>
      </c>
      <c r="C5" s="4" t="s">
        <v>611</v>
      </c>
      <c r="D5" s="75" t="s">
        <v>985</v>
      </c>
      <c r="E5" s="4" t="s">
        <v>611</v>
      </c>
      <c r="F5" s="75" t="s">
        <v>989</v>
      </c>
      <c r="G5" s="4" t="s">
        <v>611</v>
      </c>
    </row>
    <row r="6" spans="1:11" ht="24" customHeight="1" thickBot="1">
      <c r="A6" s="83"/>
      <c r="B6" s="78"/>
      <c r="C6" s="5"/>
      <c r="D6" s="78" t="s">
        <v>990</v>
      </c>
      <c r="E6" s="5"/>
      <c r="F6" s="78"/>
      <c r="G6" s="5"/>
    </row>
    <row r="7" spans="1:11" ht="30" customHeight="1" thickBot="1">
      <c r="A7" s="85">
        <v>1994</v>
      </c>
      <c r="B7" s="30">
        <v>1062816459</v>
      </c>
      <c r="C7" s="191" t="s">
        <v>487</v>
      </c>
      <c r="D7" s="30">
        <v>1094518000</v>
      </c>
      <c r="E7" s="191" t="s">
        <v>487</v>
      </c>
      <c r="F7" s="30">
        <v>-31701541</v>
      </c>
      <c r="G7" s="191" t="s">
        <v>487</v>
      </c>
      <c r="H7" s="43"/>
    </row>
    <row r="8" spans="1:11" ht="20" customHeight="1" thickBot="1">
      <c r="A8" s="85">
        <v>1995</v>
      </c>
      <c r="B8" s="30">
        <v>1085790660</v>
      </c>
      <c r="C8" s="191">
        <v>2.1616339119942065E-2</v>
      </c>
      <c r="D8" s="30">
        <v>1112474000</v>
      </c>
      <c r="E8" s="191">
        <v>1.6405394886150799E-2</v>
      </c>
      <c r="F8" s="30">
        <v>-26683340</v>
      </c>
      <c r="G8" s="191">
        <v>0.15829517561938078</v>
      </c>
    </row>
    <row r="9" spans="1:11" ht="20" customHeight="1" thickBot="1">
      <c r="A9" s="85">
        <v>1996</v>
      </c>
      <c r="B9" s="30">
        <v>842626041.5999999</v>
      </c>
      <c r="C9" s="191">
        <v>-0.22395165786377283</v>
      </c>
      <c r="D9" s="30">
        <v>918792074.10000002</v>
      </c>
      <c r="E9" s="191">
        <v>-0.174100182026726</v>
      </c>
      <c r="F9" s="30">
        <v>-76164233.309999987</v>
      </c>
      <c r="G9" s="191">
        <v>-1.8543740517491432</v>
      </c>
      <c r="I9" s="45"/>
      <c r="J9" s="45"/>
      <c r="K9" s="45"/>
    </row>
    <row r="10" spans="1:11" ht="20" customHeight="1" thickBot="1">
      <c r="A10" s="85">
        <v>1997</v>
      </c>
      <c r="B10" s="30">
        <v>582586264.20000005</v>
      </c>
      <c r="C10" s="191">
        <v>-0.30860638594343665</v>
      </c>
      <c r="D10" s="30">
        <v>600844654.99000001</v>
      </c>
      <c r="E10" s="191">
        <v>-0.34604937076916387</v>
      </c>
      <c r="F10" s="30">
        <v>-18258290.829999998</v>
      </c>
      <c r="G10" s="191">
        <v>0.76027736331716245</v>
      </c>
    </row>
    <row r="11" spans="1:11" ht="20" customHeight="1" thickBot="1">
      <c r="A11" s="85">
        <v>1998</v>
      </c>
      <c r="B11" s="30">
        <v>506597985.24000001</v>
      </c>
      <c r="C11" s="191">
        <v>-0.13043266487641306</v>
      </c>
      <c r="D11" s="30">
        <v>466707907.44999999</v>
      </c>
      <c r="E11" s="191">
        <v>-0.22324696812395292</v>
      </c>
      <c r="F11" s="30">
        <v>39890107.789999999</v>
      </c>
      <c r="G11" s="191">
        <v>3.1847668087561076</v>
      </c>
    </row>
    <row r="12" spans="1:11" ht="20" customHeight="1" thickBot="1">
      <c r="A12" s="85">
        <v>1999</v>
      </c>
      <c r="B12" s="30">
        <v>464005598.98000002</v>
      </c>
      <c r="C12" s="191">
        <v>-8.4075317117224449E-2</v>
      </c>
      <c r="D12" s="30">
        <v>422158429.66000003</v>
      </c>
      <c r="E12" s="191">
        <v>-9.5454731061681661E-2</v>
      </c>
      <c r="F12" s="30">
        <v>41847169.719999999</v>
      </c>
      <c r="G12" s="191">
        <v>4.9061334712427351E-2</v>
      </c>
    </row>
    <row r="13" spans="1:11" ht="20" customHeight="1" thickBot="1">
      <c r="A13" s="85">
        <v>2000</v>
      </c>
      <c r="B13" s="30">
        <v>458973777.85000002</v>
      </c>
      <c r="C13" s="191">
        <v>-1.0844311234737667E-2</v>
      </c>
      <c r="D13" s="30">
        <v>416527371.23000002</v>
      </c>
      <c r="E13" s="191">
        <v>-1.3338732651945802E-2</v>
      </c>
      <c r="F13" s="30">
        <v>42446406.640000001</v>
      </c>
      <c r="G13" s="191">
        <v>1.4319652296905794E-2</v>
      </c>
    </row>
    <row r="14" spans="1:11" ht="20" customHeight="1" thickBot="1">
      <c r="A14" s="85">
        <v>2001</v>
      </c>
      <c r="B14" s="30">
        <v>405199385</v>
      </c>
      <c r="C14" s="191">
        <v>-0.11716223332387053</v>
      </c>
      <c r="D14" s="30">
        <v>389159830</v>
      </c>
      <c r="E14" s="191">
        <v>-6.5704064415224431E-2</v>
      </c>
      <c r="F14" s="30">
        <v>16039555</v>
      </c>
      <c r="G14" s="191">
        <v>-0.62212219432292559</v>
      </c>
    </row>
    <row r="15" spans="1:11" ht="30" customHeight="1" thickBot="1">
      <c r="A15" s="313">
        <v>2002</v>
      </c>
      <c r="B15" s="34">
        <v>372184863.34999996</v>
      </c>
      <c r="C15" s="256">
        <v>-8.147722546518682E-2</v>
      </c>
      <c r="D15" s="34">
        <v>361726442.44999999</v>
      </c>
      <c r="E15" s="256">
        <v>-7.0493883065988625E-2</v>
      </c>
      <c r="F15" s="34">
        <v>10458420.890000001</v>
      </c>
      <c r="G15" s="256">
        <v>-0.34796065788608221</v>
      </c>
    </row>
    <row r="16" spans="1:11" ht="20" customHeight="1">
      <c r="A16" s="9" t="s">
        <v>178</v>
      </c>
      <c r="B16" s="9"/>
      <c r="C16" s="103"/>
      <c r="D16" s="9"/>
      <c r="E16" s="103"/>
      <c r="F16" s="9"/>
      <c r="G16" s="103"/>
    </row>
    <row r="17" spans="1:7" ht="15.75" customHeight="1">
      <c r="A17" s="38"/>
      <c r="B17" s="38"/>
      <c r="C17" s="104"/>
      <c r="D17" s="38"/>
      <c r="E17" s="104"/>
      <c r="F17" s="38"/>
      <c r="G17" s="104"/>
    </row>
    <row r="18" spans="1:7" ht="15.75" customHeight="1">
      <c r="A18" s="38" t="s">
        <v>986</v>
      </c>
      <c r="B18" s="38"/>
      <c r="C18" s="104"/>
      <c r="D18" s="38"/>
      <c r="E18" s="104"/>
      <c r="F18" s="38"/>
      <c r="G18" s="104"/>
    </row>
    <row r="19" spans="1:7" ht="15.75" customHeight="1">
      <c r="A19" s="38"/>
      <c r="B19" s="38"/>
      <c r="C19" s="104"/>
      <c r="D19" s="38"/>
      <c r="E19" s="104"/>
      <c r="F19" s="38"/>
      <c r="G19" s="104"/>
    </row>
    <row r="20" spans="1:7">
      <c r="A20" s="38" t="s">
        <v>987</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&amp;L&amp;"Arial,Bold"&amp;14Freiwillige Taggeldversicherung KVG</oddHeader>
    <oddFooter>&amp;L&amp;"Arial,Regular"Statistik über die Krankenversicherung, Bundesamt für Sozialversicherung</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74EB-727F-5F48-99CB-61FB1F8BD612}">
  <dimension ref="A1:H34"/>
  <sheetViews>
    <sheetView zoomScale="75" workbookViewId="0">
      <selection activeCell="A41" sqref="A41"/>
    </sheetView>
  </sheetViews>
  <sheetFormatPr baseColWidth="10" defaultColWidth="11.3984375" defaultRowHeight="13"/>
  <cols>
    <col min="1" max="1" width="33.796875" style="3" customWidth="1"/>
    <col min="2" max="3" width="17.59765625" style="3" customWidth="1"/>
    <col min="4" max="4" width="17.59765625" style="36" customWidth="1"/>
    <col min="5" max="5" width="17.59765625" style="312" customWidth="1"/>
    <col min="6" max="6" width="11.3984375" style="3"/>
    <col min="7" max="7" width="14.796875" style="3" hidden="1" customWidth="1"/>
    <col min="8" max="8" width="14.3984375" style="3" hidden="1" customWidth="1"/>
    <col min="9" max="16384" width="11.3984375" style="3"/>
  </cols>
  <sheetData>
    <row r="1" spans="1:8" s="1" customFormat="1" ht="14" customHeight="1">
      <c r="D1" s="63"/>
      <c r="E1" s="293"/>
    </row>
    <row r="2" spans="1:8" s="1" customFormat="1" ht="28" customHeight="1">
      <c r="A2" s="81" t="s">
        <v>183</v>
      </c>
      <c r="D2" s="63"/>
      <c r="E2" s="293"/>
    </row>
    <row r="3" spans="1:8" ht="24" customHeight="1">
      <c r="A3" s="2" t="s">
        <v>965</v>
      </c>
      <c r="B3" s="74" t="s">
        <v>966</v>
      </c>
      <c r="C3" s="17" t="s">
        <v>967</v>
      </c>
      <c r="D3" s="185" t="s">
        <v>607</v>
      </c>
      <c r="E3" s="294" t="s">
        <v>609</v>
      </c>
    </row>
    <row r="4" spans="1:8" ht="15" customHeight="1">
      <c r="A4" s="82"/>
      <c r="B4" s="75" t="s">
        <v>968</v>
      </c>
      <c r="C4" s="18" t="s">
        <v>968</v>
      </c>
      <c r="D4" s="295"/>
      <c r="E4" s="296" t="s">
        <v>610</v>
      </c>
    </row>
    <row r="5" spans="1:8" ht="15" customHeight="1">
      <c r="A5" s="82"/>
      <c r="B5" s="75" t="s">
        <v>969</v>
      </c>
      <c r="C5" s="18" t="s">
        <v>969</v>
      </c>
      <c r="D5" s="295"/>
      <c r="E5" s="296" t="s">
        <v>611</v>
      </c>
    </row>
    <row r="6" spans="1:8" ht="24" customHeight="1">
      <c r="A6" s="83"/>
      <c r="B6" s="78"/>
      <c r="C6" s="19"/>
      <c r="D6" s="297"/>
      <c r="E6" s="298"/>
      <c r="G6" s="299" t="s">
        <v>970</v>
      </c>
      <c r="H6" s="299" t="s">
        <v>971</v>
      </c>
    </row>
    <row r="7" spans="1:8" ht="30" customHeight="1" thickBot="1">
      <c r="A7" s="300" t="s">
        <v>972</v>
      </c>
      <c r="B7" s="29">
        <v>89</v>
      </c>
      <c r="C7" s="68">
        <v>57</v>
      </c>
      <c r="D7" s="292">
        <v>93</v>
      </c>
      <c r="E7" s="252">
        <v>-7.0000000000000007E-2</v>
      </c>
      <c r="F7" s="43"/>
      <c r="G7" s="20">
        <v>109</v>
      </c>
      <c r="H7" s="20">
        <v>109</v>
      </c>
    </row>
    <row r="8" spans="1:8" ht="24" customHeight="1" thickBot="1">
      <c r="A8" s="301" t="s">
        <v>973</v>
      </c>
      <c r="B8" s="30"/>
      <c r="C8" s="122"/>
      <c r="D8" s="89"/>
      <c r="E8" s="191" t="s">
        <v>488</v>
      </c>
      <c r="G8" s="30"/>
      <c r="H8" s="30"/>
    </row>
    <row r="9" spans="1:8" ht="20" customHeight="1" thickBot="1">
      <c r="A9" s="302" t="s">
        <v>1322</v>
      </c>
      <c r="B9" s="30">
        <v>222068</v>
      </c>
      <c r="C9" s="122">
        <v>183195</v>
      </c>
      <c r="D9" s="89">
        <v>405264</v>
      </c>
      <c r="E9" s="191">
        <v>-9.0818537911725505E-2</v>
      </c>
      <c r="G9" s="30">
        <v>747913</v>
      </c>
      <c r="H9" s="30">
        <v>541989</v>
      </c>
    </row>
    <row r="10" spans="1:8" ht="20" customHeight="1" thickBot="1">
      <c r="A10" s="302" t="s">
        <v>1323</v>
      </c>
      <c r="B10" s="30">
        <v>273277</v>
      </c>
      <c r="C10" s="122">
        <v>108999</v>
      </c>
      <c r="D10" s="89">
        <v>382275</v>
      </c>
      <c r="E10" s="191">
        <v>-9.6306505222049393E-2</v>
      </c>
      <c r="G10" s="30">
        <v>671493</v>
      </c>
      <c r="H10" s="30">
        <v>525355</v>
      </c>
    </row>
    <row r="11" spans="1:8" ht="20" customHeight="1" thickBot="1">
      <c r="A11" s="302" t="s">
        <v>607</v>
      </c>
      <c r="B11" s="30">
        <v>495344</v>
      </c>
      <c r="C11" s="122">
        <v>292194</v>
      </c>
      <c r="D11" s="89">
        <v>787539</v>
      </c>
      <c r="E11" s="191">
        <v>-9.3490722408950691E-2</v>
      </c>
      <c r="G11" s="30">
        <v>1419406</v>
      </c>
      <c r="H11" s="30">
        <v>1067344</v>
      </c>
    </row>
    <row r="12" spans="1:8" ht="24" customHeight="1" thickBot="1">
      <c r="A12" s="303" t="s">
        <v>974</v>
      </c>
      <c r="B12" s="30"/>
      <c r="C12" s="122"/>
      <c r="D12" s="89"/>
      <c r="E12" s="191" t="s">
        <v>488</v>
      </c>
      <c r="G12" s="30"/>
      <c r="H12" s="30"/>
    </row>
    <row r="13" spans="1:8" ht="20" customHeight="1" thickBot="1">
      <c r="A13" s="302" t="s">
        <v>1322</v>
      </c>
      <c r="B13" s="30">
        <v>67184336</v>
      </c>
      <c r="C13" s="122">
        <v>185992333</v>
      </c>
      <c r="D13" s="89">
        <v>253176669</v>
      </c>
      <c r="E13" s="191">
        <v>-6.2894591462248906E-2</v>
      </c>
      <c r="G13" s="30">
        <v>346254879</v>
      </c>
      <c r="H13" s="30">
        <v>346254879</v>
      </c>
    </row>
    <row r="14" spans="1:8" ht="20" customHeight="1" thickBot="1">
      <c r="A14" s="302" t="s">
        <v>1323</v>
      </c>
      <c r="B14" s="30">
        <v>41075417</v>
      </c>
      <c r="C14" s="122">
        <v>77491593</v>
      </c>
      <c r="D14" s="89">
        <v>118567009</v>
      </c>
      <c r="E14" s="191">
        <v>-9.1740249943263685E-2</v>
      </c>
      <c r="G14" s="30">
        <v>118228128</v>
      </c>
      <c r="H14" s="30">
        <v>118228128</v>
      </c>
    </row>
    <row r="15" spans="1:8" ht="20" customHeight="1" thickBot="1">
      <c r="A15" s="302" t="s">
        <v>607</v>
      </c>
      <c r="B15" s="30">
        <v>108259748</v>
      </c>
      <c r="C15" s="122">
        <v>263483927</v>
      </c>
      <c r="D15" s="89">
        <v>371743676</v>
      </c>
      <c r="E15" s="191">
        <v>-7.2291873374279142E-2</v>
      </c>
      <c r="G15" s="30">
        <v>464483007</v>
      </c>
      <c r="H15" s="30">
        <v>464483007</v>
      </c>
    </row>
    <row r="16" spans="1:8" ht="24" customHeight="1" thickBot="1">
      <c r="A16" s="303" t="s">
        <v>975</v>
      </c>
      <c r="B16" s="30"/>
      <c r="C16" s="122"/>
      <c r="D16" s="89"/>
      <c r="E16" s="191" t="s">
        <v>488</v>
      </c>
      <c r="G16" s="30"/>
      <c r="H16" s="30"/>
    </row>
    <row r="17" spans="1:8" ht="20" customHeight="1" thickBot="1">
      <c r="A17" s="302" t="s">
        <v>1322</v>
      </c>
      <c r="B17" s="30">
        <v>302.54000000000002</v>
      </c>
      <c r="C17" s="122">
        <v>1015.27</v>
      </c>
      <c r="D17" s="89">
        <v>624.72</v>
      </c>
      <c r="E17" s="191">
        <v>3.0721003134796244E-2</v>
      </c>
      <c r="G17" s="30">
        <v>462.96</v>
      </c>
      <c r="H17" s="30">
        <v>638.86</v>
      </c>
    </row>
    <row r="18" spans="1:8" ht="20" customHeight="1" thickBot="1">
      <c r="A18" s="302" t="s">
        <v>1323</v>
      </c>
      <c r="B18" s="30">
        <v>150.31</v>
      </c>
      <c r="C18" s="122">
        <v>710.94</v>
      </c>
      <c r="D18" s="89">
        <v>310.16000000000003</v>
      </c>
      <c r="E18" s="191">
        <v>5.0550874918989051E-3</v>
      </c>
      <c r="G18" s="30">
        <v>176.07</v>
      </c>
      <c r="H18" s="30">
        <v>225.04</v>
      </c>
    </row>
    <row r="19" spans="1:8" ht="20" customHeight="1" thickBot="1">
      <c r="A19" s="302" t="s">
        <v>607</v>
      </c>
      <c r="B19" s="30">
        <v>218.55</v>
      </c>
      <c r="C19" s="122">
        <v>901.74</v>
      </c>
      <c r="D19" s="89">
        <v>472.03</v>
      </c>
      <c r="E19" s="191">
        <v>2.3371273712737069E-2</v>
      </c>
      <c r="G19" s="30">
        <v>327.24</v>
      </c>
      <c r="H19" s="30">
        <v>435.18</v>
      </c>
    </row>
    <row r="20" spans="1:8" ht="24" customHeight="1" thickBot="1">
      <c r="A20" s="303" t="s">
        <v>976</v>
      </c>
      <c r="B20" s="30"/>
      <c r="C20" s="122"/>
      <c r="D20" s="89"/>
      <c r="E20" s="191" t="s">
        <v>488</v>
      </c>
      <c r="G20" s="30"/>
      <c r="H20" s="30"/>
    </row>
    <row r="21" spans="1:8" ht="20" customHeight="1" thickBot="1">
      <c r="A21" s="302" t="s">
        <v>1322</v>
      </c>
      <c r="B21" s="30">
        <v>63928100</v>
      </c>
      <c r="C21" s="122">
        <v>174925723</v>
      </c>
      <c r="D21" s="89">
        <v>238853828</v>
      </c>
      <c r="E21" s="191">
        <v>-5.2348440906665468E-2</v>
      </c>
      <c r="G21" s="30">
        <v>297772901</v>
      </c>
      <c r="H21" s="30">
        <v>297772901</v>
      </c>
    </row>
    <row r="22" spans="1:8" ht="20" customHeight="1" thickBot="1">
      <c r="A22" s="302" t="s">
        <v>1323</v>
      </c>
      <c r="B22" s="30">
        <v>31431242</v>
      </c>
      <c r="C22" s="122">
        <v>58864041</v>
      </c>
      <c r="D22" s="89">
        <v>90295283</v>
      </c>
      <c r="E22" s="191">
        <v>-9.635330488515606E-2</v>
      </c>
      <c r="G22" s="30">
        <v>114376252</v>
      </c>
      <c r="H22" s="30">
        <v>114376252</v>
      </c>
    </row>
    <row r="23" spans="1:8" ht="20" customHeight="1" thickBot="1">
      <c r="A23" s="302" t="s">
        <v>607</v>
      </c>
      <c r="B23" s="30">
        <v>95359340</v>
      </c>
      <c r="C23" s="122">
        <v>233789762</v>
      </c>
      <c r="D23" s="89">
        <v>329149106</v>
      </c>
      <c r="E23" s="191">
        <v>-6.4841253807543339E-2</v>
      </c>
      <c r="G23" s="30">
        <v>412149153</v>
      </c>
      <c r="H23" s="30">
        <v>412149153</v>
      </c>
    </row>
    <row r="24" spans="1:8" ht="24" customHeight="1" thickBot="1">
      <c r="A24" s="304" t="s">
        <v>977</v>
      </c>
      <c r="B24" s="30">
        <v>2160941</v>
      </c>
      <c r="C24" s="122">
        <v>13969491</v>
      </c>
      <c r="D24" s="89">
        <v>16130431</v>
      </c>
      <c r="E24" s="191">
        <v>-0.13310539576685124</v>
      </c>
      <c r="G24" s="130">
        <v>21005933</v>
      </c>
      <c r="H24" s="130">
        <v>21005933</v>
      </c>
    </row>
    <row r="25" spans="1:8" ht="24" customHeight="1" thickBot="1">
      <c r="A25" s="303" t="s">
        <v>978</v>
      </c>
      <c r="B25" s="30"/>
      <c r="C25" s="122"/>
      <c r="D25" s="89"/>
      <c r="E25" s="191" t="s">
        <v>488</v>
      </c>
      <c r="G25" s="30"/>
      <c r="H25" s="30"/>
    </row>
    <row r="26" spans="1:8" ht="20" customHeight="1" thickBot="1">
      <c r="A26" s="302" t="s">
        <v>1322</v>
      </c>
      <c r="B26" s="30">
        <v>287.88</v>
      </c>
      <c r="C26" s="122">
        <v>954.86</v>
      </c>
      <c r="D26" s="89">
        <v>589.38</v>
      </c>
      <c r="E26" s="191">
        <v>4.2320275886462019E-2</v>
      </c>
      <c r="G26" s="30">
        <v>398.14</v>
      </c>
      <c r="H26" s="30">
        <v>549.41</v>
      </c>
    </row>
    <row r="27" spans="1:8" ht="20" customHeight="1" thickBot="1">
      <c r="A27" s="302" t="s">
        <v>1323</v>
      </c>
      <c r="B27" s="30">
        <v>115.02</v>
      </c>
      <c r="C27" s="122">
        <v>540.04</v>
      </c>
      <c r="D27" s="89">
        <v>236.21</v>
      </c>
      <c r="E27" s="191">
        <v>-4.2333418000130829E-5</v>
      </c>
      <c r="G27" s="30">
        <v>170.33</v>
      </c>
      <c r="H27" s="30">
        <v>217.71</v>
      </c>
    </row>
    <row r="28" spans="1:8" ht="30" customHeight="1" thickBot="1">
      <c r="A28" s="305" t="s">
        <v>607</v>
      </c>
      <c r="B28" s="130">
        <v>192.51</v>
      </c>
      <c r="C28" s="133">
        <v>800.12</v>
      </c>
      <c r="D28" s="34">
        <v>417.95</v>
      </c>
      <c r="E28" s="306">
        <v>3.1618699708742662E-2</v>
      </c>
      <c r="G28" s="307">
        <v>290.37</v>
      </c>
      <c r="H28" s="307">
        <v>386.14</v>
      </c>
    </row>
    <row r="29" spans="1:8" ht="20" customHeight="1">
      <c r="A29" s="9" t="s">
        <v>178</v>
      </c>
      <c r="B29" s="9"/>
      <c r="C29" s="9"/>
      <c r="D29" s="308"/>
      <c r="E29" s="309"/>
    </row>
    <row r="30" spans="1:8" ht="14.25" customHeight="1">
      <c r="A30" s="38"/>
      <c r="B30" s="38"/>
      <c r="C30" s="38"/>
      <c r="D30" s="310"/>
      <c r="E30" s="311"/>
    </row>
    <row r="31" spans="1:8" ht="14.25" customHeight="1">
      <c r="A31" s="38" t="s">
        <v>979</v>
      </c>
      <c r="B31" s="38"/>
      <c r="C31" s="38"/>
      <c r="D31" s="310"/>
      <c r="E31" s="311"/>
    </row>
    <row r="32" spans="1:8" ht="14.25" customHeight="1">
      <c r="A32" s="38"/>
      <c r="B32" s="38"/>
      <c r="C32" s="38"/>
      <c r="D32" s="310"/>
      <c r="E32" s="311"/>
    </row>
    <row r="33" spans="1:1">
      <c r="A33" s="38" t="s">
        <v>961</v>
      </c>
    </row>
    <row r="34" spans="1:1">
      <c r="A34" s="3" t="s">
        <v>962</v>
      </c>
    </row>
  </sheetData>
  <phoneticPr fontId="0" type="noConversion"/>
  <pageMargins left="0.56999999999999995" right="0.47" top="1.47" bottom="0.49" header="0.94" footer="0.4921259845"/>
  <pageSetup paperSize="9" scale="80" orientation="portrait" horizontalDpi="4294967292" verticalDpi="4294967292"/>
  <headerFooter alignWithMargins="0">
    <oddHeader>&amp;L&amp;"Arial,Bold"&amp;14Freiwillige Taggeldversicherung KVG</oddHeader>
    <oddFooter>&amp;L&amp;"Arial,Regular"Statistik über die Krankenversicherung, Bundesamt für Sozialversicherung</oddFooter>
  </headerFooter>
  <legacy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A7D9-8A7A-5642-ACCD-C35F1DECDB1B}">
  <dimension ref="A1:E33"/>
  <sheetViews>
    <sheetView zoomScale="75" workbookViewId="0">
      <selection activeCell="A33" sqref="A33"/>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6.796875" style="290" customWidth="1"/>
    <col min="6" max="16384" width="11.3984375" style="3"/>
  </cols>
  <sheetData>
    <row r="1" spans="1:5" s="1" customFormat="1" ht="14" customHeight="1">
      <c r="B1" s="95"/>
      <c r="D1" s="106"/>
      <c r="E1" s="281"/>
    </row>
    <row r="2" spans="1:5" s="1" customFormat="1" ht="28" customHeight="1">
      <c r="A2" s="81" t="s">
        <v>182</v>
      </c>
      <c r="B2" s="95"/>
      <c r="D2" s="106"/>
      <c r="E2" s="281"/>
    </row>
    <row r="3" spans="1:5" ht="39" customHeight="1">
      <c r="A3" s="291" t="s">
        <v>43</v>
      </c>
      <c r="B3" s="96"/>
      <c r="C3" s="74" t="s">
        <v>44</v>
      </c>
      <c r="D3" s="65" t="s">
        <v>45</v>
      </c>
      <c r="E3" s="282" t="s">
        <v>607</v>
      </c>
    </row>
    <row r="4" spans="1:5" ht="38" customHeight="1">
      <c r="A4" s="283"/>
      <c r="B4" s="284"/>
      <c r="C4" s="78" t="s">
        <v>1304</v>
      </c>
      <c r="D4" s="67" t="s">
        <v>1304</v>
      </c>
      <c r="E4" s="187" t="s">
        <v>1304</v>
      </c>
    </row>
    <row r="5" spans="1:5" ht="30" customHeight="1" thickBot="1">
      <c r="A5" s="6">
        <v>60</v>
      </c>
      <c r="B5" s="6" t="s">
        <v>46</v>
      </c>
      <c r="C5" s="29">
        <v>341353045.13999999</v>
      </c>
      <c r="D5" s="68">
        <v>30390672.170000002</v>
      </c>
      <c r="E5" s="292">
        <v>371743717.31</v>
      </c>
    </row>
    <row r="6" spans="1:5" ht="20" customHeight="1" thickBot="1">
      <c r="A6" s="7">
        <v>64</v>
      </c>
      <c r="B6" s="7" t="s">
        <v>47</v>
      </c>
      <c r="C6" s="30">
        <v>-826575.44</v>
      </c>
      <c r="D6" s="122">
        <v>-48178.52</v>
      </c>
      <c r="E6" s="89">
        <v>-874753.96</v>
      </c>
    </row>
    <row r="7" spans="1:5" ht="20" customHeight="1" thickBot="1">
      <c r="A7" s="7">
        <v>65</v>
      </c>
      <c r="B7" s="7" t="s">
        <v>48</v>
      </c>
      <c r="C7" s="30">
        <v>33191.15</v>
      </c>
      <c r="D7" s="122">
        <v>982.58</v>
      </c>
      <c r="E7" s="89">
        <v>34173.730000000003</v>
      </c>
    </row>
    <row r="8" spans="1:5" ht="27" customHeight="1" thickBot="1">
      <c r="A8" s="70" t="s">
        <v>49</v>
      </c>
      <c r="B8" s="70" t="s">
        <v>50</v>
      </c>
      <c r="C8" s="30">
        <v>340559660.85000002</v>
      </c>
      <c r="D8" s="122">
        <v>30343476.219999999</v>
      </c>
      <c r="E8" s="89">
        <v>370903137.06999999</v>
      </c>
    </row>
    <row r="9" spans="1:5" ht="20" customHeight="1" thickBot="1">
      <c r="A9" s="7">
        <v>66</v>
      </c>
      <c r="B9" s="7" t="s">
        <v>51</v>
      </c>
      <c r="C9" s="30">
        <v>-2627444.64</v>
      </c>
      <c r="D9" s="122">
        <v>-73891.41</v>
      </c>
      <c r="E9" s="89">
        <v>-2701336.05</v>
      </c>
    </row>
    <row r="10" spans="1:5" ht="27" customHeight="1" thickBot="1">
      <c r="A10" s="70" t="s">
        <v>52</v>
      </c>
      <c r="B10" s="70" t="s">
        <v>53</v>
      </c>
      <c r="C10" s="30">
        <v>337932216.20999998</v>
      </c>
      <c r="D10" s="122">
        <v>30269584.809999999</v>
      </c>
      <c r="E10" s="89">
        <v>368201801.01999998</v>
      </c>
    </row>
    <row r="11" spans="1:5" ht="20" customHeight="1" thickBot="1">
      <c r="A11" s="7">
        <v>67</v>
      </c>
      <c r="B11" s="7" t="s">
        <v>54</v>
      </c>
      <c r="C11" s="30">
        <v>17180244.199999999</v>
      </c>
      <c r="D11" s="122">
        <v>164083.25</v>
      </c>
      <c r="E11" s="89">
        <v>17344327.449999999</v>
      </c>
    </row>
    <row r="12" spans="1:5" ht="20" customHeight="1" thickBot="1">
      <c r="A12" s="7">
        <v>68</v>
      </c>
      <c r="B12" s="7" t="s">
        <v>55</v>
      </c>
      <c r="C12" s="30">
        <v>-16836485.800000001</v>
      </c>
      <c r="D12" s="122">
        <v>-78435.55</v>
      </c>
      <c r="E12" s="89">
        <v>-16914921.350000001</v>
      </c>
    </row>
    <row r="13" spans="1:5" ht="20" customHeight="1" thickBot="1">
      <c r="A13" s="7">
        <v>69</v>
      </c>
      <c r="B13" s="7" t="s">
        <v>56</v>
      </c>
      <c r="C13" s="30">
        <v>5196869.2699999996</v>
      </c>
      <c r="D13" s="122">
        <v>96948.49</v>
      </c>
      <c r="E13" s="89">
        <v>5293817.76</v>
      </c>
    </row>
    <row r="14" spans="1:5" ht="27" customHeight="1" thickBot="1">
      <c r="A14" s="70">
        <v>6</v>
      </c>
      <c r="B14" s="70" t="s">
        <v>57</v>
      </c>
      <c r="C14" s="30">
        <v>343472843.88</v>
      </c>
      <c r="D14" s="122">
        <v>30452181.010000002</v>
      </c>
      <c r="E14" s="89">
        <v>373925024.88999999</v>
      </c>
    </row>
    <row r="15" spans="1:5" ht="20" customHeight="1" thickBot="1">
      <c r="A15" s="7">
        <v>30</v>
      </c>
      <c r="B15" s="7" t="s">
        <v>1316</v>
      </c>
      <c r="C15" s="30">
        <v>300742559.87</v>
      </c>
      <c r="D15" s="122">
        <v>28406539.469999999</v>
      </c>
      <c r="E15" s="89">
        <v>329149099.33999997</v>
      </c>
    </row>
    <row r="16" spans="1:5" ht="20" customHeight="1" thickBot="1">
      <c r="A16" s="7">
        <v>32</v>
      </c>
      <c r="B16" s="7" t="s">
        <v>58</v>
      </c>
      <c r="C16" s="30">
        <v>0</v>
      </c>
      <c r="D16" s="122">
        <v>0</v>
      </c>
      <c r="E16" s="89">
        <v>0</v>
      </c>
    </row>
    <row r="17" spans="1:5" ht="27" customHeight="1" thickBot="1">
      <c r="A17" s="70" t="s">
        <v>59</v>
      </c>
      <c r="B17" s="70" t="s">
        <v>60</v>
      </c>
      <c r="C17" s="30">
        <v>300742559.87</v>
      </c>
      <c r="D17" s="122">
        <v>28406539.469999999</v>
      </c>
      <c r="E17" s="89">
        <v>329149099.33999997</v>
      </c>
    </row>
    <row r="18" spans="1:5" ht="20" customHeight="1" thickBot="1">
      <c r="A18" s="7">
        <v>34</v>
      </c>
      <c r="B18" s="7" t="s">
        <v>61</v>
      </c>
      <c r="C18" s="30">
        <v>823241.84</v>
      </c>
      <c r="D18" s="122">
        <v>22437.07</v>
      </c>
      <c r="E18" s="89">
        <v>845678.91</v>
      </c>
    </row>
    <row r="19" spans="1:5" ht="20" customHeight="1" thickBot="1">
      <c r="A19" s="7">
        <v>35</v>
      </c>
      <c r="B19" s="7" t="s">
        <v>1509</v>
      </c>
      <c r="C19" s="30">
        <v>-3804423.71</v>
      </c>
      <c r="D19" s="122">
        <v>-43728.27</v>
      </c>
      <c r="E19" s="89">
        <v>-3848151.98</v>
      </c>
    </row>
    <row r="20" spans="1:5" ht="27" customHeight="1" thickBot="1">
      <c r="A20" s="70" t="s">
        <v>1510</v>
      </c>
      <c r="B20" s="70" t="s">
        <v>1511</v>
      </c>
      <c r="C20" s="30">
        <v>297761378</v>
      </c>
      <c r="D20" s="122">
        <v>28385248.280000001</v>
      </c>
      <c r="E20" s="89">
        <v>326146626.27999997</v>
      </c>
    </row>
    <row r="21" spans="1:5" ht="20" customHeight="1" thickBot="1">
      <c r="A21" s="7">
        <v>36</v>
      </c>
      <c r="B21" s="7" t="s">
        <v>1512</v>
      </c>
      <c r="C21" s="30">
        <v>-2497824.4700000002</v>
      </c>
      <c r="D21" s="122">
        <v>-110646.02</v>
      </c>
      <c r="E21" s="89">
        <v>-2608470.4900000002</v>
      </c>
    </row>
    <row r="22" spans="1:5" ht="20" customHeight="1" thickBot="1">
      <c r="A22" s="7">
        <v>37</v>
      </c>
      <c r="B22" s="7" t="s">
        <v>1513</v>
      </c>
      <c r="C22" s="30">
        <v>0</v>
      </c>
      <c r="D22" s="122">
        <v>0</v>
      </c>
      <c r="E22" s="89">
        <v>0</v>
      </c>
    </row>
    <row r="23" spans="1:5" ht="27" customHeight="1" thickBot="1">
      <c r="A23" s="70">
        <v>3</v>
      </c>
      <c r="B23" s="70" t="s">
        <v>1514</v>
      </c>
      <c r="C23" s="30">
        <v>295263553.52999997</v>
      </c>
      <c r="D23" s="122">
        <v>28274602.260000002</v>
      </c>
      <c r="E23" s="89">
        <v>323538155.79000002</v>
      </c>
    </row>
    <row r="24" spans="1:5" ht="20" customHeight="1" thickBot="1">
      <c r="A24" s="7" t="s">
        <v>1515</v>
      </c>
      <c r="B24" s="7" t="s">
        <v>1516</v>
      </c>
      <c r="C24" s="30">
        <v>34784189.549999997</v>
      </c>
      <c r="D24" s="122">
        <v>3350010.48</v>
      </c>
      <c r="E24" s="89">
        <v>38134200.030000001</v>
      </c>
    </row>
    <row r="25" spans="1:5" ht="20" customHeight="1" thickBot="1">
      <c r="A25" s="7">
        <v>49</v>
      </c>
      <c r="B25" s="7" t="s">
        <v>1517</v>
      </c>
      <c r="C25" s="30">
        <v>48091.91</v>
      </c>
      <c r="D25" s="122">
        <v>5994.72</v>
      </c>
      <c r="E25" s="89">
        <v>54086.63</v>
      </c>
    </row>
    <row r="26" spans="1:5" ht="27" customHeight="1" thickBot="1">
      <c r="A26" s="70">
        <v>4</v>
      </c>
      <c r="B26" s="70" t="s">
        <v>1518</v>
      </c>
      <c r="C26" s="30">
        <v>34832281.460000001</v>
      </c>
      <c r="D26" s="122">
        <v>3356005.2</v>
      </c>
      <c r="E26" s="89">
        <v>38188286.659999996</v>
      </c>
    </row>
    <row r="27" spans="1:5" ht="27" customHeight="1" thickBot="1">
      <c r="A27" s="70" t="s">
        <v>1519</v>
      </c>
      <c r="B27" s="70" t="s">
        <v>1520</v>
      </c>
      <c r="C27" s="30">
        <v>330095834.99000001</v>
      </c>
      <c r="D27" s="122">
        <v>31630607.460000001</v>
      </c>
      <c r="E27" s="89">
        <v>361726442.44999999</v>
      </c>
    </row>
    <row r="28" spans="1:5" ht="27" customHeight="1" thickBot="1">
      <c r="A28" s="70"/>
      <c r="B28" s="70" t="s">
        <v>1521</v>
      </c>
      <c r="C28" s="30">
        <v>13377008.890000001</v>
      </c>
      <c r="D28" s="122">
        <v>-1178426.46</v>
      </c>
      <c r="E28" s="89">
        <v>12198582.43</v>
      </c>
    </row>
    <row r="29" spans="1:5" ht="27" customHeight="1" thickBot="1">
      <c r="A29" s="70">
        <v>7</v>
      </c>
      <c r="B29" s="70" t="s">
        <v>1522</v>
      </c>
      <c r="C29" s="30">
        <v>-1630704.73</v>
      </c>
      <c r="D29" s="122">
        <v>-109456.81</v>
      </c>
      <c r="E29" s="89">
        <v>-1740161.54</v>
      </c>
    </row>
    <row r="30" spans="1:5" ht="34.5" customHeight="1" thickBot="1">
      <c r="A30" s="276"/>
      <c r="B30" s="276" t="s">
        <v>495</v>
      </c>
      <c r="C30" s="130">
        <v>11746304.16</v>
      </c>
      <c r="D30" s="133">
        <v>-1287883.27</v>
      </c>
      <c r="E30" s="34">
        <v>10458420.890000001</v>
      </c>
    </row>
    <row r="31" spans="1:5" ht="19.5" customHeight="1">
      <c r="A31" s="9" t="s">
        <v>178</v>
      </c>
      <c r="B31" s="103"/>
      <c r="C31" s="9"/>
      <c r="D31" s="117"/>
      <c r="E31" s="288"/>
    </row>
    <row r="33" spans="1:1">
      <c r="A33" s="3" t="s">
        <v>964</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&amp;L&amp;"Arial,Bold"&amp;14Freiwillige Taggeldversicherung KVG</oddHeader>
    <oddFooter>&amp;L&amp;"Arial,Regular"Statistik über die Krankenversicherung, Bundesamt für Sozialversicherung</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5EAA-9FFF-F048-A8F7-4D4EA67C9666}">
  <dimension ref="A1:E36"/>
  <sheetViews>
    <sheetView topLeftCell="A22" zoomScale="75" workbookViewId="0">
      <selection activeCell="A33" sqref="A33"/>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6.796875" style="290" customWidth="1"/>
    <col min="6" max="16384" width="11.3984375" style="3"/>
  </cols>
  <sheetData>
    <row r="1" spans="1:5" s="1" customFormat="1" ht="14" customHeight="1">
      <c r="B1" s="95"/>
      <c r="D1" s="106"/>
      <c r="E1" s="281"/>
    </row>
    <row r="2" spans="1:5" s="1" customFormat="1" ht="28" customHeight="1">
      <c r="A2" s="81" t="s">
        <v>181</v>
      </c>
      <c r="B2" s="95"/>
      <c r="D2" s="106"/>
      <c r="E2" s="281"/>
    </row>
    <row r="3" spans="1:5" ht="39" customHeight="1">
      <c r="A3" s="291" t="s">
        <v>43</v>
      </c>
      <c r="B3" s="96"/>
      <c r="C3" s="74" t="s">
        <v>44</v>
      </c>
      <c r="D3" s="65" t="s">
        <v>45</v>
      </c>
      <c r="E3" s="282" t="s">
        <v>607</v>
      </c>
    </row>
    <row r="4" spans="1:5" ht="38" customHeight="1">
      <c r="A4" s="283"/>
      <c r="B4" s="284"/>
      <c r="C4" s="78" t="s">
        <v>1304</v>
      </c>
      <c r="D4" s="67" t="s">
        <v>1304</v>
      </c>
      <c r="E4" s="187" t="s">
        <v>1304</v>
      </c>
    </row>
    <row r="5" spans="1:5" ht="30" customHeight="1" thickBot="1">
      <c r="A5" s="285">
        <v>60</v>
      </c>
      <c r="B5" s="285" t="s">
        <v>46</v>
      </c>
      <c r="C5" s="286">
        <v>97126923.310000002</v>
      </c>
      <c r="D5" s="287">
        <v>11132861.619999999</v>
      </c>
      <c r="E5" s="71">
        <v>108259784.93000001</v>
      </c>
    </row>
    <row r="6" spans="1:5" ht="20" customHeight="1" thickBot="1">
      <c r="A6" s="70">
        <v>64</v>
      </c>
      <c r="B6" s="70" t="s">
        <v>47</v>
      </c>
      <c r="C6" s="130">
        <v>-156635.04999999999</v>
      </c>
      <c r="D6" s="133">
        <v>-14629.91</v>
      </c>
      <c r="E6" s="34">
        <v>-171264.96</v>
      </c>
    </row>
    <row r="7" spans="1:5" ht="20" customHeight="1" thickBot="1">
      <c r="A7" s="70">
        <v>65</v>
      </c>
      <c r="B7" s="70" t="s">
        <v>48</v>
      </c>
      <c r="C7" s="130">
        <v>9091.66</v>
      </c>
      <c r="D7" s="133">
        <v>888.34</v>
      </c>
      <c r="E7" s="34">
        <v>9980</v>
      </c>
    </row>
    <row r="8" spans="1:5" ht="27" customHeight="1" thickBot="1">
      <c r="A8" s="70" t="s">
        <v>49</v>
      </c>
      <c r="B8" s="70" t="s">
        <v>50</v>
      </c>
      <c r="C8" s="130">
        <v>96979379.920000002</v>
      </c>
      <c r="D8" s="133">
        <v>11119120.050000001</v>
      </c>
      <c r="E8" s="34">
        <v>108098499.97</v>
      </c>
    </row>
    <row r="9" spans="1:5" ht="20" customHeight="1" thickBot="1">
      <c r="A9" s="70">
        <v>66</v>
      </c>
      <c r="B9" s="70" t="s">
        <v>51</v>
      </c>
      <c r="C9" s="130">
        <v>-726734.31</v>
      </c>
      <c r="D9" s="133">
        <v>-63726.19</v>
      </c>
      <c r="E9" s="34">
        <v>-790460.5</v>
      </c>
    </row>
    <row r="10" spans="1:5" ht="27" customHeight="1" thickBot="1">
      <c r="A10" s="70" t="s">
        <v>52</v>
      </c>
      <c r="B10" s="70" t="s">
        <v>53</v>
      </c>
      <c r="C10" s="130">
        <v>96252645.609999999</v>
      </c>
      <c r="D10" s="133">
        <v>11055393.859999999</v>
      </c>
      <c r="E10" s="34">
        <v>107308039.47</v>
      </c>
    </row>
    <row r="11" spans="1:5" ht="20" customHeight="1" thickBot="1">
      <c r="A11" s="70">
        <v>67</v>
      </c>
      <c r="B11" s="70" t="s">
        <v>54</v>
      </c>
      <c r="C11" s="130">
        <v>394187.8</v>
      </c>
      <c r="D11" s="133">
        <v>88902.85</v>
      </c>
      <c r="E11" s="34">
        <v>483090.65</v>
      </c>
    </row>
    <row r="12" spans="1:5" ht="20" customHeight="1" thickBot="1">
      <c r="A12" s="70">
        <v>68</v>
      </c>
      <c r="B12" s="70" t="s">
        <v>55</v>
      </c>
      <c r="C12" s="130">
        <v>-50429.4</v>
      </c>
      <c r="D12" s="133">
        <v>-3255.15</v>
      </c>
      <c r="E12" s="34">
        <v>-53684.55</v>
      </c>
    </row>
    <row r="13" spans="1:5" ht="20" customHeight="1" thickBot="1">
      <c r="A13" s="70">
        <v>69</v>
      </c>
      <c r="B13" s="70" t="s">
        <v>56</v>
      </c>
      <c r="C13" s="130">
        <v>1457920.26</v>
      </c>
      <c r="D13" s="133">
        <v>66379.19</v>
      </c>
      <c r="E13" s="34">
        <v>1524299.45</v>
      </c>
    </row>
    <row r="14" spans="1:5" ht="27" customHeight="1" thickBot="1">
      <c r="A14" s="70">
        <v>6</v>
      </c>
      <c r="B14" s="70" t="s">
        <v>57</v>
      </c>
      <c r="C14" s="130">
        <v>98054324.269999996</v>
      </c>
      <c r="D14" s="133">
        <v>11207420.75</v>
      </c>
      <c r="E14" s="34">
        <v>109261745.02</v>
      </c>
    </row>
    <row r="15" spans="1:5" ht="20" customHeight="1" thickBot="1">
      <c r="A15" s="70">
        <v>30</v>
      </c>
      <c r="B15" s="70" t="s">
        <v>1316</v>
      </c>
      <c r="C15" s="130">
        <v>85829122.159999996</v>
      </c>
      <c r="D15" s="133">
        <v>9530219.7899999991</v>
      </c>
      <c r="E15" s="34">
        <v>95359341.950000003</v>
      </c>
    </row>
    <row r="16" spans="1:5" ht="20" customHeight="1" thickBot="1">
      <c r="A16" s="70">
        <v>32</v>
      </c>
      <c r="B16" s="70" t="s">
        <v>58</v>
      </c>
      <c r="C16" s="130">
        <v>0</v>
      </c>
      <c r="D16" s="133">
        <v>0</v>
      </c>
      <c r="E16" s="34">
        <v>0</v>
      </c>
    </row>
    <row r="17" spans="1:5" ht="27" customHeight="1" thickBot="1">
      <c r="A17" s="70" t="s">
        <v>59</v>
      </c>
      <c r="B17" s="70" t="s">
        <v>60</v>
      </c>
      <c r="C17" s="130">
        <v>85829122.159999996</v>
      </c>
      <c r="D17" s="133">
        <v>9530219.7899999991</v>
      </c>
      <c r="E17" s="34">
        <v>95359341.950000003</v>
      </c>
    </row>
    <row r="18" spans="1:5" ht="20" customHeight="1" thickBot="1">
      <c r="A18" s="70">
        <v>34</v>
      </c>
      <c r="B18" s="70" t="s">
        <v>61</v>
      </c>
      <c r="C18" s="130">
        <v>35771.68</v>
      </c>
      <c r="D18" s="133">
        <v>7631.97</v>
      </c>
      <c r="E18" s="34">
        <v>43403.65</v>
      </c>
    </row>
    <row r="19" spans="1:5" ht="20" customHeight="1" thickBot="1">
      <c r="A19" s="70">
        <v>35</v>
      </c>
      <c r="B19" s="70" t="s">
        <v>1509</v>
      </c>
      <c r="C19" s="130">
        <v>-3388353.56</v>
      </c>
      <c r="D19" s="133">
        <v>-237442.65</v>
      </c>
      <c r="E19" s="34">
        <v>-3625796.21</v>
      </c>
    </row>
    <row r="20" spans="1:5" ht="27" customHeight="1" thickBot="1">
      <c r="A20" s="70" t="s">
        <v>1510</v>
      </c>
      <c r="B20" s="70" t="s">
        <v>1511</v>
      </c>
      <c r="C20" s="130">
        <v>82476540.290000007</v>
      </c>
      <c r="D20" s="133">
        <v>9300409.1199999992</v>
      </c>
      <c r="E20" s="34">
        <v>91776949.409999996</v>
      </c>
    </row>
    <row r="21" spans="1:5" ht="20" customHeight="1" thickBot="1">
      <c r="A21" s="70">
        <v>36</v>
      </c>
      <c r="B21" s="70" t="s">
        <v>1512</v>
      </c>
      <c r="C21" s="130">
        <v>-1054658.52</v>
      </c>
      <c r="D21" s="133">
        <v>-106250.74</v>
      </c>
      <c r="E21" s="34">
        <v>-1160909.26</v>
      </c>
    </row>
    <row r="22" spans="1:5" ht="20" customHeight="1" thickBot="1">
      <c r="A22" s="70">
        <v>37</v>
      </c>
      <c r="B22" s="70" t="s">
        <v>1513</v>
      </c>
      <c r="C22" s="130">
        <v>0</v>
      </c>
      <c r="D22" s="133">
        <v>0</v>
      </c>
      <c r="E22" s="34">
        <v>0</v>
      </c>
    </row>
    <row r="23" spans="1:5" ht="27" customHeight="1" thickBot="1">
      <c r="A23" s="70">
        <v>3</v>
      </c>
      <c r="B23" s="70" t="s">
        <v>1514</v>
      </c>
      <c r="C23" s="130">
        <v>81421881.769999996</v>
      </c>
      <c r="D23" s="133">
        <v>9194158.3800000008</v>
      </c>
      <c r="E23" s="34">
        <v>90616040.150000006</v>
      </c>
    </row>
    <row r="24" spans="1:5" ht="20" customHeight="1" thickBot="1">
      <c r="A24" s="70" t="s">
        <v>1515</v>
      </c>
      <c r="B24" s="70" t="s">
        <v>1516</v>
      </c>
      <c r="C24" s="130">
        <v>10398035.93</v>
      </c>
      <c r="D24" s="133">
        <v>1265835.8</v>
      </c>
      <c r="E24" s="34">
        <v>11663871.73</v>
      </c>
    </row>
    <row r="25" spans="1:5" ht="20" customHeight="1" thickBot="1">
      <c r="A25" s="70">
        <v>49</v>
      </c>
      <c r="B25" s="70" t="s">
        <v>1517</v>
      </c>
      <c r="C25" s="130">
        <v>24960.82</v>
      </c>
      <c r="D25" s="133">
        <v>2791.85</v>
      </c>
      <c r="E25" s="34">
        <v>27752.67</v>
      </c>
    </row>
    <row r="26" spans="1:5" ht="27" customHeight="1" thickBot="1">
      <c r="A26" s="70">
        <v>4</v>
      </c>
      <c r="B26" s="70" t="s">
        <v>1518</v>
      </c>
      <c r="C26" s="130">
        <v>10422996.75</v>
      </c>
      <c r="D26" s="133">
        <v>1268627.6499999999</v>
      </c>
      <c r="E26" s="34">
        <v>11691624.4</v>
      </c>
    </row>
    <row r="27" spans="1:5" ht="27" customHeight="1" thickBot="1">
      <c r="A27" s="70" t="s">
        <v>1519</v>
      </c>
      <c r="B27" s="70" t="s">
        <v>1520</v>
      </c>
      <c r="C27" s="130">
        <v>91844878.519999996</v>
      </c>
      <c r="D27" s="133">
        <v>10462786.029999999</v>
      </c>
      <c r="E27" s="34">
        <v>102307664.55</v>
      </c>
    </row>
    <row r="28" spans="1:5" ht="27" customHeight="1" thickBot="1">
      <c r="A28" s="70"/>
      <c r="B28" s="70" t="s">
        <v>1521</v>
      </c>
      <c r="C28" s="130">
        <v>6209445.75</v>
      </c>
      <c r="D28" s="133">
        <v>744634.72</v>
      </c>
      <c r="E28" s="34">
        <v>6954080.4699999997</v>
      </c>
    </row>
    <row r="29" spans="1:5" ht="27" customHeight="1" thickBot="1">
      <c r="A29" s="70">
        <v>7</v>
      </c>
      <c r="B29" s="70" t="s">
        <v>1522</v>
      </c>
      <c r="C29" s="130">
        <v>-515273.71</v>
      </c>
      <c r="D29" s="133">
        <v>-91929.81</v>
      </c>
      <c r="E29" s="34">
        <v>-607203.52</v>
      </c>
    </row>
    <row r="30" spans="1:5" ht="34.5" customHeight="1" thickBot="1">
      <c r="A30" s="276"/>
      <c r="B30" s="276" t="s">
        <v>495</v>
      </c>
      <c r="C30" s="130">
        <v>5694172.04</v>
      </c>
      <c r="D30" s="133">
        <v>652704.91</v>
      </c>
      <c r="E30" s="34">
        <v>6346876.9500000002</v>
      </c>
    </row>
    <row r="31" spans="1:5" ht="20" customHeight="1">
      <c r="A31" s="9" t="s">
        <v>178</v>
      </c>
      <c r="B31" s="103"/>
      <c r="C31" s="9"/>
      <c r="D31" s="117"/>
      <c r="E31" s="288"/>
    </row>
    <row r="32" spans="1:5" ht="15.75" customHeight="1">
      <c r="A32" s="38"/>
      <c r="B32" s="104"/>
      <c r="C32" s="38"/>
      <c r="D32" s="118"/>
      <c r="E32" s="289"/>
    </row>
    <row r="33" spans="1:5" ht="15.75" customHeight="1">
      <c r="A33" s="3" t="s">
        <v>963</v>
      </c>
      <c r="B33" s="104"/>
      <c r="C33" s="38"/>
      <c r="D33" s="118"/>
      <c r="E33" s="289"/>
    </row>
    <row r="34" spans="1:5" ht="13.5" customHeight="1">
      <c r="A34" s="38"/>
      <c r="B34" s="104"/>
      <c r="C34" s="38"/>
      <c r="D34" s="118"/>
      <c r="E34" s="289"/>
    </row>
    <row r="35" spans="1:5">
      <c r="A35" s="38" t="s">
        <v>961</v>
      </c>
    </row>
    <row r="36" spans="1:5">
      <c r="A36" s="3" t="s">
        <v>962</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&amp;L&amp;"Arial,Bold"&amp;14Freiwillige Taggeldversicherung KVG</oddHeader>
    <oddFooter>&amp;L&amp;"Arial,Regular"Statistik über die Krankenversicherung, Bundesamt für Sozialversicherung</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C8E0-EFED-AE49-A877-74B89452357D}">
  <dimension ref="A1:E36"/>
  <sheetViews>
    <sheetView zoomScale="75" workbookViewId="0">
      <selection activeCell="G16" sqref="G16"/>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6.796875" style="290" customWidth="1"/>
    <col min="6" max="16384" width="11.3984375" style="3"/>
  </cols>
  <sheetData>
    <row r="1" spans="1:5" s="1" customFormat="1" ht="14" customHeight="1">
      <c r="B1" s="95"/>
      <c r="D1" s="106"/>
      <c r="E1" s="281"/>
    </row>
    <row r="2" spans="1:5" s="1" customFormat="1" ht="28" customHeight="1">
      <c r="A2" s="81" t="s">
        <v>180</v>
      </c>
      <c r="B2" s="95"/>
      <c r="D2" s="106"/>
      <c r="E2" s="281"/>
    </row>
    <row r="3" spans="1:5" ht="39" customHeight="1">
      <c r="A3" s="2" t="s">
        <v>43</v>
      </c>
      <c r="B3" s="96"/>
      <c r="C3" s="74" t="s">
        <v>44</v>
      </c>
      <c r="D3" s="65" t="s">
        <v>45</v>
      </c>
      <c r="E3" s="282" t="s">
        <v>607</v>
      </c>
    </row>
    <row r="4" spans="1:5" ht="38" customHeight="1">
      <c r="A4" s="283"/>
      <c r="B4" s="284"/>
      <c r="C4" s="78" t="s">
        <v>1304</v>
      </c>
      <c r="D4" s="67" t="s">
        <v>1304</v>
      </c>
      <c r="E4" s="187" t="s">
        <v>1304</v>
      </c>
    </row>
    <row r="5" spans="1:5" ht="30" customHeight="1" thickBot="1">
      <c r="A5" s="285">
        <v>60</v>
      </c>
      <c r="B5" s="285" t="s">
        <v>46</v>
      </c>
      <c r="C5" s="286">
        <v>244226121.83000001</v>
      </c>
      <c r="D5" s="287">
        <v>19257810.550000001</v>
      </c>
      <c r="E5" s="71">
        <v>263483932.38</v>
      </c>
    </row>
    <row r="6" spans="1:5" ht="20" customHeight="1" thickBot="1">
      <c r="A6" s="70">
        <v>64</v>
      </c>
      <c r="B6" s="70" t="s">
        <v>47</v>
      </c>
      <c r="C6" s="286">
        <v>-669940.39</v>
      </c>
      <c r="D6" s="287">
        <v>-33548.61</v>
      </c>
      <c r="E6" s="71">
        <v>-703489</v>
      </c>
    </row>
    <row r="7" spans="1:5" ht="20" customHeight="1" thickBot="1">
      <c r="A7" s="70">
        <v>65</v>
      </c>
      <c r="B7" s="70" t="s">
        <v>48</v>
      </c>
      <c r="C7" s="286">
        <v>24099.49</v>
      </c>
      <c r="D7" s="287">
        <v>94.24</v>
      </c>
      <c r="E7" s="71">
        <v>24193.73</v>
      </c>
    </row>
    <row r="8" spans="1:5" ht="27" customHeight="1" thickBot="1">
      <c r="A8" s="70" t="s">
        <v>49</v>
      </c>
      <c r="B8" s="70" t="s">
        <v>50</v>
      </c>
      <c r="C8" s="286">
        <v>243580280.93000001</v>
      </c>
      <c r="D8" s="287">
        <v>19224356.170000002</v>
      </c>
      <c r="E8" s="71">
        <v>262804637.09999999</v>
      </c>
    </row>
    <row r="9" spans="1:5" ht="20" customHeight="1" thickBot="1">
      <c r="A9" s="70">
        <v>66</v>
      </c>
      <c r="B9" s="70" t="s">
        <v>51</v>
      </c>
      <c r="C9" s="286">
        <v>-1900710.33</v>
      </c>
      <c r="D9" s="287">
        <v>-10165.219999999999</v>
      </c>
      <c r="E9" s="71">
        <v>-1910875.55</v>
      </c>
    </row>
    <row r="10" spans="1:5" ht="27" customHeight="1" thickBot="1">
      <c r="A10" s="70" t="s">
        <v>52</v>
      </c>
      <c r="B10" s="70" t="s">
        <v>53</v>
      </c>
      <c r="C10" s="286">
        <v>241679570.59999999</v>
      </c>
      <c r="D10" s="287">
        <v>19214190.949999999</v>
      </c>
      <c r="E10" s="71">
        <v>260893761.55000001</v>
      </c>
    </row>
    <row r="11" spans="1:5" ht="20" customHeight="1" thickBot="1">
      <c r="A11" s="70">
        <v>67</v>
      </c>
      <c r="B11" s="70" t="s">
        <v>54</v>
      </c>
      <c r="C11" s="286">
        <v>16786056.399999999</v>
      </c>
      <c r="D11" s="287">
        <v>75180.399999999994</v>
      </c>
      <c r="E11" s="71">
        <v>16861236.800000001</v>
      </c>
    </row>
    <row r="12" spans="1:5" ht="20" customHeight="1" thickBot="1">
      <c r="A12" s="70">
        <v>68</v>
      </c>
      <c r="B12" s="70" t="s">
        <v>55</v>
      </c>
      <c r="C12" s="286">
        <v>-16786056.399999999</v>
      </c>
      <c r="D12" s="287">
        <v>-75180.399999999994</v>
      </c>
      <c r="E12" s="71">
        <v>-16861236.800000001</v>
      </c>
    </row>
    <row r="13" spans="1:5" ht="20" customHeight="1" thickBot="1">
      <c r="A13" s="70">
        <v>69</v>
      </c>
      <c r="B13" s="70" t="s">
        <v>56</v>
      </c>
      <c r="C13" s="286">
        <v>3738949.01</v>
      </c>
      <c r="D13" s="287">
        <v>30569.3</v>
      </c>
      <c r="E13" s="71">
        <v>3769518.31</v>
      </c>
    </row>
    <row r="14" spans="1:5" ht="27" customHeight="1" thickBot="1">
      <c r="A14" s="70">
        <v>6</v>
      </c>
      <c r="B14" s="70" t="s">
        <v>57</v>
      </c>
      <c r="C14" s="286">
        <v>245418519.61000001</v>
      </c>
      <c r="D14" s="287">
        <v>19244760.260000002</v>
      </c>
      <c r="E14" s="71">
        <v>264663279.87</v>
      </c>
    </row>
    <row r="15" spans="1:5" ht="20" customHeight="1" thickBot="1">
      <c r="A15" s="70">
        <v>30</v>
      </c>
      <c r="B15" s="70" t="s">
        <v>1316</v>
      </c>
      <c r="C15" s="286">
        <v>214913437.71000001</v>
      </c>
      <c r="D15" s="287">
        <v>18876319.68</v>
      </c>
      <c r="E15" s="71">
        <v>233789757.38999999</v>
      </c>
    </row>
    <row r="16" spans="1:5" ht="20" customHeight="1" thickBot="1">
      <c r="A16" s="70">
        <v>32</v>
      </c>
      <c r="B16" s="70" t="s">
        <v>58</v>
      </c>
      <c r="C16" s="286">
        <v>0</v>
      </c>
      <c r="D16" s="287">
        <v>0</v>
      </c>
      <c r="E16" s="71">
        <v>0</v>
      </c>
    </row>
    <row r="17" spans="1:5" ht="27" customHeight="1" thickBot="1">
      <c r="A17" s="70" t="s">
        <v>59</v>
      </c>
      <c r="B17" s="70" t="s">
        <v>60</v>
      </c>
      <c r="C17" s="286">
        <v>214913437.71000001</v>
      </c>
      <c r="D17" s="287">
        <v>18876319.68</v>
      </c>
      <c r="E17" s="71">
        <v>233789757.38999999</v>
      </c>
    </row>
    <row r="18" spans="1:5" ht="20" customHeight="1" thickBot="1">
      <c r="A18" s="70">
        <v>34</v>
      </c>
      <c r="B18" s="70" t="s">
        <v>61</v>
      </c>
      <c r="C18" s="286">
        <v>787470.16</v>
      </c>
      <c r="D18" s="287">
        <v>14805.1</v>
      </c>
      <c r="E18" s="71">
        <v>802275.26</v>
      </c>
    </row>
    <row r="19" spans="1:5" ht="20" customHeight="1" thickBot="1">
      <c r="A19" s="70">
        <v>35</v>
      </c>
      <c r="B19" s="70" t="s">
        <v>1509</v>
      </c>
      <c r="C19" s="286">
        <v>-416070.15</v>
      </c>
      <c r="D19" s="287">
        <v>193714.38</v>
      </c>
      <c r="E19" s="71">
        <v>-222355.77</v>
      </c>
    </row>
    <row r="20" spans="1:5" ht="27" customHeight="1" thickBot="1">
      <c r="A20" s="70" t="s">
        <v>1510</v>
      </c>
      <c r="B20" s="70" t="s">
        <v>1511</v>
      </c>
      <c r="C20" s="286">
        <v>215284837.71000001</v>
      </c>
      <c r="D20" s="287">
        <v>19084839.16</v>
      </c>
      <c r="E20" s="71">
        <v>234369676.87</v>
      </c>
    </row>
    <row r="21" spans="1:5" ht="20" customHeight="1" thickBot="1">
      <c r="A21" s="70">
        <v>36</v>
      </c>
      <c r="B21" s="70" t="s">
        <v>1512</v>
      </c>
      <c r="C21" s="286">
        <v>-1443165.95</v>
      </c>
      <c r="D21" s="287">
        <v>-4395.28</v>
      </c>
      <c r="E21" s="71">
        <v>-1447561.23</v>
      </c>
    </row>
    <row r="22" spans="1:5" ht="20" customHeight="1" thickBot="1">
      <c r="A22" s="70">
        <v>37</v>
      </c>
      <c r="B22" s="70" t="s">
        <v>1513</v>
      </c>
      <c r="C22" s="286">
        <v>0</v>
      </c>
      <c r="D22" s="287">
        <v>0</v>
      </c>
      <c r="E22" s="71">
        <v>0</v>
      </c>
    </row>
    <row r="23" spans="1:5" ht="27" customHeight="1" thickBot="1">
      <c r="A23" s="70">
        <v>3</v>
      </c>
      <c r="B23" s="70" t="s">
        <v>1514</v>
      </c>
      <c r="C23" s="286">
        <v>213841671.75999999</v>
      </c>
      <c r="D23" s="287">
        <v>19080443.879999999</v>
      </c>
      <c r="E23" s="71">
        <v>232922115.63999999</v>
      </c>
    </row>
    <row r="24" spans="1:5" ht="20" customHeight="1" thickBot="1">
      <c r="A24" s="70" t="s">
        <v>1515</v>
      </c>
      <c r="B24" s="70" t="s">
        <v>1516</v>
      </c>
      <c r="C24" s="286">
        <v>24386153.620000001</v>
      </c>
      <c r="D24" s="287">
        <v>2084174.68</v>
      </c>
      <c r="E24" s="71">
        <v>26470328.300000001</v>
      </c>
    </row>
    <row r="25" spans="1:5" ht="20" customHeight="1" thickBot="1">
      <c r="A25" s="70">
        <v>49</v>
      </c>
      <c r="B25" s="70" t="s">
        <v>1517</v>
      </c>
      <c r="C25" s="286">
        <v>23131.09</v>
      </c>
      <c r="D25" s="287">
        <v>3202.87</v>
      </c>
      <c r="E25" s="71">
        <v>26333.96</v>
      </c>
    </row>
    <row r="26" spans="1:5" ht="27" customHeight="1" thickBot="1">
      <c r="A26" s="70">
        <v>4</v>
      </c>
      <c r="B26" s="70" t="s">
        <v>1518</v>
      </c>
      <c r="C26" s="286">
        <v>24409284.710000001</v>
      </c>
      <c r="D26" s="287">
        <v>2087377.55</v>
      </c>
      <c r="E26" s="71">
        <v>26496662.260000002</v>
      </c>
    </row>
    <row r="27" spans="1:5" ht="27" customHeight="1" thickBot="1">
      <c r="A27" s="70" t="s">
        <v>1519</v>
      </c>
      <c r="B27" s="70" t="s">
        <v>1520</v>
      </c>
      <c r="C27" s="286">
        <v>238250956.47</v>
      </c>
      <c r="D27" s="287">
        <v>21167821.43</v>
      </c>
      <c r="E27" s="71">
        <v>259418777.90000001</v>
      </c>
    </row>
    <row r="28" spans="1:5" ht="27" customHeight="1" thickBot="1">
      <c r="A28" s="70"/>
      <c r="B28" s="70" t="s">
        <v>1521</v>
      </c>
      <c r="C28" s="286">
        <v>7167563.1399999997</v>
      </c>
      <c r="D28" s="287">
        <v>-1923061.18</v>
      </c>
      <c r="E28" s="71">
        <v>5244501.96</v>
      </c>
    </row>
    <row r="29" spans="1:5" ht="27" customHeight="1" thickBot="1">
      <c r="A29" s="70">
        <v>7</v>
      </c>
      <c r="B29" s="70" t="s">
        <v>1522</v>
      </c>
      <c r="C29" s="286">
        <v>-1115431.02</v>
      </c>
      <c r="D29" s="287">
        <v>-17527</v>
      </c>
      <c r="E29" s="71">
        <v>-1132958.02</v>
      </c>
    </row>
    <row r="30" spans="1:5" ht="34.5" customHeight="1" thickBot="1">
      <c r="A30" s="276"/>
      <c r="B30" s="276" t="s">
        <v>495</v>
      </c>
      <c r="C30" s="286">
        <v>6052132.1200000001</v>
      </c>
      <c r="D30" s="287">
        <v>-1940588.18</v>
      </c>
      <c r="E30" s="71">
        <v>4111543.94</v>
      </c>
    </row>
    <row r="31" spans="1:5" ht="20" customHeight="1">
      <c r="A31" s="9" t="s">
        <v>178</v>
      </c>
      <c r="B31" s="103"/>
      <c r="C31" s="9"/>
      <c r="D31" s="117"/>
      <c r="E31" s="288"/>
    </row>
    <row r="32" spans="1:5" ht="14.25" customHeight="1">
      <c r="A32" s="38"/>
      <c r="B32" s="104"/>
      <c r="C32" s="38"/>
      <c r="D32" s="118"/>
      <c r="E32" s="289"/>
    </row>
    <row r="33" spans="1:5" ht="15.75" customHeight="1">
      <c r="A33" s="3" t="s">
        <v>960</v>
      </c>
      <c r="B33" s="104"/>
      <c r="C33" s="38"/>
      <c r="D33" s="118"/>
      <c r="E33" s="289"/>
    </row>
    <row r="34" spans="1:5" ht="13.5" customHeight="1">
      <c r="A34" s="38"/>
      <c r="B34" s="104"/>
      <c r="C34" s="38"/>
      <c r="D34" s="118"/>
      <c r="E34" s="289"/>
    </row>
    <row r="35" spans="1:5">
      <c r="A35" s="38" t="s">
        <v>961</v>
      </c>
    </row>
    <row r="36" spans="1:5">
      <c r="A36" s="3" t="s">
        <v>962</v>
      </c>
    </row>
  </sheetData>
  <phoneticPr fontId="0" type="noConversion"/>
  <pageMargins left="0.78740157480314965" right="0.78740157480314965" top="1.47" bottom="0.49" header="0.93" footer="0.4921259845"/>
  <pageSetup paperSize="9" scale="80" orientation="portrait" horizontalDpi="4294967292" verticalDpi="4294967292"/>
  <headerFooter alignWithMargins="0">
    <oddHeader>&amp;L&amp;"Arial,Bold"&amp;14Freiwillige Taggeldversicherung KVG</oddHeader>
    <oddFooter>&amp;L&amp;"Arial,Regular"Statistik über die Krankenversicherung, Bundesamt für Sozialversicherung</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A03B-275C-274F-8CE6-46573DB45A0B}">
  <dimension ref="A1:B8"/>
  <sheetViews>
    <sheetView workbookViewId="0">
      <selection activeCell="B5" sqref="B5"/>
    </sheetView>
  </sheetViews>
  <sheetFormatPr baseColWidth="10" defaultColWidth="11.3984375" defaultRowHeight="13"/>
  <cols>
    <col min="1" max="1" width="5.59765625" style="675" customWidth="1"/>
    <col min="2" max="16384" width="11.3984375" style="675"/>
  </cols>
  <sheetData>
    <row r="1" spans="1:2" ht="16">
      <c r="A1" s="674" t="s">
        <v>1432</v>
      </c>
    </row>
    <row r="2" spans="1:2" ht="16">
      <c r="A2" s="676"/>
    </row>
    <row r="3" spans="1:2">
      <c r="A3" s="675">
        <v>7.01</v>
      </c>
      <c r="B3" s="677" t="s">
        <v>1433</v>
      </c>
    </row>
    <row r="4" spans="1:2">
      <c r="A4" s="675">
        <v>7.02</v>
      </c>
      <c r="B4" s="677" t="s">
        <v>362</v>
      </c>
    </row>
    <row r="5" spans="1:2">
      <c r="A5" s="675">
        <v>7.03</v>
      </c>
      <c r="B5" s="677" t="s">
        <v>363</v>
      </c>
    </row>
    <row r="6" spans="1:2">
      <c r="A6" s="675">
        <v>7.04</v>
      </c>
      <c r="B6" s="677" t="s">
        <v>364</v>
      </c>
    </row>
    <row r="7" spans="1:2">
      <c r="A7" s="675">
        <v>7.05</v>
      </c>
      <c r="B7" s="677" t="s">
        <v>365</v>
      </c>
    </row>
    <row r="8" spans="1:2">
      <c r="A8" s="675">
        <v>7.06</v>
      </c>
      <c r="B8" s="678" t="s">
        <v>366</v>
      </c>
    </row>
  </sheetData>
  <phoneticPr fontId="23" type="noConversion"/>
  <pageMargins left="0.46" right="0.35" top="0.95" bottom="0.984251969" header="0.36" footer="0.4921259845"/>
  <pageSetup paperSize="9" orientation="portrait"/>
  <headerFooter alignWithMargins="0">
    <oddHeader>&amp;LAndere Versicherungen der vom BSV anerkannten Krankenversicherer</oddHeader>
    <oddFooter>&amp;LStatistik der Krankenversicherung, Bundesamt für Sozialversicherung</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69E8-3E22-B046-9882-FC65715AAC3D}">
  <dimension ref="A1:K25"/>
  <sheetViews>
    <sheetView zoomScale="75" workbookViewId="0">
      <selection activeCell="A20" sqref="A20"/>
    </sheetView>
  </sheetViews>
  <sheetFormatPr baseColWidth="10" defaultColWidth="11.3984375" defaultRowHeight="13"/>
  <cols>
    <col min="1" max="1" width="16.796875" style="3" customWidth="1"/>
    <col min="2" max="7" width="15" style="3" customWidth="1"/>
    <col min="8" max="16384" width="11.3984375" style="3"/>
  </cols>
  <sheetData>
    <row r="1" spans="1:11" s="1" customFormat="1" ht="14" customHeight="1"/>
    <row r="2" spans="1:11" s="1" customFormat="1" ht="28" customHeight="1">
      <c r="A2" s="81" t="s">
        <v>1429</v>
      </c>
    </row>
    <row r="3" spans="1:11" ht="24" customHeight="1">
      <c r="A3" s="2" t="s">
        <v>959</v>
      </c>
      <c r="B3" s="74" t="s">
        <v>981</v>
      </c>
      <c r="C3" s="17" t="s">
        <v>609</v>
      </c>
      <c r="D3" s="74" t="s">
        <v>982</v>
      </c>
      <c r="E3" s="17" t="s">
        <v>609</v>
      </c>
      <c r="F3" s="74" t="s">
        <v>1325</v>
      </c>
      <c r="G3" s="17" t="s">
        <v>609</v>
      </c>
    </row>
    <row r="4" spans="1:11" ht="15" customHeight="1">
      <c r="A4" s="82"/>
      <c r="B4" s="75" t="s">
        <v>1325</v>
      </c>
      <c r="C4" s="18" t="s">
        <v>610</v>
      </c>
      <c r="D4" s="75" t="s">
        <v>983</v>
      </c>
      <c r="E4" s="18" t="s">
        <v>610</v>
      </c>
      <c r="F4" s="75" t="s">
        <v>984</v>
      </c>
      <c r="G4" s="18" t="s">
        <v>610</v>
      </c>
    </row>
    <row r="5" spans="1:11" ht="15" customHeight="1">
      <c r="A5" s="82"/>
      <c r="B5" s="75" t="s">
        <v>1430</v>
      </c>
      <c r="C5" s="18" t="s">
        <v>611</v>
      </c>
      <c r="D5" s="75" t="s">
        <v>985</v>
      </c>
      <c r="E5" s="18" t="s">
        <v>611</v>
      </c>
      <c r="F5" s="75" t="s">
        <v>1431</v>
      </c>
      <c r="G5" s="18" t="s">
        <v>611</v>
      </c>
    </row>
    <row r="6" spans="1:11" ht="24" customHeight="1">
      <c r="A6" s="83"/>
      <c r="B6" s="78"/>
      <c r="C6" s="19"/>
      <c r="D6" s="78" t="s">
        <v>1421</v>
      </c>
      <c r="E6" s="19"/>
      <c r="F6" s="78"/>
      <c r="G6" s="19"/>
    </row>
    <row r="7" spans="1:11" ht="30" customHeight="1" thickBot="1">
      <c r="A7" s="632">
        <v>1994</v>
      </c>
      <c r="B7" s="29">
        <v>4198316767</v>
      </c>
      <c r="C7" s="25" t="s">
        <v>487</v>
      </c>
      <c r="D7" s="29">
        <v>3818641000</v>
      </c>
      <c r="E7" s="25" t="s">
        <v>487</v>
      </c>
      <c r="F7" s="29">
        <v>379675767</v>
      </c>
      <c r="G7" s="25" t="s">
        <v>487</v>
      </c>
      <c r="H7" s="43"/>
    </row>
    <row r="8" spans="1:11" ht="20" customHeight="1" thickBot="1">
      <c r="A8" s="85">
        <v>1995</v>
      </c>
      <c r="B8" s="30">
        <v>4392004810</v>
      </c>
      <c r="C8" s="26">
        <v>4.6134690103053863E-2</v>
      </c>
      <c r="D8" s="30">
        <v>4165379000</v>
      </c>
      <c r="E8" s="26">
        <v>9.0801413382404897E-2</v>
      </c>
      <c r="F8" s="30">
        <v>226625810</v>
      </c>
      <c r="G8" s="26">
        <v>-0.40310699365756469</v>
      </c>
    </row>
    <row r="9" spans="1:11" ht="20" customHeight="1" thickBot="1">
      <c r="A9" s="85">
        <v>1996</v>
      </c>
      <c r="B9" s="30">
        <v>4599022226.4899998</v>
      </c>
      <c r="C9" s="26">
        <v>4.7135061423122571E-2</v>
      </c>
      <c r="D9" s="30">
        <v>4507461189</v>
      </c>
      <c r="E9" s="26">
        <v>8.2125105302542703E-2</v>
      </c>
      <c r="F9" s="30">
        <v>91699445.469999999</v>
      </c>
      <c r="G9" s="26">
        <v>-0.59537068849307151</v>
      </c>
      <c r="I9" s="45"/>
      <c r="J9" s="45"/>
      <c r="K9" s="45"/>
    </row>
    <row r="10" spans="1:11" ht="20" customHeight="1" thickBot="1">
      <c r="A10" s="85">
        <v>1997</v>
      </c>
      <c r="B10" s="30">
        <v>4851626656</v>
      </c>
      <c r="C10" s="26">
        <v>5.4925681388321837E-2</v>
      </c>
      <c r="D10" s="30">
        <v>4710142665.8999996</v>
      </c>
      <c r="E10" s="26">
        <v>4.4965773059704457E-2</v>
      </c>
      <c r="F10" s="30">
        <v>141483990.28999999</v>
      </c>
      <c r="G10" s="26">
        <v>0.54290998778490207</v>
      </c>
    </row>
    <row r="11" spans="1:11" ht="20" customHeight="1" thickBot="1">
      <c r="A11" s="85">
        <v>1998</v>
      </c>
      <c r="B11" s="30">
        <v>4992640209.6999998</v>
      </c>
      <c r="C11" s="26">
        <v>2.9065211257673453E-2</v>
      </c>
      <c r="D11" s="30">
        <v>4882154897.6999998</v>
      </c>
      <c r="E11" s="26">
        <v>3.6519537517476157E-2</v>
      </c>
      <c r="F11" s="30">
        <v>110485312.03</v>
      </c>
      <c r="G11" s="26">
        <v>-0.2190967203883771</v>
      </c>
    </row>
    <row r="12" spans="1:11" ht="20" customHeight="1" thickBot="1">
      <c r="A12" s="85">
        <v>1999</v>
      </c>
      <c r="B12" s="30">
        <v>4257016347.5999999</v>
      </c>
      <c r="C12" s="26">
        <v>-0.14734165315393363</v>
      </c>
      <c r="D12" s="30">
        <v>4120691131.5999999</v>
      </c>
      <c r="E12" s="26">
        <v>-0.15596878469766048</v>
      </c>
      <c r="F12" s="30">
        <v>136325216.02000001</v>
      </c>
      <c r="G12" s="26">
        <v>0.23387637248092957</v>
      </c>
    </row>
    <row r="13" spans="1:11" ht="20" customHeight="1" thickBot="1">
      <c r="A13" s="85">
        <v>2000</v>
      </c>
      <c r="B13" s="30">
        <v>3297340718.6999998</v>
      </c>
      <c r="C13" s="26">
        <v>-0.22543386037054836</v>
      </c>
      <c r="D13" s="30">
        <v>3197872772.4000001</v>
      </c>
      <c r="E13" s="26">
        <v>-0.22394747136548521</v>
      </c>
      <c r="F13" s="30">
        <v>99467946.299999997</v>
      </c>
      <c r="G13" s="26">
        <v>-0.27036281911772475</v>
      </c>
    </row>
    <row r="14" spans="1:11" ht="20" customHeight="1" thickBot="1">
      <c r="A14" s="85">
        <v>2001</v>
      </c>
      <c r="B14" s="30">
        <v>2297775177.9000001</v>
      </c>
      <c r="C14" s="26">
        <v>-0.30314293428374778</v>
      </c>
      <c r="D14" s="30">
        <v>2245296158.4000001</v>
      </c>
      <c r="E14" s="26">
        <v>-0.29787820898362138</v>
      </c>
      <c r="F14" s="30">
        <v>52479019.649999999</v>
      </c>
      <c r="G14" s="26">
        <v>-0.4724027025578591</v>
      </c>
    </row>
    <row r="15" spans="1:11" ht="30" customHeight="1" thickBot="1">
      <c r="A15" s="313">
        <v>2002</v>
      </c>
      <c r="B15" s="34">
        <v>2186631397.5500002</v>
      </c>
      <c r="C15" s="35">
        <v>-4.8370171903230876E-2</v>
      </c>
      <c r="D15" s="34">
        <v>2202008968.0199995</v>
      </c>
      <c r="E15" s="35">
        <v>-1.9279056002503955E-2</v>
      </c>
      <c r="F15" s="34">
        <v>-15377570.530000001</v>
      </c>
      <c r="G15" s="35">
        <v>-1.2930232049409103</v>
      </c>
    </row>
    <row r="16" spans="1:11" ht="20" customHeight="1">
      <c r="A16" s="9" t="s">
        <v>178</v>
      </c>
      <c r="B16" s="9"/>
      <c r="C16" s="9"/>
      <c r="D16" s="9"/>
      <c r="E16" s="9"/>
      <c r="F16" s="9"/>
      <c r="G16" s="9"/>
    </row>
    <row r="17" spans="1:7" ht="9.75" customHeight="1">
      <c r="A17" s="38"/>
      <c r="B17" s="38"/>
      <c r="C17" s="38"/>
      <c r="D17" s="38"/>
      <c r="E17" s="38"/>
      <c r="F17" s="38"/>
      <c r="G17" s="38"/>
    </row>
    <row r="18" spans="1:7">
      <c r="A18" s="38" t="s">
        <v>1422</v>
      </c>
    </row>
    <row r="19" spans="1:7">
      <c r="A19" s="3" t="s">
        <v>1423</v>
      </c>
    </row>
    <row r="20" spans="1:7">
      <c r="A20" s="3" t="s">
        <v>1424</v>
      </c>
    </row>
    <row r="21" spans="1:7">
      <c r="A21" s="3" t="s">
        <v>1425</v>
      </c>
    </row>
    <row r="22" spans="1:7">
      <c r="A22" s="3" t="s">
        <v>1426</v>
      </c>
    </row>
    <row r="23" spans="1:7">
      <c r="A23" s="3" t="s">
        <v>1427</v>
      </c>
    </row>
    <row r="25" spans="1:7" ht="15.75" customHeight="1">
      <c r="A25" s="38" t="s">
        <v>1428</v>
      </c>
      <c r="B25" s="38"/>
      <c r="C25" s="38"/>
      <c r="D25" s="38"/>
      <c r="E25" s="38"/>
      <c r="F25" s="38"/>
      <c r="G25" s="38"/>
    </row>
  </sheetData>
  <phoneticPr fontId="0" type="noConversion"/>
  <pageMargins left="0.78740157480314965" right="0.78740157480314965" top="1.47" bottom="0.49" header="0.95" footer="0.4921259845"/>
  <pageSetup paperSize="9" scale="80" orientation="portrait" horizontalDpi="4294967292" verticalDpi="4294967292"/>
  <headerFooter alignWithMargins="0">
    <oddHeader>&amp;L&amp;"Arial,Bold"&amp;14Andere Versicherungen der vom BSV anerkannten Krankenversicherer</oddHeader>
    <oddFooter>&amp;L&amp;"Arial,Regular"Statistik über die Krankenversicherung, Bundesamt für Sozialversicherung</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966F-FB49-BC42-B803-DD86181AB2C7}">
  <dimension ref="A1:J20"/>
  <sheetViews>
    <sheetView zoomScale="75" workbookViewId="0">
      <selection activeCell="E9" sqref="E9"/>
    </sheetView>
  </sheetViews>
  <sheetFormatPr baseColWidth="10" defaultColWidth="11.3984375" defaultRowHeight="13"/>
  <cols>
    <col min="1" max="1" width="33.3984375" style="3" customWidth="1"/>
    <col min="2" max="4" width="14.59765625" style="3" customWidth="1"/>
    <col min="5" max="5" width="15.796875" style="3" customWidth="1"/>
    <col min="6" max="6" width="14.59765625" style="36" customWidth="1"/>
    <col min="7" max="7" width="14.59765625" style="3" customWidth="1"/>
    <col min="8" max="16384" width="11.3984375" style="3"/>
  </cols>
  <sheetData>
    <row r="1" spans="1:10" s="1" customFormat="1" ht="14" customHeight="1">
      <c r="F1" s="63"/>
    </row>
    <row r="2" spans="1:10" s="1" customFormat="1" ht="28" customHeight="1">
      <c r="A2" s="81" t="s">
        <v>67</v>
      </c>
      <c r="F2" s="63"/>
    </row>
    <row r="3" spans="1:10" ht="24" customHeight="1">
      <c r="A3" s="291" t="s">
        <v>43</v>
      </c>
      <c r="B3" s="74" t="s">
        <v>1395</v>
      </c>
      <c r="C3" s="17" t="s">
        <v>1396</v>
      </c>
      <c r="D3" s="74" t="s">
        <v>1396</v>
      </c>
      <c r="E3" s="17" t="s">
        <v>1397</v>
      </c>
      <c r="F3" s="185" t="s">
        <v>607</v>
      </c>
      <c r="G3" s="17" t="s">
        <v>609</v>
      </c>
    </row>
    <row r="4" spans="1:10" ht="15" customHeight="1">
      <c r="A4" s="82"/>
      <c r="B4" s="75" t="s">
        <v>1398</v>
      </c>
      <c r="C4" s="18" t="s">
        <v>1399</v>
      </c>
      <c r="D4" s="75" t="s">
        <v>1399</v>
      </c>
      <c r="E4" s="18" t="s">
        <v>1400</v>
      </c>
      <c r="F4" s="295"/>
      <c r="G4" s="18" t="s">
        <v>610</v>
      </c>
    </row>
    <row r="5" spans="1:10" ht="15" customHeight="1">
      <c r="A5" s="82"/>
      <c r="B5" s="75" t="s">
        <v>1401</v>
      </c>
      <c r="C5" s="18" t="s">
        <v>1402</v>
      </c>
      <c r="D5" s="75" t="s">
        <v>1402</v>
      </c>
      <c r="E5" s="18" t="s">
        <v>1714</v>
      </c>
      <c r="F5" s="295"/>
      <c r="G5" s="18" t="s">
        <v>611</v>
      </c>
    </row>
    <row r="6" spans="1:10" ht="15" customHeight="1">
      <c r="A6" s="82"/>
      <c r="B6" s="75" t="s">
        <v>1453</v>
      </c>
      <c r="C6" s="18" t="s">
        <v>1403</v>
      </c>
      <c r="D6" s="75" t="s">
        <v>1714</v>
      </c>
      <c r="E6" s="18" t="s">
        <v>1404</v>
      </c>
      <c r="F6" s="295"/>
      <c r="G6" s="671"/>
    </row>
    <row r="7" spans="1:10" ht="15" customHeight="1">
      <c r="A7" s="82"/>
      <c r="B7" s="75" t="s">
        <v>1405</v>
      </c>
      <c r="C7" s="18" t="s">
        <v>1406</v>
      </c>
      <c r="D7" s="75" t="s">
        <v>1407</v>
      </c>
      <c r="E7" s="635" t="s">
        <v>1408</v>
      </c>
      <c r="F7" s="295"/>
      <c r="G7" s="18"/>
    </row>
    <row r="8" spans="1:10" ht="24" customHeight="1">
      <c r="A8" s="83"/>
      <c r="B8" s="78" t="s">
        <v>1409</v>
      </c>
      <c r="C8" s="19"/>
      <c r="D8" s="78" t="s">
        <v>1410</v>
      </c>
      <c r="E8" s="19" t="s">
        <v>1411</v>
      </c>
      <c r="F8" s="297"/>
      <c r="G8" s="19"/>
    </row>
    <row r="9" spans="1:10" ht="30" customHeight="1" thickBot="1">
      <c r="A9" s="672" t="s">
        <v>1412</v>
      </c>
      <c r="B9" s="286">
        <v>2187426301.8000002</v>
      </c>
      <c r="C9" s="287">
        <v>76916632.689999998</v>
      </c>
      <c r="D9" s="286">
        <v>11670337.529999999</v>
      </c>
      <c r="E9" s="287">
        <v>7491666.7000000002</v>
      </c>
      <c r="F9" s="71">
        <v>2283504938.7200003</v>
      </c>
      <c r="G9" s="673">
        <v>-5.0018148538100715E-3</v>
      </c>
      <c r="H9" s="43"/>
    </row>
    <row r="10" spans="1:10" ht="20" customHeight="1" thickBot="1">
      <c r="A10" s="70" t="s">
        <v>1413</v>
      </c>
      <c r="B10" s="130">
        <v>2207217530.4000001</v>
      </c>
      <c r="C10" s="133">
        <v>43479525.979999997</v>
      </c>
      <c r="D10" s="130">
        <v>11673718.25</v>
      </c>
      <c r="E10" s="133">
        <v>7488770.9400000004</v>
      </c>
      <c r="F10" s="34">
        <v>2269859545.5700002</v>
      </c>
      <c r="G10" s="131">
        <v>-6.1199095611461233E-3</v>
      </c>
      <c r="I10" s="45"/>
      <c r="J10" s="45"/>
    </row>
    <row r="11" spans="1:10" ht="20" customHeight="1" thickBot="1">
      <c r="A11" s="85" t="s">
        <v>1414</v>
      </c>
      <c r="B11" s="130">
        <v>-97053565.609999999</v>
      </c>
      <c r="C11" s="133">
        <v>139666.85</v>
      </c>
      <c r="D11" s="130">
        <v>-24042.12</v>
      </c>
      <c r="E11" s="133">
        <v>64399.7</v>
      </c>
      <c r="F11" s="34">
        <v>-96873541.180000007</v>
      </c>
      <c r="G11" s="131">
        <v>-35.707344191074291</v>
      </c>
      <c r="I11" s="45"/>
      <c r="J11" s="45"/>
    </row>
    <row r="12" spans="1:10" ht="20" customHeight="1" thickBot="1">
      <c r="A12" s="85" t="s">
        <v>1415</v>
      </c>
      <c r="B12" s="130">
        <v>2090372736.2</v>
      </c>
      <c r="C12" s="133">
        <v>77056299.540000007</v>
      </c>
      <c r="D12" s="130">
        <v>11646295.41</v>
      </c>
      <c r="E12" s="133">
        <v>7556066.4000000004</v>
      </c>
      <c r="F12" s="34">
        <v>2186631397.5500002</v>
      </c>
      <c r="G12" s="131">
        <v>-4.8370171903230876E-2</v>
      </c>
      <c r="I12" s="45"/>
      <c r="J12" s="45"/>
    </row>
    <row r="13" spans="1:10" ht="20" customHeight="1" thickBot="1">
      <c r="A13" s="85" t="s">
        <v>1416</v>
      </c>
      <c r="B13" s="130">
        <v>1799769234.9000001</v>
      </c>
      <c r="C13" s="133">
        <v>70068652.180000007</v>
      </c>
      <c r="D13" s="130">
        <v>5300090.37</v>
      </c>
      <c r="E13" s="133">
        <v>11411260.460000001</v>
      </c>
      <c r="F13" s="34">
        <v>1886549237.9100001</v>
      </c>
      <c r="G13" s="131">
        <v>-2.0215311473966501E-2</v>
      </c>
      <c r="I13" s="45"/>
      <c r="J13" s="45"/>
    </row>
    <row r="14" spans="1:10" ht="20" customHeight="1" thickBot="1">
      <c r="A14" s="70" t="s">
        <v>1417</v>
      </c>
      <c r="B14" s="130">
        <v>1808369721.4000001</v>
      </c>
      <c r="C14" s="133">
        <v>70279731.769999996</v>
      </c>
      <c r="D14" s="130">
        <v>5300090.37</v>
      </c>
      <c r="E14" s="133">
        <v>11407265.689999999</v>
      </c>
      <c r="F14" s="34">
        <v>1895356809.23</v>
      </c>
      <c r="G14" s="131">
        <v>-2.1267928270841615E-2</v>
      </c>
      <c r="I14" s="45"/>
      <c r="J14" s="45"/>
    </row>
    <row r="15" spans="1:10" ht="20" customHeight="1" thickBot="1">
      <c r="A15" s="85" t="s">
        <v>1418</v>
      </c>
      <c r="B15" s="130">
        <v>306967126.73000002</v>
      </c>
      <c r="C15" s="133">
        <v>6065100.25</v>
      </c>
      <c r="D15" s="130">
        <v>1849856.85</v>
      </c>
      <c r="E15" s="133">
        <v>577646.31000000006</v>
      </c>
      <c r="F15" s="34">
        <v>315459730.14000005</v>
      </c>
      <c r="G15" s="131">
        <v>-1.364238956663163E-2</v>
      </c>
      <c r="I15" s="45"/>
      <c r="J15" s="45"/>
    </row>
    <row r="16" spans="1:10" ht="20" customHeight="1" thickBot="1">
      <c r="A16" s="85" t="s">
        <v>1419</v>
      </c>
      <c r="B16" s="130">
        <v>2106736361.5999999</v>
      </c>
      <c r="C16" s="133">
        <v>76133752.430000007</v>
      </c>
      <c r="D16" s="130">
        <v>7149947.2199999997</v>
      </c>
      <c r="E16" s="133">
        <v>11988906.77</v>
      </c>
      <c r="F16" s="34">
        <v>2202008968.0199995</v>
      </c>
      <c r="G16" s="131">
        <v>-1.9279056002503955E-2</v>
      </c>
      <c r="I16" s="45"/>
      <c r="J16" s="45"/>
    </row>
    <row r="17" spans="1:7" ht="30" customHeight="1" thickBot="1">
      <c r="A17" s="175" t="s">
        <v>495</v>
      </c>
      <c r="B17" s="130">
        <v>-16363625.460000001</v>
      </c>
      <c r="C17" s="133">
        <v>922547.11</v>
      </c>
      <c r="D17" s="130">
        <v>4496348.1900000004</v>
      </c>
      <c r="E17" s="133">
        <v>-4432840.37</v>
      </c>
      <c r="F17" s="34">
        <v>-15377570.530000001</v>
      </c>
      <c r="G17" s="131">
        <v>-1.2930232049409103</v>
      </c>
    </row>
    <row r="18" spans="1:7" ht="20" customHeight="1">
      <c r="A18" s="9" t="s">
        <v>178</v>
      </c>
      <c r="B18" s="9"/>
      <c r="C18" s="9"/>
      <c r="D18" s="9"/>
      <c r="E18" s="9"/>
      <c r="F18" s="308"/>
      <c r="G18" s="9"/>
    </row>
    <row r="19" spans="1:7">
      <c r="A19" s="38"/>
    </row>
    <row r="20" spans="1:7">
      <c r="A20" s="3" t="s">
        <v>1420</v>
      </c>
    </row>
  </sheetData>
  <phoneticPr fontId="0" type="noConversion"/>
  <pageMargins left="0.26" right="0.32" top="1.47" bottom="0.49" header="0.94" footer="0.4921259845"/>
  <pageSetup paperSize="9" scale="80" orientation="portrait" horizontalDpi="4294967292" verticalDpi="4294967292"/>
  <headerFooter alignWithMargins="0">
    <oddHeader>&amp;L&amp;"Arial,Bold"&amp;14Andere Versicherungen der vom BSV anerkannten Krankenversicherer</oddHeader>
    <oddFooter>&amp;L&amp;"Arial,Regular"Statistik über die Krankenversicherung, Bundesamt für Sozialversicherung</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7740-E78B-2649-A839-ABC97FD61953}">
  <dimension ref="A1:E33"/>
  <sheetViews>
    <sheetView zoomScale="75" workbookViewId="0">
      <selection activeCell="A3" sqref="A3"/>
    </sheetView>
  </sheetViews>
  <sheetFormatPr baseColWidth="10" defaultColWidth="11.3984375" defaultRowHeight="13"/>
  <cols>
    <col min="1" max="1" width="8.796875" style="3" customWidth="1"/>
    <col min="2" max="2" width="48.796875" style="105" customWidth="1"/>
    <col min="3" max="3" width="16.59765625" style="3" customWidth="1"/>
    <col min="4" max="4" width="16.59765625" style="43" customWidth="1"/>
    <col min="5" max="5" width="16.59765625" style="290" customWidth="1"/>
    <col min="6" max="16384" width="11.3984375" style="3"/>
  </cols>
  <sheetData>
    <row r="1" spans="1:5" s="1" customFormat="1" ht="14" customHeight="1">
      <c r="B1" s="95"/>
      <c r="D1" s="106"/>
      <c r="E1" s="281"/>
    </row>
    <row r="2" spans="1:5" s="1" customFormat="1" ht="28" customHeight="1">
      <c r="A2" s="81" t="s">
        <v>66</v>
      </c>
      <c r="B2" s="95"/>
      <c r="D2" s="106"/>
      <c r="E2" s="281"/>
    </row>
    <row r="3" spans="1:5" ht="39" customHeight="1">
      <c r="A3" s="291" t="s">
        <v>43</v>
      </c>
      <c r="B3" s="96"/>
      <c r="C3" s="74" t="s">
        <v>44</v>
      </c>
      <c r="D3" s="65" t="s">
        <v>45</v>
      </c>
      <c r="E3" s="282" t="s">
        <v>607</v>
      </c>
    </row>
    <row r="4" spans="1:5" ht="38" customHeight="1">
      <c r="A4" s="283"/>
      <c r="B4" s="284"/>
      <c r="C4" s="78" t="s">
        <v>1304</v>
      </c>
      <c r="D4" s="67" t="s">
        <v>1304</v>
      </c>
      <c r="E4" s="187" t="s">
        <v>1304</v>
      </c>
    </row>
    <row r="5" spans="1:5" ht="30" customHeight="1" thickBot="1">
      <c r="A5" s="6">
        <v>63</v>
      </c>
      <c r="B5" s="6" t="s">
        <v>46</v>
      </c>
      <c r="C5" s="29">
        <v>2117549492.4000001</v>
      </c>
      <c r="D5" s="68">
        <v>109014545.66</v>
      </c>
      <c r="E5" s="292">
        <v>2226564038.0999999</v>
      </c>
    </row>
    <row r="6" spans="1:5" ht="20" customHeight="1" thickBot="1">
      <c r="A6" s="7">
        <v>64</v>
      </c>
      <c r="B6" s="7" t="s">
        <v>47</v>
      </c>
      <c r="C6" s="30">
        <v>-19585765.809999999</v>
      </c>
      <c r="D6" s="122">
        <v>-850193.01</v>
      </c>
      <c r="E6" s="89">
        <v>-20435958.82</v>
      </c>
    </row>
    <row r="7" spans="1:5" ht="20" customHeight="1" thickBot="1">
      <c r="A7" s="7">
        <v>65</v>
      </c>
      <c r="B7" s="7" t="s">
        <v>48</v>
      </c>
      <c r="C7" s="30">
        <v>1002406</v>
      </c>
      <c r="D7" s="122">
        <v>87045.119999999995</v>
      </c>
      <c r="E7" s="89">
        <v>1089451.1200000001</v>
      </c>
    </row>
    <row r="8" spans="1:5" ht="27" customHeight="1" thickBot="1">
      <c r="A8" s="70" t="s">
        <v>49</v>
      </c>
      <c r="B8" s="70" t="s">
        <v>50</v>
      </c>
      <c r="C8" s="30">
        <v>2098966132.5999999</v>
      </c>
      <c r="D8" s="122">
        <v>108251397.77</v>
      </c>
      <c r="E8" s="89">
        <v>2207217530.4000001</v>
      </c>
    </row>
    <row r="9" spans="1:5" ht="20" customHeight="1" thickBot="1">
      <c r="A9" s="7">
        <v>66</v>
      </c>
      <c r="B9" s="7" t="s">
        <v>51</v>
      </c>
      <c r="C9" s="30">
        <v>-22741352.91</v>
      </c>
      <c r="D9" s="122">
        <v>-2009161.19</v>
      </c>
      <c r="E9" s="89">
        <v>-24750514.100000001</v>
      </c>
    </row>
    <row r="10" spans="1:5" ht="27" customHeight="1" thickBot="1">
      <c r="A10" s="70" t="s">
        <v>52</v>
      </c>
      <c r="B10" s="70" t="s">
        <v>53</v>
      </c>
      <c r="C10" s="30">
        <v>2076224779.7</v>
      </c>
      <c r="D10" s="122">
        <v>106242236.58</v>
      </c>
      <c r="E10" s="89">
        <v>2182467016.3000002</v>
      </c>
    </row>
    <row r="11" spans="1:5" ht="20" customHeight="1" thickBot="1">
      <c r="A11" s="7">
        <v>67</v>
      </c>
      <c r="B11" s="7" t="s">
        <v>54</v>
      </c>
      <c r="C11" s="30">
        <v>32718190.920000002</v>
      </c>
      <c r="D11" s="122">
        <v>2094724.43</v>
      </c>
      <c r="E11" s="89">
        <v>34812915.350000001</v>
      </c>
    </row>
    <row r="12" spans="1:5" ht="20" customHeight="1" thickBot="1">
      <c r="A12" s="7">
        <v>68</v>
      </c>
      <c r="B12" s="7" t="s">
        <v>55</v>
      </c>
      <c r="C12" s="30">
        <v>-34907909.990000002</v>
      </c>
      <c r="D12" s="122">
        <v>-2230842.41</v>
      </c>
      <c r="E12" s="89">
        <v>-37138752.399999999</v>
      </c>
    </row>
    <row r="13" spans="1:5" ht="20" customHeight="1" thickBot="1">
      <c r="A13" s="7">
        <v>69</v>
      </c>
      <c r="B13" s="7" t="s">
        <v>56</v>
      </c>
      <c r="C13" s="30">
        <v>7155975.4400000004</v>
      </c>
      <c r="D13" s="122">
        <v>129147.11</v>
      </c>
      <c r="E13" s="89">
        <v>7285122.5499999998</v>
      </c>
    </row>
    <row r="14" spans="1:5" ht="27" customHeight="1" thickBot="1">
      <c r="A14" s="70">
        <v>6</v>
      </c>
      <c r="B14" s="70" t="s">
        <v>57</v>
      </c>
      <c r="C14" s="30">
        <v>2081191036.0999999</v>
      </c>
      <c r="D14" s="122">
        <v>106235265.70999999</v>
      </c>
      <c r="E14" s="89">
        <v>2187426301.8000002</v>
      </c>
    </row>
    <row r="15" spans="1:5" ht="20" customHeight="1" thickBot="1">
      <c r="A15" s="7">
        <v>33</v>
      </c>
      <c r="B15" s="7" t="s">
        <v>1316</v>
      </c>
      <c r="C15" s="30">
        <v>1626022145.4000001</v>
      </c>
      <c r="D15" s="122">
        <v>61562308.219999999</v>
      </c>
      <c r="E15" s="89">
        <v>1687584453.5999999</v>
      </c>
    </row>
    <row r="16" spans="1:5" ht="20" customHeight="1" thickBot="1">
      <c r="A16" s="7">
        <v>32</v>
      </c>
      <c r="B16" s="7" t="s">
        <v>58</v>
      </c>
      <c r="C16" s="30">
        <v>-37043904.259999998</v>
      </c>
      <c r="D16" s="122">
        <v>-1130736.97</v>
      </c>
      <c r="E16" s="89">
        <v>-38174641.229999997</v>
      </c>
    </row>
    <row r="17" spans="1:5" ht="27" customHeight="1" thickBot="1">
      <c r="A17" s="70" t="s">
        <v>59</v>
      </c>
      <c r="B17" s="70" t="s">
        <v>60</v>
      </c>
      <c r="C17" s="30">
        <v>1588978241.0999999</v>
      </c>
      <c r="D17" s="122">
        <v>60431571.25</v>
      </c>
      <c r="E17" s="89">
        <v>1649409812.4000001</v>
      </c>
    </row>
    <row r="18" spans="1:5" ht="20" customHeight="1" thickBot="1">
      <c r="A18" s="7">
        <v>34</v>
      </c>
      <c r="B18" s="7" t="s">
        <v>61</v>
      </c>
      <c r="C18" s="30">
        <v>9069762.3300000001</v>
      </c>
      <c r="D18" s="122">
        <v>276757.76000000001</v>
      </c>
      <c r="E18" s="89">
        <v>9346520.0899999999</v>
      </c>
    </row>
    <row r="19" spans="1:5" ht="20" customHeight="1" thickBot="1">
      <c r="A19" s="7">
        <v>35</v>
      </c>
      <c r="B19" s="7" t="s">
        <v>1509</v>
      </c>
      <c r="C19" s="30">
        <v>141258365.68000001</v>
      </c>
      <c r="D19" s="122">
        <v>8355023.2800000003</v>
      </c>
      <c r="E19" s="89">
        <v>149613388.96000001</v>
      </c>
    </row>
    <row r="20" spans="1:5" ht="27" customHeight="1" thickBot="1">
      <c r="A20" s="70" t="s">
        <v>1510</v>
      </c>
      <c r="B20" s="70" t="s">
        <v>1511</v>
      </c>
      <c r="C20" s="30">
        <v>1739306369.0999999</v>
      </c>
      <c r="D20" s="122">
        <v>69063352.290000007</v>
      </c>
      <c r="E20" s="89">
        <v>1808369721.4000001</v>
      </c>
    </row>
    <row r="21" spans="1:5" ht="20" customHeight="1" thickBot="1">
      <c r="A21" s="7">
        <v>36</v>
      </c>
      <c r="B21" s="7" t="s">
        <v>1512</v>
      </c>
      <c r="C21" s="30">
        <v>-8434149.2300000004</v>
      </c>
      <c r="D21" s="122">
        <v>-166337.29999999999</v>
      </c>
      <c r="E21" s="89">
        <v>-8600486.5299999993</v>
      </c>
    </row>
    <row r="22" spans="1:5" ht="20" customHeight="1" thickBot="1">
      <c r="A22" s="7">
        <v>37</v>
      </c>
      <c r="B22" s="7" t="s">
        <v>1513</v>
      </c>
      <c r="C22" s="30">
        <v>0</v>
      </c>
      <c r="D22" s="122">
        <v>0</v>
      </c>
      <c r="E22" s="89">
        <v>0</v>
      </c>
    </row>
    <row r="23" spans="1:5" ht="26.25" customHeight="1" thickBot="1">
      <c r="A23" s="70">
        <v>3</v>
      </c>
      <c r="B23" s="70" t="s">
        <v>1514</v>
      </c>
      <c r="C23" s="30">
        <v>1730872219.9000001</v>
      </c>
      <c r="D23" s="122">
        <v>68897014.989999995</v>
      </c>
      <c r="E23" s="89">
        <v>1799769234.9000001</v>
      </c>
    </row>
    <row r="24" spans="1:5" ht="20" customHeight="1" thickBot="1">
      <c r="A24" s="670" t="s">
        <v>1387</v>
      </c>
      <c r="B24" s="7" t="s">
        <v>1516</v>
      </c>
      <c r="C24" s="30">
        <v>285048631.24000001</v>
      </c>
      <c r="D24" s="122">
        <v>15981986.08</v>
      </c>
      <c r="E24" s="89">
        <v>301030617.31999999</v>
      </c>
    </row>
    <row r="25" spans="1:5" ht="20" customHeight="1" thickBot="1">
      <c r="A25" s="7">
        <v>49</v>
      </c>
      <c r="B25" s="7" t="s">
        <v>1517</v>
      </c>
      <c r="C25" s="30">
        <v>5530936.1500000004</v>
      </c>
      <c r="D25" s="122">
        <v>405573.26</v>
      </c>
      <c r="E25" s="89">
        <v>5936509.4100000001</v>
      </c>
    </row>
    <row r="26" spans="1:5" ht="27" customHeight="1" thickBot="1">
      <c r="A26" s="70">
        <v>4</v>
      </c>
      <c r="B26" s="70" t="s">
        <v>1518</v>
      </c>
      <c r="C26" s="30">
        <v>290579567.38999999</v>
      </c>
      <c r="D26" s="122">
        <v>16387559.34</v>
      </c>
      <c r="E26" s="89">
        <v>306967126.73000002</v>
      </c>
    </row>
    <row r="27" spans="1:5" ht="27" customHeight="1" thickBot="1">
      <c r="A27" s="70" t="s">
        <v>1519</v>
      </c>
      <c r="B27" s="70" t="s">
        <v>1520</v>
      </c>
      <c r="C27" s="30">
        <v>2021451787.3</v>
      </c>
      <c r="D27" s="122">
        <v>85284574.329999998</v>
      </c>
      <c r="E27" s="89">
        <v>2106736361.5999999</v>
      </c>
    </row>
    <row r="28" spans="1:5" ht="27" customHeight="1" thickBot="1">
      <c r="A28" s="70"/>
      <c r="B28" s="70" t="s">
        <v>1521</v>
      </c>
      <c r="C28" s="30">
        <v>59739249.43</v>
      </c>
      <c r="D28" s="122">
        <v>20950691.379999999</v>
      </c>
      <c r="E28" s="89">
        <v>80689940.810000002</v>
      </c>
    </row>
    <row r="29" spans="1:5" ht="27" customHeight="1" thickBot="1">
      <c r="A29" s="70">
        <v>7</v>
      </c>
      <c r="B29" s="70" t="s">
        <v>1522</v>
      </c>
      <c r="C29" s="30">
        <v>-94311400.510000005</v>
      </c>
      <c r="D29" s="122">
        <v>-2742165.1</v>
      </c>
      <c r="E29" s="89">
        <v>-97053565.609999999</v>
      </c>
    </row>
    <row r="30" spans="1:5" ht="28.5" customHeight="1" thickBot="1">
      <c r="A30" s="276"/>
      <c r="B30" s="276" t="s">
        <v>495</v>
      </c>
      <c r="C30" s="30">
        <v>-34572151.729999997</v>
      </c>
      <c r="D30" s="122">
        <v>18208526.27</v>
      </c>
      <c r="E30" s="89">
        <v>-16363625.460000001</v>
      </c>
    </row>
    <row r="31" spans="1:5" ht="20" customHeight="1">
      <c r="A31" s="9" t="s">
        <v>178</v>
      </c>
      <c r="B31" s="103"/>
      <c r="C31" s="9"/>
      <c r="D31" s="117"/>
      <c r="E31" s="288"/>
    </row>
    <row r="32" spans="1:5">
      <c r="A32" s="38"/>
    </row>
    <row r="33" spans="1:1">
      <c r="A33" s="3" t="s">
        <v>1394</v>
      </c>
    </row>
  </sheetData>
  <phoneticPr fontId="0" type="noConversion"/>
  <pageMargins left="0.38" right="0.36" top="1.01" bottom="0.49" header="0.6" footer="0.4921259845"/>
  <pageSetup paperSize="9" scale="80" orientation="portrait" horizontalDpi="4294967292" verticalDpi="4294967292"/>
  <headerFooter alignWithMargins="0">
    <oddHeader>&amp;L&amp;"Arial,Bold"&amp;14Andere Versicherungen der vom BSV anerkannten Krankenversicherer</oddHeader>
    <oddFooter>&amp;L&amp;"Arial,Regular"Statistik über die Krankenversicherung, Bundesamt für Sozialversicherung</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7D1F4-69F7-0644-B325-5D381C19C8DE}">
  <dimension ref="A1:E33"/>
  <sheetViews>
    <sheetView topLeftCell="A17" zoomScale="75" workbookViewId="0">
      <selection activeCell="A3" sqref="A3"/>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6.796875" style="290" customWidth="1"/>
    <col min="6" max="16384" width="11.3984375" style="3"/>
  </cols>
  <sheetData>
    <row r="1" spans="1:5" s="1" customFormat="1" ht="14" customHeight="1">
      <c r="B1" s="95"/>
      <c r="D1" s="106"/>
      <c r="E1" s="281"/>
    </row>
    <row r="2" spans="1:5" s="1" customFormat="1" ht="28" customHeight="1">
      <c r="A2" s="81" t="s">
        <v>65</v>
      </c>
      <c r="B2" s="95"/>
      <c r="D2" s="106"/>
      <c r="E2" s="281"/>
    </row>
    <row r="3" spans="1:5" ht="39" customHeight="1">
      <c r="A3" s="291" t="s">
        <v>43</v>
      </c>
      <c r="B3" s="96"/>
      <c r="C3" s="74" t="s">
        <v>44</v>
      </c>
      <c r="D3" s="65" t="s">
        <v>45</v>
      </c>
      <c r="E3" s="282" t="s">
        <v>607</v>
      </c>
    </row>
    <row r="4" spans="1:5" ht="38" customHeight="1">
      <c r="A4" s="283"/>
      <c r="B4" s="284"/>
      <c r="C4" s="78" t="s">
        <v>1304</v>
      </c>
      <c r="D4" s="67" t="s">
        <v>1304</v>
      </c>
      <c r="E4" s="187" t="s">
        <v>1304</v>
      </c>
    </row>
    <row r="5" spans="1:5" ht="30" customHeight="1" thickBot="1">
      <c r="A5" s="6">
        <v>63</v>
      </c>
      <c r="B5" s="6" t="s">
        <v>46</v>
      </c>
      <c r="C5" s="29">
        <v>42452131.200000003</v>
      </c>
      <c r="D5" s="68">
        <v>1147484.6000000001</v>
      </c>
      <c r="E5" s="292">
        <v>43599615.799999997</v>
      </c>
    </row>
    <row r="6" spans="1:5" ht="20" customHeight="1" thickBot="1">
      <c r="A6" s="7">
        <v>64</v>
      </c>
      <c r="B6" s="7" t="s">
        <v>47</v>
      </c>
      <c r="C6" s="30">
        <v>-116994.36</v>
      </c>
      <c r="D6" s="122">
        <v>-3095.46</v>
      </c>
      <c r="E6" s="89">
        <v>-120089.82</v>
      </c>
    </row>
    <row r="7" spans="1:5" ht="20" customHeight="1" thickBot="1">
      <c r="A7" s="7">
        <v>65</v>
      </c>
      <c r="B7" s="7" t="s">
        <v>48</v>
      </c>
      <c r="C7" s="30">
        <v>0</v>
      </c>
      <c r="D7" s="122">
        <v>0</v>
      </c>
      <c r="E7" s="89">
        <v>0</v>
      </c>
    </row>
    <row r="8" spans="1:5" ht="27" customHeight="1" thickBot="1">
      <c r="A8" s="70" t="s">
        <v>49</v>
      </c>
      <c r="B8" s="70" t="s">
        <v>50</v>
      </c>
      <c r="C8" s="30">
        <v>42335136.840000004</v>
      </c>
      <c r="D8" s="122">
        <v>1144389.1399999999</v>
      </c>
      <c r="E8" s="89">
        <v>43479525.979999997</v>
      </c>
    </row>
    <row r="9" spans="1:5" ht="21" customHeight="1" thickBot="1">
      <c r="A9" s="7">
        <v>66</v>
      </c>
      <c r="B9" s="7" t="s">
        <v>51</v>
      </c>
      <c r="C9" s="30">
        <v>-37.520000000000003</v>
      </c>
      <c r="D9" s="122">
        <v>0</v>
      </c>
      <c r="E9" s="89">
        <v>-37.520000000000003</v>
      </c>
    </row>
    <row r="10" spans="1:5" ht="27" customHeight="1" thickBot="1">
      <c r="A10" s="70" t="s">
        <v>52</v>
      </c>
      <c r="B10" s="70" t="s">
        <v>53</v>
      </c>
      <c r="C10" s="30">
        <v>42335099.32</v>
      </c>
      <c r="D10" s="122">
        <v>1144389.1399999999</v>
      </c>
      <c r="E10" s="89">
        <v>43479488.460000001</v>
      </c>
    </row>
    <row r="11" spans="1:5" ht="20" customHeight="1" thickBot="1">
      <c r="A11" s="7">
        <v>67</v>
      </c>
      <c r="B11" s="7" t="s">
        <v>54</v>
      </c>
      <c r="C11" s="30">
        <v>32547505.27</v>
      </c>
      <c r="D11" s="122">
        <v>883430.13</v>
      </c>
      <c r="E11" s="89">
        <v>33430935.399999999</v>
      </c>
    </row>
    <row r="12" spans="1:5" ht="20" customHeight="1" thickBot="1">
      <c r="A12" s="7">
        <v>68</v>
      </c>
      <c r="B12" s="7" t="s">
        <v>55</v>
      </c>
      <c r="C12" s="30">
        <v>0</v>
      </c>
      <c r="D12" s="122">
        <v>0</v>
      </c>
      <c r="E12" s="89">
        <v>0</v>
      </c>
    </row>
    <row r="13" spans="1:5" ht="20" customHeight="1" thickBot="1">
      <c r="A13" s="7">
        <v>69</v>
      </c>
      <c r="B13" s="7" t="s">
        <v>56</v>
      </c>
      <c r="C13" s="30">
        <v>6051.52</v>
      </c>
      <c r="D13" s="122">
        <v>157.31</v>
      </c>
      <c r="E13" s="89">
        <v>6208.83</v>
      </c>
    </row>
    <row r="14" spans="1:5" ht="27" customHeight="1" thickBot="1">
      <c r="A14" s="70">
        <v>6</v>
      </c>
      <c r="B14" s="70" t="s">
        <v>57</v>
      </c>
      <c r="C14" s="30">
        <v>74888656.109999999</v>
      </c>
      <c r="D14" s="122">
        <v>2027976.58</v>
      </c>
      <c r="E14" s="89">
        <v>76916632.689999998</v>
      </c>
    </row>
    <row r="15" spans="1:5" ht="20" customHeight="1" thickBot="1">
      <c r="A15" s="7">
        <v>33</v>
      </c>
      <c r="B15" s="7" t="s">
        <v>1316</v>
      </c>
      <c r="C15" s="30">
        <v>69650205.629999995</v>
      </c>
      <c r="D15" s="122">
        <v>1889927.02</v>
      </c>
      <c r="E15" s="89">
        <v>71540132.650000006</v>
      </c>
    </row>
    <row r="16" spans="1:5" ht="20" customHeight="1" thickBot="1">
      <c r="A16" s="7">
        <v>32</v>
      </c>
      <c r="B16" s="7" t="s">
        <v>58</v>
      </c>
      <c r="C16" s="30">
        <v>-3808811.08</v>
      </c>
      <c r="D16" s="122">
        <v>-43080.62</v>
      </c>
      <c r="E16" s="89">
        <v>-3851891.7</v>
      </c>
    </row>
    <row r="17" spans="1:5" ht="27" customHeight="1" thickBot="1">
      <c r="A17" s="70" t="s">
        <v>59</v>
      </c>
      <c r="B17" s="70" t="s">
        <v>60</v>
      </c>
      <c r="C17" s="30">
        <v>65841394.549999997</v>
      </c>
      <c r="D17" s="122">
        <v>1846846.4</v>
      </c>
      <c r="E17" s="89">
        <v>67688240.950000003</v>
      </c>
    </row>
    <row r="18" spans="1:5" ht="20" customHeight="1" thickBot="1">
      <c r="A18" s="7">
        <v>34</v>
      </c>
      <c r="B18" s="7" t="s">
        <v>61</v>
      </c>
      <c r="C18" s="30">
        <v>1089857.99</v>
      </c>
      <c r="D18" s="122">
        <v>45162.29</v>
      </c>
      <c r="E18" s="89">
        <v>1135020.28</v>
      </c>
    </row>
    <row r="19" spans="1:5" ht="20" customHeight="1" thickBot="1">
      <c r="A19" s="7">
        <v>35</v>
      </c>
      <c r="B19" s="7" t="s">
        <v>1509</v>
      </c>
      <c r="C19" s="30">
        <v>1412183.61</v>
      </c>
      <c r="D19" s="122">
        <v>44286.93</v>
      </c>
      <c r="E19" s="89">
        <v>1456470.54</v>
      </c>
    </row>
    <row r="20" spans="1:5" ht="27" customHeight="1" thickBot="1">
      <c r="A20" s="70" t="s">
        <v>1510</v>
      </c>
      <c r="B20" s="70" t="s">
        <v>1511</v>
      </c>
      <c r="C20" s="30">
        <v>68343436.150000006</v>
      </c>
      <c r="D20" s="122">
        <v>1936295.62</v>
      </c>
      <c r="E20" s="89">
        <v>70279731.769999996</v>
      </c>
    </row>
    <row r="21" spans="1:5" ht="20" customHeight="1" thickBot="1">
      <c r="A21" s="7">
        <v>36</v>
      </c>
      <c r="B21" s="7" t="s">
        <v>1512</v>
      </c>
      <c r="C21" s="30">
        <v>-13.59</v>
      </c>
      <c r="D21" s="122">
        <v>0</v>
      </c>
      <c r="E21" s="89">
        <v>-13.59</v>
      </c>
    </row>
    <row r="22" spans="1:5" ht="20" customHeight="1" thickBot="1">
      <c r="A22" s="7">
        <v>37</v>
      </c>
      <c r="B22" s="7" t="s">
        <v>1513</v>
      </c>
      <c r="C22" s="30">
        <v>-194837.48</v>
      </c>
      <c r="D22" s="122">
        <v>-16228.52</v>
      </c>
      <c r="E22" s="89">
        <v>-211066</v>
      </c>
    </row>
    <row r="23" spans="1:5" ht="27" customHeight="1" thickBot="1">
      <c r="A23" s="70">
        <v>3</v>
      </c>
      <c r="B23" s="70" t="s">
        <v>1514</v>
      </c>
      <c r="C23" s="30">
        <v>68148585.079999998</v>
      </c>
      <c r="D23" s="122">
        <v>1920067.1</v>
      </c>
      <c r="E23" s="89">
        <v>70068652.180000007</v>
      </c>
    </row>
    <row r="24" spans="1:5" ht="20" customHeight="1" thickBot="1">
      <c r="A24" s="670" t="s">
        <v>1387</v>
      </c>
      <c r="B24" s="7" t="s">
        <v>1516</v>
      </c>
      <c r="C24" s="30">
        <v>5891254.2400000002</v>
      </c>
      <c r="D24" s="122">
        <v>153472.10999999999</v>
      </c>
      <c r="E24" s="89">
        <v>6044726.3499999996</v>
      </c>
    </row>
    <row r="25" spans="1:5" ht="20" customHeight="1" thickBot="1">
      <c r="A25" s="7">
        <v>49</v>
      </c>
      <c r="B25" s="7" t="s">
        <v>1517</v>
      </c>
      <c r="C25" s="30">
        <v>19858.419999999998</v>
      </c>
      <c r="D25" s="122">
        <v>515.48</v>
      </c>
      <c r="E25" s="89">
        <v>20373.900000000001</v>
      </c>
    </row>
    <row r="26" spans="1:5" ht="27" customHeight="1" thickBot="1">
      <c r="A26" s="70">
        <v>4</v>
      </c>
      <c r="B26" s="70" t="s">
        <v>1518</v>
      </c>
      <c r="C26" s="30">
        <v>5911112.6600000001</v>
      </c>
      <c r="D26" s="122">
        <v>153987.59</v>
      </c>
      <c r="E26" s="89">
        <v>6065100.25</v>
      </c>
    </row>
    <row r="27" spans="1:5" ht="27" customHeight="1" thickBot="1">
      <c r="A27" s="70" t="s">
        <v>1519</v>
      </c>
      <c r="B27" s="70" t="s">
        <v>1520</v>
      </c>
      <c r="C27" s="30">
        <v>74059697.739999995</v>
      </c>
      <c r="D27" s="122">
        <v>2074054.69</v>
      </c>
      <c r="E27" s="89">
        <v>76133752.430000007</v>
      </c>
    </row>
    <row r="28" spans="1:5" ht="27" customHeight="1" thickBot="1">
      <c r="A28" s="70"/>
      <c r="B28" s="70" t="s">
        <v>1521</v>
      </c>
      <c r="C28" s="30">
        <v>828958.37</v>
      </c>
      <c r="D28" s="122">
        <v>-46078.11</v>
      </c>
      <c r="E28" s="89">
        <v>782880.26</v>
      </c>
    </row>
    <row r="29" spans="1:5" ht="27" customHeight="1" thickBot="1">
      <c r="A29" s="70">
        <v>7</v>
      </c>
      <c r="B29" s="70" t="s">
        <v>1522</v>
      </c>
      <c r="C29" s="30">
        <v>137655.64000000001</v>
      </c>
      <c r="D29" s="122">
        <v>2011.21</v>
      </c>
      <c r="E29" s="89">
        <v>139666.85</v>
      </c>
    </row>
    <row r="30" spans="1:5" ht="26.25" customHeight="1" thickBot="1">
      <c r="A30" s="276"/>
      <c r="B30" s="276" t="s">
        <v>495</v>
      </c>
      <c r="C30" s="30">
        <v>966614.01</v>
      </c>
      <c r="D30" s="122">
        <v>-44066.9</v>
      </c>
      <c r="E30" s="89">
        <v>922547.11</v>
      </c>
    </row>
    <row r="31" spans="1:5" ht="20.25" customHeight="1">
      <c r="A31" s="9" t="s">
        <v>178</v>
      </c>
      <c r="B31" s="103"/>
      <c r="C31" s="9"/>
      <c r="D31" s="117"/>
      <c r="E31" s="288"/>
    </row>
    <row r="33" spans="1:1">
      <c r="A33" s="3" t="s">
        <v>1393</v>
      </c>
    </row>
  </sheetData>
  <phoneticPr fontId="0" type="noConversion"/>
  <pageMargins left="0.42" right="0.39" top="1.47" bottom="0.49" header="0.95" footer="0.4921259845"/>
  <pageSetup paperSize="9" scale="80" orientation="portrait" horizontalDpi="4294967292" verticalDpi="4294967292"/>
  <headerFooter alignWithMargins="0">
    <oddHeader>&amp;L&amp;"Arial,Bold"&amp;14Andere Versicherungen der vom BSV anerkannten Krankenversicherer</oddHeader>
    <oddFooter>&amp;L&amp;"Arial,Regular"Statistik über die Krankenversicherung, Bundesamt für Sozialversicherung</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FD1F-3884-7D44-B285-BFE6CFA3C485}">
  <dimension ref="A1:E36"/>
  <sheetViews>
    <sheetView topLeftCell="A20" zoomScale="75" workbookViewId="0">
      <selection activeCell="A3" sqref="A3"/>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6.796875" style="290" customWidth="1"/>
    <col min="6" max="16384" width="11.3984375" style="3"/>
  </cols>
  <sheetData>
    <row r="1" spans="1:5" s="1" customFormat="1" ht="19.5" customHeight="1">
      <c r="A1" s="1312" t="s">
        <v>64</v>
      </c>
      <c r="B1" s="1311"/>
      <c r="C1" s="1311"/>
      <c r="D1" s="1311"/>
      <c r="E1" s="1311"/>
    </row>
    <row r="2" spans="1:5" s="1" customFormat="1" ht="15.75" customHeight="1">
      <c r="A2" s="1303"/>
      <c r="B2" s="1303"/>
      <c r="C2" s="1303"/>
      <c r="D2" s="1303"/>
      <c r="E2" s="1303"/>
    </row>
    <row r="3" spans="1:5" ht="39" customHeight="1">
      <c r="A3" s="291" t="s">
        <v>43</v>
      </c>
      <c r="B3" s="96"/>
      <c r="C3" s="74" t="s">
        <v>44</v>
      </c>
      <c r="D3" s="65" t="s">
        <v>45</v>
      </c>
      <c r="E3" s="282" t="s">
        <v>607</v>
      </c>
    </row>
    <row r="4" spans="1:5" ht="38" customHeight="1">
      <c r="A4" s="283"/>
      <c r="B4" s="284"/>
      <c r="C4" s="78" t="s">
        <v>1304</v>
      </c>
      <c r="D4" s="67" t="s">
        <v>1304</v>
      </c>
      <c r="E4" s="187" t="s">
        <v>1304</v>
      </c>
    </row>
    <row r="5" spans="1:5" ht="30" customHeight="1" thickBot="1">
      <c r="A5" s="6">
        <v>63</v>
      </c>
      <c r="B5" s="6" t="s">
        <v>46</v>
      </c>
      <c r="C5" s="29">
        <v>11285856.869999999</v>
      </c>
      <c r="D5" s="68">
        <v>390601.1</v>
      </c>
      <c r="E5" s="292">
        <v>11676457.970000001</v>
      </c>
    </row>
    <row r="6" spans="1:5" ht="20" customHeight="1" thickBot="1">
      <c r="A6" s="7">
        <v>64</v>
      </c>
      <c r="B6" s="7" t="s">
        <v>47</v>
      </c>
      <c r="C6" s="30">
        <v>-2653.01</v>
      </c>
      <c r="D6" s="122">
        <v>-133.16999999999999</v>
      </c>
      <c r="E6" s="89">
        <v>-2786.18</v>
      </c>
    </row>
    <row r="7" spans="1:5" ht="20" customHeight="1" thickBot="1">
      <c r="A7" s="7">
        <v>65</v>
      </c>
      <c r="B7" s="7" t="s">
        <v>48</v>
      </c>
      <c r="C7" s="30">
        <v>44.24</v>
      </c>
      <c r="D7" s="122">
        <v>2.2200000000000002</v>
      </c>
      <c r="E7" s="89">
        <v>46.46</v>
      </c>
    </row>
    <row r="8" spans="1:5" ht="27" customHeight="1" thickBot="1">
      <c r="A8" s="70" t="s">
        <v>49</v>
      </c>
      <c r="B8" s="70" t="s">
        <v>50</v>
      </c>
      <c r="C8" s="30">
        <v>11283248.1</v>
      </c>
      <c r="D8" s="122">
        <v>390470.15</v>
      </c>
      <c r="E8" s="89">
        <v>11673718.25</v>
      </c>
    </row>
    <row r="9" spans="1:5" ht="20" customHeight="1" thickBot="1">
      <c r="A9" s="7">
        <v>66</v>
      </c>
      <c r="B9" s="7" t="s">
        <v>51</v>
      </c>
      <c r="C9" s="30">
        <v>-5497.15</v>
      </c>
      <c r="D9" s="122">
        <v>-445.7</v>
      </c>
      <c r="E9" s="89">
        <v>-5942.85</v>
      </c>
    </row>
    <row r="10" spans="1:5" ht="27" customHeight="1" thickBot="1">
      <c r="A10" s="70" t="s">
        <v>52</v>
      </c>
      <c r="B10" s="70" t="s">
        <v>53</v>
      </c>
      <c r="C10" s="30">
        <v>11277750.949999999</v>
      </c>
      <c r="D10" s="122">
        <v>390024.45</v>
      </c>
      <c r="E10" s="89">
        <v>11667775.4</v>
      </c>
    </row>
    <row r="11" spans="1:5" ht="21" customHeight="1" thickBot="1">
      <c r="A11" s="7">
        <v>67</v>
      </c>
      <c r="B11" s="7" t="s">
        <v>54</v>
      </c>
      <c r="C11" s="30">
        <v>0</v>
      </c>
      <c r="D11" s="122">
        <v>0</v>
      </c>
      <c r="E11" s="89">
        <v>0</v>
      </c>
    </row>
    <row r="12" spans="1:5" ht="21" customHeight="1" thickBot="1">
      <c r="A12" s="7">
        <v>68</v>
      </c>
      <c r="B12" s="7" t="s">
        <v>55</v>
      </c>
      <c r="C12" s="30">
        <v>0</v>
      </c>
      <c r="D12" s="122">
        <v>0</v>
      </c>
      <c r="E12" s="89">
        <v>0</v>
      </c>
    </row>
    <row r="13" spans="1:5" ht="21" customHeight="1" thickBot="1">
      <c r="A13" s="7">
        <v>69</v>
      </c>
      <c r="B13" s="7" t="s">
        <v>56</v>
      </c>
      <c r="C13" s="30">
        <v>2439.67</v>
      </c>
      <c r="D13" s="122">
        <v>122.46</v>
      </c>
      <c r="E13" s="89">
        <v>2562.13</v>
      </c>
    </row>
    <row r="14" spans="1:5" ht="27" customHeight="1" thickBot="1">
      <c r="A14" s="70">
        <v>6</v>
      </c>
      <c r="B14" s="70" t="s">
        <v>57</v>
      </c>
      <c r="C14" s="30">
        <v>11280190.619999999</v>
      </c>
      <c r="D14" s="122">
        <v>390146.91</v>
      </c>
      <c r="E14" s="89">
        <v>11670337.529999999</v>
      </c>
    </row>
    <row r="15" spans="1:5" ht="20" customHeight="1" thickBot="1">
      <c r="A15" s="7">
        <v>33</v>
      </c>
      <c r="B15" s="7" t="s">
        <v>1316</v>
      </c>
      <c r="C15" s="30">
        <v>6889532.6900000004</v>
      </c>
      <c r="D15" s="122">
        <v>265322.7</v>
      </c>
      <c r="E15" s="89">
        <v>7154855.3899999997</v>
      </c>
    </row>
    <row r="16" spans="1:5" ht="20" customHeight="1" thickBot="1">
      <c r="A16" s="7">
        <v>32</v>
      </c>
      <c r="B16" s="7" t="s">
        <v>58</v>
      </c>
      <c r="C16" s="30">
        <v>-1830081.06</v>
      </c>
      <c r="D16" s="122">
        <v>-59535.62</v>
      </c>
      <c r="E16" s="89">
        <v>-1889616.68</v>
      </c>
    </row>
    <row r="17" spans="1:5" ht="27" customHeight="1" thickBot="1">
      <c r="A17" s="70" t="s">
        <v>59</v>
      </c>
      <c r="B17" s="70" t="s">
        <v>60</v>
      </c>
      <c r="C17" s="30">
        <v>5059451.63</v>
      </c>
      <c r="D17" s="122">
        <v>205787.08</v>
      </c>
      <c r="E17" s="89">
        <v>5265238.71</v>
      </c>
    </row>
    <row r="18" spans="1:5" ht="20" customHeight="1" thickBot="1">
      <c r="A18" s="7">
        <v>34</v>
      </c>
      <c r="B18" s="7" t="s">
        <v>61</v>
      </c>
      <c r="C18" s="30">
        <v>498.38</v>
      </c>
      <c r="D18" s="122">
        <v>18.86</v>
      </c>
      <c r="E18" s="89">
        <v>517.24</v>
      </c>
    </row>
    <row r="19" spans="1:5" ht="20" customHeight="1" thickBot="1">
      <c r="A19" s="7">
        <v>35</v>
      </c>
      <c r="B19" s="7" t="s">
        <v>1509</v>
      </c>
      <c r="C19" s="30">
        <v>33077.269999999997</v>
      </c>
      <c r="D19" s="122">
        <v>1257.1600000000001</v>
      </c>
      <c r="E19" s="89">
        <v>34334.43</v>
      </c>
    </row>
    <row r="20" spans="1:5" ht="27" customHeight="1" thickBot="1">
      <c r="A20" s="70" t="s">
        <v>1510</v>
      </c>
      <c r="B20" s="70" t="s">
        <v>1511</v>
      </c>
      <c r="C20" s="30">
        <v>5093027.2699999996</v>
      </c>
      <c r="D20" s="122">
        <v>207063.1</v>
      </c>
      <c r="E20" s="89">
        <v>5300090.37</v>
      </c>
    </row>
    <row r="21" spans="1:5" ht="20" customHeight="1" thickBot="1">
      <c r="A21" s="7">
        <v>36</v>
      </c>
      <c r="B21" s="7" t="s">
        <v>1512</v>
      </c>
      <c r="C21" s="30">
        <v>0</v>
      </c>
      <c r="D21" s="122">
        <v>0</v>
      </c>
      <c r="E21" s="89">
        <v>0</v>
      </c>
    </row>
    <row r="22" spans="1:5" ht="20" customHeight="1" thickBot="1">
      <c r="A22" s="7">
        <v>37</v>
      </c>
      <c r="B22" s="7" t="s">
        <v>1513</v>
      </c>
      <c r="C22" s="30">
        <v>0</v>
      </c>
      <c r="D22" s="122">
        <v>0</v>
      </c>
      <c r="E22" s="89">
        <v>0</v>
      </c>
    </row>
    <row r="23" spans="1:5" ht="27" customHeight="1" thickBot="1">
      <c r="A23" s="70">
        <v>3</v>
      </c>
      <c r="B23" s="70" t="s">
        <v>1514</v>
      </c>
      <c r="C23" s="30">
        <v>5093027.2699999996</v>
      </c>
      <c r="D23" s="122">
        <v>207063.1</v>
      </c>
      <c r="E23" s="89">
        <v>5300090.37</v>
      </c>
    </row>
    <row r="24" spans="1:5" ht="20" customHeight="1" thickBot="1">
      <c r="A24" s="670" t="s">
        <v>1387</v>
      </c>
      <c r="B24" s="7" t="s">
        <v>1516</v>
      </c>
      <c r="C24" s="30">
        <v>1788897.9</v>
      </c>
      <c r="D24" s="122">
        <v>60463.77</v>
      </c>
      <c r="E24" s="89">
        <v>1849361.67</v>
      </c>
    </row>
    <row r="25" spans="1:5" ht="20" customHeight="1" thickBot="1">
      <c r="A25" s="7">
        <v>49</v>
      </c>
      <c r="B25" s="7" t="s">
        <v>1517</v>
      </c>
      <c r="C25" s="30">
        <v>471.51</v>
      </c>
      <c r="D25" s="122">
        <v>23.67</v>
      </c>
      <c r="E25" s="89">
        <v>495.18</v>
      </c>
    </row>
    <row r="26" spans="1:5" ht="27" customHeight="1" thickBot="1">
      <c r="A26" s="70">
        <v>4</v>
      </c>
      <c r="B26" s="70" t="s">
        <v>1518</v>
      </c>
      <c r="C26" s="30">
        <v>1789369.41</v>
      </c>
      <c r="D26" s="122">
        <v>60487.44</v>
      </c>
      <c r="E26" s="89">
        <v>1849856.85</v>
      </c>
    </row>
    <row r="27" spans="1:5" ht="27" customHeight="1" thickBot="1">
      <c r="A27" s="70" t="s">
        <v>1519</v>
      </c>
      <c r="B27" s="70" t="s">
        <v>1520</v>
      </c>
      <c r="C27" s="30">
        <v>6882396.6799999997</v>
      </c>
      <c r="D27" s="122">
        <v>267550.53999999998</v>
      </c>
      <c r="E27" s="89">
        <v>7149947.2199999997</v>
      </c>
    </row>
    <row r="28" spans="1:5" ht="27" customHeight="1" thickBot="1">
      <c r="A28" s="70"/>
      <c r="B28" s="70" t="s">
        <v>1521</v>
      </c>
      <c r="C28" s="30">
        <v>4397793.9400000004</v>
      </c>
      <c r="D28" s="122">
        <v>122596.37</v>
      </c>
      <c r="E28" s="89">
        <v>4520390.3099999996</v>
      </c>
    </row>
    <row r="29" spans="1:5" ht="27" customHeight="1" thickBot="1">
      <c r="A29" s="70">
        <v>7</v>
      </c>
      <c r="B29" s="70" t="s">
        <v>1522</v>
      </c>
      <c r="C29" s="30">
        <v>-21850.1</v>
      </c>
      <c r="D29" s="122">
        <v>-2192.02</v>
      </c>
      <c r="E29" s="89">
        <v>-24042.12</v>
      </c>
    </row>
    <row r="30" spans="1:5" ht="27.75" customHeight="1" thickBot="1">
      <c r="A30" s="276"/>
      <c r="B30" s="276" t="s">
        <v>495</v>
      </c>
      <c r="C30" s="30">
        <v>4375943.84</v>
      </c>
      <c r="D30" s="122">
        <v>120404.35</v>
      </c>
      <c r="E30" s="89">
        <v>4496348.1900000004</v>
      </c>
    </row>
    <row r="31" spans="1:5" ht="19.5" customHeight="1">
      <c r="A31" s="9" t="s">
        <v>178</v>
      </c>
      <c r="B31" s="103"/>
      <c r="C31" s="9"/>
      <c r="D31" s="117"/>
      <c r="E31" s="288"/>
    </row>
    <row r="33" spans="1:1">
      <c r="A33" s="482" t="s">
        <v>1390</v>
      </c>
    </row>
    <row r="34" spans="1:1">
      <c r="A34" s="482" t="s">
        <v>1391</v>
      </c>
    </row>
    <row r="35" spans="1:1">
      <c r="A35" s="555"/>
    </row>
    <row r="36" spans="1:1">
      <c r="A36" s="3" t="s">
        <v>1392</v>
      </c>
    </row>
  </sheetData>
  <mergeCells count="1">
    <mergeCell ref="A1:E2"/>
  </mergeCells>
  <phoneticPr fontId="0" type="noConversion"/>
  <pageMargins left="0.4" right="0.39" top="1.1399999999999999" bottom="0.49" header="0.76" footer="0.4921259845"/>
  <pageSetup paperSize="9" scale="80" orientation="portrait" horizontalDpi="4294967292" verticalDpi="4294967292"/>
  <headerFooter alignWithMargins="0">
    <oddHeader>&amp;L&amp;"Arial,Bold"&amp;14Andere Versicherungen der vom BSV anerkannten Krankenversicherer</oddHeader>
    <oddFooter>&amp;L&amp;"Arial,Regular"Statistik über die Krankenversicherung, Bundesamt für Sozialversicherung</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0D4A-B196-6840-A82D-123EF396E431}">
  <dimension ref="A1:E35"/>
  <sheetViews>
    <sheetView topLeftCell="A20" zoomScale="75" workbookViewId="0">
      <selection activeCell="E5" sqref="E5"/>
    </sheetView>
  </sheetViews>
  <sheetFormatPr baseColWidth="10" defaultColWidth="11.3984375" defaultRowHeight="13"/>
  <cols>
    <col min="1" max="1" width="8.796875" style="3" customWidth="1"/>
    <col min="2" max="2" width="48.796875" style="105" customWidth="1"/>
    <col min="3" max="3" width="16.796875" style="3" customWidth="1"/>
    <col min="4" max="4" width="16.796875" style="43" customWidth="1"/>
    <col min="5" max="5" width="16.796875" style="290" customWidth="1"/>
    <col min="6" max="16384" width="11.3984375" style="3"/>
  </cols>
  <sheetData>
    <row r="1" spans="1:5" s="1" customFormat="1" ht="14" customHeight="1">
      <c r="A1" s="1312" t="s">
        <v>63</v>
      </c>
      <c r="B1" s="1311"/>
      <c r="C1" s="1311"/>
      <c r="D1" s="1311"/>
      <c r="E1" s="1311"/>
    </row>
    <row r="2" spans="1:5" s="1" customFormat="1" ht="26.25" customHeight="1">
      <c r="A2" s="1303"/>
      <c r="B2" s="1303"/>
      <c r="C2" s="1303"/>
      <c r="D2" s="1303"/>
      <c r="E2" s="1303"/>
    </row>
    <row r="3" spans="1:5" ht="39" customHeight="1">
      <c r="A3" s="291" t="s">
        <v>43</v>
      </c>
      <c r="B3" s="96"/>
      <c r="C3" s="74" t="s">
        <v>44</v>
      </c>
      <c r="D3" s="65" t="s">
        <v>45</v>
      </c>
      <c r="E3" s="282" t="s">
        <v>607</v>
      </c>
    </row>
    <row r="4" spans="1:5" ht="38" customHeight="1">
      <c r="A4" s="283"/>
      <c r="B4" s="284"/>
      <c r="C4" s="78" t="s">
        <v>1304</v>
      </c>
      <c r="D4" s="67" t="s">
        <v>1304</v>
      </c>
      <c r="E4" s="187" t="s">
        <v>1304</v>
      </c>
    </row>
    <row r="5" spans="1:5" ht="30" customHeight="1" thickBot="1">
      <c r="A5" s="669" t="s">
        <v>1385</v>
      </c>
      <c r="B5" s="6" t="s">
        <v>46</v>
      </c>
      <c r="C5" s="29">
        <v>6710148.9800000004</v>
      </c>
      <c r="D5" s="68">
        <v>808322.21</v>
      </c>
      <c r="E5" s="292">
        <v>7518471.1900000004</v>
      </c>
    </row>
    <row r="6" spans="1:5" ht="20" customHeight="1" thickBot="1">
      <c r="A6" s="7">
        <v>64</v>
      </c>
      <c r="B6" s="7" t="s">
        <v>47</v>
      </c>
      <c r="C6" s="30">
        <v>-22186.87</v>
      </c>
      <c r="D6" s="122">
        <v>-8680.76</v>
      </c>
      <c r="E6" s="89">
        <v>-30867.63</v>
      </c>
    </row>
    <row r="7" spans="1:5" ht="20" customHeight="1" thickBot="1">
      <c r="A7" s="7">
        <v>65</v>
      </c>
      <c r="B7" s="7" t="s">
        <v>48</v>
      </c>
      <c r="C7" s="30">
        <v>736.95</v>
      </c>
      <c r="D7" s="122">
        <v>430.43</v>
      </c>
      <c r="E7" s="89">
        <v>1167.3800000000001</v>
      </c>
    </row>
    <row r="8" spans="1:5" ht="27" customHeight="1" thickBot="1">
      <c r="A8" s="70" t="s">
        <v>49</v>
      </c>
      <c r="B8" s="70" t="s">
        <v>50</v>
      </c>
      <c r="C8" s="30">
        <v>6688699.0599999996</v>
      </c>
      <c r="D8" s="122">
        <v>800071.88</v>
      </c>
      <c r="E8" s="89">
        <v>7488770.9400000004</v>
      </c>
    </row>
    <row r="9" spans="1:5" ht="20" customHeight="1" thickBot="1">
      <c r="A9" s="7">
        <v>66</v>
      </c>
      <c r="B9" s="7" t="s">
        <v>51</v>
      </c>
      <c r="C9" s="30">
        <v>-6.05</v>
      </c>
      <c r="D9" s="122">
        <v>0</v>
      </c>
      <c r="E9" s="89">
        <v>-6.05</v>
      </c>
    </row>
    <row r="10" spans="1:5" ht="27" customHeight="1" thickBot="1">
      <c r="A10" s="70" t="s">
        <v>52</v>
      </c>
      <c r="B10" s="70" t="s">
        <v>53</v>
      </c>
      <c r="C10" s="30">
        <v>6688693.0099999998</v>
      </c>
      <c r="D10" s="122">
        <v>800071.88</v>
      </c>
      <c r="E10" s="89">
        <v>7488764.8899999997</v>
      </c>
    </row>
    <row r="11" spans="1:5" ht="21" customHeight="1" thickBot="1">
      <c r="A11" s="7">
        <v>67</v>
      </c>
      <c r="B11" s="7" t="s">
        <v>54</v>
      </c>
      <c r="C11" s="30">
        <v>347551.5</v>
      </c>
      <c r="D11" s="122">
        <v>15050.62</v>
      </c>
      <c r="E11" s="89">
        <v>362602.12</v>
      </c>
    </row>
    <row r="12" spans="1:5" ht="21" customHeight="1" thickBot="1">
      <c r="A12" s="7">
        <v>68</v>
      </c>
      <c r="B12" s="7" t="s">
        <v>55</v>
      </c>
      <c r="C12" s="30">
        <v>-347789.23</v>
      </c>
      <c r="D12" s="122">
        <v>-15050.96</v>
      </c>
      <c r="E12" s="89">
        <v>-362840.19</v>
      </c>
    </row>
    <row r="13" spans="1:5" ht="21" customHeight="1" thickBot="1">
      <c r="A13" s="7">
        <v>69</v>
      </c>
      <c r="B13" s="7" t="s">
        <v>56</v>
      </c>
      <c r="C13" s="30">
        <v>2589.71</v>
      </c>
      <c r="D13" s="122">
        <v>550.16999999999996</v>
      </c>
      <c r="E13" s="89">
        <v>3139.88</v>
      </c>
    </row>
    <row r="14" spans="1:5" ht="27" customHeight="1" thickBot="1">
      <c r="A14" s="70">
        <v>6</v>
      </c>
      <c r="B14" s="70" t="s">
        <v>57</v>
      </c>
      <c r="C14" s="30">
        <v>6691044.9900000002</v>
      </c>
      <c r="D14" s="122">
        <v>800621.71</v>
      </c>
      <c r="E14" s="89">
        <v>7491666.7000000002</v>
      </c>
    </row>
    <row r="15" spans="1:5" ht="20" customHeight="1" thickBot="1">
      <c r="A15" s="7">
        <v>31.1</v>
      </c>
      <c r="B15" s="7" t="s">
        <v>1316</v>
      </c>
      <c r="C15" s="30">
        <v>8641967.7300000004</v>
      </c>
      <c r="D15" s="122">
        <v>2235717.9</v>
      </c>
      <c r="E15" s="89">
        <v>10877685.630000001</v>
      </c>
    </row>
    <row r="16" spans="1:5" ht="20" customHeight="1" thickBot="1">
      <c r="A16" s="7">
        <v>32</v>
      </c>
      <c r="B16" s="7" t="s">
        <v>58</v>
      </c>
      <c r="C16" s="30">
        <v>-1335681.32</v>
      </c>
      <c r="D16" s="122">
        <v>-248182.05</v>
      </c>
      <c r="E16" s="89">
        <v>-1583863.37</v>
      </c>
    </row>
    <row r="17" spans="1:5" ht="27" customHeight="1" thickBot="1">
      <c r="A17" s="70" t="s">
        <v>59</v>
      </c>
      <c r="B17" s="70" t="s">
        <v>60</v>
      </c>
      <c r="C17" s="30">
        <v>7306286.4100000001</v>
      </c>
      <c r="D17" s="122">
        <v>1987535.85</v>
      </c>
      <c r="E17" s="89">
        <v>9293822.2599999998</v>
      </c>
    </row>
    <row r="18" spans="1:5" ht="20" customHeight="1" thickBot="1">
      <c r="A18" s="7">
        <v>34</v>
      </c>
      <c r="B18" s="7" t="s">
        <v>61</v>
      </c>
      <c r="C18" s="30">
        <v>5110.62</v>
      </c>
      <c r="D18" s="122">
        <v>1398.91</v>
      </c>
      <c r="E18" s="89">
        <v>6509.53</v>
      </c>
    </row>
    <row r="19" spans="1:5" ht="20" customHeight="1" thickBot="1">
      <c r="A19" s="7" t="s">
        <v>1386</v>
      </c>
      <c r="B19" s="7" t="s">
        <v>1509</v>
      </c>
      <c r="C19" s="30">
        <v>1997170.6</v>
      </c>
      <c r="D19" s="122">
        <v>109763.3</v>
      </c>
      <c r="E19" s="89">
        <v>2106933.9</v>
      </c>
    </row>
    <row r="20" spans="1:5" ht="27" customHeight="1" thickBot="1">
      <c r="A20" s="70" t="s">
        <v>1510</v>
      </c>
      <c r="B20" s="70" t="s">
        <v>1511</v>
      </c>
      <c r="C20" s="30">
        <v>9308567.6300000008</v>
      </c>
      <c r="D20" s="122">
        <v>2098698.06</v>
      </c>
      <c r="E20" s="89">
        <v>11407265.689999999</v>
      </c>
    </row>
    <row r="21" spans="1:5" ht="20" customHeight="1" thickBot="1">
      <c r="A21" s="7">
        <v>36</v>
      </c>
      <c r="B21" s="7" t="s">
        <v>1512</v>
      </c>
      <c r="C21" s="30">
        <v>0</v>
      </c>
      <c r="D21" s="122">
        <v>0</v>
      </c>
      <c r="E21" s="89">
        <v>0</v>
      </c>
    </row>
    <row r="22" spans="1:5" ht="20" customHeight="1" thickBot="1">
      <c r="A22" s="7">
        <v>37</v>
      </c>
      <c r="B22" s="7" t="s">
        <v>1513</v>
      </c>
      <c r="C22" s="30">
        <v>120.27</v>
      </c>
      <c r="D22" s="122">
        <v>3874.5</v>
      </c>
      <c r="E22" s="89">
        <v>3994.77</v>
      </c>
    </row>
    <row r="23" spans="1:5" ht="27" customHeight="1" thickBot="1">
      <c r="A23" s="70">
        <v>3</v>
      </c>
      <c r="B23" s="70" t="s">
        <v>1514</v>
      </c>
      <c r="C23" s="30">
        <v>9308687.9000000004</v>
      </c>
      <c r="D23" s="122">
        <v>2102572.56</v>
      </c>
      <c r="E23" s="89">
        <v>11411260.460000001</v>
      </c>
    </row>
    <row r="24" spans="1:5" ht="20" customHeight="1" thickBot="1">
      <c r="A24" s="670" t="s">
        <v>1387</v>
      </c>
      <c r="B24" s="7" t="s">
        <v>1516</v>
      </c>
      <c r="C24" s="30">
        <v>485171.57</v>
      </c>
      <c r="D24" s="122">
        <v>91504.49</v>
      </c>
      <c r="E24" s="89">
        <v>576676.06000000006</v>
      </c>
    </row>
    <row r="25" spans="1:5" ht="20" customHeight="1" thickBot="1">
      <c r="A25" s="7">
        <v>49</v>
      </c>
      <c r="B25" s="7" t="s">
        <v>1517</v>
      </c>
      <c r="C25" s="30">
        <v>888.37</v>
      </c>
      <c r="D25" s="122">
        <v>81.87</v>
      </c>
      <c r="E25" s="89">
        <v>970.24</v>
      </c>
    </row>
    <row r="26" spans="1:5" ht="27" customHeight="1" thickBot="1">
      <c r="A26" s="70">
        <v>4</v>
      </c>
      <c r="B26" s="70" t="s">
        <v>1518</v>
      </c>
      <c r="C26" s="30">
        <v>486059.94</v>
      </c>
      <c r="D26" s="122">
        <v>91586.37</v>
      </c>
      <c r="E26" s="89">
        <v>577646.31000000006</v>
      </c>
    </row>
    <row r="27" spans="1:5" ht="27" customHeight="1" thickBot="1">
      <c r="A27" s="70" t="s">
        <v>1519</v>
      </c>
      <c r="B27" s="70" t="s">
        <v>1520</v>
      </c>
      <c r="C27" s="30">
        <v>9794747.8399999999</v>
      </c>
      <c r="D27" s="122">
        <v>2194158.9300000002</v>
      </c>
      <c r="E27" s="89">
        <v>11988906.77</v>
      </c>
    </row>
    <row r="28" spans="1:5" ht="27" customHeight="1" thickBot="1">
      <c r="A28" s="70"/>
      <c r="B28" s="70" t="s">
        <v>1521</v>
      </c>
      <c r="C28" s="30">
        <v>-3103702.85</v>
      </c>
      <c r="D28" s="122">
        <v>-1393537.22</v>
      </c>
      <c r="E28" s="89">
        <v>-4497240.07</v>
      </c>
    </row>
    <row r="29" spans="1:5" ht="27" customHeight="1" thickBot="1">
      <c r="A29" s="70">
        <v>7</v>
      </c>
      <c r="B29" s="70" t="s">
        <v>1522</v>
      </c>
      <c r="C29" s="30">
        <v>102942.98</v>
      </c>
      <c r="D29" s="122">
        <v>-38543.279999999999</v>
      </c>
      <c r="E29" s="89">
        <v>64399.7</v>
      </c>
    </row>
    <row r="30" spans="1:5" ht="27.75" customHeight="1" thickBot="1">
      <c r="A30" s="276"/>
      <c r="B30" s="276" t="s">
        <v>495</v>
      </c>
      <c r="C30" s="30">
        <v>-3000759.87</v>
      </c>
      <c r="D30" s="122">
        <v>-1432080.5</v>
      </c>
      <c r="E30" s="89">
        <v>-4432840.37</v>
      </c>
    </row>
    <row r="31" spans="1:5" ht="19.5" customHeight="1">
      <c r="A31" s="9" t="s">
        <v>178</v>
      </c>
      <c r="B31" s="103"/>
      <c r="C31" s="9"/>
      <c r="D31" s="117"/>
      <c r="E31" s="288"/>
    </row>
    <row r="33" spans="1:1">
      <c r="A33" s="3" t="s">
        <v>1388</v>
      </c>
    </row>
    <row r="35" spans="1:1">
      <c r="A35" s="3" t="s">
        <v>1389</v>
      </c>
    </row>
  </sheetData>
  <mergeCells count="1">
    <mergeCell ref="A1:E2"/>
  </mergeCells>
  <phoneticPr fontId="0" type="noConversion"/>
  <pageMargins left="0.49" right="0.32" top="1.47" bottom="0.49" header="0.93" footer="0.4921259845"/>
  <pageSetup paperSize="9" scale="80" orientation="portrait" horizontalDpi="4294967292" verticalDpi="4294967292"/>
  <headerFooter alignWithMargins="0">
    <oddHeader>&amp;L&amp;"Arial,Bold"&amp;14Andere Versicherungen der vom BSV anerkannten Krankenversicherer</oddHeader>
    <oddFooter>&amp;L&amp;"Arial,Regular"Statistik über die Krankenversicherung, Bundesamt für Sozialversicherung</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EE46-9303-E047-B60E-9547C57D55EF}">
  <dimension ref="A1:B12"/>
  <sheetViews>
    <sheetView workbookViewId="0"/>
  </sheetViews>
  <sheetFormatPr baseColWidth="10" defaultColWidth="11.3984375" defaultRowHeight="13"/>
  <cols>
    <col min="1" max="1" width="5.59765625" style="680" customWidth="1"/>
    <col min="2" max="16384" width="11.3984375" style="680"/>
  </cols>
  <sheetData>
    <row r="1" spans="1:2" ht="16">
      <c r="A1" s="679" t="s">
        <v>367</v>
      </c>
    </row>
    <row r="2" spans="1:2" ht="16">
      <c r="A2" s="679"/>
    </row>
    <row r="3" spans="1:2">
      <c r="A3" s="681">
        <v>8.01</v>
      </c>
      <c r="B3" s="682" t="s">
        <v>368</v>
      </c>
    </row>
    <row r="4" spans="1:2">
      <c r="A4" s="681">
        <v>8.02</v>
      </c>
      <c r="B4" s="682" t="s">
        <v>369</v>
      </c>
    </row>
    <row r="5" spans="1:2">
      <c r="A5" s="681">
        <v>8.0299999999999994</v>
      </c>
      <c r="B5" s="682" t="s">
        <v>370</v>
      </c>
    </row>
    <row r="6" spans="1:2">
      <c r="A6" s="681">
        <v>8.0399999999999991</v>
      </c>
      <c r="B6" s="682" t="s">
        <v>371</v>
      </c>
    </row>
    <row r="7" spans="1:2">
      <c r="A7" s="681">
        <v>8.0500000000000007</v>
      </c>
      <c r="B7" s="682" t="s">
        <v>372</v>
      </c>
    </row>
    <row r="8" spans="1:2">
      <c r="A8" s="681">
        <v>8.06</v>
      </c>
      <c r="B8" s="682" t="s">
        <v>373</v>
      </c>
    </row>
    <row r="9" spans="1:2">
      <c r="A9" s="681">
        <v>8.07</v>
      </c>
      <c r="B9" s="682" t="s">
        <v>374</v>
      </c>
    </row>
    <row r="10" spans="1:2">
      <c r="A10" s="681">
        <v>8.08</v>
      </c>
      <c r="B10" s="682" t="s">
        <v>375</v>
      </c>
    </row>
    <row r="11" spans="1:2">
      <c r="A11" s="681">
        <v>8.09</v>
      </c>
      <c r="B11" s="682" t="s">
        <v>376</v>
      </c>
    </row>
    <row r="12" spans="1:2">
      <c r="A12" s="681">
        <v>8.1</v>
      </c>
      <c r="B12" s="682" t="s">
        <v>377</v>
      </c>
    </row>
  </sheetData>
  <phoneticPr fontId="23" type="noConversion"/>
  <pageMargins left="0.46" right="0.35" top="0.88" bottom="0.984251969" header="0.38" footer="0.4921259845"/>
  <pageSetup paperSize="9" orientation="portrait"/>
  <headerFooter alignWithMargins="0">
    <oddHeader>&amp;LGesamtgeschäft der vom BSV anerkannten Krnakenversicherer</oddHeader>
    <oddFooter>&amp;LStatistik der Krankenversicherung, Bundesamt für Sozialversicherung</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D615-D906-2A4F-9E49-68BAE4FCFA55}">
  <dimension ref="A1:F49"/>
  <sheetViews>
    <sheetView topLeftCell="A24" zoomScale="75" workbookViewId="0">
      <selection activeCell="C44" sqref="C44"/>
    </sheetView>
  </sheetViews>
  <sheetFormatPr baseColWidth="10" defaultColWidth="11.3984375" defaultRowHeight="13"/>
  <cols>
    <col min="1" max="1" width="12.796875" style="3" customWidth="1"/>
    <col min="2" max="2" width="13.19921875" style="105" customWidth="1"/>
    <col min="3" max="4" width="13.19921875" style="3" customWidth="1"/>
    <col min="5" max="6" width="13.19921875" style="105" customWidth="1"/>
    <col min="7" max="16384" width="11.3984375" style="3"/>
  </cols>
  <sheetData>
    <row r="1" spans="1:6" s="1" customFormat="1" ht="14" customHeight="1">
      <c r="B1" s="95"/>
      <c r="E1" s="95"/>
      <c r="F1" s="95"/>
    </row>
    <row r="2" spans="1:6" s="1" customFormat="1" ht="28" customHeight="1">
      <c r="A2" s="81" t="s">
        <v>672</v>
      </c>
      <c r="B2" s="95"/>
      <c r="C2" s="81"/>
      <c r="D2" s="81"/>
      <c r="E2" s="95"/>
      <c r="F2" s="95"/>
    </row>
    <row r="3" spans="1:6" ht="24" customHeight="1">
      <c r="A3" s="2" t="s">
        <v>335</v>
      </c>
      <c r="B3" s="144"/>
      <c r="C3" s="2"/>
      <c r="D3" s="90"/>
      <c r="E3" s="2" t="s">
        <v>680</v>
      </c>
      <c r="F3" s="144"/>
    </row>
    <row r="4" spans="1:6" ht="15" customHeight="1">
      <c r="A4" s="82"/>
      <c r="B4" s="158" t="s">
        <v>673</v>
      </c>
      <c r="C4" s="18" t="s">
        <v>674</v>
      </c>
      <c r="D4" s="75" t="s">
        <v>675</v>
      </c>
      <c r="E4" s="4" t="s">
        <v>1396</v>
      </c>
      <c r="F4" s="76" t="s">
        <v>676</v>
      </c>
    </row>
    <row r="5" spans="1:6" ht="15" customHeight="1">
      <c r="A5" s="82"/>
      <c r="B5" s="158" t="s">
        <v>1023</v>
      </c>
      <c r="C5" s="18"/>
      <c r="D5" s="75"/>
      <c r="E5" s="4" t="s">
        <v>677</v>
      </c>
      <c r="F5" s="76"/>
    </row>
    <row r="6" spans="1:6" ht="24" customHeight="1">
      <c r="A6" s="83"/>
      <c r="B6" s="78"/>
      <c r="C6" s="19"/>
      <c r="D6" s="78"/>
      <c r="E6" s="5"/>
      <c r="F6" s="77"/>
    </row>
    <row r="7" spans="1:6" ht="21.75" customHeight="1" thickBot="1">
      <c r="A7" s="663">
        <v>1945</v>
      </c>
      <c r="B7" s="712">
        <v>1151</v>
      </c>
      <c r="C7" s="713" t="s">
        <v>490</v>
      </c>
      <c r="D7" s="714" t="s">
        <v>490</v>
      </c>
      <c r="E7" s="713" t="s">
        <v>490</v>
      </c>
      <c r="F7" s="714" t="s">
        <v>490</v>
      </c>
    </row>
    <row r="8" spans="1:6" ht="15" customHeight="1" thickBot="1">
      <c r="A8" s="7">
        <v>1950</v>
      </c>
      <c r="B8" s="130">
        <v>1154</v>
      </c>
      <c r="C8" s="713" t="s">
        <v>490</v>
      </c>
      <c r="D8" s="714" t="s">
        <v>490</v>
      </c>
      <c r="E8" s="713" t="s">
        <v>490</v>
      </c>
      <c r="F8" s="714" t="s">
        <v>490</v>
      </c>
    </row>
    <row r="9" spans="1:6" ht="15" customHeight="1" thickBot="1">
      <c r="A9" s="7">
        <v>1955</v>
      </c>
      <c r="B9" s="130">
        <v>1135</v>
      </c>
      <c r="C9" s="713" t="s">
        <v>490</v>
      </c>
      <c r="D9" s="714" t="s">
        <v>490</v>
      </c>
      <c r="E9" s="713" t="s">
        <v>490</v>
      </c>
      <c r="F9" s="714" t="s">
        <v>490</v>
      </c>
    </row>
    <row r="10" spans="1:6" ht="15" customHeight="1" thickBot="1">
      <c r="A10" s="7">
        <v>1960</v>
      </c>
      <c r="B10" s="130">
        <v>1088</v>
      </c>
      <c r="C10" s="713" t="s">
        <v>490</v>
      </c>
      <c r="D10" s="714" t="s">
        <v>490</v>
      </c>
      <c r="E10" s="713" t="s">
        <v>490</v>
      </c>
      <c r="F10" s="714" t="s">
        <v>490</v>
      </c>
    </row>
    <row r="11" spans="1:6" ht="15" customHeight="1" thickBot="1">
      <c r="A11" s="7">
        <v>1965</v>
      </c>
      <c r="B11" s="130">
        <v>984</v>
      </c>
      <c r="C11" s="713" t="s">
        <v>490</v>
      </c>
      <c r="D11" s="714" t="s">
        <v>490</v>
      </c>
      <c r="E11" s="713" t="s">
        <v>490</v>
      </c>
      <c r="F11" s="714" t="s">
        <v>490</v>
      </c>
    </row>
    <row r="12" spans="1:6" ht="18.75" customHeight="1">
      <c r="A12" s="715">
        <v>1970</v>
      </c>
      <c r="B12" s="709">
        <v>815</v>
      </c>
      <c r="C12" s="716">
        <v>1</v>
      </c>
      <c r="D12" s="709">
        <v>26</v>
      </c>
      <c r="E12" s="717" t="s">
        <v>490</v>
      </c>
      <c r="F12" s="718" t="s">
        <v>490</v>
      </c>
    </row>
    <row r="13" spans="1:6" ht="15" customHeight="1" thickBot="1">
      <c r="A13" s="663">
        <v>1971</v>
      </c>
      <c r="B13" s="286">
        <v>793</v>
      </c>
      <c r="C13" s="287">
        <v>0</v>
      </c>
      <c r="D13" s="286">
        <v>22</v>
      </c>
      <c r="E13" s="719" t="s">
        <v>490</v>
      </c>
      <c r="F13" s="720" t="s">
        <v>490</v>
      </c>
    </row>
    <row r="14" spans="1:6" ht="15" customHeight="1" thickBot="1">
      <c r="A14" s="7">
        <v>1972</v>
      </c>
      <c r="B14" s="130">
        <v>763</v>
      </c>
      <c r="C14" s="133">
        <v>1</v>
      </c>
      <c r="D14" s="130">
        <v>31</v>
      </c>
      <c r="E14" s="713" t="s">
        <v>490</v>
      </c>
      <c r="F14" s="714" t="s">
        <v>490</v>
      </c>
    </row>
    <row r="15" spans="1:6" ht="15" customHeight="1" thickBot="1">
      <c r="A15" s="7">
        <v>1973</v>
      </c>
      <c r="B15" s="130">
        <v>735</v>
      </c>
      <c r="C15" s="133">
        <v>0</v>
      </c>
      <c r="D15" s="130">
        <v>28</v>
      </c>
      <c r="E15" s="713" t="s">
        <v>490</v>
      </c>
      <c r="F15" s="714" t="s">
        <v>490</v>
      </c>
    </row>
    <row r="16" spans="1:6" ht="15" customHeight="1" thickBot="1">
      <c r="A16" s="7">
        <v>1974</v>
      </c>
      <c r="B16" s="130">
        <v>707</v>
      </c>
      <c r="C16" s="133">
        <v>3</v>
      </c>
      <c r="D16" s="130">
        <v>31</v>
      </c>
      <c r="E16" s="713" t="s">
        <v>490</v>
      </c>
      <c r="F16" s="714" t="s">
        <v>490</v>
      </c>
    </row>
    <row r="17" spans="1:6" ht="20" customHeight="1">
      <c r="A17" s="715">
        <v>1975</v>
      </c>
      <c r="B17" s="709">
        <v>662</v>
      </c>
      <c r="C17" s="716">
        <v>1</v>
      </c>
      <c r="D17" s="709">
        <v>46</v>
      </c>
      <c r="E17" s="717" t="s">
        <v>490</v>
      </c>
      <c r="F17" s="718" t="s">
        <v>490</v>
      </c>
    </row>
    <row r="18" spans="1:6" ht="15" customHeight="1" thickBot="1">
      <c r="A18" s="663">
        <v>1976</v>
      </c>
      <c r="B18" s="286">
        <v>634</v>
      </c>
      <c r="C18" s="287">
        <v>0</v>
      </c>
      <c r="D18" s="286">
        <v>28</v>
      </c>
      <c r="E18" s="719" t="s">
        <v>490</v>
      </c>
      <c r="F18" s="720" t="s">
        <v>490</v>
      </c>
    </row>
    <row r="19" spans="1:6" ht="15" customHeight="1" thickBot="1">
      <c r="A19" s="7">
        <v>1977</v>
      </c>
      <c r="B19" s="130">
        <v>615</v>
      </c>
      <c r="C19" s="133">
        <v>0</v>
      </c>
      <c r="D19" s="130">
        <v>19</v>
      </c>
      <c r="E19" s="713" t="s">
        <v>490</v>
      </c>
      <c r="F19" s="714" t="s">
        <v>490</v>
      </c>
    </row>
    <row r="20" spans="1:6" ht="15" customHeight="1" thickBot="1">
      <c r="A20" s="7">
        <v>1978</v>
      </c>
      <c r="B20" s="130">
        <v>598</v>
      </c>
      <c r="C20" s="133">
        <v>1</v>
      </c>
      <c r="D20" s="130">
        <v>18</v>
      </c>
      <c r="E20" s="713" t="s">
        <v>490</v>
      </c>
      <c r="F20" s="714" t="s">
        <v>490</v>
      </c>
    </row>
    <row r="21" spans="1:6" ht="15" customHeight="1" thickBot="1">
      <c r="A21" s="7">
        <v>1979</v>
      </c>
      <c r="B21" s="130">
        <v>577</v>
      </c>
      <c r="C21" s="133">
        <v>2</v>
      </c>
      <c r="D21" s="130">
        <v>23</v>
      </c>
      <c r="E21" s="713" t="s">
        <v>490</v>
      </c>
      <c r="F21" s="714" t="s">
        <v>490</v>
      </c>
    </row>
    <row r="22" spans="1:6" ht="20" customHeight="1">
      <c r="A22" s="715">
        <v>1980</v>
      </c>
      <c r="B22" s="709">
        <v>555</v>
      </c>
      <c r="C22" s="716">
        <v>2</v>
      </c>
      <c r="D22" s="709">
        <v>24</v>
      </c>
      <c r="E22" s="717" t="s">
        <v>490</v>
      </c>
      <c r="F22" s="718" t="s">
        <v>490</v>
      </c>
    </row>
    <row r="23" spans="1:6" ht="13.5" customHeight="1" thickBot="1">
      <c r="A23" s="663">
        <v>1981</v>
      </c>
      <c r="B23" s="286">
        <v>537</v>
      </c>
      <c r="C23" s="287">
        <v>0</v>
      </c>
      <c r="D23" s="286">
        <v>18</v>
      </c>
      <c r="E23" s="719" t="s">
        <v>490</v>
      </c>
      <c r="F23" s="720" t="s">
        <v>490</v>
      </c>
    </row>
    <row r="24" spans="1:6" ht="13.5" customHeight="1" thickBot="1">
      <c r="A24" s="7">
        <v>1982</v>
      </c>
      <c r="B24" s="130">
        <v>514</v>
      </c>
      <c r="C24" s="133">
        <v>1</v>
      </c>
      <c r="D24" s="130">
        <v>24</v>
      </c>
      <c r="E24" s="713" t="s">
        <v>490</v>
      </c>
      <c r="F24" s="714" t="s">
        <v>490</v>
      </c>
    </row>
    <row r="25" spans="1:6" ht="13.5" customHeight="1" thickBot="1">
      <c r="A25" s="7">
        <v>1983</v>
      </c>
      <c r="B25" s="130">
        <v>492</v>
      </c>
      <c r="C25" s="133">
        <v>2</v>
      </c>
      <c r="D25" s="130">
        <v>24</v>
      </c>
      <c r="E25" s="713" t="s">
        <v>490</v>
      </c>
      <c r="F25" s="714" t="s">
        <v>490</v>
      </c>
    </row>
    <row r="26" spans="1:6" ht="13.5" customHeight="1" thickBot="1">
      <c r="A26" s="7">
        <v>1984</v>
      </c>
      <c r="B26" s="130">
        <v>461</v>
      </c>
      <c r="C26" s="133">
        <v>1</v>
      </c>
      <c r="D26" s="130">
        <v>32</v>
      </c>
      <c r="E26" s="713" t="s">
        <v>490</v>
      </c>
      <c r="F26" s="714" t="s">
        <v>490</v>
      </c>
    </row>
    <row r="27" spans="1:6" ht="20" customHeight="1">
      <c r="A27" s="715">
        <v>1985</v>
      </c>
      <c r="B27" s="709">
        <v>449</v>
      </c>
      <c r="C27" s="716">
        <v>0</v>
      </c>
      <c r="D27" s="709">
        <v>12</v>
      </c>
      <c r="E27" s="717" t="s">
        <v>490</v>
      </c>
      <c r="F27" s="718" t="s">
        <v>490</v>
      </c>
    </row>
    <row r="28" spans="1:6" ht="15" customHeight="1" thickBot="1">
      <c r="A28" s="663">
        <v>1986</v>
      </c>
      <c r="B28" s="286">
        <v>432</v>
      </c>
      <c r="C28" s="287">
        <v>1</v>
      </c>
      <c r="D28" s="286">
        <v>18</v>
      </c>
      <c r="E28" s="719" t="s">
        <v>490</v>
      </c>
      <c r="F28" s="720" t="s">
        <v>490</v>
      </c>
    </row>
    <row r="29" spans="1:6" ht="15" customHeight="1" thickBot="1">
      <c r="A29" s="7">
        <v>1987</v>
      </c>
      <c r="B29" s="130">
        <v>385</v>
      </c>
      <c r="C29" s="133">
        <v>2</v>
      </c>
      <c r="D29" s="130">
        <v>49</v>
      </c>
      <c r="E29" s="713" t="s">
        <v>490</v>
      </c>
      <c r="F29" s="714" t="s">
        <v>490</v>
      </c>
    </row>
    <row r="30" spans="1:6" ht="15" customHeight="1" thickBot="1">
      <c r="A30" s="7">
        <v>1988</v>
      </c>
      <c r="B30" s="130">
        <v>370</v>
      </c>
      <c r="C30" s="133">
        <v>1</v>
      </c>
      <c r="D30" s="130">
        <v>16</v>
      </c>
      <c r="E30" s="713" t="s">
        <v>490</v>
      </c>
      <c r="F30" s="714" t="s">
        <v>490</v>
      </c>
    </row>
    <row r="31" spans="1:6" ht="15" customHeight="1" thickBot="1">
      <c r="A31" s="7">
        <v>1989</v>
      </c>
      <c r="B31" s="130">
        <v>269</v>
      </c>
      <c r="C31" s="133">
        <v>4</v>
      </c>
      <c r="D31" s="130">
        <v>105</v>
      </c>
      <c r="E31" s="713" t="s">
        <v>490</v>
      </c>
      <c r="F31" s="714" t="s">
        <v>490</v>
      </c>
    </row>
    <row r="32" spans="1:6" ht="20" customHeight="1">
      <c r="A32" s="715">
        <v>1990</v>
      </c>
      <c r="B32" s="709">
        <v>246</v>
      </c>
      <c r="C32" s="716">
        <v>1</v>
      </c>
      <c r="D32" s="709">
        <v>24</v>
      </c>
      <c r="E32" s="717" t="s">
        <v>490</v>
      </c>
      <c r="F32" s="718" t="s">
        <v>490</v>
      </c>
    </row>
    <row r="33" spans="1:6" ht="15" customHeight="1" thickBot="1">
      <c r="A33" s="663">
        <v>1991</v>
      </c>
      <c r="B33" s="286">
        <v>228</v>
      </c>
      <c r="C33" s="287">
        <v>0</v>
      </c>
      <c r="D33" s="286">
        <v>18</v>
      </c>
      <c r="E33" s="719" t="s">
        <v>490</v>
      </c>
      <c r="F33" s="720" t="s">
        <v>490</v>
      </c>
    </row>
    <row r="34" spans="1:6" ht="15" customHeight="1" thickBot="1">
      <c r="A34" s="7">
        <v>1992</v>
      </c>
      <c r="B34" s="130">
        <v>213</v>
      </c>
      <c r="C34" s="133">
        <v>2</v>
      </c>
      <c r="D34" s="130">
        <v>17</v>
      </c>
      <c r="E34" s="713" t="s">
        <v>490</v>
      </c>
      <c r="F34" s="714" t="s">
        <v>490</v>
      </c>
    </row>
    <row r="35" spans="1:6" ht="15" customHeight="1" thickBot="1">
      <c r="A35" s="7">
        <v>1993</v>
      </c>
      <c r="B35" s="130">
        <v>207</v>
      </c>
      <c r="C35" s="133">
        <v>0</v>
      </c>
      <c r="D35" s="130">
        <v>6</v>
      </c>
      <c r="E35" s="713" t="s">
        <v>490</v>
      </c>
      <c r="F35" s="714" t="s">
        <v>490</v>
      </c>
    </row>
    <row r="36" spans="1:6" ht="15" customHeight="1" thickBot="1">
      <c r="A36" s="7">
        <v>1994</v>
      </c>
      <c r="B36" s="130">
        <v>198</v>
      </c>
      <c r="C36" s="133">
        <v>0</v>
      </c>
      <c r="D36" s="130">
        <v>9</v>
      </c>
      <c r="E36" s="133">
        <v>178</v>
      </c>
      <c r="F36" s="130">
        <v>186</v>
      </c>
    </row>
    <row r="37" spans="1:6" ht="18.75" customHeight="1">
      <c r="A37" s="715">
        <v>1995</v>
      </c>
      <c r="B37" s="709">
        <v>184</v>
      </c>
      <c r="C37" s="716">
        <v>0</v>
      </c>
      <c r="D37" s="709">
        <v>14</v>
      </c>
      <c r="E37" s="716">
        <v>166</v>
      </c>
      <c r="F37" s="709">
        <v>174</v>
      </c>
    </row>
    <row r="38" spans="1:6" ht="15" customHeight="1" thickBot="1">
      <c r="A38" s="663">
        <v>1996</v>
      </c>
      <c r="B38" s="286">
        <v>159</v>
      </c>
      <c r="C38" s="287">
        <v>0</v>
      </c>
      <c r="D38" s="286">
        <v>25</v>
      </c>
      <c r="E38" s="287">
        <v>145</v>
      </c>
      <c r="F38" s="286">
        <v>150</v>
      </c>
    </row>
    <row r="39" spans="1:6" ht="15" customHeight="1" thickBot="1">
      <c r="A39" s="7">
        <v>1997</v>
      </c>
      <c r="B39" s="130">
        <v>142</v>
      </c>
      <c r="C39" s="133">
        <v>1</v>
      </c>
      <c r="D39" s="130">
        <v>18</v>
      </c>
      <c r="E39" s="133">
        <v>129</v>
      </c>
      <c r="F39" s="130">
        <v>134</v>
      </c>
    </row>
    <row r="40" spans="1:6" ht="15" customHeight="1" thickBot="1">
      <c r="A40" s="7">
        <v>1998</v>
      </c>
      <c r="B40" s="130">
        <v>127</v>
      </c>
      <c r="C40" s="133">
        <v>0</v>
      </c>
      <c r="D40" s="130">
        <v>15</v>
      </c>
      <c r="E40" s="133">
        <v>118</v>
      </c>
      <c r="F40" s="130">
        <v>115</v>
      </c>
    </row>
    <row r="41" spans="1:6" ht="15" customHeight="1" thickBot="1">
      <c r="A41" s="7">
        <v>1999</v>
      </c>
      <c r="B41" s="130">
        <v>119</v>
      </c>
      <c r="C41" s="133">
        <v>2</v>
      </c>
      <c r="D41" s="130">
        <v>10</v>
      </c>
      <c r="E41" s="133">
        <v>109</v>
      </c>
      <c r="F41" s="130">
        <v>109</v>
      </c>
    </row>
    <row r="42" spans="1:6" ht="15" customHeight="1">
      <c r="A42" s="715">
        <v>2000</v>
      </c>
      <c r="B42" s="709">
        <v>110</v>
      </c>
      <c r="C42" s="716">
        <v>0</v>
      </c>
      <c r="D42" s="709">
        <v>9</v>
      </c>
      <c r="E42" s="716">
        <v>101</v>
      </c>
      <c r="F42" s="709">
        <v>102</v>
      </c>
    </row>
    <row r="43" spans="1:6" ht="18" customHeight="1" thickBot="1">
      <c r="A43" s="663">
        <v>2001</v>
      </c>
      <c r="B43" s="286">
        <v>108</v>
      </c>
      <c r="C43" s="287">
        <v>0</v>
      </c>
      <c r="D43" s="286">
        <v>2</v>
      </c>
      <c r="E43" s="287">
        <v>101</v>
      </c>
      <c r="F43" s="286">
        <v>102</v>
      </c>
    </row>
    <row r="44" spans="1:6" ht="23.25" customHeight="1" thickBot="1">
      <c r="A44" s="13">
        <v>2002</v>
      </c>
      <c r="B44" s="136">
        <v>101</v>
      </c>
      <c r="C44" s="72">
        <v>1</v>
      </c>
      <c r="D44" s="136">
        <v>8</v>
      </c>
      <c r="E44" s="138">
        <v>93</v>
      </c>
      <c r="F44" s="136">
        <v>93</v>
      </c>
    </row>
    <row r="45" spans="1:6" ht="20" customHeight="1">
      <c r="A45" s="9" t="s">
        <v>178</v>
      </c>
      <c r="B45" s="103"/>
      <c r="C45" s="9"/>
      <c r="D45" s="9"/>
      <c r="E45" s="103"/>
      <c r="F45" s="103"/>
    </row>
    <row r="46" spans="1:6" ht="12.75" customHeight="1">
      <c r="A46" s="38"/>
      <c r="B46" s="104"/>
      <c r="C46" s="38"/>
      <c r="D46" s="38"/>
      <c r="E46" s="104"/>
      <c r="F46" s="104"/>
    </row>
    <row r="47" spans="1:6" ht="12" customHeight="1">
      <c r="A47" s="38" t="s">
        <v>678</v>
      </c>
    </row>
    <row r="48" spans="1:6" ht="12" customHeight="1"/>
    <row r="49" spans="1:1" ht="12" customHeight="1">
      <c r="A49" s="247" t="s">
        <v>679</v>
      </c>
    </row>
  </sheetData>
  <phoneticPr fontId="0" type="noConversion"/>
  <pageMargins left="0.78740157480314965" right="0.78740157480314965" top="1.47" bottom="0.49" header="0.94" footer="0.4921259845"/>
  <pageSetup paperSize="9" scale="80" orientation="portrait" horizontalDpi="1200" verticalDpi="1200"/>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00F0C-C75B-BE40-8330-7D8A4B8E5974}">
  <dimension ref="A1:G53"/>
  <sheetViews>
    <sheetView topLeftCell="A34" zoomScale="75" workbookViewId="0">
      <selection activeCell="A44" sqref="A44"/>
    </sheetView>
  </sheetViews>
  <sheetFormatPr baseColWidth="10" defaultColWidth="11.3984375" defaultRowHeight="13"/>
  <cols>
    <col min="1" max="1" width="12.796875" style="3" customWidth="1"/>
    <col min="2" max="5" width="13.19921875" style="105" customWidth="1"/>
    <col min="6" max="6" width="13.19921875" style="43" customWidth="1"/>
    <col min="7" max="7" width="14" style="184" customWidth="1"/>
    <col min="8" max="16384" width="11.3984375" style="3"/>
  </cols>
  <sheetData>
    <row r="1" spans="1:7" s="1" customFormat="1" ht="14" customHeight="1">
      <c r="B1" s="95"/>
      <c r="C1" s="95"/>
      <c r="D1" s="95"/>
      <c r="E1" s="95"/>
      <c r="F1" s="106"/>
      <c r="G1" s="164"/>
    </row>
    <row r="2" spans="1:7" s="1" customFormat="1" ht="28" customHeight="1">
      <c r="A2" s="81" t="s">
        <v>1165</v>
      </c>
      <c r="B2" s="95"/>
      <c r="C2" s="95"/>
      <c r="D2" s="95"/>
      <c r="E2" s="95"/>
      <c r="F2" s="106"/>
      <c r="G2" s="164"/>
    </row>
    <row r="3" spans="1:7" ht="35.25" customHeight="1">
      <c r="A3" s="2" t="s">
        <v>335</v>
      </c>
      <c r="B3" s="705" t="s">
        <v>670</v>
      </c>
      <c r="C3" s="2"/>
      <c r="D3" s="705" t="s">
        <v>670</v>
      </c>
      <c r="E3" s="96"/>
      <c r="F3" s="706"/>
      <c r="G3" s="294" t="s">
        <v>1453</v>
      </c>
    </row>
    <row r="4" spans="1:7" ht="15" customHeight="1">
      <c r="A4" s="82"/>
      <c r="B4" s="76" t="s">
        <v>1396</v>
      </c>
      <c r="C4" s="296" t="s">
        <v>609</v>
      </c>
      <c r="D4" s="76" t="s">
        <v>1396</v>
      </c>
      <c r="E4" s="296" t="s">
        <v>609</v>
      </c>
      <c r="F4" s="109" t="s">
        <v>784</v>
      </c>
      <c r="G4" s="296" t="s">
        <v>671</v>
      </c>
    </row>
    <row r="5" spans="1:7" ht="15" customHeight="1">
      <c r="A5" s="82"/>
      <c r="B5" s="76" t="s">
        <v>1399</v>
      </c>
      <c r="C5" s="296" t="s">
        <v>610</v>
      </c>
      <c r="D5" s="76" t="s">
        <v>1166</v>
      </c>
      <c r="E5" s="296" t="s">
        <v>610</v>
      </c>
      <c r="F5" s="109" t="s">
        <v>787</v>
      </c>
      <c r="G5" s="296" t="s">
        <v>1396</v>
      </c>
    </row>
    <row r="6" spans="1:7" ht="15" customHeight="1">
      <c r="A6" s="82"/>
      <c r="B6" s="707" t="s">
        <v>1167</v>
      </c>
      <c r="C6" s="296" t="s">
        <v>611</v>
      </c>
      <c r="D6" s="707" t="s">
        <v>1167</v>
      </c>
      <c r="E6" s="296" t="s">
        <v>611</v>
      </c>
      <c r="F6" s="109" t="s">
        <v>1168</v>
      </c>
      <c r="G6" s="296" t="s">
        <v>1399</v>
      </c>
    </row>
    <row r="7" spans="1:7" ht="24" customHeight="1">
      <c r="A7" s="83"/>
      <c r="B7" s="78"/>
      <c r="C7" s="19"/>
      <c r="D7" s="78"/>
      <c r="E7" s="19"/>
      <c r="F7" s="110"/>
      <c r="G7" s="298" t="s">
        <v>1169</v>
      </c>
    </row>
    <row r="8" spans="1:7" ht="24" customHeight="1" thickBot="1">
      <c r="A8" s="477">
        <v>1945</v>
      </c>
      <c r="B8" s="286">
        <v>2122028</v>
      </c>
      <c r="C8" s="673" t="s">
        <v>490</v>
      </c>
      <c r="D8" s="286">
        <v>1318379</v>
      </c>
      <c r="E8" s="673" t="s">
        <v>490</v>
      </c>
      <c r="F8" s="286">
        <v>4412000</v>
      </c>
      <c r="G8" s="673">
        <v>0.48100000000000004</v>
      </c>
    </row>
    <row r="9" spans="1:7" ht="15" customHeight="1" thickBot="1">
      <c r="A9" s="70">
        <v>1950</v>
      </c>
      <c r="B9" s="130">
        <v>2574399</v>
      </c>
      <c r="C9" s="131">
        <v>0.21317861969776075</v>
      </c>
      <c r="D9" s="130">
        <v>1698199</v>
      </c>
      <c r="E9" s="131">
        <v>0.28809621512478589</v>
      </c>
      <c r="F9" s="130">
        <v>4694000</v>
      </c>
      <c r="G9" s="131">
        <v>0.54799999999999993</v>
      </c>
    </row>
    <row r="10" spans="1:7" ht="15" customHeight="1" thickBot="1">
      <c r="A10" s="70">
        <v>1955</v>
      </c>
      <c r="B10" s="130">
        <v>3158227</v>
      </c>
      <c r="C10" s="131">
        <v>0.22678225092536164</v>
      </c>
      <c r="D10" s="130">
        <v>2079143</v>
      </c>
      <c r="E10" s="131">
        <v>0.2243223556249887</v>
      </c>
      <c r="F10" s="130">
        <v>4980000</v>
      </c>
      <c r="G10" s="131">
        <v>0.63400000000000001</v>
      </c>
    </row>
    <row r="11" spans="1:7" ht="15" customHeight="1" thickBot="1">
      <c r="A11" s="70">
        <v>1960</v>
      </c>
      <c r="B11" s="130">
        <v>3888386</v>
      </c>
      <c r="C11" s="131">
        <v>0.2311926913423259</v>
      </c>
      <c r="D11" s="130">
        <v>2517206</v>
      </c>
      <c r="E11" s="131">
        <v>0.2106940215271389</v>
      </c>
      <c r="F11" s="130">
        <v>5362000</v>
      </c>
      <c r="G11" s="131">
        <v>0.7251745617306975</v>
      </c>
    </row>
    <row r="12" spans="1:7" ht="15" customHeight="1" thickBot="1">
      <c r="A12" s="70">
        <v>1965</v>
      </c>
      <c r="B12" s="130">
        <v>4893312</v>
      </c>
      <c r="C12" s="131">
        <v>0.25844296322433014</v>
      </c>
      <c r="D12" s="130">
        <v>3097656</v>
      </c>
      <c r="E12" s="131">
        <v>0.23059296696416576</v>
      </c>
      <c r="F12" s="130">
        <v>5943000</v>
      </c>
      <c r="G12" s="131">
        <v>0.82059717314487624</v>
      </c>
    </row>
    <row r="13" spans="1:7" ht="20" customHeight="1">
      <c r="A13" s="708">
        <v>1970</v>
      </c>
      <c r="B13" s="709">
        <v>5603263</v>
      </c>
      <c r="C13" s="710">
        <v>0.14508598675089601</v>
      </c>
      <c r="D13" s="709">
        <v>3425013</v>
      </c>
      <c r="E13" s="710">
        <v>0.10567893917207072</v>
      </c>
      <c r="F13" s="709">
        <v>6267000</v>
      </c>
      <c r="G13" s="710">
        <v>0.88868677198021384</v>
      </c>
    </row>
    <row r="14" spans="1:7" ht="15" customHeight="1" thickBot="1">
      <c r="A14" s="477">
        <v>1971</v>
      </c>
      <c r="B14" s="286">
        <v>5732252</v>
      </c>
      <c r="C14" s="673">
        <v>2.3020336543189135E-2</v>
      </c>
      <c r="D14" s="286">
        <v>3520597</v>
      </c>
      <c r="E14" s="673">
        <v>2.790763129950169E-2</v>
      </c>
      <c r="F14" s="286">
        <v>6343300</v>
      </c>
      <c r="G14" s="673">
        <v>0.89822615988523324</v>
      </c>
    </row>
    <row r="15" spans="1:7" ht="15" customHeight="1" thickBot="1">
      <c r="A15" s="70">
        <v>1972</v>
      </c>
      <c r="B15" s="130">
        <v>5868657</v>
      </c>
      <c r="C15" s="131">
        <v>2.3796057814625016E-2</v>
      </c>
      <c r="D15" s="130">
        <v>3603527</v>
      </c>
      <c r="E15" s="131">
        <v>2.3555663996759568E-2</v>
      </c>
      <c r="F15" s="130">
        <v>6401400</v>
      </c>
      <c r="G15" s="131">
        <v>0.9108196644484019</v>
      </c>
    </row>
    <row r="16" spans="1:7" ht="15" customHeight="1" thickBot="1">
      <c r="A16" s="70">
        <v>1973</v>
      </c>
      <c r="B16" s="130">
        <v>5987857</v>
      </c>
      <c r="C16" s="131">
        <v>2.0311290981906094E-2</v>
      </c>
      <c r="D16" s="130">
        <v>3686319</v>
      </c>
      <c r="E16" s="131">
        <v>2.2975268396767889E-2</v>
      </c>
      <c r="F16" s="130">
        <v>6441100</v>
      </c>
      <c r="G16" s="131">
        <v>0.9235768735153933</v>
      </c>
    </row>
    <row r="17" spans="1:7" ht="15" customHeight="1" thickBot="1">
      <c r="A17" s="70">
        <v>1974</v>
      </c>
      <c r="B17" s="130">
        <v>6066165</v>
      </c>
      <c r="C17" s="131">
        <v>1.3077800622159241E-2</v>
      </c>
      <c r="D17" s="130">
        <v>3717245</v>
      </c>
      <c r="E17" s="131">
        <v>8.3893987470970988E-3</v>
      </c>
      <c r="F17" s="130">
        <v>6460000</v>
      </c>
      <c r="G17" s="131">
        <v>0.93341532507739933</v>
      </c>
    </row>
    <row r="18" spans="1:7" ht="20" customHeight="1">
      <c r="A18" s="708">
        <v>1975</v>
      </c>
      <c r="B18" s="709">
        <v>6057210</v>
      </c>
      <c r="C18" s="710">
        <v>-1.4762209732178677E-3</v>
      </c>
      <c r="D18" s="709">
        <v>3695253</v>
      </c>
      <c r="E18" s="710">
        <v>-5.9162094508163898E-3</v>
      </c>
      <c r="F18" s="709">
        <v>6403500</v>
      </c>
      <c r="G18" s="710">
        <v>0.93983493402045748</v>
      </c>
    </row>
    <row r="19" spans="1:7" ht="15" customHeight="1" thickBot="1">
      <c r="A19" s="477">
        <v>1976</v>
      </c>
      <c r="B19" s="286">
        <v>6027653</v>
      </c>
      <c r="C19" s="673">
        <v>-4.8796393058850862E-3</v>
      </c>
      <c r="D19" s="286">
        <v>3659141</v>
      </c>
      <c r="E19" s="673">
        <v>-9.7725379020056069E-3</v>
      </c>
      <c r="F19" s="286">
        <v>6333300</v>
      </c>
      <c r="G19" s="673">
        <v>0.94580645161290322</v>
      </c>
    </row>
    <row r="20" spans="1:7" ht="15" customHeight="1" thickBot="1">
      <c r="A20" s="70">
        <v>1977</v>
      </c>
      <c r="B20" s="130">
        <v>6041206</v>
      </c>
      <c r="C20" s="131">
        <v>2.2484705075092037E-3</v>
      </c>
      <c r="D20" s="130">
        <v>3656189</v>
      </c>
      <c r="E20" s="131">
        <v>-8.0674672006353365E-4</v>
      </c>
      <c r="F20" s="130">
        <v>6316400</v>
      </c>
      <c r="G20" s="131">
        <v>0.94998511810524977</v>
      </c>
    </row>
    <row r="21" spans="1:7" ht="15" customHeight="1" thickBot="1">
      <c r="A21" s="70">
        <v>1978</v>
      </c>
      <c r="B21" s="130">
        <v>6088290</v>
      </c>
      <c r="C21" s="131">
        <v>7.7938080575301605E-3</v>
      </c>
      <c r="D21" s="130">
        <v>3695499</v>
      </c>
      <c r="E21" s="131">
        <v>1.0751632369114361E-2</v>
      </c>
      <c r="F21" s="130">
        <v>6332600</v>
      </c>
      <c r="G21" s="131">
        <v>0.95417648359283702</v>
      </c>
    </row>
    <row r="22" spans="1:7" ht="15" customHeight="1" thickBot="1">
      <c r="A22" s="70">
        <v>1979</v>
      </c>
      <c r="B22" s="130">
        <v>6144808</v>
      </c>
      <c r="C22" s="131">
        <v>9.2830663453942197E-3</v>
      </c>
      <c r="D22" s="130">
        <v>3748233</v>
      </c>
      <c r="E22" s="131">
        <v>1.426979144088536E-2</v>
      </c>
      <c r="F22" s="130">
        <v>6350800</v>
      </c>
      <c r="G22" s="131">
        <v>0.95995921773634818</v>
      </c>
    </row>
    <row r="23" spans="1:7" ht="20" customHeight="1">
      <c r="A23" s="708">
        <v>1980</v>
      </c>
      <c r="B23" s="709">
        <v>6206832</v>
      </c>
      <c r="C23" s="710">
        <v>1.0093724653398528E-2</v>
      </c>
      <c r="D23" s="709">
        <v>3774704</v>
      </c>
      <c r="E23" s="710">
        <v>7.062261070749809E-3</v>
      </c>
      <c r="F23" s="709">
        <v>6385200</v>
      </c>
      <c r="G23" s="710">
        <v>0.96536365344859987</v>
      </c>
    </row>
    <row r="24" spans="1:7" ht="13.5" customHeight="1" thickBot="1">
      <c r="A24" s="477">
        <v>1981</v>
      </c>
      <c r="B24" s="286">
        <v>6283653</v>
      </c>
      <c r="C24" s="673">
        <v>1.2376845385858593E-2</v>
      </c>
      <c r="D24" s="286">
        <v>3802759</v>
      </c>
      <c r="E24" s="673">
        <v>7.4323708560988244E-3</v>
      </c>
      <c r="F24" s="286">
        <v>6429200</v>
      </c>
      <c r="G24" s="673">
        <v>0.97038869532756811</v>
      </c>
    </row>
    <row r="25" spans="1:7" ht="13.5" customHeight="1" thickBot="1">
      <c r="A25" s="70">
        <v>1982</v>
      </c>
      <c r="B25" s="130">
        <v>6344114</v>
      </c>
      <c r="C25" s="131">
        <v>9.621950798365253E-3</v>
      </c>
      <c r="D25" s="130">
        <v>3828481</v>
      </c>
      <c r="E25" s="131">
        <v>6.7640363220493605E-3</v>
      </c>
      <c r="F25" s="130">
        <v>6467200</v>
      </c>
      <c r="G25" s="131">
        <v>0.97375726744186042</v>
      </c>
    </row>
    <row r="26" spans="1:7" ht="13.5" customHeight="1" thickBot="1">
      <c r="A26" s="70">
        <v>1983</v>
      </c>
      <c r="B26" s="130">
        <v>6380457</v>
      </c>
      <c r="C26" s="131">
        <v>5.7286171087089777E-3</v>
      </c>
      <c r="D26" s="130">
        <v>3828883</v>
      </c>
      <c r="E26" s="131">
        <v>1.0500248009592816E-4</v>
      </c>
      <c r="F26" s="130">
        <v>6482000</v>
      </c>
      <c r="G26" s="131">
        <v>0.97709966059858067</v>
      </c>
    </row>
    <row r="27" spans="1:7" ht="13.5" customHeight="1" thickBot="1">
      <c r="A27" s="70">
        <v>1984</v>
      </c>
      <c r="B27" s="130">
        <v>6408942</v>
      </c>
      <c r="C27" s="131">
        <v>4.4644137559426422E-3</v>
      </c>
      <c r="D27" s="130">
        <v>3811388</v>
      </c>
      <c r="E27" s="131">
        <v>-4.5692177065739248E-3</v>
      </c>
      <c r="F27" s="130">
        <v>6505100</v>
      </c>
      <c r="G27" s="131">
        <v>0.97801632565218055</v>
      </c>
    </row>
    <row r="28" spans="1:7" ht="20" customHeight="1">
      <c r="A28" s="708">
        <v>1985</v>
      </c>
      <c r="B28" s="709">
        <v>6453517</v>
      </c>
      <c r="C28" s="710">
        <v>6.9551261347036153E-3</v>
      </c>
      <c r="D28" s="709">
        <v>3790416</v>
      </c>
      <c r="E28" s="710">
        <v>-5.5024573724847814E-3</v>
      </c>
      <c r="F28" s="709">
        <v>6533300</v>
      </c>
      <c r="G28" s="710">
        <v>0.98021489905560744</v>
      </c>
    </row>
    <row r="29" spans="1:7" ht="15" customHeight="1" thickBot="1">
      <c r="A29" s="477">
        <v>1986</v>
      </c>
      <c r="B29" s="286">
        <v>6514603</v>
      </c>
      <c r="C29" s="673">
        <v>9.4655363889177835E-3</v>
      </c>
      <c r="D29" s="286">
        <v>3775843</v>
      </c>
      <c r="E29" s="673">
        <v>-3.8446967298576551E-3</v>
      </c>
      <c r="F29" s="286">
        <v>6572900</v>
      </c>
      <c r="G29" s="673">
        <v>0.98302119308067981</v>
      </c>
    </row>
    <row r="30" spans="1:7" ht="15" customHeight="1" thickBot="1">
      <c r="A30" s="70">
        <v>1987</v>
      </c>
      <c r="B30" s="130">
        <v>6590780</v>
      </c>
      <c r="C30" s="131">
        <v>1.169326818533678E-2</v>
      </c>
      <c r="D30" s="130">
        <v>3728037</v>
      </c>
      <c r="E30" s="131">
        <v>-1.2661013712699343E-2</v>
      </c>
      <c r="F30" s="130">
        <v>6619000</v>
      </c>
      <c r="G30" s="131">
        <v>0.98743631968575318</v>
      </c>
    </row>
    <row r="31" spans="1:7" ht="15" customHeight="1" thickBot="1">
      <c r="A31" s="70">
        <v>1988</v>
      </c>
      <c r="B31" s="130">
        <v>6674553</v>
      </c>
      <c r="C31" s="131">
        <v>1.2710635160026573E-2</v>
      </c>
      <c r="D31" s="130">
        <v>3702895</v>
      </c>
      <c r="E31" s="131">
        <v>-6.7440317786545689E-3</v>
      </c>
      <c r="F31" s="130">
        <v>6671500</v>
      </c>
      <c r="G31" s="131">
        <v>0.99262354792775243</v>
      </c>
    </row>
    <row r="32" spans="1:7" ht="15" customHeight="1" thickBot="1">
      <c r="A32" s="70">
        <v>1989</v>
      </c>
      <c r="B32" s="130">
        <v>6772464</v>
      </c>
      <c r="C32" s="131">
        <v>1.4669296955166944E-2</v>
      </c>
      <c r="D32" s="130">
        <v>3662088</v>
      </c>
      <c r="E32" s="131">
        <v>-1.1020296281693098E-2</v>
      </c>
      <c r="F32" s="130">
        <v>6723000</v>
      </c>
      <c r="G32" s="131">
        <v>0.99807095046854089</v>
      </c>
    </row>
    <row r="33" spans="1:7" ht="20" customHeight="1">
      <c r="A33" s="708">
        <v>1990</v>
      </c>
      <c r="B33" s="709">
        <v>6874241</v>
      </c>
      <c r="C33" s="710">
        <v>1.5028060688104139E-2</v>
      </c>
      <c r="D33" s="709">
        <v>3596686</v>
      </c>
      <c r="E33" s="710">
        <v>-1.7859210373972423E-2</v>
      </c>
      <c r="F33" s="709">
        <v>6796300</v>
      </c>
      <c r="G33" s="710">
        <v>1.0026901402233568</v>
      </c>
    </row>
    <row r="34" spans="1:7" ht="15" customHeight="1" thickBot="1">
      <c r="A34" s="477">
        <v>1991</v>
      </c>
      <c r="B34" s="286">
        <v>6966976</v>
      </c>
      <c r="C34" s="673">
        <v>1.3490216592639159E-2</v>
      </c>
      <c r="D34" s="286">
        <v>3509250</v>
      </c>
      <c r="E34" s="673">
        <v>-2.4310156627517676E-2</v>
      </c>
      <c r="F34" s="286">
        <v>6880100</v>
      </c>
      <c r="G34" s="673">
        <v>1.0042370023691516</v>
      </c>
    </row>
    <row r="35" spans="1:7" ht="15" customHeight="1" thickBot="1">
      <c r="A35" s="70">
        <v>1992</v>
      </c>
      <c r="B35" s="130">
        <v>7016711</v>
      </c>
      <c r="C35" s="131">
        <v>7.13867824433434E-3</v>
      </c>
      <c r="D35" s="130">
        <v>3366134</v>
      </c>
      <c r="E35" s="131">
        <v>-4.0782503383913982E-2</v>
      </c>
      <c r="F35" s="130">
        <v>6943100</v>
      </c>
      <c r="G35" s="131">
        <v>1.0015536287825324</v>
      </c>
    </row>
    <row r="36" spans="1:7" ht="15" customHeight="1" thickBot="1">
      <c r="A36" s="70">
        <v>1993</v>
      </c>
      <c r="B36" s="130">
        <v>7056750</v>
      </c>
      <c r="C36" s="131">
        <v>5.7062347302032634E-3</v>
      </c>
      <c r="D36" s="130">
        <v>3111676</v>
      </c>
      <c r="E36" s="131">
        <v>-7.5593544404352286E-2</v>
      </c>
      <c r="F36" s="130">
        <v>6988900</v>
      </c>
      <c r="G36" s="131">
        <v>0.99930904720342251</v>
      </c>
    </row>
    <row r="37" spans="1:7" ht="15" customHeight="1" thickBot="1">
      <c r="A37" s="70">
        <v>1994</v>
      </c>
      <c r="B37" s="130">
        <v>7131653</v>
      </c>
      <c r="C37" s="131">
        <v>1.0614376306373297E-2</v>
      </c>
      <c r="D37" s="130">
        <v>3324915</v>
      </c>
      <c r="E37" s="131">
        <v>6.8528664295382846E-2</v>
      </c>
      <c r="F37" s="130">
        <v>7036851.9999999898</v>
      </c>
      <c r="G37" s="131">
        <v>1.0058592961739157</v>
      </c>
    </row>
    <row r="38" spans="1:7" ht="20" customHeight="1">
      <c r="A38" s="708">
        <v>1995</v>
      </c>
      <c r="B38" s="709">
        <v>7166317</v>
      </c>
      <c r="C38" s="710">
        <v>4.8605842151883127E-3</v>
      </c>
      <c r="D38" s="709">
        <v>3272015</v>
      </c>
      <c r="E38" s="710">
        <v>-1.591018116252596E-2</v>
      </c>
      <c r="F38" s="709">
        <v>7080948</v>
      </c>
      <c r="G38" s="710">
        <v>1.0041696394324602</v>
      </c>
    </row>
    <row r="39" spans="1:7" ht="15" customHeight="1" thickBot="1">
      <c r="A39" s="477">
        <v>1996</v>
      </c>
      <c r="B39" s="286">
        <v>7194754</v>
      </c>
      <c r="C39" s="673">
        <v>3.9681470970374111E-3</v>
      </c>
      <c r="D39" s="286">
        <v>2217116</v>
      </c>
      <c r="E39" s="673">
        <v>-0.32240041686850462</v>
      </c>
      <c r="F39" s="286">
        <v>7105446</v>
      </c>
      <c r="G39" s="673">
        <v>1.0070044864178829</v>
      </c>
    </row>
    <row r="40" spans="1:7" ht="15" customHeight="1" thickBot="1">
      <c r="A40" s="70">
        <v>1997</v>
      </c>
      <c r="B40" s="130">
        <v>7214805</v>
      </c>
      <c r="C40" s="131">
        <v>2.7868916713482683E-3</v>
      </c>
      <c r="D40" s="130">
        <v>1427603</v>
      </c>
      <c r="E40" s="131">
        <v>-0.35609909449934063</v>
      </c>
      <c r="F40" s="130">
        <v>7113565</v>
      </c>
      <c r="G40" s="131">
        <v>1.0109999999999999</v>
      </c>
    </row>
    <row r="41" spans="1:7" ht="15" customHeight="1" thickBot="1">
      <c r="A41" s="70">
        <v>1998</v>
      </c>
      <c r="B41" s="130">
        <v>7248603</v>
      </c>
      <c r="C41" s="131">
        <v>4.6845340934369428E-3</v>
      </c>
      <c r="D41" s="130">
        <v>1198191</v>
      </c>
      <c r="E41" s="131">
        <v>-0.16069733672456554</v>
      </c>
      <c r="F41" s="130">
        <v>7131888</v>
      </c>
      <c r="G41" s="131">
        <v>1.014</v>
      </c>
    </row>
    <row r="42" spans="1:7" ht="15" customHeight="1" thickBot="1">
      <c r="A42" s="70">
        <v>1999</v>
      </c>
      <c r="B42" s="130">
        <v>7266534</v>
      </c>
      <c r="C42" s="131">
        <v>2.473718039186279E-3</v>
      </c>
      <c r="D42" s="130">
        <v>1067344</v>
      </c>
      <c r="E42" s="131">
        <v>-0.10920379138217529</v>
      </c>
      <c r="F42" s="130">
        <v>7166738</v>
      </c>
      <c r="G42" s="131">
        <v>1.012</v>
      </c>
    </row>
    <row r="43" spans="1:7" ht="15" customHeight="1">
      <c r="A43" s="708">
        <v>2000</v>
      </c>
      <c r="B43" s="709">
        <v>7268111</v>
      </c>
      <c r="C43" s="710">
        <v>2.1702231077425083E-4</v>
      </c>
      <c r="D43" s="709">
        <v>951742</v>
      </c>
      <c r="E43" s="710">
        <v>-0.10830809935690833</v>
      </c>
      <c r="F43" s="709">
        <v>7209042</v>
      </c>
      <c r="G43" s="710">
        <v>1.006</v>
      </c>
    </row>
    <row r="44" spans="1:7" ht="15" customHeight="1" thickBot="1">
      <c r="A44" s="477">
        <v>2001</v>
      </c>
      <c r="B44" s="286">
        <v>7321287</v>
      </c>
      <c r="C44" s="673">
        <v>7.3163439578729506E-3</v>
      </c>
      <c r="D44" s="286">
        <v>868760</v>
      </c>
      <c r="E44" s="673">
        <v>-8.7189595499620687E-2</v>
      </c>
      <c r="F44" s="286">
        <v>7260339</v>
      </c>
      <c r="G44" s="673">
        <v>1.006</v>
      </c>
    </row>
    <row r="45" spans="1:7" ht="23.25" customHeight="1" thickBot="1">
      <c r="A45" s="711">
        <v>2002</v>
      </c>
      <c r="B45" s="71">
        <v>7359365</v>
      </c>
      <c r="C45" s="73">
        <v>5.2009981305198849E-3</v>
      </c>
      <c r="D45" s="71">
        <v>787539</v>
      </c>
      <c r="E45" s="73">
        <v>-9.3490722408950733E-2</v>
      </c>
      <c r="F45" s="71">
        <v>7347770</v>
      </c>
      <c r="G45" s="73">
        <v>0.99969705094198646</v>
      </c>
    </row>
    <row r="46" spans="1:7" ht="20" customHeight="1">
      <c r="A46" s="9" t="s">
        <v>178</v>
      </c>
      <c r="B46" s="103"/>
      <c r="C46" s="103"/>
      <c r="D46" s="103"/>
      <c r="E46" s="103"/>
      <c r="F46" s="117"/>
      <c r="G46" s="181"/>
    </row>
    <row r="47" spans="1:7" ht="14.25" customHeight="1">
      <c r="A47" s="38"/>
      <c r="B47" s="104"/>
      <c r="C47" s="104"/>
      <c r="D47" s="104"/>
      <c r="E47" s="104"/>
      <c r="F47" s="118"/>
      <c r="G47" s="183"/>
    </row>
    <row r="48" spans="1:7" ht="12" customHeight="1">
      <c r="A48" s="38" t="s">
        <v>1170</v>
      </c>
    </row>
    <row r="49" spans="1:1" ht="12" customHeight="1">
      <c r="A49" s="3" t="s">
        <v>1171</v>
      </c>
    </row>
    <row r="50" spans="1:1" ht="12" customHeight="1">
      <c r="A50" s="3" t="s">
        <v>667</v>
      </c>
    </row>
    <row r="51" spans="1:1">
      <c r="A51" s="3" t="s">
        <v>668</v>
      </c>
    </row>
    <row r="53" spans="1:1">
      <c r="A53" s="3" t="s">
        <v>669</v>
      </c>
    </row>
  </sheetData>
  <phoneticPr fontId="0" type="noConversion"/>
  <pageMargins left="0.53" right="0.78740157480314965" top="1.23" bottom="0.61" header="0.67" footer="0.31"/>
  <pageSetup paperSize="9" scale="80" orientation="portrait" horizontalDpi="1200" verticalDpi="1200"/>
  <headerFooter alignWithMargins="0">
    <oddHeader>&amp;L&amp;"Arial,Bold"&amp;14Gesamtgeschäft der vom BSV anerkannten Krankenversicherer</oddHeader>
    <oddFooter>&amp;L&amp;"Arial,Regular"&amp;9Statistik über die Krankenversicherung, Bundesamt für Sozialversicherung</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3CA3-689E-8440-98F5-83DDC0535EA3}">
  <dimension ref="A1:L20"/>
  <sheetViews>
    <sheetView zoomScale="75" workbookViewId="0">
      <selection activeCell="D4" sqref="D4"/>
    </sheetView>
  </sheetViews>
  <sheetFormatPr baseColWidth="10" defaultColWidth="11.3984375" defaultRowHeight="13"/>
  <cols>
    <col min="1" max="1" width="14.59765625" style="3" customWidth="1"/>
    <col min="2" max="7" width="12.796875" style="3" customWidth="1"/>
    <col min="8" max="8" width="12.796875" style="312" customWidth="1"/>
    <col min="9" max="16384" width="11.3984375" style="3"/>
  </cols>
  <sheetData>
    <row r="1" spans="1:12" s="1" customFormat="1" ht="14" customHeight="1">
      <c r="H1" s="293"/>
    </row>
    <row r="2" spans="1:12" s="1" customFormat="1" ht="28" customHeight="1">
      <c r="A2" s="81" t="s">
        <v>1158</v>
      </c>
      <c r="B2" s="81"/>
      <c r="H2" s="293"/>
    </row>
    <row r="3" spans="1:12" ht="24" customHeight="1">
      <c r="A3" s="2" t="s">
        <v>1308</v>
      </c>
      <c r="B3" s="90" t="s">
        <v>1159</v>
      </c>
      <c r="C3" s="17"/>
      <c r="D3" s="90" t="s">
        <v>1160</v>
      </c>
      <c r="E3" s="17"/>
      <c r="F3" s="144" t="s">
        <v>1161</v>
      </c>
      <c r="G3" s="17"/>
      <c r="H3" s="685" t="s">
        <v>609</v>
      </c>
    </row>
    <row r="4" spans="1:12" ht="15" customHeight="1">
      <c r="A4" s="82"/>
      <c r="B4" s="76" t="s">
        <v>1162</v>
      </c>
      <c r="C4" s="4" t="s">
        <v>1313</v>
      </c>
      <c r="D4" s="76" t="s">
        <v>1162</v>
      </c>
      <c r="E4" s="4" t="s">
        <v>1313</v>
      </c>
      <c r="F4" s="76" t="s">
        <v>1162</v>
      </c>
      <c r="G4" s="4" t="s">
        <v>1313</v>
      </c>
      <c r="H4" s="686" t="s">
        <v>610</v>
      </c>
    </row>
    <row r="5" spans="1:12" ht="15" customHeight="1">
      <c r="A5" s="82"/>
      <c r="B5" s="158"/>
      <c r="C5" s="18"/>
      <c r="D5" s="75"/>
      <c r="E5" s="18"/>
      <c r="F5" s="75"/>
      <c r="G5" s="18"/>
      <c r="H5" s="686" t="s">
        <v>611</v>
      </c>
    </row>
    <row r="6" spans="1:12" ht="24" customHeight="1">
      <c r="A6" s="83"/>
      <c r="B6" s="701"/>
      <c r="C6" s="19"/>
      <c r="D6" s="78"/>
      <c r="E6" s="19"/>
      <c r="F6" s="78"/>
      <c r="G6" s="19"/>
      <c r="H6" s="687"/>
    </row>
    <row r="7" spans="1:12" ht="30" customHeight="1" thickBot="1">
      <c r="A7" s="632">
        <v>1994</v>
      </c>
      <c r="B7" s="702" t="s">
        <v>490</v>
      </c>
      <c r="C7" s="68" t="s">
        <v>490</v>
      </c>
      <c r="D7" s="29" t="s">
        <v>490</v>
      </c>
      <c r="E7" s="68" t="s">
        <v>490</v>
      </c>
      <c r="F7" s="29">
        <v>9322</v>
      </c>
      <c r="G7" s="68">
        <v>12843</v>
      </c>
      <c r="H7" s="251">
        <v>-9.98738435660219E-2</v>
      </c>
      <c r="I7" s="43"/>
    </row>
    <row r="8" spans="1:12" ht="20" customHeight="1" thickBot="1">
      <c r="A8" s="85">
        <v>1995</v>
      </c>
      <c r="B8" s="703" t="s">
        <v>490</v>
      </c>
      <c r="C8" s="122" t="s">
        <v>490</v>
      </c>
      <c r="D8" s="30" t="s">
        <v>490</v>
      </c>
      <c r="E8" s="122" t="s">
        <v>490</v>
      </c>
      <c r="F8" s="30">
        <v>10067</v>
      </c>
      <c r="G8" s="122">
        <v>12618</v>
      </c>
      <c r="H8" s="206">
        <v>-1.751927119831815E-2</v>
      </c>
    </row>
    <row r="9" spans="1:12" ht="20" customHeight="1" thickBot="1">
      <c r="A9" s="85">
        <v>1996</v>
      </c>
      <c r="B9" s="703">
        <v>5252</v>
      </c>
      <c r="C9" s="122">
        <v>5728</v>
      </c>
      <c r="D9" s="30">
        <v>5623</v>
      </c>
      <c r="E9" s="122">
        <v>7761</v>
      </c>
      <c r="F9" s="30">
        <v>10875</v>
      </c>
      <c r="G9" s="122">
        <v>13489</v>
      </c>
      <c r="H9" s="206">
        <v>6.9028372166745913E-2</v>
      </c>
      <c r="J9" s="45"/>
      <c r="K9" s="45"/>
      <c r="L9" s="45"/>
    </row>
    <row r="10" spans="1:12" ht="20" customHeight="1" thickBot="1">
      <c r="A10" s="85">
        <v>1997</v>
      </c>
      <c r="B10" s="703">
        <v>5702</v>
      </c>
      <c r="C10" s="122">
        <v>6184</v>
      </c>
      <c r="D10" s="30">
        <v>4631</v>
      </c>
      <c r="E10" s="122">
        <v>6865</v>
      </c>
      <c r="F10" s="30">
        <v>10333</v>
      </c>
      <c r="G10" s="122">
        <v>13049</v>
      </c>
      <c r="H10" s="206">
        <v>-3.2619171176514195E-2</v>
      </c>
    </row>
    <row r="11" spans="1:12" ht="20" customHeight="1" thickBot="1">
      <c r="A11" s="85">
        <v>1998</v>
      </c>
      <c r="B11" s="703">
        <v>5440</v>
      </c>
      <c r="C11" s="122">
        <v>5884</v>
      </c>
      <c r="D11" s="30">
        <v>4852</v>
      </c>
      <c r="E11" s="122">
        <v>6728</v>
      </c>
      <c r="F11" s="30">
        <v>10292</v>
      </c>
      <c r="G11" s="122">
        <v>12612</v>
      </c>
      <c r="H11" s="206">
        <v>-3.348915625718446E-2</v>
      </c>
    </row>
    <row r="12" spans="1:12" ht="20" customHeight="1" thickBot="1">
      <c r="A12" s="85">
        <v>1999</v>
      </c>
      <c r="B12" s="703">
        <v>5286</v>
      </c>
      <c r="C12" s="122">
        <v>5825</v>
      </c>
      <c r="D12" s="30">
        <v>4444</v>
      </c>
      <c r="E12" s="122">
        <v>6096</v>
      </c>
      <c r="F12" s="30">
        <v>9729</v>
      </c>
      <c r="G12" s="122">
        <v>11920</v>
      </c>
      <c r="H12" s="206">
        <v>-5.4868379321281323E-2</v>
      </c>
    </row>
    <row r="13" spans="1:12" ht="20" customHeight="1" thickBot="1">
      <c r="A13" s="85">
        <v>2000</v>
      </c>
      <c r="B13" s="703">
        <v>4367</v>
      </c>
      <c r="C13" s="122">
        <v>4846</v>
      </c>
      <c r="D13" s="30">
        <v>5837</v>
      </c>
      <c r="E13" s="122">
        <v>7246</v>
      </c>
      <c r="F13" s="30">
        <v>10204</v>
      </c>
      <c r="G13" s="122">
        <v>12092</v>
      </c>
      <c r="H13" s="206">
        <v>1.4429530201342283E-2</v>
      </c>
    </row>
    <row r="14" spans="1:12" ht="20" customHeight="1" thickBot="1">
      <c r="A14" s="85">
        <v>2001</v>
      </c>
      <c r="B14" s="703">
        <v>4317</v>
      </c>
      <c r="C14" s="122">
        <v>4736</v>
      </c>
      <c r="D14" s="30">
        <v>3995</v>
      </c>
      <c r="E14" s="122">
        <v>4942</v>
      </c>
      <c r="F14" s="30">
        <v>8312</v>
      </c>
      <c r="G14" s="122">
        <v>9678</v>
      </c>
      <c r="H14" s="206">
        <v>-0.19963612305656633</v>
      </c>
    </row>
    <row r="15" spans="1:12" ht="26.25" customHeight="1" thickBot="1">
      <c r="A15" s="86">
        <v>2002</v>
      </c>
      <c r="B15" s="704">
        <v>4346</v>
      </c>
      <c r="C15" s="208">
        <v>4839</v>
      </c>
      <c r="D15" s="89">
        <v>3951</v>
      </c>
      <c r="E15" s="208">
        <v>4838</v>
      </c>
      <c r="F15" s="89">
        <v>8297</v>
      </c>
      <c r="G15" s="208">
        <v>9677</v>
      </c>
      <c r="H15" s="689">
        <v>-1.0332713370531102E-4</v>
      </c>
    </row>
    <row r="16" spans="1:12" ht="20.25" customHeight="1">
      <c r="A16" s="9" t="s">
        <v>178</v>
      </c>
      <c r="B16" s="9"/>
      <c r="C16" s="9"/>
      <c r="D16" s="9"/>
      <c r="E16" s="9"/>
      <c r="F16" s="9"/>
      <c r="G16" s="9"/>
      <c r="H16" s="309"/>
    </row>
    <row r="17" spans="1:8" ht="14.25" customHeight="1">
      <c r="A17" s="38"/>
      <c r="B17" s="38"/>
      <c r="C17" s="38"/>
      <c r="D17" s="38"/>
      <c r="E17" s="38"/>
      <c r="F17" s="38"/>
      <c r="G17" s="38"/>
      <c r="H17" s="311"/>
    </row>
    <row r="18" spans="1:8">
      <c r="A18" s="3" t="s">
        <v>1163</v>
      </c>
    </row>
    <row r="20" spans="1:8">
      <c r="A20" s="3" t="s">
        <v>1164</v>
      </c>
    </row>
  </sheetData>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B3EC-22A4-0743-B29F-52332CBD02AA}">
  <dimension ref="A1:K23"/>
  <sheetViews>
    <sheetView topLeftCell="A9" zoomScale="75" workbookViewId="0">
      <selection activeCell="A24" sqref="A24"/>
    </sheetView>
  </sheetViews>
  <sheetFormatPr baseColWidth="10" defaultColWidth="11.3984375" defaultRowHeight="13"/>
  <cols>
    <col min="1" max="1" width="15.796875" style="3" customWidth="1"/>
    <col min="2" max="2" width="16.796875" style="3" customWidth="1"/>
    <col min="3" max="3" width="12.796875" style="312" customWidth="1"/>
    <col min="4" max="4" width="16.796875" style="3" customWidth="1"/>
    <col min="5" max="5" width="12.796875" style="312" customWidth="1"/>
    <col min="6" max="6" width="16.796875" style="3" customWidth="1"/>
    <col min="7" max="7" width="12.796875" style="312" customWidth="1"/>
    <col min="8" max="16384" width="11.3984375" style="3"/>
  </cols>
  <sheetData>
    <row r="1" spans="1:11" s="1" customFormat="1" ht="14" customHeight="1">
      <c r="C1" s="293"/>
      <c r="E1" s="293"/>
      <c r="G1" s="293"/>
    </row>
    <row r="2" spans="1:11" s="1" customFormat="1" ht="28" customHeight="1">
      <c r="A2" s="81" t="s">
        <v>1151</v>
      </c>
      <c r="C2" s="293"/>
      <c r="E2" s="293"/>
      <c r="G2" s="293"/>
    </row>
    <row r="3" spans="1:11" ht="24" customHeight="1">
      <c r="A3" s="2" t="s">
        <v>1308</v>
      </c>
      <c r="B3" s="74" t="s">
        <v>981</v>
      </c>
      <c r="C3" s="294" t="s">
        <v>609</v>
      </c>
      <c r="D3" s="74" t="s">
        <v>982</v>
      </c>
      <c r="E3" s="294" t="s">
        <v>609</v>
      </c>
      <c r="F3" s="74" t="s">
        <v>1325</v>
      </c>
      <c r="G3" s="294" t="s">
        <v>609</v>
      </c>
    </row>
    <row r="4" spans="1:11" ht="15" customHeight="1">
      <c r="A4" s="82"/>
      <c r="B4" s="75" t="s">
        <v>1325</v>
      </c>
      <c r="C4" s="296" t="s">
        <v>610</v>
      </c>
      <c r="D4" s="75" t="s">
        <v>983</v>
      </c>
      <c r="E4" s="296" t="s">
        <v>610</v>
      </c>
      <c r="F4" s="75" t="s">
        <v>984</v>
      </c>
      <c r="G4" s="296" t="s">
        <v>610</v>
      </c>
    </row>
    <row r="5" spans="1:11" ht="15" customHeight="1">
      <c r="A5" s="82"/>
      <c r="B5" s="75" t="s">
        <v>1152</v>
      </c>
      <c r="C5" s="296" t="s">
        <v>611</v>
      </c>
      <c r="D5" s="75" t="s">
        <v>985</v>
      </c>
      <c r="E5" s="296" t="s">
        <v>611</v>
      </c>
      <c r="F5" s="75" t="s">
        <v>1156</v>
      </c>
      <c r="G5" s="296" t="s">
        <v>611</v>
      </c>
    </row>
    <row r="6" spans="1:11" ht="24" customHeight="1">
      <c r="A6" s="83"/>
      <c r="B6" s="78"/>
      <c r="C6" s="298"/>
      <c r="D6" s="78" t="s">
        <v>1421</v>
      </c>
      <c r="E6" s="298"/>
      <c r="F6" s="78"/>
      <c r="G6" s="298"/>
    </row>
    <row r="7" spans="1:11" ht="30" customHeight="1" thickBot="1">
      <c r="A7" s="632">
        <v>1994</v>
      </c>
      <c r="B7" s="29">
        <v>15937194000</v>
      </c>
      <c r="C7" s="252" t="s">
        <v>487</v>
      </c>
      <c r="D7" s="29">
        <v>15313505000</v>
      </c>
      <c r="E7" s="252" t="s">
        <v>487</v>
      </c>
      <c r="F7" s="29">
        <v>623688000</v>
      </c>
      <c r="G7" s="252" t="s">
        <v>487</v>
      </c>
      <c r="H7" s="43"/>
    </row>
    <row r="8" spans="1:11" ht="20" customHeight="1" thickBot="1">
      <c r="A8" s="85">
        <v>1995</v>
      </c>
      <c r="B8" s="30">
        <v>16355832000</v>
      </c>
      <c r="C8" s="191">
        <v>2.6267986698285783E-2</v>
      </c>
      <c r="D8" s="30">
        <v>16098947000</v>
      </c>
      <c r="E8" s="191">
        <v>5.1290805076956582E-2</v>
      </c>
      <c r="F8" s="30">
        <v>256926000</v>
      </c>
      <c r="G8" s="191">
        <v>-0.58805364220571821</v>
      </c>
    </row>
    <row r="9" spans="1:11" ht="20" customHeight="1" thickBot="1">
      <c r="A9" s="85">
        <v>1996</v>
      </c>
      <c r="B9" s="30">
        <v>16879057940.52</v>
      </c>
      <c r="C9" s="191">
        <v>3.1990175768496547E-2</v>
      </c>
      <c r="D9" s="30">
        <v>17192470827.740002</v>
      </c>
      <c r="E9" s="191">
        <v>6.792517720196245E-2</v>
      </c>
      <c r="F9" s="30">
        <v>-313412887.24000007</v>
      </c>
      <c r="G9" s="191">
        <v>-2.2198566405891191</v>
      </c>
      <c r="I9" s="45"/>
      <c r="J9" s="45"/>
      <c r="K9" s="45"/>
    </row>
    <row r="10" spans="1:11" ht="20" customHeight="1" thickBot="1">
      <c r="A10" s="85">
        <v>1997</v>
      </c>
      <c r="B10" s="30">
        <v>17865032287.75</v>
      </c>
      <c r="C10" s="191">
        <v>5.8414062603758338E-2</v>
      </c>
      <c r="D10" s="30">
        <v>17672056997.619999</v>
      </c>
      <c r="E10" s="191">
        <v>2.7895127738485754E-2</v>
      </c>
      <c r="F10" s="30">
        <v>192975290.09999996</v>
      </c>
      <c r="G10" s="191">
        <v>1.6157222563481461</v>
      </c>
    </row>
    <row r="11" spans="1:11" ht="20" customHeight="1" thickBot="1">
      <c r="A11" s="85">
        <v>1998</v>
      </c>
      <c r="B11" s="30">
        <v>18556339847.599998</v>
      </c>
      <c r="C11" s="191">
        <v>3.8696127088671761E-2</v>
      </c>
      <c r="D11" s="30">
        <v>18402610160.25</v>
      </c>
      <c r="E11" s="191">
        <v>4.1339452601832881E-2</v>
      </c>
      <c r="F11" s="30">
        <v>153728761.16999999</v>
      </c>
      <c r="G11" s="191">
        <v>-0.20337592916514022</v>
      </c>
    </row>
    <row r="12" spans="1:11" ht="19.5" customHeight="1" thickBot="1">
      <c r="A12" s="85">
        <v>1999</v>
      </c>
      <c r="B12" s="30">
        <v>18130009685.380001</v>
      </c>
      <c r="C12" s="191">
        <v>-2.2974905920099174E-2</v>
      </c>
      <c r="D12" s="30">
        <v>18002606410.59</v>
      </c>
      <c r="E12" s="191">
        <v>-2.1736250791423915E-2</v>
      </c>
      <c r="F12" s="30">
        <v>127403274.93000001</v>
      </c>
      <c r="G12" s="191">
        <v>-0.17124633048260959</v>
      </c>
    </row>
    <row r="13" spans="1:11" ht="19.5" customHeight="1" thickBot="1">
      <c r="A13" s="85">
        <v>2000</v>
      </c>
      <c r="B13" s="30">
        <v>17664531028.940002</v>
      </c>
      <c r="C13" s="191">
        <v>-2.5674484708927629E-2</v>
      </c>
      <c r="D13" s="30">
        <v>17831851511.68</v>
      </c>
      <c r="E13" s="191">
        <v>-9.4850098377729126E-3</v>
      </c>
      <c r="F13" s="30">
        <v>-167299750.25</v>
      </c>
      <c r="G13" s="191">
        <v>-2.3131510971120686</v>
      </c>
    </row>
    <row r="14" spans="1:11" ht="19.5" customHeight="1" thickBot="1">
      <c r="A14" s="85">
        <v>2001</v>
      </c>
      <c r="B14" s="30">
        <v>16854501683</v>
      </c>
      <c r="C14" s="191">
        <v>-4.5856261035909875E-2</v>
      </c>
      <c r="D14" s="30">
        <v>17581378780</v>
      </c>
      <c r="E14" s="191">
        <v>-1.4046367059300529E-2</v>
      </c>
      <c r="F14" s="30">
        <v>-724676858.32999992</v>
      </c>
      <c r="G14" s="191">
        <v>-3.3316075322712559</v>
      </c>
    </row>
    <row r="15" spans="1:11" ht="26.25" customHeight="1" thickBot="1">
      <c r="A15" s="86">
        <v>2002</v>
      </c>
      <c r="B15" s="89">
        <v>17923033692</v>
      </c>
      <c r="C15" s="688">
        <v>6.339742515661298E-2</v>
      </c>
      <c r="D15" s="89">
        <v>18156411305</v>
      </c>
      <c r="E15" s="688">
        <v>3.2706907245189334E-2</v>
      </c>
      <c r="F15" s="89">
        <v>-233377612.33999997</v>
      </c>
      <c r="G15" s="688">
        <v>0.67795630610060742</v>
      </c>
      <c r="I15" s="43"/>
    </row>
    <row r="16" spans="1:11" ht="20" customHeight="1">
      <c r="A16" s="9" t="s">
        <v>178</v>
      </c>
      <c r="B16" s="9"/>
      <c r="C16" s="309"/>
      <c r="D16" s="9"/>
      <c r="E16" s="309"/>
      <c r="F16" s="9"/>
      <c r="G16" s="309"/>
    </row>
    <row r="17" spans="1:7" ht="13.5" customHeight="1">
      <c r="A17" s="38"/>
      <c r="B17" s="38"/>
      <c r="C17" s="311"/>
      <c r="D17" s="38"/>
      <c r="E17" s="311"/>
      <c r="F17" s="38"/>
      <c r="G17" s="311"/>
    </row>
    <row r="18" spans="1:7">
      <c r="A18" s="38" t="s">
        <v>1153</v>
      </c>
    </row>
    <row r="19" spans="1:7">
      <c r="A19" s="3" t="s">
        <v>1426</v>
      </c>
    </row>
    <row r="20" spans="1:7">
      <c r="A20" s="3" t="s">
        <v>1157</v>
      </c>
    </row>
    <row r="21" spans="1:7">
      <c r="A21" s="3" t="s">
        <v>1154</v>
      </c>
    </row>
    <row r="23" spans="1:7">
      <c r="A23" s="3" t="s">
        <v>1155</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91BB-7CC4-4D40-BC89-791780D18174}">
  <dimension ref="A1:D42"/>
  <sheetViews>
    <sheetView topLeftCell="A32" zoomScale="75" workbookViewId="0">
      <selection activeCell="B43" sqref="B43"/>
    </sheetView>
  </sheetViews>
  <sheetFormatPr baseColWidth="10" defaultColWidth="11.3984375" defaultRowHeight="13"/>
  <cols>
    <col min="1" max="1" width="10.796875" style="3" customWidth="1"/>
    <col min="2" max="2" width="60.3984375" style="105" customWidth="1"/>
    <col min="3" max="3" width="18.3984375" style="43" customWidth="1"/>
    <col min="4" max="4" width="17" style="312" customWidth="1"/>
    <col min="5" max="16384" width="11.3984375" style="3"/>
  </cols>
  <sheetData>
    <row r="1" spans="1:4" s="1" customFormat="1" ht="14" customHeight="1">
      <c r="B1" s="95"/>
      <c r="C1" s="106"/>
      <c r="D1" s="293"/>
    </row>
    <row r="2" spans="1:4" s="1" customFormat="1" ht="28" customHeight="1">
      <c r="A2" s="81" t="s">
        <v>71</v>
      </c>
      <c r="B2" s="95"/>
      <c r="C2" s="106"/>
      <c r="D2" s="293"/>
    </row>
    <row r="3" spans="1:4" ht="39" customHeight="1">
      <c r="A3" s="2" t="s">
        <v>43</v>
      </c>
      <c r="B3" s="96"/>
      <c r="C3" s="14" t="s">
        <v>378</v>
      </c>
      <c r="D3" s="294" t="s">
        <v>379</v>
      </c>
    </row>
    <row r="4" spans="1:4" ht="38" customHeight="1">
      <c r="A4" s="283"/>
      <c r="B4" s="284"/>
      <c r="C4" s="16" t="s">
        <v>1304</v>
      </c>
      <c r="D4" s="298" t="s">
        <v>633</v>
      </c>
    </row>
    <row r="5" spans="1:4" ht="30" customHeight="1" thickBot="1">
      <c r="A5" s="6">
        <v>60</v>
      </c>
      <c r="B5" s="6" t="s">
        <v>654</v>
      </c>
      <c r="C5" s="29">
        <v>371743717.30000001</v>
      </c>
      <c r="D5" s="252">
        <v>2.0741115800386456E-2</v>
      </c>
    </row>
    <row r="6" spans="1:4" ht="16" customHeight="1" thickBot="1">
      <c r="A6" s="7">
        <v>600</v>
      </c>
      <c r="B6" s="7" t="s">
        <v>174</v>
      </c>
      <c r="C6" s="30">
        <v>382935457.04000002</v>
      </c>
      <c r="D6" s="191">
        <v>2.1365549137528229E-2</v>
      </c>
    </row>
    <row r="7" spans="1:4" ht="16" customHeight="1" thickBot="1">
      <c r="A7" s="7">
        <v>601</v>
      </c>
      <c r="B7" s="7" t="s">
        <v>175</v>
      </c>
      <c r="C7" s="30">
        <v>-11191739.74</v>
      </c>
      <c r="D7" s="191">
        <v>-6.2443333714177346E-4</v>
      </c>
    </row>
    <row r="8" spans="1:4" ht="16" customHeight="1" thickBot="1">
      <c r="A8" s="7">
        <v>61</v>
      </c>
      <c r="B8" s="7" t="s">
        <v>149</v>
      </c>
      <c r="C8" s="30">
        <v>15362563705</v>
      </c>
      <c r="D8" s="191">
        <v>0.85714081494234573</v>
      </c>
    </row>
    <row r="9" spans="1:4" ht="16" customHeight="1" thickBot="1">
      <c r="A9" s="7">
        <v>63</v>
      </c>
      <c r="B9" s="7" t="s">
        <v>173</v>
      </c>
      <c r="C9" s="30">
        <v>2281840111.8000002</v>
      </c>
      <c r="D9" s="191">
        <v>0.12731327469514864</v>
      </c>
    </row>
    <row r="10" spans="1:4" ht="21.75" customHeight="1" thickBot="1">
      <c r="A10" s="70" t="s">
        <v>176</v>
      </c>
      <c r="B10" s="70" t="s">
        <v>992</v>
      </c>
      <c r="C10" s="30">
        <v>18016147534</v>
      </c>
      <c r="D10" s="191">
        <v>1.0051952054323015</v>
      </c>
    </row>
    <row r="11" spans="1:4" ht="16" customHeight="1" thickBot="1">
      <c r="A11" s="7">
        <v>64</v>
      </c>
      <c r="B11" s="7" t="s">
        <v>1125</v>
      </c>
      <c r="C11" s="30">
        <v>-82960607.459999993</v>
      </c>
      <c r="D11" s="191">
        <v>-4.6287145851335266E-3</v>
      </c>
    </row>
    <row r="12" spans="1:4" ht="16" customHeight="1" thickBot="1">
      <c r="A12" s="7">
        <v>65</v>
      </c>
      <c r="B12" s="7" t="s">
        <v>1126</v>
      </c>
      <c r="C12" s="30">
        <v>3740353.53</v>
      </c>
      <c r="D12" s="191">
        <v>2.0868975611363817E-4</v>
      </c>
    </row>
    <row r="13" spans="1:4" ht="21.75" customHeight="1" thickBot="1">
      <c r="A13" s="70" t="s">
        <v>1127</v>
      </c>
      <c r="B13" s="70" t="s">
        <v>50</v>
      </c>
      <c r="C13" s="30">
        <v>17936927281</v>
      </c>
      <c r="D13" s="191">
        <v>1.0007751806551701</v>
      </c>
    </row>
    <row r="14" spans="1:4" ht="16" customHeight="1" thickBot="1">
      <c r="A14" s="7">
        <v>66</v>
      </c>
      <c r="B14" s="7" t="s">
        <v>1128</v>
      </c>
      <c r="C14" s="30">
        <v>-35668368.700000003</v>
      </c>
      <c r="D14" s="191">
        <v>-1.9900854572359973E-3</v>
      </c>
    </row>
    <row r="15" spans="1:4" ht="21.75" customHeight="1" thickBot="1">
      <c r="A15" s="70" t="s">
        <v>1129</v>
      </c>
      <c r="B15" s="70" t="s">
        <v>53</v>
      </c>
      <c r="C15" s="30">
        <v>17901258912</v>
      </c>
      <c r="D15" s="191">
        <v>0.99878509518119585</v>
      </c>
    </row>
    <row r="16" spans="1:4" ht="16" customHeight="1" thickBot="1">
      <c r="A16" s="7">
        <v>67</v>
      </c>
      <c r="B16" s="7" t="s">
        <v>1130</v>
      </c>
      <c r="C16" s="30">
        <v>1560938155.0599999</v>
      </c>
      <c r="D16" s="191">
        <v>8.7091180091723494E-2</v>
      </c>
    </row>
    <row r="17" spans="1:4" ht="16" customHeight="1" thickBot="1">
      <c r="A17" s="7">
        <v>670</v>
      </c>
      <c r="B17" s="7" t="s">
        <v>1131</v>
      </c>
      <c r="C17" s="30">
        <v>1418190866</v>
      </c>
      <c r="D17" s="191">
        <v>7.9126719860656947E-2</v>
      </c>
    </row>
    <row r="18" spans="1:4" ht="16" customHeight="1" thickBot="1">
      <c r="A18" s="7">
        <v>672</v>
      </c>
      <c r="B18" s="7" t="s">
        <v>1132</v>
      </c>
      <c r="C18" s="30">
        <v>100833970.75</v>
      </c>
      <c r="D18" s="191">
        <v>5.6259432684661829E-3</v>
      </c>
    </row>
    <row r="19" spans="1:4" ht="16" customHeight="1" thickBot="1">
      <c r="A19" s="7">
        <v>673</v>
      </c>
      <c r="B19" s="7" t="s">
        <v>1133</v>
      </c>
      <c r="C19" s="30">
        <v>47152472.210000001</v>
      </c>
      <c r="D19" s="191">
        <v>2.6308309753971309E-3</v>
      </c>
    </row>
    <row r="20" spans="1:4" ht="16" customHeight="1" thickBot="1">
      <c r="A20" s="7">
        <v>675</v>
      </c>
      <c r="B20" s="7" t="s">
        <v>1134</v>
      </c>
      <c r="C20" s="30">
        <v>-5239153.9000000004</v>
      </c>
      <c r="D20" s="191">
        <v>-2.9231401279675731E-4</v>
      </c>
    </row>
    <row r="21" spans="1:4" ht="16" customHeight="1" thickBot="1">
      <c r="A21" s="7">
        <v>68</v>
      </c>
      <c r="B21" s="7" t="s">
        <v>1135</v>
      </c>
      <c r="C21" s="30">
        <v>-1488129468</v>
      </c>
      <c r="D21" s="191">
        <v>-8.3028883032465153E-2</v>
      </c>
    </row>
    <row r="22" spans="1:4" ht="21.75" customHeight="1" thickBot="1">
      <c r="A22" s="70" t="s">
        <v>1136</v>
      </c>
      <c r="B22" s="70" t="s">
        <v>1137</v>
      </c>
      <c r="C22" s="30">
        <v>72808687.430000007</v>
      </c>
      <c r="D22" s="191">
        <v>4.0622970799021807E-3</v>
      </c>
    </row>
    <row r="23" spans="1:4" ht="16" customHeight="1" thickBot="1">
      <c r="A23" s="7">
        <v>69</v>
      </c>
      <c r="B23" s="7" t="s">
        <v>56</v>
      </c>
      <c r="C23" s="30">
        <v>102971190.58</v>
      </c>
      <c r="D23" s="191">
        <v>5.7451875809373439E-3</v>
      </c>
    </row>
    <row r="24" spans="1:4" ht="21.75" customHeight="1" thickBot="1">
      <c r="A24" s="70">
        <v>6</v>
      </c>
      <c r="B24" s="70" t="s">
        <v>57</v>
      </c>
      <c r="C24" s="30">
        <v>18077038611</v>
      </c>
      <c r="D24" s="191">
        <v>1.0085925698543288</v>
      </c>
    </row>
    <row r="25" spans="1:4" ht="16" customHeight="1" thickBot="1">
      <c r="A25" s="7">
        <v>70</v>
      </c>
      <c r="B25" s="7" t="s">
        <v>1138</v>
      </c>
      <c r="C25" s="30">
        <v>27824996.329999998</v>
      </c>
      <c r="D25" s="191">
        <v>1.552471351009052E-3</v>
      </c>
    </row>
    <row r="26" spans="1:4" ht="16" customHeight="1" thickBot="1">
      <c r="A26" s="7">
        <v>701</v>
      </c>
      <c r="B26" s="7" t="s">
        <v>1139</v>
      </c>
      <c r="C26" s="30">
        <v>27824996.329999998</v>
      </c>
      <c r="D26" s="191">
        <v>1.552471351009052E-3</v>
      </c>
    </row>
    <row r="27" spans="1:4" ht="16" customHeight="1" thickBot="1">
      <c r="A27" s="7">
        <v>72</v>
      </c>
      <c r="B27" s="7" t="s">
        <v>1140</v>
      </c>
      <c r="C27" s="30">
        <v>-179162574.93000001</v>
      </c>
      <c r="D27" s="191">
        <v>-9.9962192789923594E-3</v>
      </c>
    </row>
    <row r="28" spans="1:4" ht="16" customHeight="1" thickBot="1">
      <c r="A28" s="7">
        <v>720</v>
      </c>
      <c r="B28" s="7" t="s">
        <v>1141</v>
      </c>
      <c r="C28" s="30">
        <v>278153796.23000002</v>
      </c>
      <c r="D28" s="191">
        <v>1.5519347952470501E-2</v>
      </c>
    </row>
    <row r="29" spans="1:4" ht="16" customHeight="1" thickBot="1">
      <c r="A29" s="7">
        <v>721</v>
      </c>
      <c r="B29" s="7" t="s">
        <v>1142</v>
      </c>
      <c r="C29" s="30">
        <v>-213053474.30000001</v>
      </c>
      <c r="D29" s="191">
        <v>-1.1887132388480477E-2</v>
      </c>
    </row>
    <row r="30" spans="1:4" ht="16" customHeight="1" thickBot="1">
      <c r="A30" s="7">
        <v>722</v>
      </c>
      <c r="B30" s="7" t="s">
        <v>1143</v>
      </c>
      <c r="C30" s="30">
        <v>-292415126.80000001</v>
      </c>
      <c r="D30" s="191">
        <v>-1.6315046427130268E-2</v>
      </c>
    </row>
    <row r="31" spans="1:4" ht="16" customHeight="1" thickBot="1">
      <c r="A31" s="7">
        <v>724</v>
      </c>
      <c r="B31" s="7" t="s">
        <v>1144</v>
      </c>
      <c r="C31" s="30">
        <v>48152229.939999998</v>
      </c>
      <c r="D31" s="191">
        <v>2.6866115841478831E-3</v>
      </c>
    </row>
    <row r="32" spans="1:4" ht="16" customHeight="1" thickBot="1">
      <c r="A32" s="7">
        <v>76</v>
      </c>
      <c r="B32" s="7" t="s">
        <v>1145</v>
      </c>
      <c r="C32" s="30">
        <v>-2586751.4500000002</v>
      </c>
      <c r="D32" s="191">
        <v>-1.4432553631557387E-4</v>
      </c>
    </row>
    <row r="33" spans="1:4" ht="21.75" customHeight="1" thickBot="1">
      <c r="A33" s="70">
        <v>7</v>
      </c>
      <c r="B33" s="70" t="s">
        <v>1146</v>
      </c>
      <c r="C33" s="30">
        <v>-154004918.30000001</v>
      </c>
      <c r="D33" s="191">
        <v>-8.5925698152729893E-3</v>
      </c>
    </row>
    <row r="34" spans="1:4" s="36" customFormat="1" ht="21.75" customHeight="1" thickBot="1">
      <c r="A34" s="694" t="s">
        <v>1147</v>
      </c>
      <c r="B34" s="694" t="s">
        <v>1148</v>
      </c>
      <c r="C34" s="89">
        <v>17923033692</v>
      </c>
      <c r="D34" s="688">
        <v>1</v>
      </c>
    </row>
    <row r="35" spans="1:4" ht="21.75" customHeight="1" thickBot="1">
      <c r="A35" s="70" t="s">
        <v>167</v>
      </c>
      <c r="B35" s="70" t="s">
        <v>1149</v>
      </c>
      <c r="C35" s="30">
        <v>338426236.58999997</v>
      </c>
      <c r="D35" s="191" t="s">
        <v>487</v>
      </c>
    </row>
    <row r="36" spans="1:4" ht="35.25" customHeight="1" thickBot="1">
      <c r="A36" s="276"/>
      <c r="B36" s="276" t="s">
        <v>169</v>
      </c>
      <c r="C36" s="30">
        <v>18261459929</v>
      </c>
      <c r="D36" s="191" t="s">
        <v>487</v>
      </c>
    </row>
    <row r="37" spans="1:4" ht="20" customHeight="1">
      <c r="A37" s="9" t="s">
        <v>178</v>
      </c>
      <c r="B37" s="103"/>
      <c r="C37" s="117"/>
      <c r="D37" s="309"/>
    </row>
    <row r="38" spans="1:4" ht="11.25" customHeight="1">
      <c r="A38" s="38"/>
      <c r="B38" s="104"/>
      <c r="C38" s="118"/>
      <c r="D38" s="311"/>
    </row>
    <row r="39" spans="1:4">
      <c r="A39" s="38" t="s">
        <v>170</v>
      </c>
    </row>
    <row r="40" spans="1:4">
      <c r="A40" s="3" t="s">
        <v>171</v>
      </c>
    </row>
    <row r="42" spans="1:4">
      <c r="A42" s="3" t="s">
        <v>1150</v>
      </c>
    </row>
  </sheetData>
  <phoneticPr fontId="0" type="noConversion"/>
  <pageMargins left="0.78740157480314965" right="0.78740157480314965" top="1.47" bottom="0.49" header="0.95"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D770-86AD-5044-8FA0-E07C2B0C05C8}">
  <dimension ref="A1:D36"/>
  <sheetViews>
    <sheetView zoomScale="75" workbookViewId="0">
      <selection activeCell="A37" sqref="A37"/>
    </sheetView>
  </sheetViews>
  <sheetFormatPr baseColWidth="10" defaultColWidth="11.3984375" defaultRowHeight="13"/>
  <cols>
    <col min="1" max="1" width="10.59765625" style="3" customWidth="1"/>
    <col min="2" max="2" width="60.796875" style="105" customWidth="1"/>
    <col min="3" max="3" width="17" style="43" customWidth="1"/>
    <col min="4" max="4" width="17" style="700" customWidth="1"/>
    <col min="5" max="16384" width="11.3984375" style="3"/>
  </cols>
  <sheetData>
    <row r="1" spans="1:4" s="1" customFormat="1" ht="14" customHeight="1">
      <c r="B1" s="95"/>
      <c r="C1" s="106"/>
      <c r="D1" s="690"/>
    </row>
    <row r="2" spans="1:4" s="1" customFormat="1" ht="28" customHeight="1">
      <c r="A2" s="81" t="s">
        <v>70</v>
      </c>
      <c r="B2" s="95"/>
      <c r="C2" s="106"/>
      <c r="D2" s="690"/>
    </row>
    <row r="3" spans="1:4" ht="39" customHeight="1">
      <c r="A3" s="2" t="s">
        <v>43</v>
      </c>
      <c r="B3" s="96"/>
      <c r="C3" s="14" t="s">
        <v>378</v>
      </c>
      <c r="D3" s="691" t="s">
        <v>379</v>
      </c>
    </row>
    <row r="4" spans="1:4" ht="38" customHeight="1">
      <c r="A4" s="283"/>
      <c r="B4" s="284"/>
      <c r="C4" s="16" t="s">
        <v>1304</v>
      </c>
      <c r="D4" s="111" t="s">
        <v>633</v>
      </c>
    </row>
    <row r="5" spans="1:4" ht="30" customHeight="1" thickBot="1">
      <c r="A5" s="6">
        <v>30</v>
      </c>
      <c r="B5" s="6" t="s">
        <v>654</v>
      </c>
      <c r="C5" s="29">
        <v>329149099.33999997</v>
      </c>
      <c r="D5" s="252">
        <v>1.8128532880798822E-2</v>
      </c>
    </row>
    <row r="6" spans="1:4" ht="16" customHeight="1" thickBot="1">
      <c r="A6" s="7">
        <v>31</v>
      </c>
      <c r="B6" s="7" t="s">
        <v>149</v>
      </c>
      <c r="C6" s="29">
        <v>17106465095</v>
      </c>
      <c r="D6" s="252">
        <v>0.94217215107311103</v>
      </c>
    </row>
    <row r="7" spans="1:4" ht="16" customHeight="1" thickBot="1">
      <c r="A7" s="7">
        <v>32</v>
      </c>
      <c r="B7" s="7" t="s">
        <v>150</v>
      </c>
      <c r="C7" s="29">
        <v>-2548330379</v>
      </c>
      <c r="D7" s="252">
        <v>-0.1403542988860485</v>
      </c>
    </row>
    <row r="8" spans="1:4" ht="16" customHeight="1" thickBot="1">
      <c r="A8" s="7">
        <v>33</v>
      </c>
      <c r="B8" s="7" t="s">
        <v>173</v>
      </c>
      <c r="C8" s="29">
        <v>1766281115.8</v>
      </c>
      <c r="D8" s="252">
        <v>9.728140027944801E-2</v>
      </c>
    </row>
    <row r="9" spans="1:4" ht="21.75" customHeight="1" thickBot="1">
      <c r="A9" s="70" t="s">
        <v>151</v>
      </c>
      <c r="B9" s="70" t="s">
        <v>60</v>
      </c>
      <c r="C9" s="29">
        <v>16653564931</v>
      </c>
      <c r="D9" s="252">
        <v>0.91722778533959848</v>
      </c>
    </row>
    <row r="10" spans="1:4" ht="16" customHeight="1" thickBot="1">
      <c r="A10" s="7">
        <v>34</v>
      </c>
      <c r="B10" s="7" t="s">
        <v>61</v>
      </c>
      <c r="C10" s="29">
        <v>47123455.07</v>
      </c>
      <c r="D10" s="252">
        <v>2.5954168077819938E-3</v>
      </c>
    </row>
    <row r="11" spans="1:4" ht="39" customHeight="1" thickBot="1">
      <c r="A11" s="692">
        <v>35</v>
      </c>
      <c r="B11" s="692" t="s">
        <v>152</v>
      </c>
      <c r="C11" s="286">
        <v>162806712.66999999</v>
      </c>
      <c r="D11" s="693">
        <v>8.9668993467429039E-3</v>
      </c>
    </row>
    <row r="12" spans="1:4" ht="21.75" customHeight="1" thickBot="1">
      <c r="A12" s="70" t="s">
        <v>153</v>
      </c>
      <c r="B12" s="70" t="s">
        <v>1511</v>
      </c>
      <c r="C12" s="29">
        <v>16863495099</v>
      </c>
      <c r="D12" s="252">
        <v>0.92879010150844343</v>
      </c>
    </row>
    <row r="13" spans="1:4" ht="16" customHeight="1" thickBot="1">
      <c r="A13" s="7">
        <v>36</v>
      </c>
      <c r="B13" s="7" t="s">
        <v>154</v>
      </c>
      <c r="C13" s="29">
        <v>-17627109.73</v>
      </c>
      <c r="D13" s="252">
        <v>-9.7084767655300703E-4</v>
      </c>
    </row>
    <row r="14" spans="1:4" ht="16" customHeight="1" thickBot="1">
      <c r="A14" s="70">
        <v>37</v>
      </c>
      <c r="B14" s="70" t="s">
        <v>1513</v>
      </c>
      <c r="C14" s="29">
        <v>31226247.109999999</v>
      </c>
      <c r="D14" s="252">
        <v>1.7198468676131371E-3</v>
      </c>
    </row>
    <row r="15" spans="1:4" ht="21.75" customHeight="1" thickBot="1">
      <c r="A15" s="70">
        <v>3</v>
      </c>
      <c r="B15" s="70" t="s">
        <v>1514</v>
      </c>
      <c r="C15" s="29">
        <v>16877094236</v>
      </c>
      <c r="D15" s="252">
        <v>0.92953910067857437</v>
      </c>
    </row>
    <row r="16" spans="1:4" ht="16" customHeight="1" thickBot="1">
      <c r="A16" s="7">
        <v>400</v>
      </c>
      <c r="B16" s="7" t="s">
        <v>155</v>
      </c>
      <c r="C16" s="29">
        <v>862514512.76999998</v>
      </c>
      <c r="D16" s="252">
        <v>4.7504680208058328E-2</v>
      </c>
    </row>
    <row r="17" spans="1:4" ht="16" customHeight="1" thickBot="1">
      <c r="A17" s="7">
        <v>410</v>
      </c>
      <c r="B17" s="7" t="s">
        <v>156</v>
      </c>
      <c r="C17" s="29">
        <v>89019072.370000005</v>
      </c>
      <c r="D17" s="252">
        <v>4.9029001863096977E-3</v>
      </c>
    </row>
    <row r="18" spans="1:4" ht="16" customHeight="1" thickBot="1">
      <c r="A18" s="7">
        <v>420</v>
      </c>
      <c r="B18" s="7" t="s">
        <v>157</v>
      </c>
      <c r="C18" s="29">
        <v>135080738.77000001</v>
      </c>
      <c r="D18" s="252">
        <v>7.4398368984294177E-3</v>
      </c>
    </row>
    <row r="19" spans="1:4" ht="16" customHeight="1" thickBot="1">
      <c r="A19" s="7">
        <v>430</v>
      </c>
      <c r="B19" s="7" t="s">
        <v>158</v>
      </c>
      <c r="C19" s="29">
        <v>43012324.82</v>
      </c>
      <c r="D19" s="252">
        <v>2.3689882376786132E-3</v>
      </c>
    </row>
    <row r="20" spans="1:4" ht="16" customHeight="1" thickBot="1">
      <c r="A20" s="70">
        <v>450</v>
      </c>
      <c r="B20" s="70" t="s">
        <v>159</v>
      </c>
      <c r="C20" s="29">
        <v>88194823.959999993</v>
      </c>
      <c r="D20" s="252">
        <v>4.8575030868414221E-3</v>
      </c>
    </row>
    <row r="21" spans="1:4" ht="16" customHeight="1" thickBot="1">
      <c r="A21" s="7">
        <v>453</v>
      </c>
      <c r="B21" s="7" t="s">
        <v>160</v>
      </c>
      <c r="C21" s="29">
        <v>32805437.379999999</v>
      </c>
      <c r="D21" s="252">
        <v>1.8068238722354719E-3</v>
      </c>
    </row>
    <row r="22" spans="1:4" ht="16" customHeight="1" thickBot="1">
      <c r="A22" s="70">
        <v>460</v>
      </c>
      <c r="B22" s="70" t="s">
        <v>161</v>
      </c>
      <c r="C22" s="29">
        <v>363305072.26999998</v>
      </c>
      <c r="D22" s="252">
        <v>2.0009740150023551E-2</v>
      </c>
    </row>
    <row r="23" spans="1:4" ht="16" customHeight="1" thickBot="1">
      <c r="A23" s="7">
        <v>470</v>
      </c>
      <c r="B23" s="7" t="s">
        <v>162</v>
      </c>
      <c r="C23" s="29">
        <v>-439673230.30000001</v>
      </c>
      <c r="D23" s="252">
        <v>-2.4215866390894146E-2</v>
      </c>
    </row>
    <row r="24" spans="1:4" ht="21.75" customHeight="1" thickBot="1">
      <c r="A24" s="70" t="s">
        <v>163</v>
      </c>
      <c r="B24" s="70" t="s">
        <v>164</v>
      </c>
      <c r="C24" s="29">
        <v>1174258752.0999999</v>
      </c>
      <c r="D24" s="252">
        <v>6.4674606251986969E-2</v>
      </c>
    </row>
    <row r="25" spans="1:4" ht="16" customHeight="1" thickBot="1">
      <c r="A25" s="7">
        <v>48</v>
      </c>
      <c r="B25" s="7" t="s">
        <v>165</v>
      </c>
      <c r="C25" s="29">
        <v>97763389.379999995</v>
      </c>
      <c r="D25" s="252">
        <v>5.3845106137839832E-3</v>
      </c>
    </row>
    <row r="26" spans="1:4" ht="16" customHeight="1" thickBot="1">
      <c r="A26" s="7">
        <v>49</v>
      </c>
      <c r="B26" s="7" t="s">
        <v>1517</v>
      </c>
      <c r="C26" s="29">
        <v>7294927.2599999998</v>
      </c>
      <c r="D26" s="252">
        <v>4.0178244133470847E-4</v>
      </c>
    </row>
    <row r="27" spans="1:4" ht="21.75" customHeight="1" thickBot="1">
      <c r="A27" s="70">
        <v>4</v>
      </c>
      <c r="B27" s="70" t="s">
        <v>1518</v>
      </c>
      <c r="C27" s="29">
        <v>1279317068.7</v>
      </c>
      <c r="D27" s="252">
        <v>7.0460899304902597E-2</v>
      </c>
    </row>
    <row r="28" spans="1:4" s="36" customFormat="1" ht="21.75" customHeight="1" thickBot="1">
      <c r="A28" s="694" t="s">
        <v>166</v>
      </c>
      <c r="B28" s="694" t="s">
        <v>1520</v>
      </c>
      <c r="C28" s="292">
        <v>18156411305</v>
      </c>
      <c r="D28" s="695">
        <v>1</v>
      </c>
    </row>
    <row r="29" spans="1:4" ht="21.75" customHeight="1" thickBot="1">
      <c r="A29" s="70" t="s">
        <v>167</v>
      </c>
      <c r="B29" s="70" t="s">
        <v>168</v>
      </c>
      <c r="C29" s="286">
        <v>105048624.25</v>
      </c>
      <c r="D29" s="696" t="s">
        <v>487</v>
      </c>
    </row>
    <row r="30" spans="1:4" ht="35.25" customHeight="1" thickBot="1">
      <c r="A30" s="276"/>
      <c r="B30" s="276" t="s">
        <v>169</v>
      </c>
      <c r="C30" s="286">
        <v>18261459929</v>
      </c>
      <c r="D30" s="697" t="s">
        <v>487</v>
      </c>
    </row>
    <row r="31" spans="1:4" ht="20" customHeight="1">
      <c r="A31" s="9" t="s">
        <v>178</v>
      </c>
      <c r="B31" s="103"/>
      <c r="C31" s="117"/>
      <c r="D31" s="698"/>
    </row>
    <row r="32" spans="1:4" ht="15.75" customHeight="1">
      <c r="A32" s="38"/>
      <c r="B32" s="104"/>
      <c r="C32" s="118"/>
      <c r="D32" s="699"/>
    </row>
    <row r="33" spans="1:1">
      <c r="A33" s="38" t="s">
        <v>170</v>
      </c>
    </row>
    <row r="34" spans="1:1">
      <c r="A34" s="3" t="s">
        <v>171</v>
      </c>
    </row>
    <row r="36" spans="1:1">
      <c r="A36" s="3" t="s">
        <v>172</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C4A8-E5E6-D740-8CB3-86D29AA384F1}">
  <dimension ref="A1:K22"/>
  <sheetViews>
    <sheetView zoomScale="75" workbookViewId="0"/>
  </sheetViews>
  <sheetFormatPr baseColWidth="10" defaultColWidth="11.3984375" defaultRowHeight="13"/>
  <cols>
    <col min="1" max="1" width="13.796875" style="3" customWidth="1"/>
    <col min="2" max="6" width="15.796875" style="3" customWidth="1"/>
    <col min="7" max="7" width="11.796875" style="312" customWidth="1"/>
    <col min="8" max="16384" width="11.3984375" style="3"/>
  </cols>
  <sheetData>
    <row r="1" spans="1:11" s="1" customFormat="1" ht="14" customHeight="1">
      <c r="G1" s="293"/>
    </row>
    <row r="2" spans="1:11" s="1" customFormat="1" ht="28" customHeight="1">
      <c r="A2" s="81" t="s">
        <v>134</v>
      </c>
      <c r="G2" s="293"/>
    </row>
    <row r="3" spans="1:11" ht="24" customHeight="1">
      <c r="A3" s="2" t="s">
        <v>1308</v>
      </c>
      <c r="B3" s="74" t="s">
        <v>135</v>
      </c>
      <c r="C3" s="17"/>
      <c r="D3" s="74" t="s">
        <v>136</v>
      </c>
      <c r="E3" s="17"/>
      <c r="F3" s="74" t="s">
        <v>137</v>
      </c>
      <c r="G3" s="294" t="s">
        <v>609</v>
      </c>
    </row>
    <row r="4" spans="1:11" ht="15" customHeight="1">
      <c r="A4" s="82"/>
      <c r="B4" s="75" t="s">
        <v>138</v>
      </c>
      <c r="C4" s="18" t="s">
        <v>139</v>
      </c>
      <c r="D4" s="75" t="s">
        <v>140</v>
      </c>
      <c r="E4" s="18" t="s">
        <v>141</v>
      </c>
      <c r="F4" s="75" t="s">
        <v>142</v>
      </c>
      <c r="G4" s="296" t="s">
        <v>610</v>
      </c>
    </row>
    <row r="5" spans="1:11" ht="15" customHeight="1">
      <c r="A5" s="82"/>
      <c r="B5" s="75" t="s">
        <v>143</v>
      </c>
      <c r="C5" s="18" t="s">
        <v>143</v>
      </c>
      <c r="D5" s="75" t="s">
        <v>144</v>
      </c>
      <c r="E5" s="18" t="s">
        <v>1014</v>
      </c>
      <c r="F5" s="75"/>
      <c r="G5" s="296" t="s">
        <v>611</v>
      </c>
    </row>
    <row r="6" spans="1:11" ht="24" customHeight="1">
      <c r="A6" s="83"/>
      <c r="B6" s="78"/>
      <c r="C6" s="19"/>
      <c r="D6" s="78"/>
      <c r="E6" s="19"/>
      <c r="F6" s="78"/>
      <c r="G6" s="298"/>
    </row>
    <row r="7" spans="1:11" ht="30" customHeight="1" thickBot="1">
      <c r="A7" s="632">
        <v>1994</v>
      </c>
      <c r="B7" s="29">
        <v>4424721000</v>
      </c>
      <c r="C7" s="68">
        <v>7733883000</v>
      </c>
      <c r="D7" s="29">
        <v>7245197000</v>
      </c>
      <c r="E7" s="68">
        <v>4913392000</v>
      </c>
      <c r="F7" s="29">
        <v>12158596000</v>
      </c>
      <c r="G7" s="252" t="s">
        <v>487</v>
      </c>
      <c r="H7" s="43"/>
    </row>
    <row r="8" spans="1:11" ht="20" customHeight="1" thickBot="1">
      <c r="A8" s="85">
        <v>1995</v>
      </c>
      <c r="B8" s="30">
        <v>4866523000</v>
      </c>
      <c r="C8" s="122">
        <v>8051465000</v>
      </c>
      <c r="D8" s="30">
        <v>7671754000</v>
      </c>
      <c r="E8" s="122">
        <v>5246769000</v>
      </c>
      <c r="F8" s="30">
        <v>12918536000</v>
      </c>
      <c r="G8" s="191">
        <v>6.2502282335888129E-2</v>
      </c>
    </row>
    <row r="9" spans="1:11" ht="20" customHeight="1" thickBot="1">
      <c r="A9" s="85">
        <v>1996</v>
      </c>
      <c r="B9" s="30">
        <v>4170906498.3500004</v>
      </c>
      <c r="C9" s="122">
        <v>8662528518.7900009</v>
      </c>
      <c r="D9" s="30">
        <v>8044141952.3000002</v>
      </c>
      <c r="E9" s="122">
        <v>4789293064.8400002</v>
      </c>
      <c r="F9" s="30">
        <v>12833435017.170002</v>
      </c>
      <c r="G9" s="191">
        <v>-6.5875098254165963E-3</v>
      </c>
      <c r="I9" s="45"/>
      <c r="J9" s="45"/>
      <c r="K9" s="45"/>
    </row>
    <row r="10" spans="1:11" ht="20" customHeight="1" thickBot="1">
      <c r="A10" s="85">
        <v>1997</v>
      </c>
      <c r="B10" s="30">
        <v>4394709847.7299995</v>
      </c>
      <c r="C10" s="122">
        <v>9362350997.4099998</v>
      </c>
      <c r="D10" s="30">
        <v>9077911654.8700008</v>
      </c>
      <c r="E10" s="122">
        <v>4679149190.2700005</v>
      </c>
      <c r="F10" s="30">
        <v>13757060845.139999</v>
      </c>
      <c r="G10" s="191">
        <v>7.1970273487516612E-2</v>
      </c>
    </row>
    <row r="11" spans="1:11" ht="20" customHeight="1" thickBot="1">
      <c r="A11" s="85">
        <v>1998</v>
      </c>
      <c r="B11" s="30">
        <v>4492004206.21</v>
      </c>
      <c r="C11" s="122">
        <v>10278585833.719999</v>
      </c>
      <c r="D11" s="30">
        <v>9968547987.1800003</v>
      </c>
      <c r="E11" s="122">
        <v>4802042053.0199995</v>
      </c>
      <c r="F11" s="30">
        <v>14770590039.959999</v>
      </c>
      <c r="G11" s="191">
        <v>7.367338170769612E-2</v>
      </c>
    </row>
    <row r="12" spans="1:11" ht="20" customHeight="1" thickBot="1">
      <c r="A12" s="85">
        <v>1999</v>
      </c>
      <c r="B12" s="30">
        <v>4039072052.96</v>
      </c>
      <c r="C12" s="122">
        <v>10698624229.800001</v>
      </c>
      <c r="D12" s="30">
        <v>9829333068.8500004</v>
      </c>
      <c r="E12" s="122">
        <v>4908363213.9400005</v>
      </c>
      <c r="F12" s="30">
        <v>14737696282.75</v>
      </c>
      <c r="G12" s="191">
        <v>-2.2269765203021073E-3</v>
      </c>
    </row>
    <row r="13" spans="1:11" ht="20" customHeight="1" thickBot="1">
      <c r="A13" s="85">
        <v>2000</v>
      </c>
      <c r="B13" s="30">
        <v>4332012500.6399994</v>
      </c>
      <c r="C13" s="122">
        <v>10499430512.299999</v>
      </c>
      <c r="D13" s="30">
        <v>10459056308.799999</v>
      </c>
      <c r="E13" s="122">
        <v>4372386704.1300001</v>
      </c>
      <c r="F13" s="30">
        <v>14831443012.869999</v>
      </c>
      <c r="G13" s="191">
        <v>6.3610165606226036E-3</v>
      </c>
    </row>
    <row r="14" spans="1:11" ht="20" customHeight="1" thickBot="1">
      <c r="A14" s="85">
        <v>2001</v>
      </c>
      <c r="B14" s="30">
        <v>4480221295.5</v>
      </c>
      <c r="C14" s="122">
        <v>9101419286.2999992</v>
      </c>
      <c r="D14" s="30">
        <v>10583525388</v>
      </c>
      <c r="E14" s="122">
        <v>2998115193.5</v>
      </c>
      <c r="F14" s="30">
        <v>13581640582</v>
      </c>
      <c r="G14" s="191">
        <v>-8.4267082426536757E-2</v>
      </c>
    </row>
    <row r="15" spans="1:11" ht="24.75" customHeight="1" thickBot="1">
      <c r="A15" s="86">
        <v>2002</v>
      </c>
      <c r="B15" s="89">
        <v>5055018753.3999996</v>
      </c>
      <c r="C15" s="208">
        <v>8256319714.8999996</v>
      </c>
      <c r="D15" s="89">
        <v>10485582893</v>
      </c>
      <c r="E15" s="208">
        <v>2730316146</v>
      </c>
      <c r="F15" s="89">
        <v>13311318468</v>
      </c>
      <c r="G15" s="688">
        <v>-1.990349489576855E-2</v>
      </c>
    </row>
    <row r="16" spans="1:11" ht="20" customHeight="1">
      <c r="A16" s="9" t="s">
        <v>178</v>
      </c>
      <c r="B16" s="9"/>
      <c r="C16" s="9"/>
      <c r="D16" s="9"/>
      <c r="E16" s="9"/>
      <c r="F16" s="9"/>
      <c r="G16" s="309"/>
    </row>
    <row r="17" spans="1:7" ht="10.5" customHeight="1">
      <c r="A17" s="38"/>
      <c r="B17" s="38"/>
      <c r="C17" s="38"/>
      <c r="D17" s="38"/>
      <c r="E17" s="38"/>
      <c r="F17" s="38"/>
      <c r="G17" s="311"/>
    </row>
    <row r="18" spans="1:7">
      <c r="A18" s="38" t="s">
        <v>145</v>
      </c>
    </row>
    <row r="19" spans="1:7">
      <c r="A19" s="3" t="s">
        <v>146</v>
      </c>
    </row>
    <row r="20" spans="1:7">
      <c r="A20" s="3" t="s">
        <v>147</v>
      </c>
    </row>
    <row r="22" spans="1:7">
      <c r="A22" s="3" t="s">
        <v>148</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1432-E95C-6644-AFFA-A9EB0A91A0F7}">
  <dimension ref="A1:I21"/>
  <sheetViews>
    <sheetView zoomScale="75" workbookViewId="0"/>
  </sheetViews>
  <sheetFormatPr baseColWidth="10" defaultColWidth="11.3984375" defaultRowHeight="13"/>
  <cols>
    <col min="1" max="1" width="12.59765625" style="3" customWidth="1"/>
    <col min="2" max="2" width="17.19921875" style="3" customWidth="1"/>
    <col min="3" max="5" width="15.59765625" style="312" customWidth="1"/>
    <col min="6" max="16384" width="11.3984375" style="3"/>
  </cols>
  <sheetData>
    <row r="1" spans="1:9" s="1" customFormat="1" ht="14" customHeight="1">
      <c r="C1" s="293"/>
      <c r="D1" s="293"/>
      <c r="E1" s="293"/>
    </row>
    <row r="2" spans="1:9" s="1" customFormat="1" ht="28" customHeight="1">
      <c r="A2" s="81" t="s">
        <v>128</v>
      </c>
      <c r="C2" s="293"/>
      <c r="D2" s="293"/>
      <c r="E2" s="293"/>
    </row>
    <row r="3" spans="1:9" ht="24" customHeight="1">
      <c r="A3" s="2" t="s">
        <v>423</v>
      </c>
      <c r="B3" s="74" t="s">
        <v>1592</v>
      </c>
      <c r="C3" s="294" t="s">
        <v>609</v>
      </c>
      <c r="D3" s="685" t="s">
        <v>129</v>
      </c>
      <c r="E3" s="294" t="s">
        <v>609</v>
      </c>
    </row>
    <row r="4" spans="1:9" ht="15" customHeight="1">
      <c r="A4" s="82"/>
      <c r="B4" s="75" t="s">
        <v>1304</v>
      </c>
      <c r="C4" s="296" t="s">
        <v>610</v>
      </c>
      <c r="D4" s="686" t="s">
        <v>133</v>
      </c>
      <c r="E4" s="296" t="s">
        <v>610</v>
      </c>
    </row>
    <row r="5" spans="1:9" ht="15" customHeight="1">
      <c r="A5" s="82"/>
      <c r="B5" s="75"/>
      <c r="C5" s="296" t="s">
        <v>611</v>
      </c>
      <c r="D5" s="686"/>
      <c r="E5" s="296" t="s">
        <v>611</v>
      </c>
    </row>
    <row r="6" spans="1:9" ht="24" customHeight="1">
      <c r="A6" s="83"/>
      <c r="B6" s="78"/>
      <c r="C6" s="298"/>
      <c r="D6" s="687"/>
      <c r="E6" s="298"/>
    </row>
    <row r="7" spans="1:9" ht="30" customHeight="1" thickBot="1">
      <c r="A7" s="632">
        <v>1994</v>
      </c>
      <c r="B7" s="29">
        <v>3986037000</v>
      </c>
      <c r="C7" s="252" t="s">
        <v>487</v>
      </c>
      <c r="D7" s="251">
        <v>0.27871248612656102</v>
      </c>
      <c r="E7" s="252" t="s">
        <v>487</v>
      </c>
      <c r="F7" s="43"/>
    </row>
    <row r="8" spans="1:9" ht="20" customHeight="1" thickBot="1">
      <c r="A8" s="85">
        <v>1995</v>
      </c>
      <c r="B8" s="30">
        <v>4079950000</v>
      </c>
      <c r="C8" s="191">
        <v>2.3560493793710394E-2</v>
      </c>
      <c r="D8" s="206">
        <v>0.27928113796958481</v>
      </c>
      <c r="E8" s="191">
        <v>2.040281190579933E-3</v>
      </c>
    </row>
    <row r="9" spans="1:9" ht="20" customHeight="1" thickBot="1">
      <c r="A9" s="85">
        <v>1996</v>
      </c>
      <c r="B9" s="30">
        <v>4007836659.5999999</v>
      </c>
      <c r="C9" s="191">
        <v>-1.767505493939879E-2</v>
      </c>
      <c r="D9" s="206">
        <v>0.24196501185861982</v>
      </c>
      <c r="E9" s="191">
        <v>-0.13361491714857204</v>
      </c>
      <c r="G9" s="45"/>
      <c r="H9" s="45"/>
      <c r="I9" s="45"/>
    </row>
    <row r="10" spans="1:9" ht="20" customHeight="1" thickBot="1">
      <c r="A10" s="85">
        <v>1997</v>
      </c>
      <c r="B10" s="30">
        <v>4017395607.9000001</v>
      </c>
      <c r="C10" s="191">
        <v>2.3850643406595857E-3</v>
      </c>
      <c r="D10" s="206">
        <v>0.22399999999999998</v>
      </c>
      <c r="E10" s="191">
        <v>-7.42463206586116E-2</v>
      </c>
    </row>
    <row r="11" spans="1:9" ht="20" customHeight="1" thickBot="1">
      <c r="A11" s="85">
        <v>1998</v>
      </c>
      <c r="B11" s="30">
        <v>4117666794.6999998</v>
      </c>
      <c r="C11" s="191">
        <v>2.4959251362455224E-2</v>
      </c>
      <c r="D11" s="206">
        <v>0.22</v>
      </c>
      <c r="E11" s="191">
        <v>-1.7857142857142752E-2</v>
      </c>
    </row>
    <row r="12" spans="1:9" ht="20" customHeight="1" thickBot="1">
      <c r="A12" s="85">
        <v>1999</v>
      </c>
      <c r="B12" s="30">
        <v>4531003557.1000004</v>
      </c>
      <c r="C12" s="191">
        <v>0.10038130402683906</v>
      </c>
      <c r="D12" s="206">
        <v>0.248</v>
      </c>
      <c r="E12" s="191">
        <v>0.12727272727272726</v>
      </c>
    </row>
    <row r="13" spans="1:9" ht="20" customHeight="1" thickBot="1">
      <c r="A13" s="85">
        <v>2000</v>
      </c>
      <c r="B13" s="30">
        <v>4046317342.6999998</v>
      </c>
      <c r="C13" s="191">
        <v>-0.10697105139997211</v>
      </c>
      <c r="D13" s="206">
        <v>0.22899999999999998</v>
      </c>
      <c r="E13" s="191">
        <v>-7.6612903225806522E-2</v>
      </c>
    </row>
    <row r="14" spans="1:9" ht="20" customHeight="1" thickBot="1">
      <c r="A14" s="85">
        <v>2001</v>
      </c>
      <c r="B14" s="30">
        <v>2721453787.0999999</v>
      </c>
      <c r="C14" s="191">
        <v>-0.32742453035479263</v>
      </c>
      <c r="D14" s="206">
        <v>0.16266572127677031</v>
      </c>
      <c r="E14" s="191">
        <v>-0.28966933940274964</v>
      </c>
    </row>
    <row r="15" spans="1:9" ht="23.25" customHeight="1" thickBot="1">
      <c r="A15" s="86">
        <v>2002</v>
      </c>
      <c r="B15" s="89">
        <v>2517283980.4000001</v>
      </c>
      <c r="C15" s="688">
        <v>-7.5022330957000949E-2</v>
      </c>
      <c r="D15" s="689">
        <v>0.13972376589664312</v>
      </c>
      <c r="E15" s="688">
        <v>-0.14103743062800686</v>
      </c>
    </row>
    <row r="16" spans="1:9" ht="20" customHeight="1">
      <c r="A16" s="9" t="s">
        <v>178</v>
      </c>
      <c r="B16" s="9"/>
      <c r="C16" s="309"/>
      <c r="D16" s="309"/>
      <c r="E16" s="309"/>
    </row>
    <row r="17" spans="1:5" ht="11.25" customHeight="1">
      <c r="A17" s="38"/>
      <c r="B17" s="38"/>
      <c r="C17" s="311"/>
      <c r="D17" s="311"/>
      <c r="E17" s="311"/>
    </row>
    <row r="18" spans="1:5">
      <c r="A18" s="3" t="s">
        <v>130</v>
      </c>
    </row>
    <row r="19" spans="1:5">
      <c r="A19" s="3" t="s">
        <v>131</v>
      </c>
    </row>
    <row r="21" spans="1:5">
      <c r="A21" s="3" t="s">
        <v>132</v>
      </c>
    </row>
  </sheetData>
  <phoneticPr fontId="0" type="noConversion"/>
  <pageMargins left="0.78740157480314965" right="0.44" top="1.47" bottom="0.49" header="0.93"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A805-E04B-EE43-881B-FDC4DCBF264D}">
  <dimension ref="A1:D30"/>
  <sheetViews>
    <sheetView topLeftCell="A17" zoomScale="75" workbookViewId="0">
      <selection activeCell="A31" sqref="A31"/>
    </sheetView>
  </sheetViews>
  <sheetFormatPr baseColWidth="10" defaultColWidth="11.3984375" defaultRowHeight="13"/>
  <cols>
    <col min="1" max="1" width="10.59765625" style="3" customWidth="1"/>
    <col min="2" max="2" width="60.796875" style="105" customWidth="1"/>
    <col min="3" max="3" width="17" style="43" customWidth="1"/>
    <col min="4" max="4" width="17" style="312" customWidth="1"/>
    <col min="5" max="16384" width="11.3984375" style="3"/>
  </cols>
  <sheetData>
    <row r="1" spans="1:4" s="1" customFormat="1" ht="14" customHeight="1">
      <c r="B1" s="95"/>
      <c r="C1" s="106"/>
      <c r="D1" s="293"/>
    </row>
    <row r="2" spans="1:4" s="1" customFormat="1" ht="28" customHeight="1">
      <c r="A2" s="81" t="s">
        <v>69</v>
      </c>
      <c r="B2" s="95"/>
      <c r="C2" s="106"/>
      <c r="D2" s="293"/>
    </row>
    <row r="3" spans="1:4" ht="39" customHeight="1">
      <c r="A3" s="2" t="s">
        <v>43</v>
      </c>
      <c r="B3" s="96"/>
      <c r="C3" s="14" t="s">
        <v>378</v>
      </c>
      <c r="D3" s="294" t="s">
        <v>379</v>
      </c>
    </row>
    <row r="4" spans="1:4" ht="38" customHeight="1">
      <c r="A4" s="283"/>
      <c r="B4" s="284"/>
      <c r="C4" s="16" t="s">
        <v>1304</v>
      </c>
      <c r="D4" s="298" t="s">
        <v>633</v>
      </c>
    </row>
    <row r="5" spans="1:4" ht="30" customHeight="1" thickBot="1">
      <c r="A5" s="6"/>
      <c r="B5" s="6" t="s">
        <v>1599</v>
      </c>
      <c r="C5" s="29">
        <v>5055018753.3999996</v>
      </c>
      <c r="D5" s="252">
        <v>0.3797528524687499</v>
      </c>
    </row>
    <row r="6" spans="1:4" ht="21.75" customHeight="1" thickBot="1">
      <c r="A6" s="7">
        <v>10</v>
      </c>
      <c r="B6" s="7" t="s">
        <v>1600</v>
      </c>
      <c r="C6" s="29">
        <v>1364846942.2</v>
      </c>
      <c r="D6" s="191">
        <v>0.10253266006878611</v>
      </c>
    </row>
    <row r="7" spans="1:4" ht="21.75" customHeight="1" thickBot="1">
      <c r="A7" s="7">
        <v>11</v>
      </c>
      <c r="B7" s="7" t="s">
        <v>1601</v>
      </c>
      <c r="C7" s="29">
        <v>2466261150.1999998</v>
      </c>
      <c r="D7" s="191">
        <v>0.18527521902690752</v>
      </c>
    </row>
    <row r="8" spans="1:4" ht="18.75" customHeight="1" thickBot="1">
      <c r="A8" s="7"/>
      <c r="B8" s="7" t="s">
        <v>1602</v>
      </c>
      <c r="C8" s="29">
        <v>2638258302.5999999</v>
      </c>
      <c r="D8" s="191">
        <v>0.1981963202980889</v>
      </c>
    </row>
    <row r="9" spans="1:4" ht="18.75" customHeight="1" thickBot="1">
      <c r="A9" s="7"/>
      <c r="B9" s="7" t="s">
        <v>1603</v>
      </c>
      <c r="C9" s="29">
        <v>-171997152.30000001</v>
      </c>
      <c r="D9" s="191">
        <v>-1.2921101263668957E-2</v>
      </c>
    </row>
    <row r="10" spans="1:4" ht="21.75" customHeight="1" thickBot="1">
      <c r="A10" s="7">
        <v>12</v>
      </c>
      <c r="B10" s="7" t="s">
        <v>1604</v>
      </c>
      <c r="C10" s="29">
        <v>284327158.68000001</v>
      </c>
      <c r="D10" s="191">
        <v>2.1359772299646106E-2</v>
      </c>
    </row>
    <row r="11" spans="1:4" ht="18.75" customHeight="1" thickBot="1">
      <c r="A11" s="7"/>
      <c r="B11" s="7" t="s">
        <v>1605</v>
      </c>
      <c r="C11" s="29">
        <v>303979997.19</v>
      </c>
      <c r="D11" s="191">
        <v>2.2836170676657157E-2</v>
      </c>
    </row>
    <row r="12" spans="1:4" ht="18.75" customHeight="1" thickBot="1">
      <c r="A12" s="7"/>
      <c r="B12" s="7" t="s">
        <v>1603</v>
      </c>
      <c r="C12" s="29">
        <v>-19652838.510000002</v>
      </c>
      <c r="D12" s="191">
        <v>-1.4763983770110533E-3</v>
      </c>
    </row>
    <row r="13" spans="1:4" ht="24" customHeight="1" thickBot="1">
      <c r="A13" s="7">
        <v>13</v>
      </c>
      <c r="B13" s="7" t="s">
        <v>1606</v>
      </c>
      <c r="C13" s="29">
        <v>14404371.039999999</v>
      </c>
      <c r="D13" s="191">
        <v>1.0821128975592959E-3</v>
      </c>
    </row>
    <row r="14" spans="1:4" ht="28.5" customHeight="1" thickBot="1">
      <c r="A14" s="7">
        <v>14</v>
      </c>
      <c r="B14" s="683" t="s">
        <v>1607</v>
      </c>
      <c r="C14" s="29">
        <v>386787056.49000001</v>
      </c>
      <c r="D14" s="191">
        <v>2.9056962034270467E-2</v>
      </c>
    </row>
    <row r="15" spans="1:4" ht="30.75" customHeight="1" thickBot="1">
      <c r="A15" s="7">
        <v>15</v>
      </c>
      <c r="B15" s="683" t="s">
        <v>1608</v>
      </c>
      <c r="C15" s="29">
        <v>8835954.8599999994</v>
      </c>
      <c r="D15" s="191">
        <v>6.6379161503866285E-4</v>
      </c>
    </row>
    <row r="16" spans="1:4" ht="21.75" customHeight="1" thickBot="1">
      <c r="A16" s="7">
        <v>16</v>
      </c>
      <c r="B16" s="7" t="s">
        <v>1609</v>
      </c>
      <c r="C16" s="29">
        <v>529556119.92000002</v>
      </c>
      <c r="D16" s="191">
        <v>3.9782334525790532E-2</v>
      </c>
    </row>
    <row r="17" spans="1:4" ht="30" customHeight="1" thickBot="1">
      <c r="A17" s="7"/>
      <c r="B17" s="7" t="s">
        <v>1610</v>
      </c>
      <c r="C17" s="29">
        <v>8256319714.8999996</v>
      </c>
      <c r="D17" s="191">
        <v>0.62024714755378718</v>
      </c>
    </row>
    <row r="18" spans="1:4" ht="21.75" customHeight="1" thickBot="1">
      <c r="A18" s="7">
        <v>17</v>
      </c>
      <c r="B18" s="7" t="s">
        <v>1611</v>
      </c>
      <c r="C18" s="29">
        <v>7106523745.1999998</v>
      </c>
      <c r="D18" s="191">
        <v>0.53386996073188575</v>
      </c>
    </row>
    <row r="19" spans="1:4" ht="18.75" customHeight="1" thickBot="1">
      <c r="A19" s="7"/>
      <c r="B19" s="7" t="s">
        <v>1612</v>
      </c>
      <c r="C19" s="29">
        <v>7738122266.1000004</v>
      </c>
      <c r="D19" s="191">
        <v>0.58131812099152769</v>
      </c>
    </row>
    <row r="20" spans="1:4" ht="18.75" customHeight="1" thickBot="1">
      <c r="A20" s="70"/>
      <c r="B20" s="70" t="s">
        <v>1613</v>
      </c>
      <c r="C20" s="29">
        <v>-631598520.89999998</v>
      </c>
      <c r="D20" s="191">
        <v>-4.7448160259641894E-2</v>
      </c>
    </row>
    <row r="21" spans="1:4" ht="21.75" customHeight="1" thickBot="1">
      <c r="A21" s="7">
        <v>18</v>
      </c>
      <c r="B21" s="7" t="s">
        <v>1614</v>
      </c>
      <c r="C21" s="29">
        <v>984650943.64999998</v>
      </c>
      <c r="D21" s="191">
        <v>7.3970844180475684E-2</v>
      </c>
    </row>
    <row r="22" spans="1:4" ht="18.75" customHeight="1" thickBot="1">
      <c r="A22" s="70"/>
      <c r="B22" s="70" t="s">
        <v>1615</v>
      </c>
      <c r="C22" s="29">
        <v>1340003767.4000001</v>
      </c>
      <c r="D22" s="191">
        <v>0.10066634325476158</v>
      </c>
    </row>
    <row r="23" spans="1:4" ht="18.75" customHeight="1" thickBot="1">
      <c r="A23" s="7"/>
      <c r="B23" s="7" t="s">
        <v>1613</v>
      </c>
      <c r="C23" s="29">
        <v>-355352823.69999999</v>
      </c>
      <c r="D23" s="191">
        <v>-2.669549907052968E-2</v>
      </c>
    </row>
    <row r="24" spans="1:4" ht="21.75" customHeight="1" thickBot="1">
      <c r="A24" s="7">
        <v>19</v>
      </c>
      <c r="B24" s="7" t="s">
        <v>1616</v>
      </c>
      <c r="C24" s="29">
        <v>165145025.97999999</v>
      </c>
      <c r="D24" s="191">
        <v>1.2406342636167125E-2</v>
      </c>
    </row>
    <row r="25" spans="1:4" ht="18.75" customHeight="1" thickBot="1">
      <c r="A25" s="7"/>
      <c r="B25" s="7" t="s">
        <v>1617</v>
      </c>
      <c r="C25" s="29">
        <v>628556931.03999996</v>
      </c>
      <c r="D25" s="191">
        <v>4.7219664089454959E-2</v>
      </c>
    </row>
    <row r="26" spans="1:4" ht="18.75" customHeight="1" thickBot="1">
      <c r="A26" s="7"/>
      <c r="B26" s="7" t="s">
        <v>1613</v>
      </c>
      <c r="C26" s="29">
        <v>-463411905.10000002</v>
      </c>
      <c r="D26" s="191">
        <v>-3.481332145629279E-2</v>
      </c>
    </row>
    <row r="27" spans="1:4" s="115" customFormat="1" ht="36" customHeight="1" thickBot="1">
      <c r="A27" s="13">
        <v>1</v>
      </c>
      <c r="B27" s="13" t="s">
        <v>1618</v>
      </c>
      <c r="C27" s="71">
        <v>13311338468</v>
      </c>
      <c r="D27" s="256">
        <v>1</v>
      </c>
    </row>
    <row r="28" spans="1:4" ht="18.75" customHeight="1">
      <c r="A28" s="9" t="s">
        <v>178</v>
      </c>
      <c r="B28" s="103"/>
      <c r="C28" s="117"/>
      <c r="D28" s="309"/>
    </row>
    <row r="30" spans="1:4">
      <c r="A30" s="3" t="s">
        <v>1619</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AF8F-B91F-1644-95EA-4C06B7552012}">
  <dimension ref="A1:D41"/>
  <sheetViews>
    <sheetView zoomScale="75" workbookViewId="0"/>
  </sheetViews>
  <sheetFormatPr baseColWidth="10" defaultColWidth="11.3984375" defaultRowHeight="13"/>
  <cols>
    <col min="1" max="1" width="10.59765625" style="3" customWidth="1"/>
    <col min="2" max="2" width="60.796875" style="105" customWidth="1"/>
    <col min="3" max="3" width="16.796875" style="43" customWidth="1"/>
    <col min="4" max="4" width="16.796875" style="312" customWidth="1"/>
    <col min="5" max="16384" width="11.3984375" style="3"/>
  </cols>
  <sheetData>
    <row r="1" spans="1:4" s="1" customFormat="1" ht="14" customHeight="1">
      <c r="B1" s="95"/>
      <c r="C1" s="106"/>
      <c r="D1" s="293"/>
    </row>
    <row r="2" spans="1:4" s="1" customFormat="1" ht="28" customHeight="1">
      <c r="A2" s="81" t="s">
        <v>68</v>
      </c>
      <c r="B2" s="95"/>
      <c r="C2" s="106"/>
      <c r="D2" s="293"/>
    </row>
    <row r="3" spans="1:4" ht="39" customHeight="1">
      <c r="A3" s="2" t="s">
        <v>43</v>
      </c>
      <c r="B3" s="96"/>
      <c r="C3" s="14" t="s">
        <v>378</v>
      </c>
      <c r="D3" s="294" t="s">
        <v>379</v>
      </c>
    </row>
    <row r="4" spans="1:4" ht="38" customHeight="1">
      <c r="A4" s="283"/>
      <c r="B4" s="284"/>
      <c r="C4" s="16" t="s">
        <v>1304</v>
      </c>
      <c r="D4" s="298" t="s">
        <v>633</v>
      </c>
    </row>
    <row r="5" spans="1:4" ht="30" customHeight="1" thickBot="1">
      <c r="A5" s="6"/>
      <c r="B5" s="1289" t="s">
        <v>380</v>
      </c>
      <c r="C5" s="1290">
        <v>10581002322.219999</v>
      </c>
      <c r="D5" s="252">
        <v>0.7948876249679101</v>
      </c>
    </row>
    <row r="6" spans="1:4" ht="21.75" customHeight="1" thickBot="1">
      <c r="A6" s="7">
        <v>20</v>
      </c>
      <c r="B6" s="7" t="s">
        <v>381</v>
      </c>
      <c r="C6" s="29">
        <v>415194793.16000003</v>
      </c>
      <c r="D6" s="252">
        <v>3.1191109592796199E-2</v>
      </c>
    </row>
    <row r="7" spans="1:4" ht="21.75" customHeight="1" thickBot="1">
      <c r="A7" s="7">
        <v>21</v>
      </c>
      <c r="B7" s="7" t="s">
        <v>282</v>
      </c>
      <c r="C7" s="29">
        <v>2959766724.1999998</v>
      </c>
      <c r="D7" s="252">
        <v>0.22234962910061748</v>
      </c>
    </row>
    <row r="8" spans="1:4" ht="31.5" customHeight="1" thickBot="1">
      <c r="A8" s="7">
        <v>215</v>
      </c>
      <c r="B8" s="683" t="s">
        <v>283</v>
      </c>
      <c r="C8" s="29">
        <v>95419429.299999997</v>
      </c>
      <c r="D8" s="252">
        <v>7.1682928726696281E-3</v>
      </c>
    </row>
    <row r="9" spans="1:4" ht="21.75" customHeight="1" thickBot="1">
      <c r="A9" s="7">
        <v>22</v>
      </c>
      <c r="B9" s="7" t="s">
        <v>1071</v>
      </c>
      <c r="C9" s="29">
        <v>250893054.09</v>
      </c>
      <c r="D9" s="252">
        <v>1.884809943456309E-2</v>
      </c>
    </row>
    <row r="10" spans="1:4" ht="21.75" customHeight="1" thickBot="1">
      <c r="A10" s="7">
        <v>23</v>
      </c>
      <c r="B10" s="7" t="s">
        <v>1072</v>
      </c>
      <c r="C10" s="29">
        <v>26862643.16</v>
      </c>
      <c r="D10" s="252">
        <v>2.018030236792619E-3</v>
      </c>
    </row>
    <row r="11" spans="1:4" ht="21.75" customHeight="1" thickBot="1">
      <c r="A11" s="7">
        <v>24</v>
      </c>
      <c r="B11" s="7" t="s">
        <v>1073</v>
      </c>
      <c r="C11" s="29">
        <v>21397636.350000001</v>
      </c>
      <c r="D11" s="252">
        <v>1.6074768552370871E-3</v>
      </c>
    </row>
    <row r="12" spans="1:4" ht="21.75" customHeight="1" thickBot="1">
      <c r="A12" s="7">
        <v>25</v>
      </c>
      <c r="B12" s="7" t="s">
        <v>1074</v>
      </c>
      <c r="C12" s="29">
        <v>15113148.68</v>
      </c>
      <c r="D12" s="252">
        <v>1.135360762071131E-3</v>
      </c>
    </row>
    <row r="13" spans="1:4" ht="21.75" customHeight="1" thickBot="1">
      <c r="A13" s="7">
        <v>26</v>
      </c>
      <c r="B13" s="7" t="s">
        <v>284</v>
      </c>
      <c r="C13" s="29">
        <v>509528764.57999998</v>
      </c>
      <c r="D13" s="252">
        <v>3.8277858485986305E-2</v>
      </c>
    </row>
    <row r="14" spans="1:4" s="684" customFormat="1" ht="47.25" customHeight="1" thickBot="1">
      <c r="A14" s="683">
        <v>27</v>
      </c>
      <c r="B14" s="683" t="s">
        <v>551</v>
      </c>
      <c r="C14" s="29">
        <v>6286826128.6999998</v>
      </c>
      <c r="D14" s="252">
        <v>0.47229176762717656</v>
      </c>
    </row>
    <row r="15" spans="1:4" s="684" customFormat="1" ht="21" customHeight="1" thickBot="1">
      <c r="A15" s="1291">
        <v>270</v>
      </c>
      <c r="B15" s="1292" t="s">
        <v>285</v>
      </c>
      <c r="C15" s="29">
        <v>4018023804.0999999</v>
      </c>
      <c r="D15" s="252">
        <v>0.30185017462839653</v>
      </c>
    </row>
    <row r="16" spans="1:4" ht="18.75" customHeight="1" thickBot="1">
      <c r="A16" s="1293">
        <v>270.10000000000002</v>
      </c>
      <c r="B16" s="1294" t="s">
        <v>286</v>
      </c>
      <c r="C16" s="29">
        <v>100404144.38</v>
      </c>
      <c r="D16" s="252">
        <v>7.5427647998482245E-3</v>
      </c>
    </row>
    <row r="17" spans="1:4" ht="31.5" customHeight="1" thickBot="1">
      <c r="A17" s="1293">
        <v>270.2</v>
      </c>
      <c r="B17" s="1292" t="s">
        <v>287</v>
      </c>
      <c r="C17" s="29">
        <v>2348973.5</v>
      </c>
      <c r="D17" s="252">
        <v>1.764643754596406E-4</v>
      </c>
    </row>
    <row r="18" spans="1:4" ht="30.75" customHeight="1" thickBot="1">
      <c r="A18" s="1293">
        <v>270.3</v>
      </c>
      <c r="B18" s="1292" t="s">
        <v>288</v>
      </c>
      <c r="C18" s="29">
        <v>107960.4</v>
      </c>
      <c r="D18" s="252">
        <v>8.1104212373502652E-6</v>
      </c>
    </row>
    <row r="19" spans="1:4" ht="18.75" customHeight="1" thickBot="1">
      <c r="A19" s="1293">
        <v>271</v>
      </c>
      <c r="B19" s="1294" t="s">
        <v>552</v>
      </c>
      <c r="C19" s="29">
        <v>98762893.900000006</v>
      </c>
      <c r="D19" s="252">
        <v>7.4194674357332046E-3</v>
      </c>
    </row>
    <row r="20" spans="1:4" ht="18.75" customHeight="1" thickBot="1">
      <c r="A20" s="1293">
        <v>272</v>
      </c>
      <c r="B20" s="1294" t="s">
        <v>553</v>
      </c>
      <c r="C20" s="29">
        <v>2485254.85</v>
      </c>
      <c r="D20" s="252">
        <v>1.8670238083285862E-4</v>
      </c>
    </row>
    <row r="21" spans="1:4" ht="18.75" customHeight="1" thickBot="1">
      <c r="A21" s="1293">
        <v>273</v>
      </c>
      <c r="B21" s="1294" t="s">
        <v>554</v>
      </c>
      <c r="C21" s="29">
        <v>1314529142.0999999</v>
      </c>
      <c r="D21" s="252">
        <v>9.8752737774254862E-2</v>
      </c>
    </row>
    <row r="22" spans="1:4" ht="18.75" customHeight="1" thickBot="1">
      <c r="A22" s="1293">
        <v>273.10000000000002</v>
      </c>
      <c r="B22" s="1294" t="s">
        <v>555</v>
      </c>
      <c r="C22" s="29">
        <v>184427776.65000001</v>
      </c>
      <c r="D22" s="252">
        <v>1.3854959378618933E-2</v>
      </c>
    </row>
    <row r="23" spans="1:4" ht="18.75" customHeight="1" thickBot="1">
      <c r="A23" s="1293">
        <v>274</v>
      </c>
      <c r="B23" s="1294" t="s">
        <v>556</v>
      </c>
      <c r="C23" s="29">
        <v>182480596.47999999</v>
      </c>
      <c r="D23" s="252">
        <v>1.3708679340718783E-2</v>
      </c>
    </row>
    <row r="24" spans="1:4" ht="18.75" customHeight="1" thickBot="1">
      <c r="A24" s="1293">
        <v>279</v>
      </c>
      <c r="B24" s="1294" t="s">
        <v>557</v>
      </c>
      <c r="C24" s="29">
        <v>383255582.35000002</v>
      </c>
      <c r="D24" s="252">
        <v>2.8791707092827405E-2</v>
      </c>
    </row>
    <row r="25" spans="1:4" ht="21.75" customHeight="1" thickBot="1">
      <c r="A25" s="7"/>
      <c r="B25" s="1294" t="s">
        <v>558</v>
      </c>
      <c r="C25" s="29">
        <v>2730316146</v>
      </c>
      <c r="D25" s="252">
        <v>0.20511237504861715</v>
      </c>
    </row>
    <row r="26" spans="1:4" ht="21.75" customHeight="1" thickBot="1">
      <c r="A26" s="7">
        <v>28</v>
      </c>
      <c r="B26" s="1295" t="s">
        <v>1588</v>
      </c>
      <c r="C26" s="29">
        <v>213032165.58000001</v>
      </c>
      <c r="D26" s="252">
        <v>1.600383659155348E-2</v>
      </c>
    </row>
    <row r="27" spans="1:4" ht="18.75" customHeight="1" thickBot="1">
      <c r="A27" s="1293">
        <v>280</v>
      </c>
      <c r="B27" s="1294" t="s">
        <v>1589</v>
      </c>
      <c r="C27" s="29">
        <v>99694272.150000006</v>
      </c>
      <c r="D27" s="252">
        <v>7.4894363311689945E-3</v>
      </c>
    </row>
    <row r="28" spans="1:4" ht="18.75" customHeight="1" thickBot="1">
      <c r="A28" s="1293">
        <v>281</v>
      </c>
      <c r="B28" s="1294" t="s">
        <v>1590</v>
      </c>
      <c r="C28" s="29">
        <v>77660958.049999997</v>
      </c>
      <c r="D28" s="252">
        <v>5.8342047962186882E-3</v>
      </c>
    </row>
    <row r="29" spans="1:4" ht="18.75" customHeight="1" thickBot="1">
      <c r="A29" s="1293">
        <v>282</v>
      </c>
      <c r="B29" s="1294" t="s">
        <v>1591</v>
      </c>
      <c r="C29" s="29">
        <v>35676935.380000003</v>
      </c>
      <c r="D29" s="252">
        <v>2.6801954641657967E-3</v>
      </c>
    </row>
    <row r="30" spans="1:4" ht="21.75" customHeight="1" thickBot="1">
      <c r="A30" s="7">
        <v>29</v>
      </c>
      <c r="B30" s="1295" t="s">
        <v>1592</v>
      </c>
      <c r="C30" s="29">
        <v>2517283980.4000001</v>
      </c>
      <c r="D30" s="252">
        <v>0.18910853845556122</v>
      </c>
    </row>
    <row r="31" spans="1:4" ht="30" customHeight="1" thickBot="1">
      <c r="A31" s="1293">
        <v>290</v>
      </c>
      <c r="B31" s="1292" t="s">
        <v>289</v>
      </c>
      <c r="C31" s="29">
        <v>1872734586</v>
      </c>
      <c r="D31" s="252">
        <v>0.14068738498759506</v>
      </c>
    </row>
    <row r="32" spans="1:4" ht="30.75" customHeight="1" thickBot="1">
      <c r="A32" s="1293">
        <v>290.5</v>
      </c>
      <c r="B32" s="1292" t="s">
        <v>290</v>
      </c>
      <c r="C32" s="29">
        <v>-2768013.68</v>
      </c>
      <c r="D32" s="252">
        <v>-2.079443660411416E-4</v>
      </c>
    </row>
    <row r="33" spans="1:4" ht="18.75" customHeight="1" thickBot="1">
      <c r="A33" s="1293">
        <v>290.89999999999998</v>
      </c>
      <c r="B33" s="1294" t="s">
        <v>291</v>
      </c>
      <c r="C33" s="29">
        <v>92797500</v>
      </c>
      <c r="D33" s="252">
        <v>6.9713229552040498E-3</v>
      </c>
    </row>
    <row r="34" spans="1:4" ht="18.75" customHeight="1" thickBot="1">
      <c r="A34" s="1293">
        <v>291</v>
      </c>
      <c r="B34" s="1294" t="s">
        <v>1593</v>
      </c>
      <c r="C34" s="29">
        <v>227956862.06999999</v>
      </c>
      <c r="D34" s="252">
        <v>1.7125040064062871E-2</v>
      </c>
    </row>
    <row r="35" spans="1:4" ht="18.75" customHeight="1" thickBot="1">
      <c r="A35" s="1293">
        <v>292</v>
      </c>
      <c r="B35" s="1294" t="s">
        <v>1594</v>
      </c>
      <c r="C35" s="29">
        <v>-6028509.8600000003</v>
      </c>
      <c r="D35" s="252">
        <v>-4.5288600633305805E-4</v>
      </c>
    </row>
    <row r="36" spans="1:4" ht="18.75" customHeight="1" thickBot="1">
      <c r="A36" s="1293">
        <v>293</v>
      </c>
      <c r="B36" s="1294" t="s">
        <v>1595</v>
      </c>
      <c r="C36" s="29">
        <v>332353440.48000002</v>
      </c>
      <c r="D36" s="252">
        <v>2.4967732631366868E-2</v>
      </c>
    </row>
    <row r="37" spans="1:4" ht="18.75" customHeight="1" thickBot="1">
      <c r="A37" s="1293">
        <v>299</v>
      </c>
      <c r="B37" s="1294" t="s">
        <v>1596</v>
      </c>
      <c r="C37" s="29">
        <v>238115.4</v>
      </c>
      <c r="D37" s="252">
        <v>1.7888190457798908E-5</v>
      </c>
    </row>
    <row r="38" spans="1:4" s="115" customFormat="1" ht="35.25" customHeight="1" thickBot="1">
      <c r="A38" s="13">
        <v>2</v>
      </c>
      <c r="B38" s="13" t="s">
        <v>1597</v>
      </c>
      <c r="C38" s="1296">
        <v>13311318468</v>
      </c>
      <c r="D38" s="275">
        <v>1</v>
      </c>
    </row>
    <row r="39" spans="1:4" ht="19.5" customHeight="1">
      <c r="A39" s="9" t="s">
        <v>292</v>
      </c>
      <c r="B39" s="103"/>
      <c r="C39" s="117"/>
      <c r="D39" s="309"/>
    </row>
    <row r="41" spans="1:4">
      <c r="A41" s="3" t="s">
        <v>1598</v>
      </c>
    </row>
  </sheetData>
  <phoneticPr fontId="0" type="noConversion"/>
  <pageMargins left="0.78740157480314965" right="0.78740157480314965" top="1.47" bottom="0.49" header="0.94" footer="0.4921259845"/>
  <pageSetup paperSize="9" scale="80" orientation="portrait" horizontalDpi="4294967292" verticalDpi="4294967292"/>
  <headerFooter alignWithMargins="0">
    <oddHeader>&amp;L&amp;"Arial,Bold"&amp;14Gesamtgeschäft der vom BSV anerkannten Krankenversicherer</oddHeader>
    <oddFooter>&amp;L&amp;"Arial,Regular"Statistik über die Krankenversicherung, Bundesamt für Sozialversicherung</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FDBF7-978B-BF4E-806D-E25BA082E2AD}">
  <dimension ref="A1:B24"/>
  <sheetViews>
    <sheetView workbookViewId="0">
      <selection activeCell="A14" sqref="A14"/>
    </sheetView>
  </sheetViews>
  <sheetFormatPr baseColWidth="10" defaultColWidth="11.3984375" defaultRowHeight="13"/>
  <cols>
    <col min="1" max="1" width="5.59765625" style="1280" customWidth="1"/>
    <col min="2" max="16384" width="11.3984375" style="1280"/>
  </cols>
  <sheetData>
    <row r="1" spans="1:2" ht="16">
      <c r="A1" s="1279" t="s">
        <v>1553</v>
      </c>
    </row>
    <row r="2" spans="1:2" ht="16">
      <c r="A2" s="1281"/>
    </row>
    <row r="3" spans="1:2">
      <c r="A3" s="1282">
        <v>9.01</v>
      </c>
      <c r="B3" s="1283" t="s">
        <v>1554</v>
      </c>
    </row>
    <row r="4" spans="1:2">
      <c r="A4" s="1282">
        <v>9.02</v>
      </c>
      <c r="B4" s="1283" t="s">
        <v>1555</v>
      </c>
    </row>
    <row r="5" spans="1:2">
      <c r="A5" s="1282">
        <v>9.0299999999999994</v>
      </c>
      <c r="B5" s="1283" t="s">
        <v>1556</v>
      </c>
    </row>
    <row r="6" spans="1:2">
      <c r="A6" s="1282">
        <v>9.0399999999999991</v>
      </c>
      <c r="B6" s="1283" t="s">
        <v>1557</v>
      </c>
    </row>
    <row r="7" spans="1:2">
      <c r="A7" s="1282">
        <v>9.0500000000000007</v>
      </c>
      <c r="B7" s="1283" t="s">
        <v>1558</v>
      </c>
    </row>
    <row r="8" spans="1:2">
      <c r="A8" s="1282">
        <v>9.06</v>
      </c>
      <c r="B8" s="1283" t="s">
        <v>1559</v>
      </c>
    </row>
    <row r="9" spans="1:2">
      <c r="A9" s="1282">
        <v>9.07</v>
      </c>
      <c r="B9" s="1284" t="s">
        <v>1560</v>
      </c>
    </row>
    <row r="10" spans="1:2">
      <c r="A10" s="1282">
        <v>9.08</v>
      </c>
      <c r="B10" s="1283" t="s">
        <v>1561</v>
      </c>
    </row>
    <row r="11" spans="1:2">
      <c r="A11" s="1282">
        <v>9.09</v>
      </c>
      <c r="B11" s="1283" t="s">
        <v>1562</v>
      </c>
    </row>
    <row r="12" spans="1:2">
      <c r="A12" s="1282">
        <v>9.1</v>
      </c>
      <c r="B12" s="1283" t="s">
        <v>1563</v>
      </c>
    </row>
    <row r="13" spans="1:2">
      <c r="A13" s="1282">
        <v>9.11</v>
      </c>
      <c r="B13" s="1283" t="s">
        <v>1564</v>
      </c>
    </row>
    <row r="14" spans="1:2">
      <c r="A14" s="1282">
        <v>9.1199999999999992</v>
      </c>
      <c r="B14" s="1283" t="s">
        <v>1565</v>
      </c>
    </row>
    <row r="15" spans="1:2">
      <c r="A15" s="1282">
        <v>9.1300000000000008</v>
      </c>
      <c r="B15" s="1283" t="s">
        <v>1566</v>
      </c>
    </row>
    <row r="16" spans="1:2">
      <c r="A16" s="1282">
        <v>9.14</v>
      </c>
      <c r="B16" s="1283" t="s">
        <v>1567</v>
      </c>
    </row>
    <row r="17" spans="1:2">
      <c r="A17" s="1282">
        <v>9.15</v>
      </c>
      <c r="B17" s="1283" t="s">
        <v>1568</v>
      </c>
    </row>
    <row r="18" spans="1:2">
      <c r="A18" s="1282">
        <v>9.16</v>
      </c>
      <c r="B18" s="1283" t="s">
        <v>1569</v>
      </c>
    </row>
    <row r="19" spans="1:2">
      <c r="A19" s="1282">
        <v>9.17</v>
      </c>
      <c r="B19" s="1283" t="s">
        <v>1570</v>
      </c>
    </row>
    <row r="20" spans="1:2">
      <c r="A20" s="1282">
        <v>9.18</v>
      </c>
      <c r="B20" s="1283" t="s">
        <v>1571</v>
      </c>
    </row>
    <row r="24" spans="1:2">
      <c r="B24" s="1284"/>
    </row>
  </sheetData>
  <phoneticPr fontId="23" type="noConversion"/>
  <pageMargins left="0.46" right="0.35" top="0.91" bottom="0.984251969" header="0.34" footer="0.4921259845"/>
  <pageSetup paperSize="9" orientation="portrait"/>
  <headerFooter alignWithMargins="0">
    <oddHeader>&amp;LZusatzinformationen zum Gesundheitswesen</oddHeader>
    <oddFooter>&amp;LStatistik der Krankenversicherung, Bundesamt für Sozialversicherung</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1BC4-ABA8-D145-B777-7CAD8BC25249}">
  <dimension ref="A1:AS33"/>
  <sheetViews>
    <sheetView zoomScale="75" workbookViewId="0"/>
  </sheetViews>
  <sheetFormatPr baseColWidth="10" defaultColWidth="11.3984375" defaultRowHeight="13"/>
  <cols>
    <col min="1" max="1" width="19" style="3" customWidth="1"/>
    <col min="2" max="2" width="9.796875" style="22" customWidth="1"/>
    <col min="3" max="11" width="9.796875" style="22" hidden="1" customWidth="1"/>
    <col min="12" max="12" width="9.796875" style="22" customWidth="1"/>
    <col min="13" max="21" width="9.796875" style="22" hidden="1" customWidth="1"/>
    <col min="22" max="22" width="9.796875" style="3" customWidth="1"/>
    <col min="23" max="26" width="9.796875" style="3" hidden="1" customWidth="1"/>
    <col min="27" max="27" width="9.19921875" style="3" customWidth="1"/>
    <col min="28" max="31" width="9.796875" style="3" hidden="1" customWidth="1"/>
    <col min="32" max="32" width="9.796875" style="3" customWidth="1"/>
    <col min="33" max="36" width="10.796875" style="3" hidden="1" customWidth="1"/>
    <col min="37" max="37" width="9.796875" style="3" customWidth="1"/>
    <col min="38" max="38" width="9.19921875" style="3" customWidth="1"/>
    <col min="39" max="40" width="9.796875" style="3" customWidth="1"/>
    <col min="41" max="41" width="10.19921875" style="3" customWidth="1"/>
    <col min="42" max="42" width="10.796875" style="3" customWidth="1"/>
    <col min="43" max="43" width="10.19921875" style="3" customWidth="1"/>
    <col min="44" max="16384" width="11.3984375" style="3"/>
  </cols>
  <sheetData>
    <row r="1" spans="1:43" s="1" customFormat="1" ht="13.5" customHeight="1">
      <c r="A1" s="62"/>
      <c r="B1" s="634"/>
      <c r="C1" s="634"/>
      <c r="D1" s="634"/>
      <c r="E1" s="634"/>
      <c r="F1" s="634"/>
      <c r="G1" s="634"/>
      <c r="H1" s="634"/>
      <c r="I1" s="634"/>
      <c r="J1" s="634"/>
      <c r="K1" s="634"/>
      <c r="L1" s="634"/>
      <c r="M1" s="634"/>
      <c r="N1" s="634"/>
      <c r="O1" s="634"/>
      <c r="P1" s="634"/>
      <c r="Q1" s="634"/>
      <c r="R1" s="634"/>
      <c r="S1" s="634"/>
      <c r="T1" s="634"/>
      <c r="U1" s="634"/>
      <c r="V1" s="62"/>
      <c r="W1" s="62"/>
      <c r="X1" s="62"/>
      <c r="Y1" s="62"/>
      <c r="Z1" s="62"/>
      <c r="AA1" s="62"/>
      <c r="AB1" s="62"/>
      <c r="AC1" s="62"/>
      <c r="AD1" s="62"/>
      <c r="AE1" s="62"/>
      <c r="AF1" s="62"/>
      <c r="AG1" s="62"/>
      <c r="AH1" s="62"/>
      <c r="AI1" s="62"/>
      <c r="AJ1" s="62"/>
      <c r="AK1" s="62"/>
      <c r="AL1" s="62"/>
      <c r="AM1" s="62"/>
      <c r="AN1" s="62"/>
    </row>
    <row r="2" spans="1:43" s="1" customFormat="1" ht="27" customHeight="1">
      <c r="A2" s="240" t="s">
        <v>839</v>
      </c>
      <c r="B2" s="634"/>
      <c r="C2" s="634"/>
      <c r="D2" s="634"/>
      <c r="E2" s="634"/>
      <c r="F2" s="634"/>
      <c r="G2" s="634"/>
      <c r="H2" s="634"/>
      <c r="I2" s="634"/>
      <c r="J2" s="634"/>
      <c r="K2" s="634"/>
      <c r="L2" s="634"/>
      <c r="M2" s="634"/>
      <c r="N2" s="634"/>
      <c r="O2" s="634"/>
      <c r="P2" s="634"/>
      <c r="Q2" s="634"/>
      <c r="R2" s="634"/>
      <c r="S2" s="634"/>
      <c r="T2" s="634"/>
      <c r="U2" s="634"/>
      <c r="V2" s="62"/>
      <c r="W2" s="62"/>
      <c r="X2" s="62"/>
      <c r="Y2" s="62"/>
      <c r="Z2" s="62"/>
      <c r="AA2" s="62"/>
      <c r="AB2" s="62"/>
      <c r="AC2" s="62"/>
      <c r="AD2" s="62"/>
      <c r="AE2" s="62"/>
      <c r="AF2" s="62"/>
      <c r="AG2" s="62"/>
      <c r="AH2" s="62"/>
      <c r="AI2" s="62"/>
      <c r="AJ2" s="62"/>
      <c r="AK2" s="62"/>
      <c r="AL2" s="62"/>
      <c r="AM2" s="62"/>
      <c r="AN2" s="62"/>
    </row>
    <row r="3" spans="1:43" ht="78" customHeight="1">
      <c r="A3" s="937" t="s">
        <v>840</v>
      </c>
      <c r="B3" s="938">
        <v>1960</v>
      </c>
      <c r="C3" s="938">
        <v>1961</v>
      </c>
      <c r="D3" s="938">
        <v>1962</v>
      </c>
      <c r="E3" s="938">
        <v>1963</v>
      </c>
      <c r="F3" s="938">
        <v>1964</v>
      </c>
      <c r="G3" s="938">
        <v>1965</v>
      </c>
      <c r="H3" s="938">
        <v>1966</v>
      </c>
      <c r="I3" s="938">
        <v>1967</v>
      </c>
      <c r="J3" s="938">
        <v>1968</v>
      </c>
      <c r="K3" s="938">
        <v>1969</v>
      </c>
      <c r="L3" s="939">
        <v>1970</v>
      </c>
      <c r="M3" s="939">
        <v>1971</v>
      </c>
      <c r="N3" s="939">
        <v>1972</v>
      </c>
      <c r="O3" s="939">
        <v>1973</v>
      </c>
      <c r="P3" s="939">
        <v>1974</v>
      </c>
      <c r="Q3" s="939">
        <v>1975</v>
      </c>
      <c r="R3" s="939">
        <v>1976</v>
      </c>
      <c r="S3" s="939">
        <v>1977</v>
      </c>
      <c r="T3" s="939">
        <v>1978</v>
      </c>
      <c r="U3" s="939">
        <v>1979</v>
      </c>
      <c r="V3" s="940">
        <v>1980</v>
      </c>
      <c r="W3" s="940">
        <v>1981</v>
      </c>
      <c r="X3" s="940">
        <v>1982</v>
      </c>
      <c r="Y3" s="940">
        <v>1983</v>
      </c>
      <c r="Z3" s="940">
        <v>1984</v>
      </c>
      <c r="AA3" s="939">
        <v>1985</v>
      </c>
      <c r="AB3" s="939">
        <v>1986</v>
      </c>
      <c r="AC3" s="939">
        <v>1987</v>
      </c>
      <c r="AD3" s="939">
        <v>1988</v>
      </c>
      <c r="AE3" s="939">
        <v>1989</v>
      </c>
      <c r="AF3" s="940">
        <v>1990</v>
      </c>
      <c r="AG3" s="940">
        <v>1991</v>
      </c>
      <c r="AH3" s="940">
        <v>1992</v>
      </c>
      <c r="AI3" s="940">
        <v>1993</v>
      </c>
      <c r="AJ3" s="940">
        <v>1994</v>
      </c>
      <c r="AK3" s="939">
        <v>1995</v>
      </c>
      <c r="AL3" s="940">
        <v>1996</v>
      </c>
      <c r="AM3" s="939">
        <v>1997</v>
      </c>
      <c r="AN3" s="940">
        <v>1998</v>
      </c>
      <c r="AO3" s="939">
        <v>1999</v>
      </c>
      <c r="AP3" s="940">
        <v>2000</v>
      </c>
      <c r="AQ3" s="939">
        <v>2001</v>
      </c>
    </row>
    <row r="4" spans="1:43" ht="30" customHeight="1" thickBot="1">
      <c r="A4" s="560" t="s">
        <v>841</v>
      </c>
      <c r="B4" s="127">
        <v>4.2999999999999997E-2</v>
      </c>
      <c r="C4" s="127" t="s">
        <v>490</v>
      </c>
      <c r="D4" s="127" t="s">
        <v>490</v>
      </c>
      <c r="E4" s="127">
        <v>4.4000000000000004E-2</v>
      </c>
      <c r="F4" s="127" t="s">
        <v>490</v>
      </c>
      <c r="G4" s="127" t="s">
        <v>490</v>
      </c>
      <c r="H4" s="127">
        <v>4.4999999999999998E-2</v>
      </c>
      <c r="I4" s="127" t="s">
        <v>490</v>
      </c>
      <c r="J4" s="127" t="s">
        <v>490</v>
      </c>
      <c r="K4" s="127">
        <v>4.9000000000000002E-2</v>
      </c>
      <c r="L4" s="126">
        <v>4.5499999999999999E-2</v>
      </c>
      <c r="M4" s="126">
        <v>5.5999999999999994E-2</v>
      </c>
      <c r="N4" s="126">
        <v>5.5999999999999994E-2</v>
      </c>
      <c r="O4" s="126">
        <v>5.5E-2</v>
      </c>
      <c r="P4" s="126">
        <v>6.3E-2</v>
      </c>
      <c r="Q4" s="126">
        <v>7.2000000000000008E-2</v>
      </c>
      <c r="R4" s="126">
        <v>7.2000000000000008E-2</v>
      </c>
      <c r="S4" s="126">
        <v>7.400000000000001E-2</v>
      </c>
      <c r="T4" s="126">
        <v>7.2999999999999995E-2</v>
      </c>
      <c r="U4" s="126">
        <v>7.0000000000000007E-2</v>
      </c>
      <c r="V4" s="127">
        <v>7.0000000000000007E-2</v>
      </c>
      <c r="W4" s="127">
        <v>7.0000000000000007E-2</v>
      </c>
      <c r="X4" s="127">
        <v>7.2999999999999995E-2</v>
      </c>
      <c r="Y4" s="127">
        <v>7.2999999999999995E-2</v>
      </c>
      <c r="Z4" s="127">
        <v>7.2999999999999995E-2</v>
      </c>
      <c r="AA4" s="126">
        <v>7.400000000000001E-2</v>
      </c>
      <c r="AB4" s="126">
        <v>7.6999999999999999E-2</v>
      </c>
      <c r="AC4" s="126">
        <v>7.400000000000001E-2</v>
      </c>
      <c r="AD4" s="126">
        <v>7.2999999999999995E-2</v>
      </c>
      <c r="AE4" s="126">
        <v>7.400000000000001E-2</v>
      </c>
      <c r="AF4" s="127">
        <v>7.8E-2</v>
      </c>
      <c r="AG4" s="127">
        <v>0.08</v>
      </c>
      <c r="AH4" s="127">
        <v>8.1000000000000003E-2</v>
      </c>
      <c r="AI4" s="127">
        <v>8.1000000000000003E-2</v>
      </c>
      <c r="AJ4" s="127">
        <v>8.1000000000000003E-2</v>
      </c>
      <c r="AK4" s="126">
        <v>8.199999999999999E-2</v>
      </c>
      <c r="AL4" s="127">
        <v>8.3000000000000004E-2</v>
      </c>
      <c r="AM4" s="126">
        <v>8.4000000000000005E-2</v>
      </c>
      <c r="AN4" s="127">
        <v>8.5000000000000006E-2</v>
      </c>
      <c r="AO4" s="126">
        <v>8.6999999999999994E-2</v>
      </c>
      <c r="AP4" s="127">
        <v>8.8999999999999996E-2</v>
      </c>
      <c r="AQ4" s="126" t="s">
        <v>490</v>
      </c>
    </row>
    <row r="5" spans="1:43" ht="18" customHeight="1" thickBot="1">
      <c r="A5" s="561" t="s">
        <v>842</v>
      </c>
      <c r="B5" s="128">
        <v>3.4000000000000002E-2</v>
      </c>
      <c r="C5" s="128" t="s">
        <v>490</v>
      </c>
      <c r="D5" s="128" t="s">
        <v>490</v>
      </c>
      <c r="E5" s="128" t="s">
        <v>490</v>
      </c>
      <c r="F5" s="128" t="s">
        <v>490</v>
      </c>
      <c r="G5" s="128" t="s">
        <v>490</v>
      </c>
      <c r="H5" s="128" t="s">
        <v>490</v>
      </c>
      <c r="I5" s="128" t="s">
        <v>490</v>
      </c>
      <c r="J5" s="128" t="s">
        <v>490</v>
      </c>
      <c r="K5" s="128" t="s">
        <v>490</v>
      </c>
      <c r="L5" s="26">
        <v>0.04</v>
      </c>
      <c r="M5" s="26">
        <v>4.0999999999999995E-2</v>
      </c>
      <c r="N5" s="26">
        <v>4.2999999999999997E-2</v>
      </c>
      <c r="O5" s="26">
        <v>4.5999999999999999E-2</v>
      </c>
      <c r="P5" s="26">
        <v>4.5999999999999999E-2</v>
      </c>
      <c r="Q5" s="26">
        <v>5.7999999999999996E-2</v>
      </c>
      <c r="R5" s="26">
        <v>0.06</v>
      </c>
      <c r="S5" s="26">
        <v>6.5000000000000002E-2</v>
      </c>
      <c r="T5" s="26">
        <v>6.7000000000000004E-2</v>
      </c>
      <c r="U5" s="26">
        <v>6.7000000000000004E-2</v>
      </c>
      <c r="V5" s="128">
        <v>6.4000000000000001E-2</v>
      </c>
      <c r="W5" s="128">
        <v>6.9000000000000006E-2</v>
      </c>
      <c r="X5" s="128">
        <v>7.0999999999999994E-2</v>
      </c>
      <c r="Y5" s="128">
        <v>7.2999999999999995E-2</v>
      </c>
      <c r="Z5" s="128">
        <v>7.0999999999999994E-2</v>
      </c>
      <c r="AA5" s="26">
        <v>7.2000000000000008E-2</v>
      </c>
      <c r="AB5" s="26">
        <v>7.2999999999999995E-2</v>
      </c>
      <c r="AC5" s="26">
        <v>7.400000000000001E-2</v>
      </c>
      <c r="AD5" s="26">
        <v>7.400000000000001E-2</v>
      </c>
      <c r="AE5" s="26">
        <v>7.2999999999999995E-2</v>
      </c>
      <c r="AF5" s="128">
        <v>7.400000000000001E-2</v>
      </c>
      <c r="AG5" s="128">
        <v>7.6999999999999999E-2</v>
      </c>
      <c r="AH5" s="128">
        <v>7.9000000000000001E-2</v>
      </c>
      <c r="AI5" s="128">
        <v>8.1000000000000003E-2</v>
      </c>
      <c r="AJ5" s="128">
        <v>7.9000000000000001E-2</v>
      </c>
      <c r="AK5" s="26">
        <v>8.6999999999999994E-2</v>
      </c>
      <c r="AL5" s="128">
        <v>8.8000000000000009E-2</v>
      </c>
      <c r="AM5" s="26">
        <v>8.5000000000000006E-2</v>
      </c>
      <c r="AN5" s="128">
        <v>8.5000000000000006E-2</v>
      </c>
      <c r="AO5" s="26">
        <v>8.6999999999999994E-2</v>
      </c>
      <c r="AP5" s="128">
        <v>8.6999999999999994E-2</v>
      </c>
      <c r="AQ5" s="26" t="s">
        <v>490</v>
      </c>
    </row>
    <row r="6" spans="1:43" ht="18" customHeight="1" thickBot="1">
      <c r="A6" s="561" t="s">
        <v>843</v>
      </c>
      <c r="B6" s="128" t="s">
        <v>490</v>
      </c>
      <c r="C6" s="128" t="s">
        <v>490</v>
      </c>
      <c r="D6" s="128" t="s">
        <v>490</v>
      </c>
      <c r="E6" s="128" t="s">
        <v>490</v>
      </c>
      <c r="F6" s="128" t="s">
        <v>490</v>
      </c>
      <c r="G6" s="128" t="s">
        <v>490</v>
      </c>
      <c r="H6" s="128" t="s">
        <v>490</v>
      </c>
      <c r="I6" s="128" t="s">
        <v>490</v>
      </c>
      <c r="J6" s="128" t="s">
        <v>490</v>
      </c>
      <c r="K6" s="128" t="s">
        <v>490</v>
      </c>
      <c r="L6" s="26" t="s">
        <v>490</v>
      </c>
      <c r="M6" s="26">
        <v>0.08</v>
      </c>
      <c r="N6" s="26">
        <v>8.1000000000000003E-2</v>
      </c>
      <c r="O6" s="26">
        <v>7.9000000000000001E-2</v>
      </c>
      <c r="P6" s="26">
        <v>8.5999999999999993E-2</v>
      </c>
      <c r="Q6" s="26">
        <v>8.900000000000001E-2</v>
      </c>
      <c r="R6" s="26">
        <v>8.8000000000000009E-2</v>
      </c>
      <c r="S6" s="26">
        <v>8.5999999999999993E-2</v>
      </c>
      <c r="T6" s="26">
        <v>8.6999999999999994E-2</v>
      </c>
      <c r="U6" s="26">
        <v>8.8000000000000009E-2</v>
      </c>
      <c r="V6" s="128">
        <v>9.0999999999999998E-2</v>
      </c>
      <c r="W6" s="128">
        <v>9.3000000000000013E-2</v>
      </c>
      <c r="X6" s="128">
        <v>9.3000000000000013E-2</v>
      </c>
      <c r="Y6" s="128">
        <v>0.09</v>
      </c>
      <c r="Z6" s="128">
        <v>8.6999999999999994E-2</v>
      </c>
      <c r="AA6" s="26">
        <v>8.6999999999999994E-2</v>
      </c>
      <c r="AB6" s="26">
        <v>8.3000000000000004E-2</v>
      </c>
      <c r="AC6" s="26">
        <v>8.5999999999999993E-2</v>
      </c>
      <c r="AD6" s="26">
        <v>8.8000000000000009E-2</v>
      </c>
      <c r="AE6" s="26">
        <v>8.5999999999999993E-2</v>
      </c>
      <c r="AF6" s="128">
        <v>8.5000000000000006E-2</v>
      </c>
      <c r="AG6" s="128">
        <v>8.4000000000000005E-2</v>
      </c>
      <c r="AH6" s="128">
        <v>8.5000000000000006E-2</v>
      </c>
      <c r="AI6" s="128">
        <v>8.8000000000000009E-2</v>
      </c>
      <c r="AJ6" s="128">
        <v>8.5000000000000006E-2</v>
      </c>
      <c r="AK6" s="26">
        <v>8.199999999999999E-2</v>
      </c>
      <c r="AL6" s="128">
        <v>8.3000000000000004E-2</v>
      </c>
      <c r="AM6" s="26">
        <v>8.199999999999999E-2</v>
      </c>
      <c r="AN6" s="128">
        <v>8.4000000000000005E-2</v>
      </c>
      <c r="AO6" s="26">
        <v>8.5000000000000006E-2</v>
      </c>
      <c r="AP6" s="128">
        <v>8.3000000000000004E-2</v>
      </c>
      <c r="AQ6" s="26">
        <v>8.5999999999999993E-2</v>
      </c>
    </row>
    <row r="7" spans="1:43" ht="18" customHeight="1" thickBot="1">
      <c r="A7" s="561" t="s">
        <v>844</v>
      </c>
      <c r="B7" s="128">
        <v>4.8000000000000001E-2</v>
      </c>
      <c r="C7" s="128">
        <v>4.8000000000000001E-2</v>
      </c>
      <c r="D7" s="128">
        <v>0.05</v>
      </c>
      <c r="E7" s="128">
        <v>4.9000000000000002E-2</v>
      </c>
      <c r="F7" s="128">
        <v>4.9000000000000002E-2</v>
      </c>
      <c r="G7" s="128">
        <v>5.0999999999999997E-2</v>
      </c>
      <c r="H7" s="128">
        <v>5.5E-2</v>
      </c>
      <c r="I7" s="128">
        <v>5.7000000000000002E-2</v>
      </c>
      <c r="J7" s="128">
        <v>5.7999999999999996E-2</v>
      </c>
      <c r="K7" s="128">
        <v>5.7999999999999996E-2</v>
      </c>
      <c r="L7" s="26">
        <v>6.3E-2</v>
      </c>
      <c r="M7" s="26">
        <v>6.8000000000000005E-2</v>
      </c>
      <c r="N7" s="26">
        <v>7.0999999999999994E-2</v>
      </c>
      <c r="O7" s="26">
        <v>7.400000000000001E-2</v>
      </c>
      <c r="P7" s="26">
        <v>0.08</v>
      </c>
      <c r="Q7" s="26">
        <v>8.8000000000000009E-2</v>
      </c>
      <c r="R7" s="26">
        <v>8.6999999999999994E-2</v>
      </c>
      <c r="S7" s="26">
        <v>8.5999999999999993E-2</v>
      </c>
      <c r="T7" s="26">
        <v>8.6999999999999994E-2</v>
      </c>
      <c r="U7" s="26">
        <v>8.5000000000000006E-2</v>
      </c>
      <c r="V7" s="128">
        <v>8.8000000000000009E-2</v>
      </c>
      <c r="W7" s="128">
        <v>9.1999999999999998E-2</v>
      </c>
      <c r="X7" s="128">
        <v>9.0999999999999998E-2</v>
      </c>
      <c r="Y7" s="128">
        <v>0.09</v>
      </c>
      <c r="Z7" s="128">
        <v>9.0999999999999998E-2</v>
      </c>
      <c r="AA7" s="26">
        <v>9.3000000000000013E-2</v>
      </c>
      <c r="AB7" s="26">
        <v>9.0999999999999998E-2</v>
      </c>
      <c r="AC7" s="26">
        <v>9.1999999999999998E-2</v>
      </c>
      <c r="AD7" s="26">
        <v>9.4E-2</v>
      </c>
      <c r="AE7" s="26">
        <v>8.8000000000000009E-2</v>
      </c>
      <c r="AF7" s="128">
        <v>8.6999999999999994E-2</v>
      </c>
      <c r="AG7" s="128">
        <v>9.0999999999999998E-2</v>
      </c>
      <c r="AH7" s="128">
        <v>9.6999999999999989E-2</v>
      </c>
      <c r="AI7" s="128">
        <v>9.6999999999999989E-2</v>
      </c>
      <c r="AJ7" s="128">
        <v>9.8000000000000004E-2</v>
      </c>
      <c r="AK7" s="26">
        <v>0.10199999999999999</v>
      </c>
      <c r="AL7" s="128">
        <v>0.106</v>
      </c>
      <c r="AM7" s="26">
        <v>0.105</v>
      </c>
      <c r="AN7" s="128">
        <v>0.10300000000000001</v>
      </c>
      <c r="AO7" s="26">
        <v>0.106</v>
      </c>
      <c r="AP7" s="128">
        <v>0.106</v>
      </c>
      <c r="AQ7" s="26">
        <v>0.107</v>
      </c>
    </row>
    <row r="8" spans="1:43" ht="18" customHeight="1" thickBot="1">
      <c r="A8" s="561" t="s">
        <v>845</v>
      </c>
      <c r="B8" s="128">
        <v>3.9E-2</v>
      </c>
      <c r="C8" s="128">
        <v>3.9E-2</v>
      </c>
      <c r="D8" s="128">
        <v>4.0999999999999995E-2</v>
      </c>
      <c r="E8" s="128">
        <v>4.2999999999999997E-2</v>
      </c>
      <c r="F8" s="128">
        <v>4.4999999999999998E-2</v>
      </c>
      <c r="G8" s="128">
        <v>4.9000000000000002E-2</v>
      </c>
      <c r="H8" s="128">
        <v>5.0999999999999997E-2</v>
      </c>
      <c r="I8" s="128">
        <v>5.5999999999999994E-2</v>
      </c>
      <c r="J8" s="128">
        <v>5.7999999999999996E-2</v>
      </c>
      <c r="K8" s="128">
        <v>5.7999999999999996E-2</v>
      </c>
      <c r="L8" s="26">
        <v>5.5999999999999994E-2</v>
      </c>
      <c r="M8" s="26">
        <v>5.7000000000000002E-2</v>
      </c>
      <c r="N8" s="26">
        <v>5.9000000000000004E-2</v>
      </c>
      <c r="O8" s="26">
        <v>5.7000000000000002E-2</v>
      </c>
      <c r="P8" s="26">
        <v>5.7000000000000002E-2</v>
      </c>
      <c r="Q8" s="26">
        <v>6.2E-2</v>
      </c>
      <c r="R8" s="26">
        <v>6.5000000000000002E-2</v>
      </c>
      <c r="S8" s="26">
        <v>6.7000000000000004E-2</v>
      </c>
      <c r="T8" s="26">
        <v>6.7000000000000004E-2</v>
      </c>
      <c r="U8" s="26">
        <v>6.4000000000000001E-2</v>
      </c>
      <c r="V8" s="128">
        <v>6.4000000000000001E-2</v>
      </c>
      <c r="W8" s="128">
        <v>6.5000000000000002E-2</v>
      </c>
      <c r="X8" s="128">
        <v>6.7000000000000004E-2</v>
      </c>
      <c r="Y8" s="128">
        <v>6.8000000000000005E-2</v>
      </c>
      <c r="Z8" s="128">
        <v>6.8000000000000005E-2</v>
      </c>
      <c r="AA8" s="26">
        <v>7.2000000000000008E-2</v>
      </c>
      <c r="AB8" s="26">
        <v>7.2999999999999995E-2</v>
      </c>
      <c r="AC8" s="26">
        <v>7.400000000000001E-2</v>
      </c>
      <c r="AD8" s="26">
        <v>7.2000000000000008E-2</v>
      </c>
      <c r="AE8" s="26">
        <v>7.2000000000000008E-2</v>
      </c>
      <c r="AF8" s="128">
        <v>7.9000000000000001E-2</v>
      </c>
      <c r="AG8" s="128">
        <v>0.09</v>
      </c>
      <c r="AH8" s="128">
        <v>9.0999999999999998E-2</v>
      </c>
      <c r="AI8" s="128">
        <v>8.3000000000000004E-2</v>
      </c>
      <c r="AJ8" s="128">
        <v>7.8E-2</v>
      </c>
      <c r="AK8" s="26">
        <v>7.4999999999999997E-2</v>
      </c>
      <c r="AL8" s="128">
        <v>7.6999999999999999E-2</v>
      </c>
      <c r="AM8" s="26">
        <v>7.2999999999999995E-2</v>
      </c>
      <c r="AN8" s="128">
        <v>6.9000000000000006E-2</v>
      </c>
      <c r="AO8" s="26">
        <v>6.9000000000000006E-2</v>
      </c>
      <c r="AP8" s="128">
        <v>6.6000000000000003E-2</v>
      </c>
      <c r="AQ8" s="26">
        <v>7.0000000000000007E-2</v>
      </c>
    </row>
    <row r="9" spans="1:43" ht="18" customHeight="1" thickBot="1">
      <c r="A9" s="561" t="s">
        <v>846</v>
      </c>
      <c r="B9" s="128">
        <v>4.0999999999999995E-2</v>
      </c>
      <c r="C9" s="128">
        <v>4.4000000000000004E-2</v>
      </c>
      <c r="D9" s="128">
        <v>4.4999999999999998E-2</v>
      </c>
      <c r="E9" s="128">
        <v>4.7E-2</v>
      </c>
      <c r="F9" s="128">
        <v>4.9000000000000002E-2</v>
      </c>
      <c r="G9" s="128">
        <v>5.0999999999999997E-2</v>
      </c>
      <c r="H9" s="128">
        <v>5.2999999999999999E-2</v>
      </c>
      <c r="I9" s="128">
        <v>5.4000000000000006E-2</v>
      </c>
      <c r="J9" s="128">
        <v>5.2999999999999999E-2</v>
      </c>
      <c r="K9" s="128">
        <v>5.7000000000000002E-2</v>
      </c>
      <c r="L9" s="26">
        <v>5.7000000000000002E-2</v>
      </c>
      <c r="M9" s="26">
        <v>5.9000000000000004E-2</v>
      </c>
      <c r="N9" s="26">
        <v>0.06</v>
      </c>
      <c r="O9" s="26">
        <v>0.06</v>
      </c>
      <c r="P9" s="26">
        <v>6.0999999999999999E-2</v>
      </c>
      <c r="Q9" s="26">
        <v>6.8000000000000005E-2</v>
      </c>
      <c r="R9" s="26">
        <v>6.8000000000000005E-2</v>
      </c>
      <c r="S9" s="26">
        <v>6.8000000000000005E-2</v>
      </c>
      <c r="T9" s="26">
        <v>7.0999999999999994E-2</v>
      </c>
      <c r="U9" s="26">
        <v>7.2000000000000008E-2</v>
      </c>
      <c r="V9" s="128">
        <v>7.400000000000001E-2</v>
      </c>
      <c r="W9" s="128">
        <v>7.6999999999999999E-2</v>
      </c>
      <c r="X9" s="128">
        <v>7.8E-2</v>
      </c>
      <c r="Y9" s="128">
        <v>0.08</v>
      </c>
      <c r="Z9" s="128">
        <v>8.3000000000000004E-2</v>
      </c>
      <c r="AA9" s="26">
        <v>8.3000000000000004E-2</v>
      </c>
      <c r="AB9" s="26" t="s">
        <v>490</v>
      </c>
      <c r="AC9" s="26" t="s">
        <v>490</v>
      </c>
      <c r="AD9" s="26" t="s">
        <v>490</v>
      </c>
      <c r="AE9" s="26" t="s">
        <v>490</v>
      </c>
      <c r="AF9" s="128">
        <v>8.5999999999999993E-2</v>
      </c>
      <c r="AG9" s="128">
        <v>8.900000000000001E-2</v>
      </c>
      <c r="AH9" s="128">
        <v>9.0999999999999998E-2</v>
      </c>
      <c r="AI9" s="128">
        <v>9.5000000000000001E-2</v>
      </c>
      <c r="AJ9" s="128">
        <v>9.4E-2</v>
      </c>
      <c r="AK9" s="26">
        <v>9.6000000000000002E-2</v>
      </c>
      <c r="AL9" s="128">
        <v>9.6000000000000002E-2</v>
      </c>
      <c r="AM9" s="26">
        <v>9.4E-2</v>
      </c>
      <c r="AN9" s="128">
        <v>9.3000000000000013E-2</v>
      </c>
      <c r="AO9" s="26">
        <v>9.2999999999999999E-2</v>
      </c>
      <c r="AP9" s="128">
        <v>9.2999999999999999E-2</v>
      </c>
      <c r="AQ9" s="26">
        <v>9.5000000000000001E-2</v>
      </c>
    </row>
    <row r="10" spans="1:43" ht="18" customHeight="1" thickBot="1">
      <c r="A10" s="561" t="s">
        <v>847</v>
      </c>
      <c r="B10" s="128">
        <v>3.9E-2</v>
      </c>
      <c r="C10" s="128">
        <v>0.04</v>
      </c>
      <c r="D10" s="128">
        <v>0.04</v>
      </c>
      <c r="E10" s="128">
        <v>4.0999999999999995E-2</v>
      </c>
      <c r="F10" s="128">
        <v>4.0999999999999995E-2</v>
      </c>
      <c r="G10" s="128">
        <v>4.0999999999999995E-2</v>
      </c>
      <c r="H10" s="128">
        <v>4.2000000000000003E-2</v>
      </c>
      <c r="I10" s="128">
        <v>4.4000000000000004E-2</v>
      </c>
      <c r="J10" s="128">
        <v>4.4999999999999998E-2</v>
      </c>
      <c r="K10" s="128">
        <v>4.4000000000000004E-2</v>
      </c>
      <c r="L10" s="26">
        <v>4.4999999999999998E-2</v>
      </c>
      <c r="M10" s="26">
        <v>4.5999999999999999E-2</v>
      </c>
      <c r="N10" s="26">
        <v>4.7E-2</v>
      </c>
      <c r="O10" s="26">
        <v>4.7E-2</v>
      </c>
      <c r="P10" s="26">
        <v>5.2000000000000005E-2</v>
      </c>
      <c r="Q10" s="26">
        <v>5.5E-2</v>
      </c>
      <c r="R10" s="26">
        <v>5.5E-2</v>
      </c>
      <c r="S10" s="26">
        <v>5.2999999999999999E-2</v>
      </c>
      <c r="T10" s="26">
        <v>5.2999999999999999E-2</v>
      </c>
      <c r="U10" s="26">
        <v>5.2999999999999999E-2</v>
      </c>
      <c r="V10" s="128">
        <v>5.5999999999999994E-2</v>
      </c>
      <c r="W10" s="128">
        <v>5.9000000000000004E-2</v>
      </c>
      <c r="X10" s="128">
        <v>5.7999999999999996E-2</v>
      </c>
      <c r="Y10" s="128">
        <v>0.06</v>
      </c>
      <c r="Z10" s="128">
        <v>0.06</v>
      </c>
      <c r="AA10" s="26">
        <v>5.9000000000000004E-2</v>
      </c>
      <c r="AB10" s="26">
        <v>5.9000000000000004E-2</v>
      </c>
      <c r="AC10" s="26">
        <v>0.06</v>
      </c>
      <c r="AD10" s="26">
        <v>5.9000000000000004E-2</v>
      </c>
      <c r="AE10" s="26">
        <v>5.9000000000000004E-2</v>
      </c>
      <c r="AF10" s="128">
        <v>0.06</v>
      </c>
      <c r="AG10" s="128">
        <v>6.5000000000000002E-2</v>
      </c>
      <c r="AH10" s="128">
        <v>6.9000000000000006E-2</v>
      </c>
      <c r="AI10" s="128">
        <v>6.9000000000000006E-2</v>
      </c>
      <c r="AJ10" s="128">
        <v>7.0000000000000007E-2</v>
      </c>
      <c r="AK10" s="26">
        <v>7.0000000000000007E-2</v>
      </c>
      <c r="AL10" s="128">
        <v>7.0000000000000007E-2</v>
      </c>
      <c r="AM10" s="26">
        <v>6.8000000000000005E-2</v>
      </c>
      <c r="AN10" s="128">
        <v>6.8000000000000005E-2</v>
      </c>
      <c r="AO10" s="26">
        <v>7.0999999999999994E-2</v>
      </c>
      <c r="AP10" s="128">
        <v>7.2999999999999995E-2</v>
      </c>
      <c r="AQ10" s="26">
        <v>7.5999999999999998E-2</v>
      </c>
    </row>
    <row r="11" spans="1:43" ht="18" customHeight="1" thickBot="1">
      <c r="A11" s="561" t="s">
        <v>848</v>
      </c>
      <c r="B11" s="128">
        <v>3.6000000000000004E-2</v>
      </c>
      <c r="C11" s="128">
        <v>3.6000000000000004E-2</v>
      </c>
      <c r="D11" s="128">
        <v>3.5000000000000003E-2</v>
      </c>
      <c r="E11" s="128">
        <v>3.7000000000000005E-2</v>
      </c>
      <c r="F11" s="128">
        <v>0.04</v>
      </c>
      <c r="G11" s="128">
        <v>4.2999999999999997E-2</v>
      </c>
      <c r="H11" s="128">
        <v>4.4999999999999998E-2</v>
      </c>
      <c r="I11" s="128">
        <v>4.7E-2</v>
      </c>
      <c r="J11" s="128">
        <v>4.8000000000000001E-2</v>
      </c>
      <c r="K11" s="128">
        <v>4.9000000000000002E-2</v>
      </c>
      <c r="L11" s="26">
        <v>5.0999999999999997E-2</v>
      </c>
      <c r="M11" s="26">
        <v>5.5E-2</v>
      </c>
      <c r="N11" s="26">
        <v>5.9000000000000004E-2</v>
      </c>
      <c r="O11" s="26">
        <v>5.9000000000000004E-2</v>
      </c>
      <c r="P11" s="26">
        <v>5.9000000000000004E-2</v>
      </c>
      <c r="Q11" s="26">
        <v>6.2E-2</v>
      </c>
      <c r="R11" s="26">
        <v>6.0999999999999999E-2</v>
      </c>
      <c r="S11" s="26">
        <v>5.7000000000000002E-2</v>
      </c>
      <c r="T11" s="26">
        <v>5.9000000000000004E-2</v>
      </c>
      <c r="U11" s="26">
        <v>6.0999999999999999E-2</v>
      </c>
      <c r="V11" s="128">
        <v>7.0000000000000007E-2</v>
      </c>
      <c r="W11" s="128">
        <v>6.9000000000000006E-2</v>
      </c>
      <c r="X11" s="128">
        <v>7.0000000000000007E-2</v>
      </c>
      <c r="Y11" s="128">
        <v>7.0999999999999994E-2</v>
      </c>
      <c r="Z11" s="128">
        <v>6.9000000000000006E-2</v>
      </c>
      <c r="AA11" s="26">
        <v>7.0000000000000007E-2</v>
      </c>
      <c r="AB11" s="26" t="s">
        <v>490</v>
      </c>
      <c r="AC11" s="26" t="s">
        <v>490</v>
      </c>
      <c r="AD11" s="26">
        <v>7.6999999999999999E-2</v>
      </c>
      <c r="AE11" s="26">
        <v>7.6999999999999999E-2</v>
      </c>
      <c r="AF11" s="128">
        <v>0.08</v>
      </c>
      <c r="AG11" s="128">
        <v>8.3000000000000004E-2</v>
      </c>
      <c r="AH11" s="128">
        <v>8.4000000000000005E-2</v>
      </c>
      <c r="AI11" s="128">
        <v>8.1000000000000003E-2</v>
      </c>
      <c r="AJ11" s="128">
        <v>7.8E-2</v>
      </c>
      <c r="AK11" s="26">
        <v>7.400000000000001E-2</v>
      </c>
      <c r="AL11" s="128">
        <v>7.4999999999999997E-2</v>
      </c>
      <c r="AM11" s="26">
        <v>7.6999999999999999E-2</v>
      </c>
      <c r="AN11" s="128">
        <v>7.6999999999999999E-2</v>
      </c>
      <c r="AO11" s="26">
        <v>7.8E-2</v>
      </c>
      <c r="AP11" s="128">
        <v>8.2000000000000003E-2</v>
      </c>
      <c r="AQ11" s="26">
        <v>8.4000000000000005E-2</v>
      </c>
    </row>
    <row r="12" spans="1:43" ht="18" customHeight="1" thickBot="1">
      <c r="A12" s="561" t="s">
        <v>849</v>
      </c>
      <c r="B12" s="128">
        <v>0.03</v>
      </c>
      <c r="C12" s="128">
        <v>3.4000000000000002E-2</v>
      </c>
      <c r="D12" s="128">
        <v>3.6000000000000004E-2</v>
      </c>
      <c r="E12" s="128">
        <v>3.9E-2</v>
      </c>
      <c r="F12" s="128">
        <v>3.5000000000000003E-2</v>
      </c>
      <c r="G12" s="128">
        <v>4.4999999999999998E-2</v>
      </c>
      <c r="H12" s="128">
        <v>4.5999999999999999E-2</v>
      </c>
      <c r="I12" s="128">
        <v>4.7E-2</v>
      </c>
      <c r="J12" s="128">
        <v>4.7E-2</v>
      </c>
      <c r="K12" s="128">
        <v>4.5999999999999999E-2</v>
      </c>
      <c r="L12" s="26">
        <v>4.4999999999999998E-2</v>
      </c>
      <c r="M12" s="26">
        <v>4.5999999999999999E-2</v>
      </c>
      <c r="N12" s="26">
        <v>4.7E-2</v>
      </c>
      <c r="O12" s="26">
        <v>4.5999999999999999E-2</v>
      </c>
      <c r="P12" s="26">
        <v>0.05</v>
      </c>
      <c r="Q12" s="26">
        <v>5.5999999999999994E-2</v>
      </c>
      <c r="R12" s="26">
        <v>5.5999999999999994E-2</v>
      </c>
      <c r="S12" s="26">
        <v>5.7000000000000002E-2</v>
      </c>
      <c r="T12" s="26">
        <v>5.9000000000000004E-2</v>
      </c>
      <c r="U12" s="26">
        <v>0.06</v>
      </c>
      <c r="V12" s="128">
        <v>6.4000000000000001E-2</v>
      </c>
      <c r="W12" s="128">
        <v>6.5000000000000002E-2</v>
      </c>
      <c r="X12" s="128">
        <v>6.7000000000000004E-2</v>
      </c>
      <c r="Y12" s="128">
        <v>6.8000000000000005E-2</v>
      </c>
      <c r="Z12" s="128">
        <v>6.5000000000000002E-2</v>
      </c>
      <c r="AA12" s="26">
        <v>6.6000000000000003E-2</v>
      </c>
      <c r="AB12" s="26">
        <v>6.6000000000000003E-2</v>
      </c>
      <c r="AC12" s="26">
        <v>6.6000000000000003E-2</v>
      </c>
      <c r="AD12" s="26">
        <v>6.3E-2</v>
      </c>
      <c r="AE12" s="26">
        <v>6.0999999999999999E-2</v>
      </c>
      <c r="AF12" s="128">
        <v>5.9000000000000004E-2</v>
      </c>
      <c r="AG12" s="128">
        <v>5.9000000000000004E-2</v>
      </c>
      <c r="AH12" s="128">
        <v>6.2E-2</v>
      </c>
      <c r="AI12" s="128">
        <v>6.4000000000000001E-2</v>
      </c>
      <c r="AJ12" s="128">
        <v>6.7000000000000004E-2</v>
      </c>
      <c r="AK12" s="26">
        <v>7.0000000000000007E-2</v>
      </c>
      <c r="AL12" s="128">
        <v>7.0000000000000007E-2</v>
      </c>
      <c r="AM12" s="26">
        <v>7.2000000000000008E-2</v>
      </c>
      <c r="AN12" s="128">
        <v>7.0999999999999994E-2</v>
      </c>
      <c r="AO12" s="26">
        <v>7.400000000000001E-2</v>
      </c>
      <c r="AP12" s="128">
        <v>7.5999999999999998E-2</v>
      </c>
      <c r="AQ12" s="26" t="s">
        <v>490</v>
      </c>
    </row>
    <row r="13" spans="1:43" ht="18" customHeight="1" thickBot="1">
      <c r="A13" s="561" t="s">
        <v>850</v>
      </c>
      <c r="B13" s="128" t="s">
        <v>490</v>
      </c>
      <c r="C13" s="128" t="s">
        <v>490</v>
      </c>
      <c r="D13" s="128" t="s">
        <v>490</v>
      </c>
      <c r="E13" s="128" t="s">
        <v>490</v>
      </c>
      <c r="F13" s="128" t="s">
        <v>490</v>
      </c>
      <c r="G13" s="128" t="s">
        <v>490</v>
      </c>
      <c r="H13" s="128" t="s">
        <v>490</v>
      </c>
      <c r="I13" s="128" t="s">
        <v>490</v>
      </c>
      <c r="J13" s="128" t="s">
        <v>490</v>
      </c>
      <c r="K13" s="128" t="s">
        <v>490</v>
      </c>
      <c r="L13" s="26" t="s">
        <v>490</v>
      </c>
      <c r="M13" s="26" t="s">
        <v>490</v>
      </c>
      <c r="N13" s="26">
        <v>6.9000000000000006E-2</v>
      </c>
      <c r="O13" s="26">
        <v>6.7000000000000004E-2</v>
      </c>
      <c r="P13" s="26">
        <v>6.8000000000000005E-2</v>
      </c>
      <c r="Q13" s="26">
        <v>7.2000000000000008E-2</v>
      </c>
      <c r="R13" s="26">
        <v>7.0000000000000007E-2</v>
      </c>
      <c r="S13" s="26">
        <v>7.0999999999999994E-2</v>
      </c>
      <c r="T13" s="26">
        <v>7.2000000000000008E-2</v>
      </c>
      <c r="U13" s="26">
        <v>7.400000000000001E-2</v>
      </c>
      <c r="V13" s="128">
        <v>7.4999999999999997E-2</v>
      </c>
      <c r="W13" s="128">
        <v>7.6999999999999999E-2</v>
      </c>
      <c r="X13" s="128">
        <v>7.9000000000000001E-2</v>
      </c>
      <c r="Y13" s="128">
        <v>7.8E-2</v>
      </c>
      <c r="Z13" s="128">
        <v>7.4999999999999997E-2</v>
      </c>
      <c r="AA13" s="26">
        <v>7.2999999999999995E-2</v>
      </c>
      <c r="AB13" s="26">
        <v>7.4999999999999997E-2</v>
      </c>
      <c r="AC13" s="26">
        <v>7.5999999999999998E-2</v>
      </c>
      <c r="AD13" s="26">
        <v>7.6999999999999999E-2</v>
      </c>
      <c r="AE13" s="26">
        <v>0.08</v>
      </c>
      <c r="AF13" s="128">
        <v>0.08</v>
      </c>
      <c r="AG13" s="128">
        <v>8.199999999999999E-2</v>
      </c>
      <c r="AH13" s="128">
        <v>8.4000000000000005E-2</v>
      </c>
      <c r="AI13" s="128">
        <v>8.5000000000000006E-2</v>
      </c>
      <c r="AJ13" s="128">
        <v>8.4000000000000005E-2</v>
      </c>
      <c r="AK13" s="26">
        <v>8.4000000000000005E-2</v>
      </c>
      <c r="AL13" s="128">
        <v>8.3000000000000004E-2</v>
      </c>
      <c r="AM13" s="26">
        <v>8.199999999999999E-2</v>
      </c>
      <c r="AN13" s="128">
        <v>8.5999999999999993E-2</v>
      </c>
      <c r="AO13" s="26">
        <v>8.6999999999999994E-2</v>
      </c>
      <c r="AP13" s="128">
        <v>8.5999999999999993E-2</v>
      </c>
      <c r="AQ13" s="26">
        <v>8.8999999999999996E-2</v>
      </c>
    </row>
    <row r="14" spans="1:43" ht="18" customHeight="1" thickBot="1">
      <c r="A14" s="561" t="s">
        <v>851</v>
      </c>
      <c r="B14" s="128">
        <v>2.8999999999999998E-2</v>
      </c>
      <c r="C14" s="128">
        <v>3.1E-2</v>
      </c>
      <c r="D14" s="128">
        <v>3.3000000000000002E-2</v>
      </c>
      <c r="E14" s="128">
        <v>3.5000000000000003E-2</v>
      </c>
      <c r="F14" s="128">
        <v>3.6000000000000004E-2</v>
      </c>
      <c r="G14" s="128">
        <v>3.5000000000000003E-2</v>
      </c>
      <c r="H14" s="128">
        <v>3.7000000000000005E-2</v>
      </c>
      <c r="I14" s="128">
        <v>3.7000000000000005E-2</v>
      </c>
      <c r="J14" s="128">
        <v>3.9E-2</v>
      </c>
      <c r="K14" s="128">
        <v>4.0999999999999995E-2</v>
      </c>
      <c r="L14" s="26">
        <v>4.4000000000000004E-2</v>
      </c>
      <c r="M14" s="26">
        <v>4.7E-2</v>
      </c>
      <c r="N14" s="26">
        <v>5.2000000000000005E-2</v>
      </c>
      <c r="O14" s="26">
        <v>5.4000000000000006E-2</v>
      </c>
      <c r="P14" s="26">
        <v>5.4000000000000006E-2</v>
      </c>
      <c r="Q14" s="26">
        <v>5.9000000000000004E-2</v>
      </c>
      <c r="R14" s="26">
        <v>0.06</v>
      </c>
      <c r="S14" s="26">
        <v>6.2E-2</v>
      </c>
      <c r="T14" s="26">
        <v>6.8000000000000005E-2</v>
      </c>
      <c r="U14" s="26">
        <v>6.2E-2</v>
      </c>
      <c r="V14" s="128">
        <v>7.0000000000000007E-2</v>
      </c>
      <c r="W14" s="128">
        <v>6.8000000000000005E-2</v>
      </c>
      <c r="X14" s="128">
        <v>6.9000000000000006E-2</v>
      </c>
      <c r="Y14" s="128">
        <v>7.0999999999999994E-2</v>
      </c>
      <c r="Z14" s="128">
        <v>6.7000000000000004E-2</v>
      </c>
      <c r="AA14" s="26">
        <v>6.7000000000000004E-2</v>
      </c>
      <c r="AB14" s="26">
        <v>7.2000000000000008E-2</v>
      </c>
      <c r="AC14" s="26">
        <v>7.6999999999999999E-2</v>
      </c>
      <c r="AD14" s="26">
        <v>7.9000000000000001E-2</v>
      </c>
      <c r="AE14" s="26">
        <v>7.6999999999999999E-2</v>
      </c>
      <c r="AF14" s="128">
        <v>7.8E-2</v>
      </c>
      <c r="AG14" s="128">
        <v>8.1000000000000003E-2</v>
      </c>
      <c r="AH14" s="128">
        <v>8.199999999999999E-2</v>
      </c>
      <c r="AI14" s="128">
        <v>8.1000000000000003E-2</v>
      </c>
      <c r="AJ14" s="128">
        <v>0.08</v>
      </c>
      <c r="AK14" s="26">
        <v>0.08</v>
      </c>
      <c r="AL14" s="128">
        <v>0.08</v>
      </c>
      <c r="AM14" s="26">
        <v>0.08</v>
      </c>
      <c r="AN14" s="128">
        <v>8.5000000000000006E-2</v>
      </c>
      <c r="AO14" s="26">
        <v>8.5000000000000006E-2</v>
      </c>
      <c r="AP14" s="128">
        <v>7.6999999999999999E-2</v>
      </c>
      <c r="AQ14" s="26">
        <v>8.3000000000000004E-2</v>
      </c>
    </row>
    <row r="15" spans="1:43" ht="18" customHeight="1" thickBot="1">
      <c r="A15" s="561" t="s">
        <v>852</v>
      </c>
      <c r="B15" s="128">
        <v>4.2999999999999997E-2</v>
      </c>
      <c r="C15" s="128">
        <v>4.4999999999999998E-2</v>
      </c>
      <c r="D15" s="128">
        <v>4.4999999999999998E-2</v>
      </c>
      <c r="E15" s="128">
        <v>4.7E-2</v>
      </c>
      <c r="F15" s="128">
        <v>4.5999999999999999E-2</v>
      </c>
      <c r="G15" s="128">
        <v>4.4999999999999998E-2</v>
      </c>
      <c r="H15" s="128">
        <v>4.9000000000000002E-2</v>
      </c>
      <c r="I15" s="128">
        <v>5.2000000000000005E-2</v>
      </c>
      <c r="J15" s="128">
        <v>5.2999999999999999E-2</v>
      </c>
      <c r="K15" s="128">
        <v>5.2999999999999999E-2</v>
      </c>
      <c r="L15" s="26">
        <v>5.2999999999999999E-2</v>
      </c>
      <c r="M15" s="26">
        <v>5.2999999999999999E-2</v>
      </c>
      <c r="N15" s="26">
        <v>5.2000000000000005E-2</v>
      </c>
      <c r="O15" s="26">
        <v>5.4000000000000006E-2</v>
      </c>
      <c r="P15" s="26">
        <v>5.5E-2</v>
      </c>
      <c r="Q15" s="26">
        <v>7.0999999999999994E-2</v>
      </c>
      <c r="R15" s="26">
        <v>7.2999999999999995E-2</v>
      </c>
      <c r="S15" s="26">
        <v>7.2000000000000008E-2</v>
      </c>
      <c r="T15" s="26">
        <v>7.5999999999999998E-2</v>
      </c>
      <c r="U15" s="26">
        <v>7.4999999999999997E-2</v>
      </c>
      <c r="V15" s="128">
        <v>7.5999999999999998E-2</v>
      </c>
      <c r="W15" s="128">
        <v>6.7000000000000004E-2</v>
      </c>
      <c r="X15" s="128">
        <v>6.6000000000000003E-2</v>
      </c>
      <c r="Y15" s="128">
        <v>6.4000000000000001E-2</v>
      </c>
      <c r="Z15" s="128">
        <v>6.5000000000000002E-2</v>
      </c>
      <c r="AA15" s="26">
        <v>6.6000000000000003E-2</v>
      </c>
      <c r="AB15" s="26">
        <v>6.9000000000000006E-2</v>
      </c>
      <c r="AC15" s="26">
        <v>7.0000000000000007E-2</v>
      </c>
      <c r="AD15" s="26">
        <v>7.0000000000000007E-2</v>
      </c>
      <c r="AE15" s="26">
        <v>7.2000000000000008E-2</v>
      </c>
      <c r="AF15" s="128">
        <v>7.0999999999999994E-2</v>
      </c>
      <c r="AG15" s="128">
        <v>7.0999999999999994E-2</v>
      </c>
      <c r="AH15" s="128">
        <v>7.4999999999999997E-2</v>
      </c>
      <c r="AI15" s="128">
        <v>7.9000000000000001E-2</v>
      </c>
      <c r="AJ15" s="128">
        <v>7.9000000000000001E-2</v>
      </c>
      <c r="AK15" s="26">
        <v>8.5999999999999993E-2</v>
      </c>
      <c r="AL15" s="128">
        <v>8.6999999999999994E-2</v>
      </c>
      <c r="AM15" s="26">
        <v>0.08</v>
      </c>
      <c r="AN15" s="128">
        <v>0.08</v>
      </c>
      <c r="AO15" s="26">
        <v>8.1000000000000003E-2</v>
      </c>
      <c r="AP15" s="128">
        <v>0.08</v>
      </c>
      <c r="AQ15" s="26" t="s">
        <v>490</v>
      </c>
    </row>
    <row r="16" spans="1:43" ht="18" customHeight="1" thickBot="1">
      <c r="A16" s="561" t="s">
        <v>853</v>
      </c>
      <c r="B16" s="128">
        <v>4.4999999999999998E-2</v>
      </c>
      <c r="C16" s="128">
        <v>4.4999999999999998E-2</v>
      </c>
      <c r="D16" s="128">
        <v>4.5999999999999999E-2</v>
      </c>
      <c r="E16" s="128">
        <v>0.05</v>
      </c>
      <c r="F16" s="128">
        <v>5.0999999999999997E-2</v>
      </c>
      <c r="G16" s="128">
        <v>5.2999999999999999E-2</v>
      </c>
      <c r="H16" s="128">
        <v>5.7999999999999996E-2</v>
      </c>
      <c r="I16" s="128">
        <v>6.2E-2</v>
      </c>
      <c r="J16" s="128">
        <v>6.6000000000000003E-2</v>
      </c>
      <c r="K16" s="128">
        <v>6.7000000000000004E-2</v>
      </c>
      <c r="L16" s="26">
        <v>6.9000000000000006E-2</v>
      </c>
      <c r="M16" s="26">
        <v>7.2999999999999995E-2</v>
      </c>
      <c r="N16" s="26">
        <v>7.2999999999999995E-2</v>
      </c>
      <c r="O16" s="26">
        <v>7.2000000000000008E-2</v>
      </c>
      <c r="P16" s="26">
        <v>7.400000000000001E-2</v>
      </c>
      <c r="Q16" s="26">
        <v>7.6999999999999999E-2</v>
      </c>
      <c r="R16" s="26">
        <v>0.08</v>
      </c>
      <c r="S16" s="26">
        <v>8.8000000000000009E-2</v>
      </c>
      <c r="T16" s="26">
        <v>8.900000000000001E-2</v>
      </c>
      <c r="U16" s="26">
        <v>8.8000000000000009E-2</v>
      </c>
      <c r="V16" s="128">
        <v>9.0999999999999998E-2</v>
      </c>
      <c r="W16" s="128">
        <v>9.3000000000000013E-2</v>
      </c>
      <c r="X16" s="128">
        <v>9.4E-2</v>
      </c>
      <c r="Y16" s="128">
        <v>9.3000000000000013E-2</v>
      </c>
      <c r="Z16" s="128">
        <v>9.0999999999999998E-2</v>
      </c>
      <c r="AA16" s="26">
        <v>8.6999999999999994E-2</v>
      </c>
      <c r="AB16" s="26">
        <v>8.5000000000000006E-2</v>
      </c>
      <c r="AC16" s="26">
        <v>8.5000000000000006E-2</v>
      </c>
      <c r="AD16" s="26">
        <v>8.4000000000000005E-2</v>
      </c>
      <c r="AE16" s="26">
        <v>8.4000000000000005E-2</v>
      </c>
      <c r="AF16" s="128">
        <v>8.5000000000000006E-2</v>
      </c>
      <c r="AG16" s="128">
        <v>8.4000000000000005E-2</v>
      </c>
      <c r="AH16" s="128">
        <v>8.5999999999999993E-2</v>
      </c>
      <c r="AI16" s="128">
        <v>8.5999999999999993E-2</v>
      </c>
      <c r="AJ16" s="128">
        <v>8.199999999999999E-2</v>
      </c>
      <c r="AK16" s="26">
        <v>8.1000000000000003E-2</v>
      </c>
      <c r="AL16" s="128">
        <v>8.4000000000000005E-2</v>
      </c>
      <c r="AM16" s="26">
        <v>8.2000000000000003E-2</v>
      </c>
      <c r="AN16" s="128">
        <v>8.3000000000000004E-2</v>
      </c>
      <c r="AO16" s="26">
        <v>8.4000000000000005E-2</v>
      </c>
      <c r="AP16" s="128">
        <v>8.4000000000000005E-2</v>
      </c>
      <c r="AQ16" s="26">
        <v>8.6999999999999994E-2</v>
      </c>
    </row>
    <row r="17" spans="1:45" ht="18" customHeight="1" thickBot="1">
      <c r="A17" s="561" t="s">
        <v>854</v>
      </c>
      <c r="B17" s="128">
        <v>1.4999999999999999E-2</v>
      </c>
      <c r="C17" s="128">
        <v>1.6E-2</v>
      </c>
      <c r="D17" s="128">
        <v>1.7000000000000001E-2</v>
      </c>
      <c r="E17" s="128">
        <v>1.9E-2</v>
      </c>
      <c r="F17" s="128">
        <v>2.2000000000000002E-2</v>
      </c>
      <c r="G17" s="128">
        <v>2.5000000000000001E-2</v>
      </c>
      <c r="H17" s="128">
        <v>2.7000000000000003E-2</v>
      </c>
      <c r="I17" s="128">
        <v>2.8999999999999998E-2</v>
      </c>
      <c r="J17" s="128">
        <v>0.03</v>
      </c>
      <c r="K17" s="128">
        <v>3.2000000000000001E-2</v>
      </c>
      <c r="L17" s="26">
        <v>3.6000000000000004E-2</v>
      </c>
      <c r="M17" s="26">
        <v>0.04</v>
      </c>
      <c r="N17" s="26">
        <v>4.2000000000000003E-2</v>
      </c>
      <c r="O17" s="26">
        <v>4.0999999999999995E-2</v>
      </c>
      <c r="P17" s="26">
        <v>4.4999999999999998E-2</v>
      </c>
      <c r="Q17" s="26">
        <v>4.7E-2</v>
      </c>
      <c r="R17" s="26">
        <v>5.0999999999999997E-2</v>
      </c>
      <c r="S17" s="26">
        <v>5.4000000000000006E-2</v>
      </c>
      <c r="T17" s="26">
        <v>5.4000000000000006E-2</v>
      </c>
      <c r="U17" s="26">
        <v>5.2999999999999999E-2</v>
      </c>
      <c r="V17" s="128">
        <v>5.4000000000000006E-2</v>
      </c>
      <c r="W17" s="128">
        <v>5.5E-2</v>
      </c>
      <c r="X17" s="128">
        <v>5.5999999999999994E-2</v>
      </c>
      <c r="Y17" s="128">
        <v>5.7000000000000002E-2</v>
      </c>
      <c r="Z17" s="128">
        <v>5.5E-2</v>
      </c>
      <c r="AA17" s="26">
        <v>5.4000000000000006E-2</v>
      </c>
      <c r="AB17" s="26">
        <v>5.4000000000000006E-2</v>
      </c>
      <c r="AC17" s="26">
        <v>5.5E-2</v>
      </c>
      <c r="AD17" s="26">
        <v>6.0999999999999999E-2</v>
      </c>
      <c r="AE17" s="26">
        <v>6.3E-2</v>
      </c>
      <c r="AF17" s="128">
        <v>6.6000000000000003E-2</v>
      </c>
      <c r="AG17" s="128">
        <v>6.8000000000000005E-2</v>
      </c>
      <c r="AH17" s="128">
        <v>7.2000000000000008E-2</v>
      </c>
      <c r="AI17" s="128">
        <v>7.4999999999999997E-2</v>
      </c>
      <c r="AJ17" s="128">
        <v>7.400000000000001E-2</v>
      </c>
      <c r="AK17" s="26">
        <v>7.6999999999999999E-2</v>
      </c>
      <c r="AL17" s="128">
        <v>7.6999999999999999E-2</v>
      </c>
      <c r="AM17" s="26">
        <v>7.4999999999999997E-2</v>
      </c>
      <c r="AN17" s="128">
        <v>7.4999999999999997E-2</v>
      </c>
      <c r="AO17" s="26">
        <v>7.4999999999999997E-2</v>
      </c>
      <c r="AP17" s="128">
        <v>7.4999999999999997E-2</v>
      </c>
      <c r="AQ17" s="26">
        <v>7.4999999999999997E-2</v>
      </c>
    </row>
    <row r="18" spans="1:45" ht="18" customHeight="1" thickBot="1">
      <c r="A18" s="561" t="s">
        <v>855</v>
      </c>
      <c r="B18" s="128">
        <v>5.0999999999999997E-2</v>
      </c>
      <c r="C18" s="128">
        <v>5.2000000000000005E-2</v>
      </c>
      <c r="D18" s="128">
        <v>5.2999999999999999E-2</v>
      </c>
      <c r="E18" s="128">
        <v>5.4000000000000006E-2</v>
      </c>
      <c r="F18" s="128">
        <v>5.5999999999999994E-2</v>
      </c>
      <c r="G18" s="128">
        <v>5.5999999999999994E-2</v>
      </c>
      <c r="H18" s="128">
        <v>5.7000000000000002E-2</v>
      </c>
      <c r="I18" s="128">
        <v>0.06</v>
      </c>
      <c r="J18" s="128">
        <v>6.3E-2</v>
      </c>
      <c r="K18" s="128">
        <v>6.5000000000000002E-2</v>
      </c>
      <c r="L18" s="26">
        <v>6.9000000000000006E-2</v>
      </c>
      <c r="M18" s="26">
        <v>7.0999999999999994E-2</v>
      </c>
      <c r="N18" s="26">
        <v>7.2000000000000008E-2</v>
      </c>
      <c r="O18" s="26">
        <v>7.2000000000000008E-2</v>
      </c>
      <c r="P18" s="26">
        <v>7.4999999999999997E-2</v>
      </c>
      <c r="Q18" s="26">
        <v>7.8E-2</v>
      </c>
      <c r="R18" s="26">
        <v>0.08</v>
      </c>
      <c r="S18" s="26">
        <v>8.199999999999999E-2</v>
      </c>
      <c r="T18" s="26">
        <v>8.1000000000000003E-2</v>
      </c>
      <c r="U18" s="26">
        <v>8.199999999999999E-2</v>
      </c>
      <c r="V18" s="128">
        <v>8.6999999999999994E-2</v>
      </c>
      <c r="W18" s="128">
        <v>0.09</v>
      </c>
      <c r="X18" s="128">
        <v>9.8000000000000004E-2</v>
      </c>
      <c r="Y18" s="128">
        <v>9.9000000000000005E-2</v>
      </c>
      <c r="Z18" s="128">
        <v>9.8000000000000004E-2</v>
      </c>
      <c r="AA18" s="26">
        <v>0.1</v>
      </c>
      <c r="AB18" s="26">
        <v>0.10199999999999999</v>
      </c>
      <c r="AC18" s="26">
        <v>0.10400000000000001</v>
      </c>
      <c r="AD18" s="26">
        <v>0.10800000000000001</v>
      </c>
      <c r="AE18" s="26">
        <v>0.11199999999999999</v>
      </c>
      <c r="AF18" s="128">
        <v>0.11900000000000001</v>
      </c>
      <c r="AG18" s="128">
        <v>0.126</v>
      </c>
      <c r="AH18" s="128">
        <v>0.13</v>
      </c>
      <c r="AI18" s="128">
        <v>0.13300000000000001</v>
      </c>
      <c r="AJ18" s="128">
        <v>0.13200000000000001</v>
      </c>
      <c r="AK18" s="26">
        <v>0.13300000000000001</v>
      </c>
      <c r="AL18" s="128">
        <v>0.13200000000000001</v>
      </c>
      <c r="AM18" s="26">
        <v>0.13</v>
      </c>
      <c r="AN18" s="128">
        <v>0.129</v>
      </c>
      <c r="AO18" s="26">
        <v>0.13</v>
      </c>
      <c r="AP18" s="128">
        <v>0.13100000000000001</v>
      </c>
      <c r="AQ18" s="26">
        <v>0.13900000000000001</v>
      </c>
    </row>
    <row r="19" spans="1:45" s="115" customFormat="1" ht="30" customHeight="1" thickBot="1">
      <c r="A19" s="941" t="s">
        <v>443</v>
      </c>
      <c r="B19" s="933">
        <v>4.9000000000000002E-2</v>
      </c>
      <c r="C19" s="933">
        <v>4.5999999999999999E-2</v>
      </c>
      <c r="D19" s="933">
        <v>4.4999999999999998E-2</v>
      </c>
      <c r="E19" s="933">
        <v>4.4000000000000004E-2</v>
      </c>
      <c r="F19" s="933">
        <v>4.4000000000000004E-2</v>
      </c>
      <c r="G19" s="933">
        <v>4.5999999999999999E-2</v>
      </c>
      <c r="H19" s="933">
        <v>0.05</v>
      </c>
      <c r="I19" s="933">
        <v>5.2999999999999999E-2</v>
      </c>
      <c r="J19" s="933">
        <v>5.4000000000000006E-2</v>
      </c>
      <c r="K19" s="933">
        <v>5.5E-2</v>
      </c>
      <c r="L19" s="35">
        <v>5.5999999999999994E-2</v>
      </c>
      <c r="M19" s="35">
        <v>5.7999999999999996E-2</v>
      </c>
      <c r="N19" s="35">
        <v>5.7999999999999996E-2</v>
      </c>
      <c r="O19" s="35">
        <v>5.9000000000000004E-2</v>
      </c>
      <c r="P19" s="35">
        <v>6.3E-2</v>
      </c>
      <c r="Q19" s="35">
        <v>7.2000000000000008E-2</v>
      </c>
      <c r="R19" s="35">
        <v>7.400000000000001E-2</v>
      </c>
      <c r="S19" s="35">
        <v>7.400000000000001E-2</v>
      </c>
      <c r="T19" s="35">
        <v>7.400000000000001E-2</v>
      </c>
      <c r="U19" s="35">
        <v>7.4999999999999997E-2</v>
      </c>
      <c r="V19" s="933">
        <v>7.5999999999999998E-2</v>
      </c>
      <c r="W19" s="933">
        <v>7.5999999999999998E-2</v>
      </c>
      <c r="X19" s="933">
        <v>7.8E-2</v>
      </c>
      <c r="Y19" s="933">
        <v>8.199999999999999E-2</v>
      </c>
      <c r="Z19" s="933">
        <v>0.08</v>
      </c>
      <c r="AA19" s="35">
        <v>0.08</v>
      </c>
      <c r="AB19" s="35">
        <v>8.199999999999999E-2</v>
      </c>
      <c r="AC19" s="35">
        <v>8.5000000000000006E-2</v>
      </c>
      <c r="AD19" s="35">
        <v>8.5000000000000006E-2</v>
      </c>
      <c r="AE19" s="35">
        <v>8.5999999999999993E-2</v>
      </c>
      <c r="AF19" s="933">
        <v>8.5000000000000006E-2</v>
      </c>
      <c r="AG19" s="933">
        <v>9.1999999999999998E-2</v>
      </c>
      <c r="AH19" s="933">
        <v>9.6000000000000002E-2</v>
      </c>
      <c r="AI19" s="933">
        <v>9.6000000000000002E-2</v>
      </c>
      <c r="AJ19" s="933">
        <v>9.8000000000000004E-2</v>
      </c>
      <c r="AK19" s="35">
        <v>0.1</v>
      </c>
      <c r="AL19" s="933">
        <v>0.10400000000000001</v>
      </c>
      <c r="AM19" s="35">
        <v>0.10400000000000001</v>
      </c>
      <c r="AN19" s="933">
        <v>0.106</v>
      </c>
      <c r="AO19" s="666">
        <v>0.107</v>
      </c>
      <c r="AP19" s="481">
        <v>0.107</v>
      </c>
      <c r="AQ19" s="666">
        <v>0.109</v>
      </c>
    </row>
    <row r="20" spans="1:45" ht="20" customHeight="1">
      <c r="A20" s="942" t="s">
        <v>178</v>
      </c>
      <c r="B20" s="753"/>
      <c r="C20" s="753"/>
      <c r="D20" s="753"/>
      <c r="E20" s="753"/>
      <c r="F20" s="753"/>
      <c r="G20" s="753"/>
      <c r="H20" s="753"/>
      <c r="I20" s="753"/>
      <c r="J20" s="753"/>
      <c r="K20" s="753"/>
      <c r="L20" s="753"/>
      <c r="M20" s="753"/>
      <c r="N20" s="753"/>
      <c r="O20" s="753"/>
      <c r="P20" s="753"/>
      <c r="Q20" s="753"/>
      <c r="R20" s="753"/>
      <c r="S20" s="753"/>
      <c r="T20" s="753"/>
      <c r="U20" s="753"/>
      <c r="V20" s="506"/>
      <c r="W20" s="506"/>
      <c r="X20" s="506"/>
      <c r="Y20" s="506"/>
      <c r="Z20" s="506"/>
      <c r="AA20" s="506"/>
      <c r="AB20" s="506"/>
      <c r="AC20" s="506"/>
      <c r="AD20" s="506"/>
      <c r="AE20" s="506"/>
      <c r="AF20" s="506"/>
      <c r="AG20" s="506"/>
      <c r="AH20" s="506"/>
      <c r="AI20" s="506"/>
      <c r="AJ20" s="506"/>
      <c r="AK20" s="506"/>
      <c r="AL20" s="506"/>
      <c r="AM20" s="506"/>
      <c r="AN20" s="506"/>
    </row>
    <row r="21" spans="1:45" ht="11.25" customHeight="1">
      <c r="A21" s="943"/>
      <c r="B21" s="755"/>
      <c r="C21" s="755"/>
      <c r="D21" s="755"/>
      <c r="E21" s="755"/>
      <c r="F21" s="755"/>
      <c r="G21" s="755"/>
      <c r="H21" s="755"/>
      <c r="I21" s="755"/>
      <c r="J21" s="755"/>
      <c r="K21" s="755"/>
      <c r="L21" s="755"/>
      <c r="M21" s="755"/>
      <c r="N21" s="755"/>
      <c r="O21" s="755"/>
      <c r="P21" s="755"/>
      <c r="Q21" s="755"/>
      <c r="R21" s="755"/>
      <c r="S21" s="755"/>
      <c r="T21" s="755"/>
      <c r="U21" s="755"/>
      <c r="V21" s="431"/>
      <c r="W21" s="431"/>
      <c r="X21" s="431"/>
      <c r="Y21" s="431"/>
      <c r="Z21" s="431"/>
      <c r="AA21" s="431"/>
      <c r="AB21" s="431"/>
      <c r="AC21" s="431"/>
      <c r="AD21" s="431"/>
      <c r="AE21" s="431"/>
      <c r="AF21" s="431"/>
      <c r="AG21" s="431"/>
      <c r="AH21" s="431"/>
      <c r="AI21" s="431"/>
      <c r="AJ21" s="431"/>
      <c r="AK21" s="431"/>
      <c r="AL21" s="431"/>
      <c r="AM21" s="431"/>
      <c r="AN21" s="431"/>
    </row>
    <row r="22" spans="1:45" ht="12.75" customHeight="1">
      <c r="A22" s="943" t="s">
        <v>1654</v>
      </c>
      <c r="B22" s="755"/>
      <c r="C22" s="755"/>
      <c r="D22" s="755"/>
      <c r="E22" s="755"/>
      <c r="F22" s="755"/>
      <c r="G22" s="755"/>
      <c r="H22" s="755"/>
      <c r="I22" s="755"/>
      <c r="J22" s="755"/>
      <c r="K22" s="755"/>
      <c r="L22" s="755"/>
      <c r="M22" s="755"/>
      <c r="N22" s="755"/>
      <c r="O22" s="755"/>
      <c r="P22" s="755"/>
      <c r="Q22" s="755"/>
      <c r="R22" s="755"/>
      <c r="S22" s="755"/>
      <c r="T22" s="755"/>
      <c r="U22" s="755"/>
      <c r="V22" s="431"/>
      <c r="W22" s="431"/>
      <c r="X22" s="431"/>
      <c r="Y22" s="431"/>
      <c r="Z22" s="431"/>
      <c r="AA22" s="431"/>
      <c r="AB22" s="431"/>
      <c r="AC22" s="431"/>
      <c r="AD22" s="431"/>
      <c r="AE22" s="431"/>
      <c r="AF22" s="431"/>
      <c r="AG22" s="431"/>
      <c r="AH22" s="431"/>
      <c r="AI22" s="431"/>
      <c r="AJ22" s="431"/>
      <c r="AK22" s="431"/>
      <c r="AL22" s="431"/>
      <c r="AM22" s="431"/>
      <c r="AN22" s="431"/>
    </row>
    <row r="23" spans="1:45" ht="30" customHeight="1">
      <c r="A23" s="62"/>
      <c r="B23" s="650"/>
      <c r="C23" s="650"/>
      <c r="D23" s="650"/>
      <c r="E23" s="650"/>
      <c r="F23" s="650"/>
      <c r="G23" s="650"/>
      <c r="H23" s="650"/>
      <c r="I23" s="650"/>
      <c r="J23" s="650"/>
      <c r="K23" s="650"/>
      <c r="L23" s="650"/>
      <c r="M23" s="650"/>
      <c r="N23" s="650"/>
      <c r="O23" s="650"/>
      <c r="P23" s="650"/>
      <c r="Q23" s="650"/>
      <c r="R23" s="650"/>
      <c r="S23" s="650"/>
      <c r="T23" s="650"/>
      <c r="U23" s="650"/>
      <c r="V23" s="247"/>
      <c r="W23" s="247"/>
      <c r="X23" s="247"/>
      <c r="Y23" s="247"/>
      <c r="Z23" s="247"/>
      <c r="AA23" s="247"/>
      <c r="AB23" s="247"/>
      <c r="AC23" s="247"/>
      <c r="AD23" s="247"/>
      <c r="AE23" s="247"/>
      <c r="AF23" s="247"/>
      <c r="AG23" s="247"/>
      <c r="AH23" s="247"/>
      <c r="AI23" s="247"/>
      <c r="AJ23" s="247"/>
      <c r="AK23" s="247"/>
      <c r="AL23" s="247"/>
      <c r="AM23" s="247"/>
      <c r="AN23" s="247"/>
    </row>
    <row r="24" spans="1:45" ht="18" customHeight="1">
      <c r="A24" s="10"/>
      <c r="B24" s="650"/>
      <c r="C24" s="650"/>
      <c r="D24" s="650"/>
      <c r="E24" s="650"/>
      <c r="F24" s="650"/>
      <c r="G24" s="650"/>
      <c r="H24" s="650"/>
      <c r="I24" s="650"/>
      <c r="J24" s="650"/>
      <c r="K24" s="650"/>
      <c r="L24" s="650"/>
      <c r="M24" s="650"/>
      <c r="N24" s="650"/>
      <c r="O24" s="650"/>
      <c r="P24" s="650"/>
      <c r="Q24" s="650"/>
      <c r="R24" s="650"/>
      <c r="S24" s="650"/>
      <c r="T24" s="650"/>
      <c r="U24" s="650"/>
      <c r="V24" s="247"/>
      <c r="W24" s="247"/>
      <c r="X24" s="247"/>
      <c r="Y24" s="247"/>
      <c r="Z24" s="247"/>
      <c r="AA24" s="247"/>
      <c r="AB24" s="247"/>
      <c r="AC24" s="247"/>
      <c r="AD24" s="247"/>
      <c r="AE24" s="247"/>
      <c r="AF24" s="247"/>
      <c r="AG24" s="247"/>
      <c r="AH24" s="247"/>
      <c r="AI24" s="247"/>
      <c r="AJ24" s="247"/>
      <c r="AK24" s="247"/>
      <c r="AL24" s="247"/>
      <c r="AM24" s="247"/>
      <c r="AN24" s="247"/>
    </row>
    <row r="25" spans="1:45" ht="31" customHeight="1">
      <c r="A25" s="247"/>
      <c r="B25" s="650"/>
      <c r="C25" s="650"/>
      <c r="D25" s="650"/>
      <c r="E25" s="650"/>
      <c r="F25" s="650"/>
      <c r="G25" s="650"/>
      <c r="H25" s="650"/>
      <c r="I25" s="650"/>
      <c r="J25" s="650"/>
      <c r="K25" s="650"/>
      <c r="L25" s="650"/>
      <c r="M25" s="650"/>
      <c r="N25" s="650"/>
      <c r="O25" s="650"/>
      <c r="P25" s="650"/>
      <c r="Q25" s="650"/>
      <c r="R25" s="650"/>
      <c r="S25" s="650"/>
      <c r="T25" s="650"/>
      <c r="U25" s="650"/>
      <c r="V25" s="247"/>
      <c r="W25" s="247"/>
      <c r="X25" s="247"/>
      <c r="Y25" s="247"/>
      <c r="Z25" s="247"/>
      <c r="AA25" s="247"/>
      <c r="AB25" s="247"/>
      <c r="AC25" s="247"/>
      <c r="AD25" s="247"/>
      <c r="AE25" s="247"/>
      <c r="AF25" s="247"/>
      <c r="AG25" s="247"/>
      <c r="AH25" s="247"/>
      <c r="AI25" s="247"/>
      <c r="AJ25" s="247"/>
      <c r="AK25" s="247"/>
      <c r="AL25" s="247"/>
      <c r="AM25" s="247"/>
      <c r="AN25" s="247"/>
    </row>
    <row r="26" spans="1:45" ht="31" customHeight="1">
      <c r="A26" s="247"/>
      <c r="B26" s="650"/>
      <c r="C26" s="650"/>
      <c r="D26" s="650"/>
      <c r="E26" s="650"/>
      <c r="F26" s="650"/>
      <c r="G26" s="650"/>
      <c r="H26" s="650"/>
      <c r="I26" s="650"/>
      <c r="J26" s="650"/>
      <c r="K26" s="650"/>
      <c r="L26" s="650"/>
      <c r="M26" s="650"/>
      <c r="N26" s="650"/>
      <c r="O26" s="650"/>
      <c r="P26" s="650"/>
      <c r="Q26" s="650"/>
      <c r="R26" s="650"/>
      <c r="S26" s="650"/>
      <c r="T26" s="650"/>
      <c r="U26" s="650"/>
      <c r="V26" s="247"/>
      <c r="W26" s="247"/>
      <c r="X26" s="247"/>
      <c r="Y26" s="247"/>
      <c r="Z26" s="247"/>
      <c r="AA26" s="247"/>
      <c r="AB26" s="247"/>
      <c r="AC26" s="247"/>
      <c r="AD26" s="247"/>
      <c r="AE26" s="247"/>
      <c r="AF26" s="247"/>
      <c r="AG26" s="247"/>
      <c r="AH26" s="247"/>
      <c r="AI26" s="247"/>
      <c r="AJ26" s="247"/>
      <c r="AK26" s="247"/>
      <c r="AL26" s="247"/>
      <c r="AM26" s="247"/>
      <c r="AN26" s="247"/>
      <c r="AS26" s="1"/>
    </row>
    <row r="27" spans="1:45" ht="31" customHeight="1">
      <c r="A27" s="247"/>
      <c r="B27" s="650"/>
      <c r="C27" s="650"/>
      <c r="D27" s="650"/>
      <c r="E27" s="650"/>
      <c r="F27" s="650"/>
      <c r="G27" s="650"/>
      <c r="H27" s="650"/>
      <c r="I27" s="650"/>
      <c r="J27" s="650"/>
      <c r="K27" s="650"/>
      <c r="L27" s="650"/>
      <c r="M27" s="650"/>
      <c r="N27" s="650"/>
      <c r="O27" s="650"/>
      <c r="P27" s="650"/>
      <c r="Q27" s="650"/>
      <c r="R27" s="650"/>
      <c r="S27" s="650"/>
      <c r="T27" s="650"/>
      <c r="U27" s="650"/>
      <c r="V27" s="247"/>
      <c r="W27" s="247"/>
      <c r="X27" s="247"/>
      <c r="Y27" s="247"/>
      <c r="Z27" s="247"/>
      <c r="AA27" s="247"/>
      <c r="AB27" s="247"/>
      <c r="AC27" s="247"/>
      <c r="AD27" s="247"/>
      <c r="AE27" s="247"/>
      <c r="AF27" s="247"/>
      <c r="AG27" s="247"/>
      <c r="AH27" s="247"/>
      <c r="AI27" s="247"/>
      <c r="AJ27" s="247"/>
      <c r="AK27" s="247"/>
      <c r="AL27" s="247"/>
      <c r="AM27" s="247"/>
      <c r="AN27" s="247"/>
    </row>
    <row r="28" spans="1:45" ht="31" customHeight="1">
      <c r="A28" s="247"/>
      <c r="B28" s="650"/>
      <c r="C28" s="650"/>
      <c r="D28" s="650"/>
      <c r="E28" s="650"/>
      <c r="F28" s="650"/>
      <c r="G28" s="650"/>
      <c r="H28" s="650"/>
      <c r="I28" s="650"/>
      <c r="J28" s="650"/>
      <c r="K28" s="650"/>
      <c r="L28" s="650"/>
      <c r="M28" s="650"/>
      <c r="N28" s="650"/>
      <c r="O28" s="650"/>
      <c r="P28" s="650"/>
      <c r="Q28" s="650"/>
      <c r="R28" s="650"/>
      <c r="S28" s="650"/>
      <c r="T28" s="650"/>
      <c r="U28" s="650"/>
      <c r="V28" s="247"/>
      <c r="W28" s="247"/>
      <c r="X28" s="247"/>
      <c r="Y28" s="247"/>
      <c r="Z28" s="247"/>
      <c r="AA28" s="247"/>
      <c r="AB28" s="247"/>
      <c r="AC28" s="247"/>
      <c r="AD28" s="247"/>
      <c r="AE28" s="247"/>
      <c r="AF28" s="247"/>
      <c r="AG28" s="247"/>
      <c r="AH28" s="247"/>
      <c r="AI28" s="247"/>
      <c r="AJ28" s="247"/>
      <c r="AK28" s="247"/>
      <c r="AL28" s="247"/>
      <c r="AM28" s="247"/>
      <c r="AN28" s="247"/>
    </row>
    <row r="29" spans="1:45" ht="31" customHeight="1">
      <c r="A29" s="247"/>
      <c r="B29" s="650"/>
      <c r="C29" s="650"/>
      <c r="D29" s="650"/>
      <c r="E29" s="650"/>
      <c r="F29" s="650"/>
      <c r="G29" s="650"/>
      <c r="H29" s="650"/>
      <c r="I29" s="650"/>
      <c r="J29" s="650"/>
      <c r="K29" s="650"/>
      <c r="L29" s="650"/>
      <c r="M29" s="650"/>
      <c r="N29" s="650"/>
      <c r="O29" s="650"/>
      <c r="P29" s="650"/>
      <c r="Q29" s="650"/>
      <c r="R29" s="650"/>
      <c r="S29" s="650"/>
      <c r="T29" s="650"/>
      <c r="U29" s="650"/>
      <c r="V29" s="247"/>
      <c r="W29" s="247"/>
      <c r="X29" s="247"/>
      <c r="Y29" s="247"/>
      <c r="Z29" s="247"/>
      <c r="AA29" s="247"/>
      <c r="AB29" s="247"/>
      <c r="AC29" s="247"/>
      <c r="AD29" s="247"/>
      <c r="AE29" s="247"/>
      <c r="AF29" s="247"/>
      <c r="AG29" s="247"/>
      <c r="AH29" s="247"/>
      <c r="AI29" s="247"/>
      <c r="AJ29" s="247"/>
      <c r="AK29" s="247"/>
      <c r="AL29" s="247"/>
      <c r="AM29" s="247"/>
      <c r="AN29" s="247"/>
    </row>
    <row r="30" spans="1:45" ht="31" customHeight="1">
      <c r="A30" s="247"/>
      <c r="B30" s="650"/>
      <c r="C30" s="650"/>
      <c r="D30" s="650"/>
      <c r="E30" s="650"/>
      <c r="F30" s="650"/>
      <c r="G30" s="650"/>
      <c r="H30" s="650"/>
      <c r="I30" s="650"/>
      <c r="J30" s="650"/>
      <c r="K30" s="650"/>
      <c r="L30" s="650"/>
      <c r="M30" s="650"/>
      <c r="N30" s="650"/>
      <c r="O30" s="650"/>
      <c r="P30" s="650"/>
      <c r="Q30" s="650"/>
      <c r="R30" s="650"/>
      <c r="S30" s="650"/>
      <c r="T30" s="650"/>
      <c r="U30" s="650"/>
      <c r="V30" s="247"/>
      <c r="W30" s="247"/>
      <c r="X30" s="247"/>
      <c r="Y30" s="247"/>
      <c r="Z30" s="247"/>
      <c r="AA30" s="247"/>
      <c r="AB30" s="247"/>
      <c r="AC30" s="247"/>
      <c r="AD30" s="247"/>
      <c r="AE30" s="247"/>
      <c r="AF30" s="247"/>
      <c r="AG30" s="247"/>
      <c r="AH30" s="247"/>
      <c r="AI30" s="247"/>
      <c r="AJ30" s="247"/>
      <c r="AK30" s="247"/>
      <c r="AL30" s="247"/>
      <c r="AM30" s="247"/>
      <c r="AN30" s="247"/>
    </row>
    <row r="31" spans="1:45" ht="31" customHeight="1">
      <c r="A31" s="247"/>
      <c r="B31" s="650"/>
      <c r="C31" s="650"/>
      <c r="D31" s="650"/>
      <c r="E31" s="650"/>
      <c r="F31" s="650"/>
      <c r="G31" s="650"/>
      <c r="H31" s="650"/>
      <c r="I31" s="650"/>
      <c r="J31" s="650"/>
      <c r="K31" s="650"/>
      <c r="L31" s="650"/>
      <c r="M31" s="650"/>
      <c r="N31" s="650"/>
      <c r="O31" s="650"/>
      <c r="P31" s="650"/>
      <c r="Q31" s="650"/>
      <c r="R31" s="650"/>
      <c r="S31" s="650"/>
      <c r="T31" s="650"/>
      <c r="U31" s="650"/>
      <c r="V31" s="247"/>
      <c r="W31" s="247"/>
      <c r="X31" s="247"/>
      <c r="Y31" s="247"/>
      <c r="Z31" s="247"/>
      <c r="AA31" s="247"/>
      <c r="AB31" s="247"/>
      <c r="AC31" s="247"/>
      <c r="AD31" s="247"/>
      <c r="AE31" s="247"/>
      <c r="AF31" s="247"/>
      <c r="AG31" s="247"/>
      <c r="AH31" s="247"/>
      <c r="AI31" s="247"/>
      <c r="AJ31" s="247"/>
      <c r="AK31" s="247"/>
      <c r="AL31" s="247"/>
      <c r="AM31" s="247"/>
      <c r="AN31" s="247"/>
    </row>
    <row r="32" spans="1:45" ht="31" customHeight="1">
      <c r="A32" s="247"/>
      <c r="B32" s="650"/>
      <c r="C32" s="650"/>
      <c r="D32" s="650"/>
      <c r="E32" s="650"/>
      <c r="F32" s="650"/>
      <c r="G32" s="650"/>
      <c r="H32" s="650"/>
      <c r="I32" s="650"/>
      <c r="J32" s="650"/>
      <c r="K32" s="650"/>
      <c r="L32" s="650"/>
      <c r="M32" s="650"/>
      <c r="N32" s="650"/>
      <c r="O32" s="650"/>
      <c r="P32" s="650"/>
      <c r="Q32" s="650"/>
      <c r="R32" s="650"/>
      <c r="S32" s="650"/>
      <c r="T32" s="650"/>
      <c r="U32" s="650"/>
      <c r="V32" s="247"/>
      <c r="W32" s="247"/>
      <c r="X32" s="247"/>
      <c r="Y32" s="247"/>
      <c r="Z32" s="247"/>
      <c r="AA32" s="247"/>
      <c r="AB32" s="247"/>
      <c r="AC32" s="247"/>
      <c r="AD32" s="247"/>
      <c r="AE32" s="247"/>
      <c r="AF32" s="247"/>
      <c r="AG32" s="247"/>
      <c r="AH32" s="247"/>
      <c r="AI32" s="247"/>
      <c r="AJ32" s="247"/>
      <c r="AK32" s="247"/>
      <c r="AL32" s="247"/>
      <c r="AM32" s="247"/>
      <c r="AN32" s="247"/>
    </row>
    <row r="33" spans="1:40">
      <c r="A33" s="247"/>
      <c r="B33" s="650"/>
      <c r="C33" s="650"/>
      <c r="D33" s="650"/>
      <c r="E33" s="650"/>
      <c r="F33" s="650"/>
      <c r="G33" s="650"/>
      <c r="H33" s="650"/>
      <c r="I33" s="650"/>
      <c r="J33" s="650"/>
      <c r="K33" s="650"/>
      <c r="L33" s="650"/>
      <c r="M33" s="650"/>
      <c r="N33" s="650"/>
      <c r="O33" s="650"/>
      <c r="P33" s="650"/>
      <c r="Q33" s="650"/>
      <c r="R33" s="650"/>
      <c r="S33" s="650"/>
      <c r="T33" s="650"/>
      <c r="U33" s="650"/>
      <c r="V33" s="247"/>
      <c r="W33" s="247"/>
      <c r="X33" s="247"/>
      <c r="Y33" s="247"/>
      <c r="Z33" s="247"/>
      <c r="AA33" s="247"/>
      <c r="AB33" s="247"/>
      <c r="AC33" s="247"/>
      <c r="AD33" s="247"/>
      <c r="AE33" s="247"/>
      <c r="AF33" s="247"/>
      <c r="AG33" s="247"/>
      <c r="AH33" s="247"/>
      <c r="AI33" s="247"/>
      <c r="AJ33" s="247"/>
      <c r="AK33" s="247"/>
      <c r="AL33" s="247"/>
      <c r="AM33" s="247"/>
      <c r="AN33" s="247"/>
    </row>
  </sheetData>
  <phoneticPr fontId="0" type="noConversion"/>
  <pageMargins left="0.41" right="0.28000000000000003" top="1.0900000000000001" bottom="0.49" header="0.67" footer="0.4921259845"/>
  <pageSetup paperSize="9" scale="7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32A0-617A-6046-91C9-885C91AC154D}">
  <dimension ref="A1:J35"/>
  <sheetViews>
    <sheetView zoomScale="75" workbookViewId="0">
      <selection activeCell="G7" sqref="G7"/>
    </sheetView>
  </sheetViews>
  <sheetFormatPr baseColWidth="10" defaultColWidth="11.3984375" defaultRowHeight="13"/>
  <cols>
    <col min="1" max="1" width="12.796875" style="3" customWidth="1"/>
    <col min="2" max="2" width="11.3984375" style="22"/>
    <col min="3" max="3" width="13.19921875" style="22" customWidth="1"/>
    <col min="4" max="4" width="12.796875" style="22" customWidth="1"/>
    <col min="5" max="6" width="11.3984375" style="22"/>
    <col min="7" max="7" width="13.19921875" style="22" customWidth="1"/>
    <col min="8" max="16384" width="11.3984375" style="3"/>
  </cols>
  <sheetData>
    <row r="1" spans="1:7" s="1" customFormat="1" ht="14" customHeight="1">
      <c r="A1" s="62"/>
      <c r="B1" s="634"/>
      <c r="C1" s="634"/>
      <c r="D1" s="634"/>
      <c r="E1" s="634"/>
      <c r="F1" s="634"/>
      <c r="G1" s="634"/>
    </row>
    <row r="2" spans="1:7" s="1" customFormat="1" ht="27" customHeight="1">
      <c r="A2" s="240" t="s">
        <v>826</v>
      </c>
      <c r="B2" s="634"/>
      <c r="C2" s="634"/>
      <c r="D2" s="634"/>
      <c r="E2" s="634"/>
      <c r="F2" s="634"/>
      <c r="G2" s="634"/>
    </row>
    <row r="3" spans="1:7" ht="27" customHeight="1">
      <c r="A3" s="2" t="s">
        <v>335</v>
      </c>
      <c r="B3" s="74" t="s">
        <v>835</v>
      </c>
      <c r="C3" s="17" t="s">
        <v>827</v>
      </c>
      <c r="D3" s="74" t="s">
        <v>1751</v>
      </c>
      <c r="E3" s="17" t="s">
        <v>762</v>
      </c>
      <c r="F3" s="74" t="s">
        <v>1099</v>
      </c>
      <c r="G3" s="17" t="s">
        <v>811</v>
      </c>
    </row>
    <row r="4" spans="1:7" ht="15" customHeight="1">
      <c r="A4" s="82"/>
      <c r="B4" s="559"/>
      <c r="C4" s="635" t="s">
        <v>968</v>
      </c>
      <c r="D4" s="75" t="s">
        <v>968</v>
      </c>
      <c r="E4" s="18" t="s">
        <v>1298</v>
      </c>
      <c r="F4" s="75" t="s">
        <v>828</v>
      </c>
      <c r="G4" s="18"/>
    </row>
    <row r="5" spans="1:7" ht="15" customHeight="1">
      <c r="A5" s="82"/>
      <c r="B5" s="75"/>
      <c r="C5" s="18" t="s">
        <v>836</v>
      </c>
      <c r="D5" s="75" t="s">
        <v>829</v>
      </c>
      <c r="E5" s="635" t="s">
        <v>837</v>
      </c>
      <c r="F5" s="559" t="s">
        <v>830</v>
      </c>
      <c r="G5" s="18"/>
    </row>
    <row r="6" spans="1:7" ht="25.5" customHeight="1">
      <c r="A6" s="283"/>
      <c r="B6" s="445"/>
      <c r="C6" s="19"/>
      <c r="D6" s="78" t="s">
        <v>1409</v>
      </c>
      <c r="E6" s="19"/>
      <c r="F6" s="78" t="s">
        <v>838</v>
      </c>
      <c r="G6" s="455"/>
    </row>
    <row r="7" spans="1:7" ht="20.25" customHeight="1" thickBot="1">
      <c r="A7" s="740">
        <v>1985</v>
      </c>
      <c r="B7" s="762">
        <v>3435.9883913800195</v>
      </c>
      <c r="C7" s="743">
        <v>6102.1255417141483</v>
      </c>
      <c r="D7" s="762">
        <v>2100.8188973029673</v>
      </c>
      <c r="E7" s="743">
        <v>7138.7107602051492</v>
      </c>
      <c r="F7" s="762">
        <v>188.29267522168962</v>
      </c>
      <c r="G7" s="743">
        <v>18965.936265823973</v>
      </c>
    </row>
    <row r="8" spans="1:7" ht="18" customHeight="1" thickBot="1">
      <c r="A8" s="561">
        <v>1990</v>
      </c>
      <c r="B8" s="449">
        <v>5180.7982379554232</v>
      </c>
      <c r="C8" s="93">
        <v>9019.9460054249939</v>
      </c>
      <c r="D8" s="449">
        <v>2971.7209607619516</v>
      </c>
      <c r="E8" s="93">
        <v>9670.1627745426231</v>
      </c>
      <c r="F8" s="449">
        <v>269.16424351651347</v>
      </c>
      <c r="G8" s="93">
        <v>27111.792222201504</v>
      </c>
    </row>
    <row r="9" spans="1:7" ht="20.25" customHeight="1" thickBot="1">
      <c r="A9" s="560">
        <v>1995</v>
      </c>
      <c r="B9" s="170">
        <v>5829.2</v>
      </c>
      <c r="C9" s="169">
        <v>13614.3</v>
      </c>
      <c r="D9" s="170">
        <v>4426</v>
      </c>
      <c r="E9" s="169">
        <v>11929.3</v>
      </c>
      <c r="F9" s="170">
        <v>362.1</v>
      </c>
      <c r="G9" s="169">
        <v>36160.9</v>
      </c>
    </row>
    <row r="10" spans="1:7" ht="18" customHeight="1" thickBot="1">
      <c r="A10" s="561">
        <v>1996</v>
      </c>
      <c r="B10" s="449">
        <v>6108.1</v>
      </c>
      <c r="C10" s="93">
        <v>14621.3</v>
      </c>
      <c r="D10" s="449">
        <v>4896.5</v>
      </c>
      <c r="E10" s="93">
        <v>11903.7</v>
      </c>
      <c r="F10" s="449">
        <v>378.7</v>
      </c>
      <c r="G10" s="93">
        <v>37908.300000000003</v>
      </c>
    </row>
    <row r="11" spans="1:7" ht="18" customHeight="1" thickBot="1">
      <c r="A11" s="561">
        <v>1997</v>
      </c>
      <c r="B11" s="449">
        <v>6058</v>
      </c>
      <c r="C11" s="93">
        <v>15271.7</v>
      </c>
      <c r="D11" s="449">
        <v>4463.3999999999996</v>
      </c>
      <c r="E11" s="93">
        <v>12489.9</v>
      </c>
      <c r="F11" s="449">
        <v>386.6</v>
      </c>
      <c r="G11" s="93">
        <v>38669.599999999999</v>
      </c>
    </row>
    <row r="12" spans="1:7" ht="18" customHeight="1" thickBot="1">
      <c r="A12" s="561">
        <v>1998</v>
      </c>
      <c r="B12" s="449">
        <v>6131.7</v>
      </c>
      <c r="C12" s="93">
        <v>15975.1</v>
      </c>
      <c r="D12" s="449">
        <v>4590.2</v>
      </c>
      <c r="E12" s="93">
        <v>13200.2</v>
      </c>
      <c r="F12" s="449">
        <v>395.2</v>
      </c>
      <c r="G12" s="93">
        <v>40292.400000000001</v>
      </c>
    </row>
    <row r="13" spans="1:7" ht="18" customHeight="1" thickBot="1">
      <c r="A13" s="561">
        <v>1999</v>
      </c>
      <c r="B13" s="449">
        <v>6416.6639269999996</v>
      </c>
      <c r="C13" s="93">
        <v>16596.671683952769</v>
      </c>
      <c r="D13" s="449">
        <v>4331.8999999999996</v>
      </c>
      <c r="E13" s="93">
        <v>13831.539584369208</v>
      </c>
      <c r="F13" s="449">
        <v>408.8</v>
      </c>
      <c r="G13" s="93">
        <v>41585.575195321981</v>
      </c>
    </row>
    <row r="14" spans="1:7" ht="18" customHeight="1" thickBot="1">
      <c r="A14" s="561">
        <v>2000</v>
      </c>
      <c r="B14" s="449">
        <v>6599.5077570000003</v>
      </c>
      <c r="C14" s="93">
        <v>17518.085264289613</v>
      </c>
      <c r="D14" s="449">
        <v>4546.7</v>
      </c>
      <c r="E14" s="93">
        <v>14257.299972696481</v>
      </c>
      <c r="F14" s="449">
        <v>443.72611837314082</v>
      </c>
      <c r="G14" s="93">
        <v>43365.319112359233</v>
      </c>
    </row>
    <row r="15" spans="1:7" ht="30" customHeight="1" thickBot="1">
      <c r="A15" s="562">
        <v>2001</v>
      </c>
      <c r="B15" s="453">
        <v>7802.4641389999997</v>
      </c>
      <c r="C15" s="750">
        <v>18548.1400591827</v>
      </c>
      <c r="D15" s="453">
        <v>4699.8999999999996</v>
      </c>
      <c r="E15" s="750">
        <v>14615.520160769476</v>
      </c>
      <c r="F15" s="453">
        <v>463.46745935715603</v>
      </c>
      <c r="G15" s="750">
        <v>46129.491818309332</v>
      </c>
    </row>
    <row r="16" spans="1:7" ht="20" customHeight="1">
      <c r="A16" s="752" t="s">
        <v>178</v>
      </c>
      <c r="B16" s="753"/>
      <c r="C16" s="753"/>
      <c r="D16" s="753"/>
      <c r="E16" s="753"/>
      <c r="F16" s="753"/>
      <c r="G16" s="753"/>
    </row>
    <row r="17" spans="1:10" ht="12.75" customHeight="1">
      <c r="A17" s="754"/>
      <c r="B17" s="755"/>
      <c r="C17" s="755"/>
      <c r="D17" s="755"/>
      <c r="E17" s="755"/>
      <c r="F17" s="755"/>
      <c r="G17" s="755"/>
    </row>
    <row r="18" spans="1:10" ht="12.75" customHeight="1">
      <c r="A18" s="754" t="s">
        <v>831</v>
      </c>
      <c r="B18" s="755"/>
      <c r="C18" s="755"/>
      <c r="D18" s="755"/>
      <c r="E18" s="755"/>
      <c r="F18" s="755"/>
      <c r="G18" s="755"/>
    </row>
    <row r="19" spans="1:10" ht="12.75" customHeight="1">
      <c r="A19" s="754" t="s">
        <v>832</v>
      </c>
      <c r="B19" s="755"/>
      <c r="C19" s="755"/>
      <c r="D19" s="755"/>
      <c r="E19" s="755"/>
      <c r="F19" s="755"/>
      <c r="G19" s="755"/>
    </row>
    <row r="20" spans="1:10" ht="12.75" customHeight="1">
      <c r="A20" s="754" t="s">
        <v>833</v>
      </c>
      <c r="B20" s="755"/>
      <c r="C20" s="755"/>
      <c r="D20" s="755"/>
      <c r="E20" s="755"/>
      <c r="F20" s="755"/>
      <c r="G20" s="755"/>
    </row>
    <row r="21" spans="1:10" ht="12.75" customHeight="1">
      <c r="A21" s="754" t="s">
        <v>834</v>
      </c>
      <c r="B21" s="755"/>
      <c r="C21" s="755"/>
      <c r="D21" s="755"/>
      <c r="E21" s="755"/>
      <c r="F21" s="755"/>
      <c r="G21" s="755"/>
    </row>
    <row r="22" spans="1:10" ht="12.75" customHeight="1">
      <c r="A22" s="754"/>
      <c r="B22" s="755"/>
      <c r="C22" s="755"/>
      <c r="D22" s="755"/>
      <c r="E22" s="755"/>
      <c r="F22" s="755"/>
      <c r="G22" s="755"/>
    </row>
    <row r="23" spans="1:10" ht="12.75" customHeight="1">
      <c r="A23" s="754" t="s">
        <v>764</v>
      </c>
      <c r="B23" s="755"/>
      <c r="C23" s="755"/>
      <c r="D23" s="755"/>
      <c r="E23" s="755"/>
      <c r="F23" s="755"/>
      <c r="G23" s="755"/>
    </row>
    <row r="24" spans="1:10" ht="99.75" customHeight="1">
      <c r="A24" s="62"/>
      <c r="B24" s="650"/>
      <c r="C24" s="650"/>
      <c r="D24" s="650"/>
      <c r="E24" s="650"/>
      <c r="F24" s="650"/>
      <c r="G24" s="650"/>
    </row>
    <row r="25" spans="1:10" ht="18" customHeight="1">
      <c r="A25" s="10"/>
      <c r="B25" s="650"/>
      <c r="C25" s="650"/>
      <c r="D25" s="650"/>
      <c r="E25" s="650"/>
      <c r="F25" s="650"/>
      <c r="G25" s="650"/>
    </row>
    <row r="26" spans="1:10" ht="31" customHeight="1">
      <c r="A26" s="247"/>
      <c r="B26" s="650"/>
      <c r="C26" s="650"/>
      <c r="D26" s="650"/>
      <c r="E26" s="650"/>
      <c r="F26" s="650"/>
      <c r="G26" s="650"/>
    </row>
    <row r="27" spans="1:10" ht="31" customHeight="1">
      <c r="A27" s="247"/>
      <c r="B27" s="650"/>
      <c r="C27" s="650"/>
      <c r="D27" s="650"/>
      <c r="E27" s="650"/>
      <c r="F27" s="650"/>
      <c r="G27" s="650"/>
    </row>
    <row r="28" spans="1:10" ht="31" customHeight="1">
      <c r="A28" s="247"/>
      <c r="B28" s="650"/>
      <c r="C28" s="650"/>
      <c r="D28" s="650"/>
      <c r="E28" s="650"/>
      <c r="F28" s="650"/>
      <c r="G28" s="650"/>
      <c r="J28" s="1"/>
    </row>
    <row r="29" spans="1:10" ht="31" customHeight="1">
      <c r="A29" s="247"/>
      <c r="B29" s="650"/>
      <c r="C29" s="650"/>
      <c r="D29" s="650"/>
      <c r="E29" s="650"/>
      <c r="F29" s="650"/>
      <c r="G29" s="650"/>
    </row>
    <row r="30" spans="1:10" ht="31" customHeight="1">
      <c r="A30" s="247"/>
      <c r="B30" s="650"/>
      <c r="C30" s="650"/>
      <c r="D30" s="650"/>
      <c r="E30" s="650"/>
      <c r="F30" s="650"/>
      <c r="G30" s="650"/>
    </row>
    <row r="31" spans="1:10" ht="31" customHeight="1">
      <c r="A31" s="247"/>
      <c r="B31" s="650"/>
      <c r="C31" s="650"/>
      <c r="D31" s="650"/>
      <c r="E31" s="650"/>
      <c r="F31" s="650"/>
      <c r="G31" s="650"/>
    </row>
    <row r="32" spans="1:10" ht="31" customHeight="1">
      <c r="A32" s="247"/>
      <c r="B32" s="650"/>
      <c r="C32" s="650"/>
      <c r="D32" s="650"/>
      <c r="E32" s="650"/>
      <c r="F32" s="650"/>
      <c r="G32" s="650"/>
    </row>
    <row r="33" spans="1:7" ht="31" customHeight="1">
      <c r="A33" s="247"/>
      <c r="B33" s="650"/>
      <c r="C33" s="650"/>
      <c r="D33" s="650"/>
      <c r="E33" s="650"/>
      <c r="F33" s="650"/>
      <c r="G33" s="650"/>
    </row>
    <row r="34" spans="1:7">
      <c r="A34" s="247"/>
      <c r="B34" s="650"/>
      <c r="C34" s="650"/>
      <c r="D34" s="650"/>
      <c r="E34" s="650"/>
      <c r="F34" s="650"/>
      <c r="G34" s="650"/>
    </row>
    <row r="35" spans="1:7">
      <c r="A35" s="247"/>
      <c r="B35" s="650"/>
      <c r="C35" s="650"/>
      <c r="D35" s="650"/>
      <c r="E35" s="650"/>
      <c r="F35" s="650"/>
      <c r="G35" s="650"/>
    </row>
  </sheetData>
  <phoneticPr fontId="0" type="noConversion"/>
  <pageMargins left="0.56000000000000005" right="0.45" top="1.45" bottom="0.49" header="0.93"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0E82-4EAA-6045-B77F-1A3A0C1DBA2C}">
  <dimension ref="A1:L34"/>
  <sheetViews>
    <sheetView topLeftCell="A11" zoomScale="75" workbookViewId="0">
      <selection activeCell="A25" sqref="A25"/>
    </sheetView>
  </sheetViews>
  <sheetFormatPr baseColWidth="10" defaultColWidth="11.3984375" defaultRowHeight="13"/>
  <cols>
    <col min="1" max="1" width="9" style="3" customWidth="1"/>
    <col min="2" max="9" width="12.19921875" style="22" customWidth="1"/>
    <col min="10" max="10" width="8.796875" style="3" customWidth="1"/>
    <col min="11" max="16384" width="11.3984375" style="3"/>
  </cols>
  <sheetData>
    <row r="1" spans="1:9" s="1" customFormat="1" ht="14" customHeight="1">
      <c r="A1" s="62"/>
      <c r="B1" s="634"/>
      <c r="C1" s="634"/>
      <c r="D1" s="634"/>
      <c r="E1" s="634"/>
      <c r="F1" s="634"/>
      <c r="G1" s="634"/>
      <c r="H1" s="634"/>
      <c r="I1" s="634"/>
    </row>
    <row r="2" spans="1:9" s="1" customFormat="1" ht="27" customHeight="1">
      <c r="A2" s="240" t="s">
        <v>807</v>
      </c>
      <c r="B2" s="634"/>
      <c r="C2" s="634"/>
      <c r="D2" s="634"/>
      <c r="E2" s="634"/>
      <c r="F2" s="634"/>
      <c r="G2" s="634"/>
      <c r="H2" s="634"/>
      <c r="I2" s="634"/>
    </row>
    <row r="3" spans="1:9" ht="27" customHeight="1">
      <c r="A3" s="2" t="s">
        <v>335</v>
      </c>
      <c r="B3" s="74" t="s">
        <v>1396</v>
      </c>
      <c r="C3" s="17" t="s">
        <v>808</v>
      </c>
      <c r="D3" s="74" t="s">
        <v>28</v>
      </c>
      <c r="E3" s="17" t="s">
        <v>809</v>
      </c>
      <c r="F3" s="74" t="s">
        <v>760</v>
      </c>
      <c r="G3" s="17" t="s">
        <v>994</v>
      </c>
      <c r="H3" s="74" t="s">
        <v>810</v>
      </c>
      <c r="I3" s="17" t="s">
        <v>811</v>
      </c>
    </row>
    <row r="4" spans="1:9" ht="15" customHeight="1">
      <c r="A4" s="82"/>
      <c r="B4" s="559" t="s">
        <v>812</v>
      </c>
      <c r="C4" s="635" t="s">
        <v>813</v>
      </c>
      <c r="D4" s="75" t="s">
        <v>814</v>
      </c>
      <c r="E4" s="18" t="s">
        <v>823</v>
      </c>
      <c r="F4" s="75"/>
      <c r="G4" s="18" t="s">
        <v>815</v>
      </c>
      <c r="H4" s="75" t="s">
        <v>816</v>
      </c>
      <c r="I4" s="18"/>
    </row>
    <row r="5" spans="1:9" ht="15.75" customHeight="1">
      <c r="A5" s="82"/>
      <c r="B5" s="75"/>
      <c r="C5" s="18" t="s">
        <v>817</v>
      </c>
      <c r="D5" s="75" t="s">
        <v>824</v>
      </c>
      <c r="E5" s="635"/>
      <c r="F5" s="559"/>
      <c r="G5" s="635"/>
      <c r="H5" s="559" t="s">
        <v>818</v>
      </c>
      <c r="I5" s="18"/>
    </row>
    <row r="6" spans="1:9" ht="23.25" customHeight="1">
      <c r="A6" s="283"/>
      <c r="B6" s="445"/>
      <c r="C6" s="19" t="s">
        <v>825</v>
      </c>
      <c r="D6" s="78"/>
      <c r="E6" s="19"/>
      <c r="F6" s="78"/>
      <c r="G6" s="19"/>
      <c r="H6" s="78" t="s">
        <v>819</v>
      </c>
      <c r="I6" s="19"/>
    </row>
    <row r="7" spans="1:9" ht="18" customHeight="1" thickBot="1">
      <c r="A7" s="934">
        <v>1985</v>
      </c>
      <c r="B7" s="762">
        <v>7299.9336735962033</v>
      </c>
      <c r="C7" s="743">
        <v>2027.7480382356046</v>
      </c>
      <c r="D7" s="762">
        <v>6134.7934947972271</v>
      </c>
      <c r="E7" s="743">
        <v>2041.406403371913</v>
      </c>
      <c r="F7" s="762">
        <v>511.81730457264518</v>
      </c>
      <c r="G7" s="743">
        <v>741.56902161234996</v>
      </c>
      <c r="H7" s="762">
        <v>208.66832963802727</v>
      </c>
      <c r="I7" s="743">
        <v>18965.93626582397</v>
      </c>
    </row>
    <row r="8" spans="1:9" ht="18" customHeight="1" thickBot="1">
      <c r="A8" s="935">
        <v>1990</v>
      </c>
      <c r="B8" s="449">
        <v>10107.064923425092</v>
      </c>
      <c r="C8" s="93">
        <v>3577.700897343158</v>
      </c>
      <c r="D8" s="449">
        <v>8426.3225474891533</v>
      </c>
      <c r="E8" s="93">
        <v>2688.3539300507928</v>
      </c>
      <c r="F8" s="449">
        <v>849.15590773237579</v>
      </c>
      <c r="G8" s="93">
        <v>1164.9027893421194</v>
      </c>
      <c r="H8" s="449">
        <v>298.29122681881296</v>
      </c>
      <c r="I8" s="93">
        <v>27111.792222201504</v>
      </c>
    </row>
    <row r="9" spans="1:9" ht="18.75" customHeight="1" thickBot="1">
      <c r="A9" s="936">
        <v>1995</v>
      </c>
      <c r="B9" s="170">
        <v>12612</v>
      </c>
      <c r="C9" s="169">
        <v>6027.7</v>
      </c>
      <c r="D9" s="170">
        <v>11275.1</v>
      </c>
      <c r="E9" s="169">
        <v>3400.9</v>
      </c>
      <c r="F9" s="170">
        <v>861.5</v>
      </c>
      <c r="G9" s="169">
        <v>1584.5</v>
      </c>
      <c r="H9" s="170">
        <v>399.2</v>
      </c>
      <c r="I9" s="169">
        <v>36160.9</v>
      </c>
    </row>
    <row r="10" spans="1:9" ht="18" customHeight="1" thickBot="1">
      <c r="A10" s="935">
        <v>1996</v>
      </c>
      <c r="B10" s="449">
        <v>13184</v>
      </c>
      <c r="C10" s="93">
        <v>6423.1</v>
      </c>
      <c r="D10" s="449">
        <v>11678.6</v>
      </c>
      <c r="E10" s="93">
        <v>3544.7</v>
      </c>
      <c r="F10" s="449">
        <v>869.1</v>
      </c>
      <c r="G10" s="93">
        <v>1796.9</v>
      </c>
      <c r="H10" s="449">
        <v>412</v>
      </c>
      <c r="I10" s="93">
        <v>37908.400000000001</v>
      </c>
    </row>
    <row r="11" spans="1:9" ht="18" customHeight="1" thickBot="1">
      <c r="A11" s="935">
        <v>1997</v>
      </c>
      <c r="B11" s="449">
        <v>13300.5</v>
      </c>
      <c r="C11" s="93">
        <v>6678.2</v>
      </c>
      <c r="D11" s="449">
        <v>11898.8</v>
      </c>
      <c r="E11" s="93">
        <v>3699.7</v>
      </c>
      <c r="F11" s="449">
        <v>820.1</v>
      </c>
      <c r="G11" s="93">
        <v>1853.8</v>
      </c>
      <c r="H11" s="449">
        <v>418.5</v>
      </c>
      <c r="I11" s="93">
        <v>38669.599999999999</v>
      </c>
    </row>
    <row r="12" spans="1:9" ht="18" customHeight="1" thickBot="1">
      <c r="A12" s="935">
        <v>1998</v>
      </c>
      <c r="B12" s="449">
        <v>13726.9</v>
      </c>
      <c r="C12" s="93">
        <v>6995</v>
      </c>
      <c r="D12" s="449">
        <v>12534.7</v>
      </c>
      <c r="E12" s="93">
        <v>3814.8</v>
      </c>
      <c r="F12" s="449">
        <v>825.8</v>
      </c>
      <c r="G12" s="93">
        <v>1952.6</v>
      </c>
      <c r="H12" s="449">
        <v>442.5</v>
      </c>
      <c r="I12" s="93">
        <v>40292.300000000003</v>
      </c>
    </row>
    <row r="13" spans="1:9" ht="18" customHeight="1" thickBot="1">
      <c r="A13" s="935">
        <v>1999</v>
      </c>
      <c r="B13" s="449">
        <v>14269.859986000003</v>
      </c>
      <c r="C13" s="93">
        <v>7117.1</v>
      </c>
      <c r="D13" s="449">
        <v>12923.16416135502</v>
      </c>
      <c r="E13" s="93">
        <v>3985</v>
      </c>
      <c r="F13" s="449">
        <v>869.4</v>
      </c>
      <c r="G13" s="93">
        <v>1951.2</v>
      </c>
      <c r="H13" s="449">
        <v>469.9</v>
      </c>
      <c r="I13" s="93">
        <v>41585.624147355018</v>
      </c>
    </row>
    <row r="14" spans="1:9" ht="18" customHeight="1" thickBot="1">
      <c r="A14" s="935">
        <v>2000</v>
      </c>
      <c r="B14" s="449">
        <v>14895.513251</v>
      </c>
      <c r="C14" s="93">
        <v>7563.9</v>
      </c>
      <c r="D14" s="449">
        <v>13440.733995653636</v>
      </c>
      <c r="E14" s="93">
        <v>4130.4973544495606</v>
      </c>
      <c r="F14" s="449">
        <v>886.60889900000006</v>
      </c>
      <c r="G14" s="93">
        <v>1968</v>
      </c>
      <c r="H14" s="449">
        <v>480.06561225603991</v>
      </c>
      <c r="I14" s="93">
        <v>43365.319112359233</v>
      </c>
    </row>
    <row r="15" spans="1:9" s="36" customFormat="1" ht="30" customHeight="1" thickBot="1">
      <c r="A15" s="562">
        <v>2001</v>
      </c>
      <c r="B15" s="453">
        <v>16132.139821000001</v>
      </c>
      <c r="C15" s="750">
        <v>8103.4</v>
      </c>
      <c r="D15" s="453">
        <v>14118.389210237772</v>
      </c>
      <c r="E15" s="750">
        <v>4333.6230316924066</v>
      </c>
      <c r="F15" s="453">
        <v>926.76387199999999</v>
      </c>
      <c r="G15" s="750">
        <v>2014.6</v>
      </c>
      <c r="H15" s="453">
        <v>500.57588337914626</v>
      </c>
      <c r="I15" s="750">
        <v>46129.491818309325</v>
      </c>
    </row>
    <row r="16" spans="1:9" ht="20" customHeight="1">
      <c r="A16" s="752" t="s">
        <v>178</v>
      </c>
      <c r="B16" s="753"/>
      <c r="C16" s="753"/>
      <c r="D16" s="753"/>
      <c r="E16" s="753"/>
      <c r="F16" s="753"/>
      <c r="G16" s="753"/>
      <c r="H16" s="753"/>
      <c r="I16" s="753"/>
    </row>
    <row r="17" spans="1:12" ht="12.75" customHeight="1">
      <c r="A17" s="754"/>
      <c r="B17" s="755"/>
      <c r="C17" s="755"/>
      <c r="D17" s="755"/>
      <c r="E17" s="755"/>
      <c r="F17" s="755"/>
      <c r="G17" s="755"/>
      <c r="H17" s="755"/>
      <c r="I17" s="755"/>
    </row>
    <row r="18" spans="1:12" ht="12.75" customHeight="1">
      <c r="A18" s="754" t="s">
        <v>820</v>
      </c>
      <c r="B18" s="755"/>
      <c r="C18" s="755"/>
      <c r="D18" s="755"/>
      <c r="E18" s="755"/>
      <c r="F18" s="755"/>
      <c r="G18" s="755"/>
      <c r="H18" s="755"/>
      <c r="I18" s="755"/>
    </row>
    <row r="19" spans="1:12" ht="12.75" customHeight="1">
      <c r="A19" s="754" t="s">
        <v>821</v>
      </c>
      <c r="B19" s="755"/>
      <c r="C19" s="755"/>
      <c r="D19" s="755"/>
      <c r="E19" s="755"/>
      <c r="F19" s="755"/>
      <c r="G19" s="755"/>
      <c r="H19" s="755"/>
      <c r="I19" s="755"/>
    </row>
    <row r="20" spans="1:12" ht="12.75" customHeight="1">
      <c r="A20" s="754" t="s">
        <v>822</v>
      </c>
      <c r="B20" s="755"/>
      <c r="C20" s="755"/>
      <c r="D20" s="755"/>
      <c r="E20" s="755"/>
      <c r="F20" s="755"/>
      <c r="G20" s="755"/>
      <c r="H20" s="755"/>
      <c r="I20" s="755"/>
    </row>
    <row r="21" spans="1:12" ht="12.75" customHeight="1">
      <c r="A21" s="754"/>
      <c r="B21" s="755"/>
      <c r="C21" s="755"/>
      <c r="D21" s="755"/>
      <c r="E21" s="755"/>
      <c r="F21" s="755"/>
      <c r="G21" s="755"/>
      <c r="H21" s="755"/>
      <c r="I21" s="755"/>
    </row>
    <row r="22" spans="1:12" ht="12.75" customHeight="1">
      <c r="A22" s="754" t="s">
        <v>764</v>
      </c>
      <c r="B22" s="755"/>
      <c r="C22" s="755"/>
      <c r="D22" s="755"/>
      <c r="E22" s="755"/>
      <c r="F22" s="755"/>
      <c r="G22" s="755"/>
      <c r="H22" s="755"/>
      <c r="I22" s="755"/>
    </row>
    <row r="23" spans="1:12" ht="51.75" customHeight="1">
      <c r="A23" s="62"/>
      <c r="B23" s="650"/>
      <c r="C23" s="650"/>
      <c r="D23" s="650"/>
      <c r="E23" s="650"/>
      <c r="F23" s="650"/>
      <c r="G23" s="650"/>
      <c r="H23" s="650"/>
      <c r="I23" s="650"/>
    </row>
    <row r="24" spans="1:12" ht="18" customHeight="1">
      <c r="A24" s="10"/>
      <c r="B24" s="650"/>
      <c r="C24" s="650"/>
      <c r="D24" s="650"/>
      <c r="E24" s="650"/>
      <c r="F24" s="650"/>
      <c r="G24" s="650"/>
      <c r="H24" s="650"/>
      <c r="I24" s="650"/>
    </row>
    <row r="25" spans="1:12" ht="31" customHeight="1">
      <c r="A25" s="247"/>
      <c r="B25" s="650"/>
      <c r="C25" s="650"/>
      <c r="D25" s="650"/>
      <c r="E25" s="650"/>
      <c r="F25" s="650"/>
      <c r="G25" s="650"/>
      <c r="H25" s="650"/>
      <c r="I25" s="650"/>
    </row>
    <row r="26" spans="1:12" ht="31" customHeight="1">
      <c r="A26" s="247"/>
      <c r="B26" s="650"/>
      <c r="C26" s="650"/>
      <c r="D26" s="650"/>
      <c r="E26" s="650"/>
      <c r="F26" s="650"/>
      <c r="G26" s="650"/>
      <c r="H26" s="650"/>
      <c r="I26" s="650"/>
    </row>
    <row r="27" spans="1:12" ht="31" customHeight="1">
      <c r="A27" s="247"/>
      <c r="B27" s="650"/>
      <c r="C27" s="650"/>
      <c r="D27" s="650"/>
      <c r="E27" s="650"/>
      <c r="F27" s="650"/>
      <c r="G27" s="650"/>
      <c r="H27" s="650"/>
      <c r="I27" s="650"/>
      <c r="L27" s="10"/>
    </row>
    <row r="28" spans="1:12" ht="31" customHeight="1">
      <c r="A28" s="247"/>
      <c r="B28" s="650"/>
      <c r="C28" s="650"/>
      <c r="D28" s="650"/>
      <c r="E28" s="650"/>
      <c r="F28" s="650"/>
      <c r="G28" s="650"/>
      <c r="H28" s="650"/>
      <c r="I28" s="650"/>
    </row>
    <row r="29" spans="1:12" ht="31" customHeight="1">
      <c r="A29" s="247"/>
      <c r="B29" s="650"/>
      <c r="C29" s="650"/>
      <c r="D29" s="650"/>
      <c r="E29" s="650"/>
      <c r="F29" s="650"/>
      <c r="G29" s="650"/>
      <c r="H29" s="650"/>
      <c r="I29" s="650"/>
    </row>
    <row r="30" spans="1:12" ht="31" customHeight="1">
      <c r="A30" s="247"/>
      <c r="B30" s="650"/>
      <c r="C30" s="650"/>
      <c r="D30" s="650"/>
      <c r="E30" s="650"/>
      <c r="F30" s="650"/>
      <c r="G30" s="650"/>
      <c r="H30" s="650"/>
      <c r="I30" s="650"/>
    </row>
    <row r="31" spans="1:12" ht="31" customHeight="1">
      <c r="A31" s="247"/>
      <c r="B31" s="650"/>
      <c r="C31" s="650"/>
      <c r="D31" s="650"/>
      <c r="E31" s="650"/>
      <c r="F31" s="650"/>
      <c r="G31" s="650"/>
      <c r="H31" s="650"/>
      <c r="I31" s="650"/>
    </row>
    <row r="32" spans="1:12" ht="31" customHeight="1">
      <c r="A32" s="247"/>
      <c r="B32" s="650"/>
      <c r="C32" s="650"/>
      <c r="D32" s="650"/>
      <c r="E32" s="650"/>
      <c r="F32" s="650"/>
      <c r="G32" s="650"/>
      <c r="H32" s="650"/>
      <c r="I32" s="650"/>
    </row>
    <row r="33" spans="1:9">
      <c r="A33" s="247"/>
      <c r="B33" s="650"/>
      <c r="C33" s="650"/>
      <c r="D33" s="650"/>
      <c r="E33" s="650"/>
      <c r="F33" s="650"/>
      <c r="G33" s="650"/>
      <c r="H33" s="650"/>
      <c r="I33" s="650"/>
    </row>
    <row r="34" spans="1:9">
      <c r="A34" s="247"/>
      <c r="B34" s="650"/>
      <c r="C34" s="650"/>
      <c r="D34" s="650"/>
      <c r="E34" s="650"/>
      <c r="F34" s="650"/>
      <c r="G34" s="650"/>
      <c r="H34" s="650"/>
      <c r="I34" s="650"/>
    </row>
  </sheetData>
  <phoneticPr fontId="0" type="noConversion"/>
  <pageMargins left="0.59" right="0.51" top="1.45" bottom="0.49" header="0.93"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19F79-18A3-A641-9DA9-96DFFF47C741}">
  <dimension ref="A1:K32"/>
  <sheetViews>
    <sheetView zoomScale="75" workbookViewId="0">
      <selection activeCell="A9" sqref="A9"/>
    </sheetView>
  </sheetViews>
  <sheetFormatPr baseColWidth="10" defaultColWidth="11.3984375" defaultRowHeight="13"/>
  <cols>
    <col min="1" max="1" width="9" style="3" customWidth="1"/>
    <col min="2" max="2" width="13.19921875" style="22" customWidth="1"/>
    <col min="3" max="6" width="12.19921875" style="22" customWidth="1"/>
    <col min="7" max="7" width="14.796875" style="22" customWidth="1"/>
    <col min="8" max="8" width="12.19921875" style="22" customWidth="1"/>
    <col min="9" max="9" width="8.796875" style="3" customWidth="1"/>
    <col min="10" max="16384" width="11.3984375" style="3"/>
  </cols>
  <sheetData>
    <row r="1" spans="1:10" s="1" customFormat="1" ht="14" customHeight="1">
      <c r="A1" s="62"/>
      <c r="B1" s="634"/>
      <c r="C1" s="634"/>
      <c r="D1" s="634"/>
      <c r="E1" s="634"/>
      <c r="F1" s="634"/>
      <c r="G1" s="634"/>
      <c r="H1" s="634"/>
    </row>
    <row r="2" spans="1:10" s="1" customFormat="1" ht="27" customHeight="1">
      <c r="A2" s="240" t="s">
        <v>796</v>
      </c>
      <c r="B2" s="634"/>
      <c r="C2" s="634"/>
      <c r="D2" s="634"/>
      <c r="E2" s="634"/>
      <c r="F2" s="634"/>
      <c r="G2" s="634"/>
      <c r="H2" s="634"/>
    </row>
    <row r="3" spans="1:10" ht="27" customHeight="1">
      <c r="A3" s="2" t="s">
        <v>335</v>
      </c>
      <c r="B3" s="74" t="s">
        <v>29</v>
      </c>
      <c r="C3" s="17" t="s">
        <v>28</v>
      </c>
      <c r="D3" s="74" t="s">
        <v>1099</v>
      </c>
      <c r="E3" s="17" t="s">
        <v>797</v>
      </c>
      <c r="F3" s="74" t="s">
        <v>798</v>
      </c>
      <c r="G3" s="17" t="s">
        <v>799</v>
      </c>
      <c r="H3" s="74" t="s">
        <v>607</v>
      </c>
    </row>
    <row r="4" spans="1:10" ht="15" customHeight="1">
      <c r="A4" s="82"/>
      <c r="B4" s="559" t="s">
        <v>800</v>
      </c>
      <c r="C4" s="635" t="s">
        <v>801</v>
      </c>
      <c r="D4" s="75" t="s">
        <v>1316</v>
      </c>
      <c r="E4" s="18" t="s">
        <v>802</v>
      </c>
      <c r="F4" s="75"/>
      <c r="G4" s="18"/>
      <c r="H4" s="75"/>
    </row>
    <row r="5" spans="1:10" ht="15" customHeight="1">
      <c r="A5" s="82"/>
      <c r="B5" s="75" t="s">
        <v>803</v>
      </c>
      <c r="C5" s="18"/>
      <c r="D5" s="75" t="s">
        <v>804</v>
      </c>
      <c r="E5" s="635" t="s">
        <v>805</v>
      </c>
      <c r="F5" s="559"/>
      <c r="G5" s="635"/>
      <c r="H5" s="559"/>
      <c r="J5" s="930"/>
    </row>
    <row r="6" spans="1:10" ht="21.75" customHeight="1">
      <c r="A6" s="82"/>
      <c r="B6" s="78" t="s">
        <v>33</v>
      </c>
      <c r="C6" s="19"/>
      <c r="D6" s="78"/>
      <c r="E6" s="19"/>
      <c r="F6" s="78"/>
      <c r="G6" s="19"/>
      <c r="H6" s="78"/>
    </row>
    <row r="7" spans="1:10" ht="30" customHeight="1" thickBot="1">
      <c r="A7" s="560">
        <v>1985</v>
      </c>
      <c r="B7" s="762">
        <v>8854.5344747703402</v>
      </c>
      <c r="C7" s="743">
        <v>5520.0891168410189</v>
      </c>
      <c r="D7" s="762">
        <v>637.43077765586133</v>
      </c>
      <c r="E7" s="743">
        <v>2546.2425108226048</v>
      </c>
      <c r="F7" s="762">
        <v>326.84213978337408</v>
      </c>
      <c r="G7" s="743">
        <v>1080.7972459507669</v>
      </c>
      <c r="H7" s="762">
        <v>18965.936265823966</v>
      </c>
    </row>
    <row r="8" spans="1:10" ht="18" customHeight="1" thickBot="1">
      <c r="A8" s="561">
        <v>1990</v>
      </c>
      <c r="B8" s="449">
        <v>12978.517449756022</v>
      </c>
      <c r="C8" s="93">
        <v>7673.2207895727088</v>
      </c>
      <c r="D8" s="449">
        <v>886.0630673697367</v>
      </c>
      <c r="E8" s="93">
        <v>3312.4643102958607</v>
      </c>
      <c r="F8" s="449">
        <v>596.4400170742515</v>
      </c>
      <c r="G8" s="93">
        <v>1665.1897563885004</v>
      </c>
      <c r="H8" s="449">
        <v>27111.895390457081</v>
      </c>
    </row>
    <row r="9" spans="1:10" ht="18" customHeight="1" thickBot="1">
      <c r="A9" s="560">
        <v>1995</v>
      </c>
      <c r="B9" s="762">
        <v>17333.90554142966</v>
      </c>
      <c r="C9" s="743">
        <v>10477.991507875635</v>
      </c>
      <c r="D9" s="762">
        <v>1295.152</v>
      </c>
      <c r="E9" s="743">
        <v>4304.3963117647054</v>
      </c>
      <c r="F9" s="762">
        <v>937.9318370004562</v>
      </c>
      <c r="G9" s="743">
        <v>1811.509058172177</v>
      </c>
      <c r="H9" s="762">
        <v>36160.886256242629</v>
      </c>
    </row>
    <row r="10" spans="1:10" ht="18" customHeight="1" thickBot="1">
      <c r="A10" s="561">
        <v>1996</v>
      </c>
      <c r="B10" s="449">
        <v>18184.040445464139</v>
      </c>
      <c r="C10" s="93">
        <v>10932.716294797674</v>
      </c>
      <c r="D10" s="449">
        <v>1268.9714576684796</v>
      </c>
      <c r="E10" s="93">
        <v>4540.3470588235296</v>
      </c>
      <c r="F10" s="449">
        <v>966.86547804090924</v>
      </c>
      <c r="G10" s="93">
        <v>2015.3489631466664</v>
      </c>
      <c r="H10" s="449">
        <v>37908.2896979414</v>
      </c>
    </row>
    <row r="11" spans="1:10" ht="18" customHeight="1" thickBot="1">
      <c r="A11" s="561">
        <v>1997</v>
      </c>
      <c r="B11" s="449">
        <v>18483.938030623332</v>
      </c>
      <c r="C11" s="93">
        <v>11172.859777209607</v>
      </c>
      <c r="D11" s="449">
        <v>1237.2489177234406</v>
      </c>
      <c r="E11" s="93">
        <v>4778.8981705882352</v>
      </c>
      <c r="F11" s="449">
        <v>938.77448458000003</v>
      </c>
      <c r="G11" s="93">
        <v>2057.9071603399998</v>
      </c>
      <c r="H11" s="449">
        <v>38669.626541064616</v>
      </c>
    </row>
    <row r="12" spans="1:10" ht="18" customHeight="1" thickBot="1">
      <c r="A12" s="561">
        <v>1998</v>
      </c>
      <c r="B12" s="449">
        <v>19029.318450073679</v>
      </c>
      <c r="C12" s="93">
        <v>11874.35810787395</v>
      </c>
      <c r="D12" s="449">
        <v>1356.5677703307178</v>
      </c>
      <c r="E12" s="93">
        <v>4913.3724305941168</v>
      </c>
      <c r="F12" s="449">
        <v>983.21470195428628</v>
      </c>
      <c r="G12" s="93">
        <v>2135.5628481599997</v>
      </c>
      <c r="H12" s="449">
        <v>40292.394308986753</v>
      </c>
    </row>
    <row r="13" spans="1:10" ht="18" customHeight="1" thickBot="1">
      <c r="A13" s="561">
        <v>1999</v>
      </c>
      <c r="B13" s="449">
        <v>19459.674308298851</v>
      </c>
      <c r="C13" s="93">
        <v>12357.690062899601</v>
      </c>
      <c r="D13" s="449">
        <v>1393.9774232153918</v>
      </c>
      <c r="E13" s="93">
        <v>5198.8475422014762</v>
      </c>
      <c r="F13" s="449">
        <v>1015.086034722207</v>
      </c>
      <c r="G13" s="93">
        <v>2160.2840630000001</v>
      </c>
      <c r="H13" s="449">
        <v>41585.55943433752</v>
      </c>
    </row>
    <row r="14" spans="1:10" ht="18" customHeight="1" thickBot="1">
      <c r="A14" s="561">
        <v>2000</v>
      </c>
      <c r="B14" s="449">
        <v>20309.111119965513</v>
      </c>
      <c r="C14" s="93">
        <v>12926.336575347925</v>
      </c>
      <c r="D14" s="449">
        <v>1430.1583748696057</v>
      </c>
      <c r="E14" s="93">
        <v>5475.438530920148</v>
      </c>
      <c r="F14" s="449">
        <v>1014.11623525604</v>
      </c>
      <c r="G14" s="93">
        <v>2210.1582759999997</v>
      </c>
      <c r="H14" s="449">
        <v>43365.319112359233</v>
      </c>
    </row>
    <row r="15" spans="1:10" s="115" customFormat="1" ht="30" customHeight="1" thickBot="1">
      <c r="A15" s="562">
        <v>2001</v>
      </c>
      <c r="B15" s="931">
        <v>21805.054371000002</v>
      </c>
      <c r="C15" s="932">
        <v>13690.949264204983</v>
      </c>
      <c r="D15" s="931">
        <v>1471.1430430916139</v>
      </c>
      <c r="E15" s="932">
        <v>5829.5053846335832</v>
      </c>
      <c r="F15" s="931">
        <v>1062.7870063791461</v>
      </c>
      <c r="G15" s="932">
        <v>2270.0527489999999</v>
      </c>
      <c r="H15" s="931">
        <v>46129.491818309332</v>
      </c>
    </row>
    <row r="16" spans="1:10" ht="20" customHeight="1">
      <c r="A16" s="752" t="s">
        <v>178</v>
      </c>
      <c r="B16" s="753"/>
      <c r="C16" s="753"/>
      <c r="D16" s="753"/>
      <c r="E16" s="753"/>
      <c r="F16" s="753"/>
      <c r="G16" s="753"/>
      <c r="H16" s="753"/>
    </row>
    <row r="17" spans="1:11" ht="12.75" customHeight="1">
      <c r="A17" s="754"/>
      <c r="B17" s="755"/>
      <c r="C17" s="755"/>
      <c r="D17" s="755"/>
      <c r="E17" s="755"/>
      <c r="F17" s="755"/>
      <c r="G17" s="755"/>
      <c r="H17" s="755"/>
    </row>
    <row r="18" spans="1:11" ht="12.75" customHeight="1">
      <c r="A18" s="754" t="s">
        <v>806</v>
      </c>
      <c r="B18" s="755"/>
      <c r="C18" s="755"/>
      <c r="D18" s="755"/>
      <c r="E18" s="755"/>
      <c r="F18" s="755"/>
      <c r="G18" s="755"/>
      <c r="H18" s="755"/>
    </row>
    <row r="19" spans="1:11" ht="12.75" customHeight="1">
      <c r="A19" s="754"/>
      <c r="B19" s="755"/>
      <c r="C19" s="755"/>
      <c r="D19" s="755"/>
      <c r="E19" s="755"/>
      <c r="F19" s="755"/>
      <c r="G19" s="755"/>
      <c r="H19" s="755"/>
    </row>
    <row r="20" spans="1:11" ht="12.75" customHeight="1">
      <c r="A20" s="754" t="s">
        <v>764</v>
      </c>
      <c r="B20" s="755"/>
      <c r="C20" s="755"/>
      <c r="D20" s="755"/>
      <c r="E20" s="755"/>
      <c r="F20" s="755"/>
      <c r="G20" s="755"/>
      <c r="H20" s="755"/>
    </row>
    <row r="21" spans="1:11" ht="120" customHeight="1">
      <c r="A21" s="62"/>
      <c r="B21" s="650"/>
      <c r="C21" s="650"/>
      <c r="D21" s="650"/>
      <c r="E21" s="650"/>
      <c r="F21" s="650"/>
      <c r="G21" s="650"/>
      <c r="H21" s="650"/>
    </row>
    <row r="22" spans="1:11" ht="18" customHeight="1">
      <c r="A22" s="10"/>
      <c r="B22" s="650"/>
      <c r="C22" s="650"/>
      <c r="D22" s="650"/>
      <c r="E22" s="650"/>
      <c r="F22" s="650"/>
      <c r="G22" s="650"/>
      <c r="H22" s="650"/>
    </row>
    <row r="23" spans="1:11" ht="31" customHeight="1">
      <c r="A23" s="247"/>
      <c r="B23" s="650"/>
      <c r="C23" s="650"/>
      <c r="D23" s="650"/>
      <c r="E23" s="650"/>
      <c r="F23" s="650"/>
      <c r="G23" s="650"/>
      <c r="H23" s="650"/>
    </row>
    <row r="24" spans="1:11" ht="31" customHeight="1">
      <c r="A24" s="247"/>
      <c r="B24" s="650"/>
      <c r="C24" s="650"/>
      <c r="D24" s="650"/>
      <c r="E24" s="650"/>
      <c r="F24" s="650"/>
      <c r="G24" s="650"/>
      <c r="H24" s="650"/>
    </row>
    <row r="25" spans="1:11" ht="31" customHeight="1">
      <c r="A25" s="247"/>
      <c r="B25" s="650"/>
      <c r="C25" s="650"/>
      <c r="D25" s="650"/>
      <c r="E25" s="650"/>
      <c r="F25" s="650"/>
      <c r="G25" s="650"/>
      <c r="H25" s="650"/>
      <c r="K25" s="10"/>
    </row>
    <row r="26" spans="1:11" ht="31" customHeight="1">
      <c r="A26" s="247"/>
      <c r="B26" s="650"/>
      <c r="C26" s="650"/>
      <c r="D26" s="650"/>
      <c r="E26" s="650"/>
      <c r="F26" s="650"/>
      <c r="G26" s="650"/>
      <c r="H26" s="650"/>
    </row>
    <row r="27" spans="1:11" ht="31" customHeight="1">
      <c r="A27" s="247"/>
      <c r="B27" s="650"/>
      <c r="C27" s="650"/>
      <c r="D27" s="650"/>
      <c r="E27" s="650"/>
      <c r="F27" s="650"/>
      <c r="G27" s="650"/>
      <c r="H27" s="650"/>
    </row>
    <row r="28" spans="1:11" ht="31" customHeight="1">
      <c r="A28" s="247"/>
      <c r="B28" s="650"/>
      <c r="C28" s="650"/>
      <c r="D28" s="650"/>
      <c r="E28" s="650"/>
      <c r="F28" s="650"/>
      <c r="G28" s="650"/>
      <c r="H28" s="650"/>
    </row>
    <row r="29" spans="1:11" ht="31" customHeight="1">
      <c r="A29" s="247"/>
      <c r="B29" s="650"/>
      <c r="C29" s="650"/>
      <c r="D29" s="650"/>
      <c r="E29" s="650"/>
      <c r="F29" s="650"/>
      <c r="G29" s="650"/>
      <c r="H29" s="650"/>
    </row>
    <row r="30" spans="1:11" ht="31" customHeight="1">
      <c r="A30" s="247"/>
      <c r="B30" s="650"/>
      <c r="C30" s="650"/>
      <c r="D30" s="650"/>
      <c r="E30" s="650"/>
      <c r="F30" s="650"/>
      <c r="G30" s="650"/>
      <c r="H30" s="650"/>
    </row>
    <row r="31" spans="1:11">
      <c r="A31" s="247"/>
      <c r="B31" s="650"/>
      <c r="C31" s="650"/>
      <c r="D31" s="650"/>
      <c r="E31" s="650"/>
      <c r="F31" s="650"/>
      <c r="G31" s="650"/>
      <c r="H31" s="650"/>
    </row>
    <row r="32" spans="1:11">
      <c r="A32" s="247"/>
      <c r="B32" s="650"/>
      <c r="C32" s="650"/>
      <c r="D32" s="650"/>
      <c r="E32" s="650"/>
      <c r="F32" s="650"/>
      <c r="G32" s="650"/>
      <c r="H32" s="650"/>
    </row>
  </sheetData>
  <phoneticPr fontId="0" type="noConversion"/>
  <pageMargins left="0.59" right="0.51" top="1.45" bottom="0.49" header="0.93"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3996-0572-0B48-AFD7-39E0F1E6A5F8}">
  <dimension ref="A1:H31"/>
  <sheetViews>
    <sheetView zoomScale="75" workbookViewId="0">
      <selection activeCell="J20" sqref="J20"/>
    </sheetView>
  </sheetViews>
  <sheetFormatPr baseColWidth="10" defaultColWidth="11.3984375" defaultRowHeight="13"/>
  <cols>
    <col min="1" max="1" width="9" style="3" customWidth="1"/>
    <col min="2" max="2" width="13.59765625" style="22" customWidth="1"/>
    <col min="3" max="3" width="14.796875" style="22" customWidth="1"/>
    <col min="4" max="4" width="13.59765625" style="22" customWidth="1"/>
    <col min="5" max="5" width="14.59765625" style="22" customWidth="1"/>
    <col min="6" max="6" width="15.19921875" style="3" customWidth="1"/>
    <col min="7" max="16384" width="11.3984375" style="3"/>
  </cols>
  <sheetData>
    <row r="1" spans="1:7" s="1" customFormat="1" ht="14" customHeight="1">
      <c r="A1" s="62"/>
      <c r="B1" s="634"/>
      <c r="C1" s="634"/>
      <c r="D1" s="634"/>
      <c r="E1" s="634"/>
    </row>
    <row r="2" spans="1:7" s="1" customFormat="1" ht="18.75" customHeight="1">
      <c r="A2" s="240" t="s">
        <v>758</v>
      </c>
      <c r="B2" s="634"/>
      <c r="C2" s="634"/>
      <c r="D2" s="634"/>
      <c r="E2" s="634"/>
    </row>
    <row r="3" spans="1:7" s="1" customFormat="1" ht="27" customHeight="1">
      <c r="A3" s="240" t="s">
        <v>759</v>
      </c>
      <c r="B3" s="634"/>
      <c r="C3" s="634"/>
      <c r="D3" s="634"/>
      <c r="E3" s="634"/>
    </row>
    <row r="4" spans="1:7" ht="27" customHeight="1">
      <c r="A4" s="2" t="s">
        <v>335</v>
      </c>
      <c r="B4" s="74" t="s">
        <v>760</v>
      </c>
      <c r="C4" s="17" t="s">
        <v>761</v>
      </c>
      <c r="D4" s="74" t="s">
        <v>762</v>
      </c>
      <c r="E4" s="17" t="s">
        <v>607</v>
      </c>
      <c r="F4" s="74" t="s">
        <v>609</v>
      </c>
    </row>
    <row r="5" spans="1:7" ht="15" customHeight="1">
      <c r="A5" s="82"/>
      <c r="B5" s="559"/>
      <c r="C5" s="635" t="s">
        <v>763</v>
      </c>
      <c r="D5" s="75" t="s">
        <v>1350</v>
      </c>
      <c r="E5" s="18"/>
      <c r="F5" s="75" t="s">
        <v>610</v>
      </c>
    </row>
    <row r="6" spans="1:7" ht="15" customHeight="1">
      <c r="A6" s="82"/>
      <c r="B6" s="75"/>
      <c r="C6" s="18"/>
      <c r="D6" s="75"/>
      <c r="E6" s="635"/>
      <c r="F6" s="75" t="s">
        <v>611</v>
      </c>
      <c r="G6" s="930"/>
    </row>
    <row r="7" spans="1:7" ht="21.75" customHeight="1">
      <c r="A7" s="82"/>
      <c r="B7" s="78"/>
      <c r="C7" s="19"/>
      <c r="D7" s="78"/>
      <c r="E7" s="19"/>
      <c r="F7" s="78"/>
    </row>
    <row r="8" spans="1:7" ht="30" customHeight="1" thickBot="1">
      <c r="A8" s="560">
        <v>1985</v>
      </c>
      <c r="B8" s="762">
        <v>5548.1769378191284</v>
      </c>
      <c r="C8" s="743">
        <v>1122.561383884914</v>
      </c>
      <c r="D8" s="762">
        <v>12295.197944119924</v>
      </c>
      <c r="E8" s="743">
        <v>18965.936265823966</v>
      </c>
      <c r="F8" s="722" t="s">
        <v>487</v>
      </c>
    </row>
    <row r="9" spans="1:7" ht="18" customHeight="1" thickBot="1">
      <c r="A9" s="561">
        <v>1990</v>
      </c>
      <c r="B9" s="449">
        <v>7885.8354862329179</v>
      </c>
      <c r="C9" s="93">
        <v>1517.4728398313198</v>
      </c>
      <c r="D9" s="449">
        <v>17708.483896137255</v>
      </c>
      <c r="E9" s="93">
        <v>27111.792222201493</v>
      </c>
      <c r="F9" s="128" t="s">
        <v>487</v>
      </c>
    </row>
    <row r="10" spans="1:7" ht="20.25" customHeight="1" thickBot="1">
      <c r="A10" s="560">
        <v>1995</v>
      </c>
      <c r="B10" s="762">
        <v>9640.2217637310241</v>
      </c>
      <c r="C10" s="743">
        <v>2262.7772533309189</v>
      </c>
      <c r="D10" s="762">
        <v>24257.887239180687</v>
      </c>
      <c r="E10" s="743">
        <v>36160.886256242629</v>
      </c>
      <c r="F10" s="722" t="s">
        <v>487</v>
      </c>
    </row>
    <row r="11" spans="1:7" ht="18" customHeight="1" thickBot="1">
      <c r="A11" s="561">
        <v>1996</v>
      </c>
      <c r="B11" s="449">
        <v>9402.673347426311</v>
      </c>
      <c r="C11" s="93">
        <v>2347.3352733385641</v>
      </c>
      <c r="D11" s="449">
        <v>26158.281077176533</v>
      </c>
      <c r="E11" s="93">
        <v>37908.289697941407</v>
      </c>
      <c r="F11" s="128">
        <v>4.8323025860493536E-2</v>
      </c>
    </row>
    <row r="12" spans="1:7" ht="18" customHeight="1" thickBot="1">
      <c r="A12" s="561">
        <v>1997</v>
      </c>
      <c r="B12" s="449">
        <v>9654.0910198338697</v>
      </c>
      <c r="C12" s="93">
        <v>2440.1947971126083</v>
      </c>
      <c r="D12" s="449">
        <v>26575.34072411813</v>
      </c>
      <c r="E12" s="93">
        <v>38669.626541064608</v>
      </c>
      <c r="F12" s="128">
        <v>2.0083650546876167E-2</v>
      </c>
    </row>
    <row r="13" spans="1:7" ht="18" customHeight="1" thickBot="1">
      <c r="A13" s="561">
        <v>1998</v>
      </c>
      <c r="B13" s="449">
        <v>9984.746050771746</v>
      </c>
      <c r="C13" s="93">
        <v>2593.5652962861982</v>
      </c>
      <c r="D13" s="449">
        <v>27714.082961928805</v>
      </c>
      <c r="E13" s="93">
        <v>40292.394308986753</v>
      </c>
      <c r="F13" s="128">
        <v>4.1964919578389825E-2</v>
      </c>
    </row>
    <row r="14" spans="1:7" ht="18" customHeight="1" thickBot="1">
      <c r="A14" s="561">
        <v>1999</v>
      </c>
      <c r="B14" s="449">
        <v>10656.904469976387</v>
      </c>
      <c r="C14" s="93">
        <v>2694.7311419763864</v>
      </c>
      <c r="D14" s="449">
        <v>28233.923822384764</v>
      </c>
      <c r="E14" s="93">
        <v>41585.559434337541</v>
      </c>
      <c r="F14" s="128">
        <v>3.2094521746064676E-2</v>
      </c>
    </row>
    <row r="15" spans="1:7" ht="18" customHeight="1" thickBot="1">
      <c r="A15" s="561">
        <v>2000</v>
      </c>
      <c r="B15" s="449">
        <v>10991.927290144806</v>
      </c>
      <c r="C15" s="93">
        <v>2792.2657321448069</v>
      </c>
      <c r="D15" s="449">
        <v>29581.126090069618</v>
      </c>
      <c r="E15" s="93">
        <v>43365.319112359226</v>
      </c>
      <c r="F15" s="128">
        <v>4.2797540834622561E-2</v>
      </c>
    </row>
    <row r="16" spans="1:7" s="115" customFormat="1" ht="30" customHeight="1" thickBot="1">
      <c r="A16" s="562">
        <v>2001</v>
      </c>
      <c r="B16" s="931">
        <v>12353.64977059135</v>
      </c>
      <c r="C16" s="932">
        <v>2947.8544295913507</v>
      </c>
      <c r="D16" s="931">
        <v>30827.987618126626</v>
      </c>
      <c r="E16" s="932">
        <v>46129.491818309325</v>
      </c>
      <c r="F16" s="933">
        <v>6.3741551141089217E-2</v>
      </c>
    </row>
    <row r="17" spans="1:8" ht="20" customHeight="1">
      <c r="A17" s="752" t="s">
        <v>178</v>
      </c>
      <c r="B17" s="753"/>
      <c r="C17" s="753"/>
      <c r="D17" s="753"/>
      <c r="E17" s="753"/>
      <c r="F17" s="753"/>
    </row>
    <row r="18" spans="1:8" ht="10.5" customHeight="1">
      <c r="A18" s="754"/>
      <c r="B18" s="755"/>
      <c r="C18" s="755"/>
      <c r="D18" s="755"/>
      <c r="E18" s="755"/>
    </row>
    <row r="19" spans="1:8" ht="12.75" customHeight="1">
      <c r="A19" s="754" t="s">
        <v>764</v>
      </c>
      <c r="B19" s="755"/>
      <c r="C19" s="755"/>
      <c r="D19" s="755"/>
      <c r="E19" s="755"/>
    </row>
    <row r="20" spans="1:8" ht="120" customHeight="1">
      <c r="A20" s="62"/>
      <c r="B20" s="650"/>
      <c r="C20" s="650"/>
      <c r="D20" s="650"/>
      <c r="E20" s="650"/>
    </row>
    <row r="21" spans="1:8" ht="18" customHeight="1">
      <c r="A21" s="10"/>
      <c r="B21" s="650"/>
      <c r="C21" s="650"/>
      <c r="D21" s="650"/>
      <c r="E21" s="650"/>
    </row>
    <row r="22" spans="1:8" ht="31" customHeight="1">
      <c r="A22" s="247"/>
      <c r="B22" s="650"/>
      <c r="C22" s="650"/>
      <c r="D22" s="650"/>
      <c r="E22" s="650"/>
    </row>
    <row r="23" spans="1:8" ht="31" customHeight="1">
      <c r="A23" s="247"/>
      <c r="B23" s="650"/>
      <c r="C23" s="650"/>
      <c r="D23" s="650"/>
      <c r="E23" s="650"/>
    </row>
    <row r="24" spans="1:8" ht="31" customHeight="1">
      <c r="A24" s="247"/>
      <c r="B24" s="650"/>
      <c r="C24" s="650"/>
      <c r="D24" s="650"/>
      <c r="E24" s="650"/>
      <c r="H24" s="10"/>
    </row>
    <row r="25" spans="1:8" ht="31" customHeight="1">
      <c r="A25" s="247"/>
      <c r="B25" s="650"/>
      <c r="C25" s="650"/>
      <c r="D25" s="650"/>
      <c r="E25" s="650"/>
    </row>
    <row r="26" spans="1:8" ht="31" customHeight="1">
      <c r="A26" s="247"/>
      <c r="B26" s="650"/>
      <c r="C26" s="650"/>
      <c r="D26" s="650"/>
      <c r="E26" s="650"/>
    </row>
    <row r="27" spans="1:8" ht="31" customHeight="1">
      <c r="A27" s="247"/>
      <c r="B27" s="650"/>
      <c r="C27" s="650"/>
      <c r="D27" s="650"/>
      <c r="E27" s="650"/>
    </row>
    <row r="28" spans="1:8" ht="31" customHeight="1">
      <c r="A28" s="247"/>
      <c r="B28" s="650"/>
      <c r="C28" s="650"/>
      <c r="D28" s="650"/>
      <c r="E28" s="650"/>
    </row>
    <row r="29" spans="1:8" ht="31" customHeight="1">
      <c r="A29" s="247"/>
      <c r="B29" s="650"/>
      <c r="C29" s="650"/>
      <c r="D29" s="650"/>
      <c r="E29" s="650"/>
    </row>
    <row r="30" spans="1:8">
      <c r="A30" s="247"/>
      <c r="B30" s="650"/>
      <c r="C30" s="650"/>
      <c r="D30" s="650"/>
      <c r="E30" s="650"/>
    </row>
    <row r="31" spans="1:8">
      <c r="A31" s="247"/>
      <c r="B31" s="650"/>
      <c r="C31" s="650"/>
      <c r="D31" s="650"/>
      <c r="E31" s="650"/>
    </row>
  </sheetData>
  <phoneticPr fontId="0" type="noConversion"/>
  <pageMargins left="0.59" right="0.51" top="1.45" bottom="0.49" header="0.93"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2F04-7049-6542-9D4E-C4DC84E51730}">
  <dimension ref="A1:AC124"/>
  <sheetViews>
    <sheetView workbookViewId="0">
      <selection activeCell="A2" sqref="A2"/>
    </sheetView>
  </sheetViews>
  <sheetFormatPr baseColWidth="10" defaultColWidth="10.19921875" defaultRowHeight="13"/>
  <cols>
    <col min="1" max="1" width="3.796875" style="946" customWidth="1"/>
    <col min="2" max="2" width="45" style="946" customWidth="1"/>
    <col min="3" max="3" width="10.796875" style="946" customWidth="1"/>
    <col min="4" max="4" width="11" style="946" customWidth="1"/>
    <col min="5" max="6" width="10.3984375" style="946" customWidth="1"/>
    <col min="7" max="8" width="10.796875" style="946" customWidth="1"/>
    <col min="9" max="10" width="10.3984375" style="946" bestFit="1" customWidth="1"/>
    <col min="11" max="11" width="11" style="946" customWidth="1"/>
    <col min="12" max="12" width="10.3984375" style="946" customWidth="1"/>
    <col min="13" max="13" width="11.19921875" style="946" customWidth="1"/>
    <col min="14" max="14" width="19.59765625" style="946" customWidth="1"/>
    <col min="15" max="15" width="18" style="946" customWidth="1"/>
    <col min="16" max="16384" width="10.19921875" style="946"/>
  </cols>
  <sheetData>
    <row r="1" spans="1:29" ht="16">
      <c r="A1" s="945" t="s">
        <v>346</v>
      </c>
      <c r="N1" s="947"/>
      <c r="O1" s="948"/>
      <c r="T1" s="948"/>
      <c r="Z1" s="948"/>
    </row>
    <row r="2" spans="1:29" ht="14" thickBot="1">
      <c r="A2" s="949"/>
      <c r="B2" s="949"/>
      <c r="C2" s="949"/>
      <c r="D2" s="949"/>
      <c r="E2" s="949"/>
      <c r="F2" s="949"/>
      <c r="G2" s="949"/>
      <c r="H2" s="949"/>
      <c r="I2" s="949"/>
      <c r="J2" s="949"/>
      <c r="K2" s="949"/>
      <c r="L2" s="949"/>
      <c r="M2" s="949"/>
    </row>
    <row r="3" spans="1:29" s="954" customFormat="1" ht="10.5" customHeight="1">
      <c r="A3" s="950"/>
      <c r="B3" s="950"/>
      <c r="C3" s="951"/>
      <c r="D3" s="950"/>
      <c r="E3" s="951"/>
      <c r="F3" s="950"/>
      <c r="G3" s="951"/>
      <c r="H3" s="950"/>
      <c r="I3" s="952"/>
      <c r="J3" s="953"/>
      <c r="K3" s="951"/>
      <c r="L3" s="950"/>
      <c r="M3" s="951"/>
      <c r="O3" s="946"/>
      <c r="P3" s="955"/>
      <c r="Q3" s="955"/>
      <c r="R3" s="955"/>
      <c r="S3" s="955"/>
      <c r="T3" s="956"/>
      <c r="U3" s="956"/>
      <c r="V3" s="956"/>
      <c r="W3" s="956"/>
      <c r="Z3" s="957"/>
      <c r="AA3" s="957"/>
      <c r="AB3" s="957"/>
      <c r="AC3" s="957"/>
    </row>
    <row r="4" spans="1:29" ht="12" customHeight="1">
      <c r="A4" s="958" t="s">
        <v>727</v>
      </c>
      <c r="B4" s="959"/>
      <c r="C4" s="960">
        <v>1996</v>
      </c>
      <c r="D4" s="961">
        <v>1997</v>
      </c>
      <c r="E4" s="960">
        <v>1998</v>
      </c>
      <c r="F4" s="961">
        <v>1999</v>
      </c>
      <c r="G4" s="960">
        <v>2000</v>
      </c>
      <c r="H4" s="961">
        <v>2001</v>
      </c>
      <c r="I4" s="952" t="s">
        <v>609</v>
      </c>
      <c r="J4" s="953" t="s">
        <v>347</v>
      </c>
      <c r="K4" s="962" t="s">
        <v>5</v>
      </c>
      <c r="L4" s="963" t="s">
        <v>5</v>
      </c>
      <c r="M4" s="962" t="s">
        <v>5</v>
      </c>
      <c r="P4" s="955"/>
      <c r="Q4" s="955"/>
      <c r="R4" s="955"/>
      <c r="S4" s="955"/>
      <c r="T4" s="964"/>
      <c r="U4" s="964"/>
      <c r="V4" s="964"/>
      <c r="W4" s="964"/>
      <c r="Z4" s="957"/>
      <c r="AA4" s="957"/>
      <c r="AB4" s="957"/>
      <c r="AC4" s="957"/>
    </row>
    <row r="5" spans="1:29" ht="10.5" customHeight="1">
      <c r="A5" s="958" t="s">
        <v>728</v>
      </c>
      <c r="B5" s="965"/>
      <c r="C5" s="966"/>
      <c r="D5" s="967"/>
      <c r="E5" s="966"/>
      <c r="F5" s="967"/>
      <c r="G5" s="966"/>
      <c r="H5" s="967"/>
      <c r="I5" s="952" t="s">
        <v>348</v>
      </c>
      <c r="J5" s="953" t="s">
        <v>349</v>
      </c>
      <c r="K5" s="962">
        <v>2002</v>
      </c>
      <c r="L5" s="963">
        <v>2003</v>
      </c>
      <c r="M5" s="962">
        <v>2004</v>
      </c>
      <c r="P5" s="955"/>
      <c r="Q5" s="955"/>
      <c r="R5" s="955"/>
      <c r="S5" s="955"/>
      <c r="T5" s="964"/>
      <c r="U5" s="964"/>
      <c r="V5" s="964"/>
      <c r="W5" s="964"/>
      <c r="Z5" s="957"/>
      <c r="AA5" s="957"/>
      <c r="AB5" s="957"/>
      <c r="AC5" s="957"/>
    </row>
    <row r="6" spans="1:29" ht="14.25" customHeight="1">
      <c r="A6" s="968"/>
      <c r="B6" s="968"/>
      <c r="C6" s="969"/>
      <c r="D6" s="970"/>
      <c r="E6" s="969"/>
      <c r="F6" s="970"/>
      <c r="G6" s="969"/>
      <c r="H6" s="970"/>
      <c r="I6" s="971"/>
      <c r="J6" s="972" t="s">
        <v>1746</v>
      </c>
      <c r="K6" s="969"/>
      <c r="L6" s="970"/>
      <c r="M6" s="969"/>
      <c r="P6" s="955"/>
      <c r="Q6" s="955"/>
      <c r="R6" s="955"/>
      <c r="S6" s="955"/>
      <c r="T6" s="973"/>
      <c r="U6" s="973"/>
      <c r="V6" s="973"/>
      <c r="W6" s="973"/>
      <c r="Z6" s="973"/>
      <c r="AA6" s="973"/>
      <c r="AB6" s="973"/>
      <c r="AC6" s="973"/>
    </row>
    <row r="7" spans="1:29">
      <c r="A7" s="974"/>
      <c r="B7" s="975"/>
      <c r="C7" s="976"/>
      <c r="D7" s="975"/>
      <c r="E7" s="976"/>
      <c r="F7" s="975"/>
      <c r="G7" s="976"/>
      <c r="H7" s="975"/>
      <c r="I7" s="976"/>
      <c r="J7" s="977" t="s">
        <v>350</v>
      </c>
      <c r="K7" s="976"/>
      <c r="L7" s="975"/>
      <c r="M7" s="976"/>
      <c r="P7" s="955"/>
      <c r="Q7" s="955"/>
      <c r="R7" s="955"/>
      <c r="S7" s="955"/>
      <c r="T7" s="964"/>
      <c r="U7" s="964"/>
      <c r="V7" s="964"/>
      <c r="W7" s="964"/>
      <c r="Z7" s="957"/>
      <c r="AA7" s="957"/>
      <c r="AB7" s="957"/>
      <c r="AC7" s="957"/>
    </row>
    <row r="8" spans="1:29" ht="18" customHeight="1" thickBot="1">
      <c r="A8" s="978" t="s">
        <v>729</v>
      </c>
      <c r="B8" s="979"/>
      <c r="C8" s="980">
        <v>6108.1158740877472</v>
      </c>
      <c r="D8" s="981">
        <v>6057.9558227212619</v>
      </c>
      <c r="E8" s="980">
        <v>6131.7435544855471</v>
      </c>
      <c r="F8" s="981">
        <v>6416.6639279999999</v>
      </c>
      <c r="G8" s="980">
        <v>6599.5077579999997</v>
      </c>
      <c r="H8" s="981">
        <v>7802.4641389999997</v>
      </c>
      <c r="I8" s="982">
        <v>0.18227971314099323</v>
      </c>
      <c r="J8" s="983">
        <v>5.018280414590981E-2</v>
      </c>
      <c r="K8" s="984">
        <v>8194.2989652908182</v>
      </c>
      <c r="L8" s="985">
        <v>8605.9126718173793</v>
      </c>
      <c r="M8" s="984">
        <v>9038.3092970702874</v>
      </c>
      <c r="P8" s="955"/>
      <c r="Q8" s="955"/>
      <c r="R8" s="955"/>
      <c r="S8" s="955"/>
      <c r="Z8" s="957"/>
      <c r="AA8" s="957"/>
      <c r="AB8" s="957"/>
      <c r="AC8" s="957"/>
    </row>
    <row r="9" spans="1:29" ht="14" thickBot="1">
      <c r="A9" s="986"/>
      <c r="B9" s="987" t="s">
        <v>730</v>
      </c>
      <c r="C9" s="988">
        <v>129.23078991</v>
      </c>
      <c r="D9" s="989">
        <v>117.49672023999999</v>
      </c>
      <c r="E9" s="988">
        <v>116.89201141000001</v>
      </c>
      <c r="F9" s="989">
        <v>126.03114400000001</v>
      </c>
      <c r="G9" s="988">
        <v>145.00575000000003</v>
      </c>
      <c r="H9" s="989">
        <v>164.3904</v>
      </c>
      <c r="I9" s="990">
        <v>0.13368194019892288</v>
      </c>
      <c r="J9" s="991">
        <v>4.930584165702534E-2</v>
      </c>
      <c r="K9" s="992">
        <v>172.49580703233505</v>
      </c>
      <c r="L9" s="993">
        <v>181.00085798037216</v>
      </c>
      <c r="M9" s="992">
        <v>189.92525762373813</v>
      </c>
      <c r="P9" s="955"/>
      <c r="Q9" s="955"/>
      <c r="R9" s="955"/>
      <c r="S9" s="955"/>
      <c r="T9" s="964"/>
      <c r="U9" s="964"/>
      <c r="V9" s="964"/>
      <c r="W9" s="964"/>
      <c r="Z9" s="957"/>
      <c r="AA9" s="957"/>
      <c r="AB9" s="957"/>
      <c r="AC9" s="957"/>
    </row>
    <row r="10" spans="1:29" ht="14" thickBot="1">
      <c r="A10" s="994"/>
      <c r="B10" s="987" t="s">
        <v>731</v>
      </c>
      <c r="C10" s="988">
        <v>4895.0076659724309</v>
      </c>
      <c r="D10" s="989">
        <v>4830.7426606407189</v>
      </c>
      <c r="E10" s="988">
        <v>4825.5195288525429</v>
      </c>
      <c r="F10" s="989">
        <v>5091.7478220000003</v>
      </c>
      <c r="G10" s="988">
        <v>5233.1441749999994</v>
      </c>
      <c r="H10" s="989">
        <v>6202.5944609999997</v>
      </c>
      <c r="I10" s="995">
        <v>0.18525197349450062</v>
      </c>
      <c r="J10" s="996">
        <v>4.848929845746186E-2</v>
      </c>
      <c r="K10" s="992">
        <v>6503.3539150300285</v>
      </c>
      <c r="L10" s="993">
        <v>6818.6969839904223</v>
      </c>
      <c r="M10" s="992">
        <v>7149.3308171381286</v>
      </c>
      <c r="P10" s="955"/>
      <c r="Q10" s="955"/>
      <c r="R10" s="955"/>
      <c r="S10" s="955"/>
      <c r="T10" s="964"/>
      <c r="U10" s="964"/>
      <c r="V10" s="964"/>
      <c r="W10" s="964"/>
      <c r="Z10" s="957"/>
      <c r="AA10" s="957"/>
      <c r="AB10" s="957"/>
      <c r="AC10" s="957"/>
    </row>
    <row r="11" spans="1:29" ht="14" thickBot="1">
      <c r="A11" s="994"/>
      <c r="B11" s="987" t="s">
        <v>732</v>
      </c>
      <c r="C11" s="988">
        <v>1083.8774182053171</v>
      </c>
      <c r="D11" s="989">
        <v>1109.716441840543</v>
      </c>
      <c r="E11" s="988">
        <v>1189.3320142230043</v>
      </c>
      <c r="F11" s="989">
        <v>1198.8849619999999</v>
      </c>
      <c r="G11" s="988">
        <v>1221.3578329999998</v>
      </c>
      <c r="H11" s="989">
        <v>1435.4792780000002</v>
      </c>
      <c r="I11" s="995">
        <v>0.17531426025578245</v>
      </c>
      <c r="J11" s="996">
        <v>5.7799486554799717E-2</v>
      </c>
      <c r="K11" s="992">
        <v>1518.4492432284549</v>
      </c>
      <c r="L11" s="993">
        <v>1606.2148298465838</v>
      </c>
      <c r="M11" s="992">
        <v>1699.0532223084213</v>
      </c>
      <c r="P11" s="955"/>
      <c r="Q11" s="955"/>
      <c r="R11" s="955"/>
      <c r="S11" s="955"/>
      <c r="T11" s="964"/>
      <c r="U11" s="964"/>
      <c r="V11" s="964"/>
      <c r="W11" s="964"/>
      <c r="Z11" s="957"/>
      <c r="AA11" s="957"/>
      <c r="AB11" s="957"/>
      <c r="AC11" s="957"/>
    </row>
    <row r="12" spans="1:29" s="1005" customFormat="1" ht="14" thickBot="1">
      <c r="A12" s="994"/>
      <c r="B12" s="997"/>
      <c r="C12" s="998"/>
      <c r="D12" s="999"/>
      <c r="E12" s="998"/>
      <c r="F12" s="999"/>
      <c r="G12" s="998"/>
      <c r="H12" s="999"/>
      <c r="I12" s="1000"/>
      <c r="J12" s="1001"/>
      <c r="K12" s="1002"/>
      <c r="L12" s="1003"/>
      <c r="M12" s="1002"/>
      <c r="N12" s="1004"/>
    </row>
    <row r="13" spans="1:29" s="1005" customFormat="1" ht="14" thickBot="1">
      <c r="A13" s="986" t="s">
        <v>733</v>
      </c>
      <c r="B13" s="994"/>
      <c r="C13" s="1006">
        <v>2881.6</v>
      </c>
      <c r="D13" s="1007">
        <v>3011.4</v>
      </c>
      <c r="E13" s="1006">
        <v>3176.3677925723964</v>
      </c>
      <c r="F13" s="1007">
        <v>3314.4716839527723</v>
      </c>
      <c r="G13" s="1006">
        <v>3458.985264289614</v>
      </c>
      <c r="H13" s="1007">
        <v>3661.4400591827007</v>
      </c>
      <c r="I13" s="1008">
        <v>5.853011199071001E-2</v>
      </c>
      <c r="J13" s="1009">
        <v>4.9068016493108324E-2</v>
      </c>
      <c r="K13" s="1010">
        <v>3841.2913074233475</v>
      </c>
      <c r="L13" s="1011">
        <v>4030.0441858457621</v>
      </c>
      <c r="M13" s="1010">
        <v>4228.1426661877913</v>
      </c>
    </row>
    <row r="14" spans="1:29" ht="14" thickBot="1">
      <c r="A14" s="994" t="s">
        <v>734</v>
      </c>
      <c r="B14" s="994"/>
      <c r="C14" s="1012">
        <v>1132.4000000000001</v>
      </c>
      <c r="D14" s="1013">
        <v>1151.5</v>
      </c>
      <c r="E14" s="1012">
        <v>1283.9227999999998</v>
      </c>
      <c r="F14" s="1013">
        <v>1378.5406000000003</v>
      </c>
      <c r="G14" s="1012">
        <v>1422.4462000000001</v>
      </c>
      <c r="H14" s="1013">
        <v>1475.3187999999998</v>
      </c>
      <c r="I14" s="990">
        <v>3.7170193150362962E-2</v>
      </c>
      <c r="J14" s="991">
        <v>5.4331551405746303E-2</v>
      </c>
      <c r="K14" s="1014">
        <v>1555.4751592220637</v>
      </c>
      <c r="L14" s="1015">
        <v>1639.9865377956987</v>
      </c>
      <c r="M14" s="1014">
        <v>1729.0895506786776</v>
      </c>
    </row>
    <row r="15" spans="1:29" ht="12.75" customHeight="1" thickBot="1">
      <c r="A15" s="994" t="s">
        <v>905</v>
      </c>
      <c r="B15" s="994"/>
      <c r="C15" s="1012">
        <v>1712.7</v>
      </c>
      <c r="D15" s="1013">
        <v>1822.7</v>
      </c>
      <c r="E15" s="1012">
        <v>1857.0449925723965</v>
      </c>
      <c r="F15" s="1013">
        <v>1894.8310839527724</v>
      </c>
      <c r="G15" s="1012">
        <v>1993.5390642896139</v>
      </c>
      <c r="H15" s="1013">
        <v>2140.9212591827013</v>
      </c>
      <c r="I15" s="990">
        <v>7.3929925695038312E-2</v>
      </c>
      <c r="J15" s="991">
        <v>4.5644071305634526E-2</v>
      </c>
      <c r="K15" s="1014">
        <v>2238.6416217965852</v>
      </c>
      <c r="L15" s="1015">
        <v>2340.82233960963</v>
      </c>
      <c r="M15" s="1014">
        <v>2447.6670013925941</v>
      </c>
    </row>
    <row r="16" spans="1:29" ht="14" thickBot="1">
      <c r="A16" s="994" t="s">
        <v>736</v>
      </c>
      <c r="B16" s="994"/>
      <c r="C16" s="1012">
        <v>36.5</v>
      </c>
      <c r="D16" s="1013">
        <v>37.200000000000003</v>
      </c>
      <c r="E16" s="1012">
        <v>35.4</v>
      </c>
      <c r="F16" s="1013">
        <v>41.1</v>
      </c>
      <c r="G16" s="1012">
        <v>43</v>
      </c>
      <c r="H16" s="1013">
        <v>45.2</v>
      </c>
      <c r="I16" s="990">
        <v>5.1162790697674376E-2</v>
      </c>
      <c r="J16" s="991">
        <v>4.3684212493330543E-2</v>
      </c>
      <c r="K16" s="1014">
        <v>47.174526404698547</v>
      </c>
      <c r="L16" s="1015">
        <v>49.235308440433627</v>
      </c>
      <c r="M16" s="1014">
        <v>51.386114116520197</v>
      </c>
    </row>
    <row r="17" spans="1:13" ht="14" thickBot="1">
      <c r="A17" s="994"/>
      <c r="B17" s="994"/>
      <c r="C17" s="1016"/>
      <c r="D17" s="1017"/>
      <c r="E17" s="1016"/>
      <c r="F17" s="1017"/>
      <c r="G17" s="1016"/>
      <c r="H17" s="1017"/>
      <c r="I17" s="1018"/>
      <c r="J17" s="1019"/>
      <c r="K17" s="1020"/>
      <c r="L17" s="1021"/>
      <c r="M17" s="1020"/>
    </row>
    <row r="18" spans="1:13" ht="14" thickBot="1">
      <c r="A18" s="986" t="s">
        <v>737</v>
      </c>
      <c r="B18" s="994"/>
      <c r="C18" s="1006">
        <v>623.1</v>
      </c>
      <c r="D18" s="1007">
        <v>-213.6</v>
      </c>
      <c r="E18" s="1006">
        <v>-306.39999999999998</v>
      </c>
      <c r="F18" s="1007">
        <v>-200.29999999999927</v>
      </c>
      <c r="G18" s="1006">
        <v>98.828987000000325</v>
      </c>
      <c r="H18" s="1007">
        <v>454.38000000000136</v>
      </c>
      <c r="I18" s="1008">
        <v>3.5976389497951633</v>
      </c>
      <c r="J18" s="1009">
        <v>-6.1201707144295181E-2</v>
      </c>
      <c r="K18" s="1010">
        <v>-589.1599824999987</v>
      </c>
      <c r="L18" s="1011">
        <v>-1283.2606600000004</v>
      </c>
      <c r="M18" s="1010">
        <v>-1575.9078999999986</v>
      </c>
    </row>
    <row r="19" spans="1:13" ht="14" thickBot="1">
      <c r="A19" s="994"/>
      <c r="B19" s="1022" t="s">
        <v>738</v>
      </c>
      <c r="C19" s="1023">
        <v>704.5</v>
      </c>
      <c r="D19" s="1024">
        <v>335.5</v>
      </c>
      <c r="E19" s="1023">
        <v>194.5</v>
      </c>
      <c r="F19" s="1024">
        <v>332.70000000000073</v>
      </c>
      <c r="G19" s="1023">
        <v>712.41100000000006</v>
      </c>
      <c r="H19" s="1024">
        <v>931.98000000000138</v>
      </c>
      <c r="I19" s="1025">
        <v>0.30820551619781456</v>
      </c>
      <c r="J19" s="1026">
        <v>5.7560250494109066E-2</v>
      </c>
      <c r="K19" s="1027">
        <v>235.92531750000126</v>
      </c>
      <c r="L19" s="1028">
        <v>-393.86066000000028</v>
      </c>
      <c r="M19" s="1027">
        <v>-618.83789999999863</v>
      </c>
    </row>
    <row r="20" spans="1:13" ht="14" thickBot="1">
      <c r="A20" s="994"/>
      <c r="B20" s="1022" t="s">
        <v>906</v>
      </c>
      <c r="C20" s="1023">
        <v>37.699999999999818</v>
      </c>
      <c r="D20" s="1024">
        <v>-518.29999999999995</v>
      </c>
      <c r="E20" s="1023">
        <v>-415.1</v>
      </c>
      <c r="F20" s="1024">
        <v>-351.5</v>
      </c>
      <c r="G20" s="1023">
        <v>-271.25196099999994</v>
      </c>
      <c r="H20" s="1024">
        <v>-111.1</v>
      </c>
      <c r="I20" s="1025">
        <v>0.59041770761613033</v>
      </c>
      <c r="J20" s="1026">
        <v>-2.2412936729841069</v>
      </c>
      <c r="K20" s="1027">
        <v>-267.28530000000001</v>
      </c>
      <c r="L20" s="1028">
        <v>-255.4</v>
      </c>
      <c r="M20" s="1027">
        <v>-251.07</v>
      </c>
    </row>
    <row r="21" spans="1:13" ht="14" thickBot="1">
      <c r="A21" s="994"/>
      <c r="B21" s="1022" t="s">
        <v>907</v>
      </c>
      <c r="C21" s="1023">
        <v>-119.1</v>
      </c>
      <c r="D21" s="1024">
        <v>-30.8</v>
      </c>
      <c r="E21" s="1023">
        <v>-85.8</v>
      </c>
      <c r="F21" s="1024">
        <v>-181.5</v>
      </c>
      <c r="G21" s="1023">
        <v>-342.3300519999998</v>
      </c>
      <c r="H21" s="1024">
        <v>-366.5</v>
      </c>
      <c r="I21" s="1025">
        <v>-7.0604224954226913E-2</v>
      </c>
      <c r="J21" s="1026">
        <v>0.25208105249010138</v>
      </c>
      <c r="K21" s="1027">
        <v>-557.79999999999995</v>
      </c>
      <c r="L21" s="1028">
        <v>-634</v>
      </c>
      <c r="M21" s="1027">
        <v>-706</v>
      </c>
    </row>
    <row r="22" spans="1:13" ht="14" thickBot="1">
      <c r="A22" s="994"/>
      <c r="B22" s="1022"/>
      <c r="C22" s="1016"/>
      <c r="D22" s="1017"/>
      <c r="E22" s="1023"/>
      <c r="F22" s="1024"/>
      <c r="G22" s="1023"/>
      <c r="H22" s="1024"/>
      <c r="I22" s="1025"/>
      <c r="J22" s="1026"/>
      <c r="K22" s="1020"/>
      <c r="L22" s="1028"/>
      <c r="M22" s="1027"/>
    </row>
    <row r="23" spans="1:13" s="1005" customFormat="1" ht="14" thickBot="1">
      <c r="A23" s="986" t="s">
        <v>741</v>
      </c>
      <c r="B23" s="994"/>
      <c r="C23" s="1006">
        <v>2760.27</v>
      </c>
      <c r="D23" s="1007">
        <v>3024.94</v>
      </c>
      <c r="E23" s="1006">
        <v>3270.2</v>
      </c>
      <c r="F23" s="1007">
        <v>3620.5</v>
      </c>
      <c r="G23" s="1006">
        <v>3725.7</v>
      </c>
      <c r="H23" s="1007">
        <v>3837.6</v>
      </c>
      <c r="I23" s="1008">
        <v>3.0034624365891105E-2</v>
      </c>
      <c r="J23" s="1009">
        <v>6.8123888239632446E-2</v>
      </c>
      <c r="K23" s="1010">
        <v>4037.9851234971152</v>
      </c>
      <c r="L23" s="1011">
        <v>4176.1759846614068</v>
      </c>
      <c r="M23" s="1010">
        <v>4320.3573077502751</v>
      </c>
    </row>
    <row r="24" spans="1:13" s="1005" customFormat="1" ht="14" thickBot="1">
      <c r="A24" s="994" t="s">
        <v>742</v>
      </c>
      <c r="B24" s="994"/>
      <c r="C24" s="1029">
        <v>1815.57</v>
      </c>
      <c r="D24" s="1030">
        <v>2087.14</v>
      </c>
      <c r="E24" s="1029">
        <v>2263.1999999999998</v>
      </c>
      <c r="F24" s="1030">
        <v>2476.6</v>
      </c>
      <c r="G24" s="1029">
        <v>2532.8000000000002</v>
      </c>
      <c r="H24" s="1030">
        <v>2671.6</v>
      </c>
      <c r="I24" s="1031">
        <v>5.4801010739102818E-2</v>
      </c>
      <c r="J24" s="1032">
        <v>8.0318186823173709E-2</v>
      </c>
      <c r="K24" s="1029">
        <v>2847.8378640000001</v>
      </c>
      <c r="L24" s="1030">
        <v>2961.1</v>
      </c>
      <c r="M24" s="1033">
        <v>3079.5439999999999</v>
      </c>
    </row>
    <row r="25" spans="1:13" ht="14" thickBot="1">
      <c r="A25" s="1022"/>
      <c r="B25" s="1022" t="s">
        <v>730</v>
      </c>
      <c r="C25" s="1034">
        <v>1364.8</v>
      </c>
      <c r="D25" s="1035">
        <v>1526.3</v>
      </c>
      <c r="E25" s="1034">
        <v>1601.2</v>
      </c>
      <c r="F25" s="1035">
        <v>1699.6</v>
      </c>
      <c r="G25" s="1034">
        <v>1740.4</v>
      </c>
      <c r="H25" s="1035">
        <v>1819.6</v>
      </c>
      <c r="I25" s="1036">
        <v>4.5506780050563078E-2</v>
      </c>
      <c r="J25" s="1037">
        <v>5.9208318556337236E-2</v>
      </c>
      <c r="K25" s="1038" t="s">
        <v>490</v>
      </c>
      <c r="L25" s="1039" t="s">
        <v>490</v>
      </c>
      <c r="M25" s="1038" t="s">
        <v>490</v>
      </c>
    </row>
    <row r="26" spans="1:13" ht="14" thickBot="1">
      <c r="A26" s="1022"/>
      <c r="B26" s="1022" t="s">
        <v>743</v>
      </c>
      <c r="C26" s="1034">
        <v>450.77</v>
      </c>
      <c r="D26" s="1035">
        <v>560.84</v>
      </c>
      <c r="E26" s="1034">
        <v>662</v>
      </c>
      <c r="F26" s="1035">
        <v>777</v>
      </c>
      <c r="G26" s="1034">
        <v>792.4</v>
      </c>
      <c r="H26" s="1035">
        <v>852</v>
      </c>
      <c r="I26" s="1036">
        <v>7.5214538112064577E-2</v>
      </c>
      <c r="J26" s="1037">
        <v>0.13578706397738949</v>
      </c>
      <c r="K26" s="1038" t="s">
        <v>490</v>
      </c>
      <c r="L26" s="1039" t="s">
        <v>490</v>
      </c>
      <c r="M26" s="1038" t="s">
        <v>490</v>
      </c>
    </row>
    <row r="27" spans="1:13" s="1005" customFormat="1" ht="14" thickBot="1">
      <c r="A27" s="994" t="s">
        <v>744</v>
      </c>
      <c r="B27" s="994"/>
      <c r="C27" s="1040">
        <v>293</v>
      </c>
      <c r="D27" s="1041">
        <v>237.5</v>
      </c>
      <c r="E27" s="1040">
        <v>264.39999999999998</v>
      </c>
      <c r="F27" s="1041">
        <v>277.10000000000002</v>
      </c>
      <c r="G27" s="1040">
        <v>317</v>
      </c>
      <c r="H27" s="1041">
        <v>315</v>
      </c>
      <c r="I27" s="1042">
        <v>-6.3091482649841879E-3</v>
      </c>
      <c r="J27" s="1043">
        <v>1.4585349090286304E-2</v>
      </c>
      <c r="K27" s="1044">
        <v>319.59442652295161</v>
      </c>
      <c r="L27" s="1045">
        <v>324.25587901268096</v>
      </c>
      <c r="M27" s="1044">
        <v>328.98533548083572</v>
      </c>
    </row>
    <row r="28" spans="1:13" s="1005" customFormat="1" ht="11.25" customHeight="1" thickBot="1">
      <c r="A28" s="1022"/>
      <c r="B28" s="1022" t="s">
        <v>730</v>
      </c>
      <c r="C28" s="1034">
        <v>64</v>
      </c>
      <c r="D28" s="1035">
        <v>51.5</v>
      </c>
      <c r="E28" s="1034">
        <v>56.6</v>
      </c>
      <c r="F28" s="1035">
        <v>59.3</v>
      </c>
      <c r="G28" s="1034">
        <v>69.099999999999994</v>
      </c>
      <c r="H28" s="1035">
        <v>68.67</v>
      </c>
      <c r="I28" s="1036">
        <v>-6.2228654124456551E-3</v>
      </c>
      <c r="J28" s="1037">
        <v>1.4185541136224167E-2</v>
      </c>
      <c r="K28" s="1038">
        <v>69.644121109824511</v>
      </c>
      <c r="L28" s="1039">
        <v>70.6320606547241</v>
      </c>
      <c r="M28" s="1038">
        <v>71.634014656677962</v>
      </c>
    </row>
    <row r="29" spans="1:13" ht="14" thickBot="1">
      <c r="A29" s="1022"/>
      <c r="B29" s="1022" t="s">
        <v>731</v>
      </c>
      <c r="C29" s="1034">
        <v>229</v>
      </c>
      <c r="D29" s="1035">
        <v>186</v>
      </c>
      <c r="E29" s="1034">
        <v>207.8</v>
      </c>
      <c r="F29" s="1035">
        <v>217.8</v>
      </c>
      <c r="G29" s="1034">
        <v>247.9</v>
      </c>
      <c r="H29" s="1035">
        <v>246.33</v>
      </c>
      <c r="I29" s="1036">
        <v>-6.3331988705123132E-3</v>
      </c>
      <c r="J29" s="1037">
        <v>1.4696973219368692E-2</v>
      </c>
      <c r="K29" s="1038">
        <v>249.9503054131271</v>
      </c>
      <c r="L29" s="1039">
        <v>253.62381835795685</v>
      </c>
      <c r="M29" s="1038">
        <v>257.35132082415777</v>
      </c>
    </row>
    <row r="30" spans="1:13" ht="14" thickBot="1">
      <c r="A30" s="994" t="s">
        <v>745</v>
      </c>
      <c r="B30" s="994"/>
      <c r="C30" s="1046">
        <v>203.5</v>
      </c>
      <c r="D30" s="1047">
        <v>228.6</v>
      </c>
      <c r="E30" s="1046">
        <v>266.2</v>
      </c>
      <c r="F30" s="1047">
        <v>375.1</v>
      </c>
      <c r="G30" s="1046">
        <v>378.5</v>
      </c>
      <c r="H30" s="1047">
        <v>314.89999999999998</v>
      </c>
      <c r="I30" s="1048">
        <v>-0.16803170409511237</v>
      </c>
      <c r="J30" s="1049">
        <v>9.1243448671035177E-2</v>
      </c>
      <c r="K30" s="1044">
        <v>314.89999999999998</v>
      </c>
      <c r="L30" s="1045">
        <v>314.89999999999998</v>
      </c>
      <c r="M30" s="1044">
        <v>314.89999999999998</v>
      </c>
    </row>
    <row r="31" spans="1:13" ht="14" thickBot="1">
      <c r="A31" s="994"/>
      <c r="B31" s="1022" t="s">
        <v>730</v>
      </c>
      <c r="C31" s="1050">
        <v>83.9</v>
      </c>
      <c r="D31" s="1051">
        <v>87.4</v>
      </c>
      <c r="E31" s="1050">
        <v>113.3</v>
      </c>
      <c r="F31" s="1035">
        <v>190.8</v>
      </c>
      <c r="G31" s="1050">
        <v>201.7</v>
      </c>
      <c r="H31" s="1051">
        <v>138.5</v>
      </c>
      <c r="I31" s="1036">
        <v>-0.31333663857213678</v>
      </c>
      <c r="J31" s="1037">
        <v>0.10544607625834668</v>
      </c>
      <c r="K31" s="1052">
        <v>138.5</v>
      </c>
      <c r="L31" s="1053">
        <v>138.5</v>
      </c>
      <c r="M31" s="1038">
        <v>138.5</v>
      </c>
    </row>
    <row r="32" spans="1:13" ht="14" thickBot="1">
      <c r="A32" s="994"/>
      <c r="B32" s="1022" t="s">
        <v>746</v>
      </c>
      <c r="C32" s="1050">
        <v>119.6</v>
      </c>
      <c r="D32" s="1051">
        <v>141.19999999999999</v>
      </c>
      <c r="E32" s="1050">
        <v>152.9</v>
      </c>
      <c r="F32" s="1035">
        <v>184.3</v>
      </c>
      <c r="G32" s="1050">
        <v>176.8</v>
      </c>
      <c r="H32" s="1051">
        <v>176.4</v>
      </c>
      <c r="I32" s="1036">
        <v>-2.2624434389140191E-3</v>
      </c>
      <c r="J32" s="1037">
        <v>8.0820268159409459E-2</v>
      </c>
      <c r="K32" s="1052">
        <v>176.4</v>
      </c>
      <c r="L32" s="1053">
        <v>176.4</v>
      </c>
      <c r="M32" s="1038">
        <v>176.4</v>
      </c>
    </row>
    <row r="33" spans="1:19" ht="14" thickBot="1">
      <c r="A33" s="994" t="s">
        <v>747</v>
      </c>
      <c r="B33" s="994"/>
      <c r="C33" s="1040">
        <v>448.2</v>
      </c>
      <c r="D33" s="1041">
        <v>471.7</v>
      </c>
      <c r="E33" s="1040">
        <v>476.4</v>
      </c>
      <c r="F33" s="1041">
        <v>491.7</v>
      </c>
      <c r="G33" s="1040">
        <v>497.4</v>
      </c>
      <c r="H33" s="1041">
        <v>536.1</v>
      </c>
      <c r="I33" s="1042">
        <v>7.7804583835947128E-2</v>
      </c>
      <c r="J33" s="1043">
        <v>3.6465357639051676E-2</v>
      </c>
      <c r="K33" s="1044">
        <v>555.65283297416306</v>
      </c>
      <c r="L33" s="1045">
        <v>575.92010564872567</v>
      </c>
      <c r="M33" s="1044">
        <v>596.92797226943935</v>
      </c>
    </row>
    <row r="34" spans="1:19" ht="14" thickBot="1">
      <c r="A34" s="994"/>
      <c r="B34" s="1022" t="s">
        <v>748</v>
      </c>
      <c r="C34" s="1050">
        <v>324.3</v>
      </c>
      <c r="D34" s="1051">
        <v>340.4</v>
      </c>
      <c r="E34" s="1050">
        <v>343.6</v>
      </c>
      <c r="F34" s="1051">
        <v>354.3</v>
      </c>
      <c r="G34" s="1050">
        <v>355.7</v>
      </c>
      <c r="H34" s="1051">
        <v>386.1</v>
      </c>
      <c r="I34" s="1054">
        <v>8.5465279730109645E-2</v>
      </c>
      <c r="J34" s="1055">
        <v>3.5501114341376372E-2</v>
      </c>
      <c r="K34" s="1052">
        <v>399.80698024720544</v>
      </c>
      <c r="L34" s="1053">
        <v>414.0005735674419</v>
      </c>
      <c r="M34" s="1052">
        <v>428.69805526705505</v>
      </c>
    </row>
    <row r="35" spans="1:19" ht="14" thickBot="1">
      <c r="A35" s="994"/>
      <c r="B35" s="1022" t="s">
        <v>749</v>
      </c>
      <c r="C35" s="1050">
        <v>123.9</v>
      </c>
      <c r="D35" s="1051">
        <v>131.30000000000001</v>
      </c>
      <c r="E35" s="1050">
        <v>132.80000000000001</v>
      </c>
      <c r="F35" s="1051">
        <v>137.4</v>
      </c>
      <c r="G35" s="1050">
        <v>141.69999999999999</v>
      </c>
      <c r="H35" s="1051">
        <v>150</v>
      </c>
      <c r="I35" s="1054">
        <v>5.8574453069865973E-2</v>
      </c>
      <c r="J35" s="1055">
        <v>3.8972351513050896E-2</v>
      </c>
      <c r="K35" s="1052">
        <v>155.84585272695765</v>
      </c>
      <c r="L35" s="1053">
        <v>161.91953208128379</v>
      </c>
      <c r="M35" s="1052">
        <v>168.2299170023843</v>
      </c>
      <c r="O35" s="1005"/>
      <c r="P35" s="1056"/>
      <c r="Q35" s="1056"/>
      <c r="R35" s="1056"/>
      <c r="S35" s="1056"/>
    </row>
    <row r="36" spans="1:19" s="1005" customFormat="1" ht="14" thickBot="1">
      <c r="A36" s="994"/>
      <c r="B36" s="994"/>
      <c r="C36" s="1016"/>
      <c r="D36" s="1017"/>
      <c r="E36" s="1016"/>
      <c r="F36" s="1017"/>
      <c r="G36" s="1016"/>
      <c r="H36" s="1017"/>
      <c r="I36" s="1018"/>
      <c r="J36" s="1019"/>
      <c r="K36" s="1020"/>
      <c r="L36" s="1021"/>
      <c r="M36" s="1020"/>
    </row>
    <row r="37" spans="1:19" ht="13.5" customHeight="1" thickBot="1">
      <c r="A37" s="986" t="s">
        <v>1350</v>
      </c>
      <c r="B37" s="994"/>
      <c r="C37" s="1006">
        <v>25156.514125912261</v>
      </c>
      <c r="D37" s="1007">
        <v>26402.30417727874</v>
      </c>
      <c r="E37" s="1006">
        <v>27625.288652942058</v>
      </c>
      <c r="F37" s="1007">
        <v>28025.464388047221</v>
      </c>
      <c r="G37" s="1006">
        <v>29038.570984696478</v>
      </c>
      <c r="H37" s="1007">
        <v>29910.140160769479</v>
      </c>
      <c r="I37" s="1008">
        <v>3.0014189628419397E-2</v>
      </c>
      <c r="J37" s="1009">
        <v>3.522224894660253E-2</v>
      </c>
      <c r="K37" s="1010">
        <v>32009.397840753496</v>
      </c>
      <c r="L37" s="1011">
        <v>33865.886808106952</v>
      </c>
      <c r="M37" s="1010">
        <v>35360.888254708378</v>
      </c>
    </row>
    <row r="38" spans="1:19" ht="13.5" customHeight="1" thickBot="1">
      <c r="A38" s="987" t="s">
        <v>908</v>
      </c>
      <c r="B38" s="994"/>
      <c r="C38" s="1046">
        <v>16013.1</v>
      </c>
      <c r="D38" s="1047">
        <v>16937.3</v>
      </c>
      <c r="E38" s="1046">
        <v>17695.3</v>
      </c>
      <c r="F38" s="1047">
        <v>17814.400000000001</v>
      </c>
      <c r="G38" s="1046">
        <v>18506.971013000002</v>
      </c>
      <c r="H38" s="1047">
        <v>19132.22</v>
      </c>
      <c r="I38" s="1048">
        <v>3.3784512147384982E-2</v>
      </c>
      <c r="J38" s="1049">
        <v>3.6234363152614524E-2</v>
      </c>
      <c r="K38" s="1046">
        <v>20686.96</v>
      </c>
      <c r="L38" s="1045">
        <v>22236</v>
      </c>
      <c r="M38" s="1044">
        <v>23550</v>
      </c>
    </row>
    <row r="39" spans="1:19" ht="14" thickBot="1">
      <c r="A39" s="994"/>
      <c r="B39" s="1022" t="s">
        <v>738</v>
      </c>
      <c r="C39" s="1057">
        <v>11035.2</v>
      </c>
      <c r="D39" s="1058">
        <v>11924.8</v>
      </c>
      <c r="E39" s="1057">
        <v>12604.2</v>
      </c>
      <c r="F39" s="1058">
        <v>12949.5</v>
      </c>
      <c r="G39" s="1057">
        <v>13346.689</v>
      </c>
      <c r="H39" s="1058">
        <v>13954.72</v>
      </c>
      <c r="I39" s="1059">
        <v>4.5556692000540355E-2</v>
      </c>
      <c r="J39" s="1060">
        <v>4.8064917038892707E-2</v>
      </c>
      <c r="K39" s="1057">
        <v>15296.16</v>
      </c>
      <c r="L39" s="1061">
        <v>16766</v>
      </c>
      <c r="M39" s="1062">
        <v>18000</v>
      </c>
    </row>
    <row r="40" spans="1:19" ht="14" thickBot="1">
      <c r="A40" s="994"/>
      <c r="B40" s="1022" t="s">
        <v>906</v>
      </c>
      <c r="C40" s="1057">
        <v>4337.5</v>
      </c>
      <c r="D40" s="1058">
        <v>4410.6000000000004</v>
      </c>
      <c r="E40" s="1057">
        <v>4453.3</v>
      </c>
      <c r="F40" s="1058">
        <v>3766.7</v>
      </c>
      <c r="G40" s="1057">
        <v>2917.3519609999998</v>
      </c>
      <c r="H40" s="1058">
        <v>1987</v>
      </c>
      <c r="I40" s="1059">
        <v>-0.31890288639739484</v>
      </c>
      <c r="J40" s="1060">
        <v>-0.14455582014478296</v>
      </c>
      <c r="K40" s="1057">
        <v>1958.4</v>
      </c>
      <c r="L40" s="1061">
        <v>1920</v>
      </c>
      <c r="M40" s="1062">
        <v>1880</v>
      </c>
    </row>
    <row r="41" spans="1:19" ht="14" thickBot="1">
      <c r="A41" s="994"/>
      <c r="B41" s="1022" t="s">
        <v>907</v>
      </c>
      <c r="C41" s="1057">
        <v>640.4</v>
      </c>
      <c r="D41" s="1058">
        <v>601.9</v>
      </c>
      <c r="E41" s="1057">
        <v>637.79999999999995</v>
      </c>
      <c r="F41" s="1058">
        <v>1098.2</v>
      </c>
      <c r="G41" s="1057">
        <v>2242.9300519999997</v>
      </c>
      <c r="H41" s="1058">
        <v>3190.5</v>
      </c>
      <c r="I41" s="1059">
        <v>0.4224696829734218</v>
      </c>
      <c r="J41" s="1060">
        <v>0.37873717334379853</v>
      </c>
      <c r="K41" s="1057">
        <v>3432.4</v>
      </c>
      <c r="L41" s="1061">
        <v>3550</v>
      </c>
      <c r="M41" s="1062">
        <v>3670</v>
      </c>
    </row>
    <row r="42" spans="1:19" ht="12.75" customHeight="1" thickBot="1">
      <c r="A42" s="994" t="s">
        <v>909</v>
      </c>
      <c r="B42" s="994"/>
      <c r="C42" s="1040">
        <v>1770.8</v>
      </c>
      <c r="D42" s="1041">
        <v>1884.4</v>
      </c>
      <c r="E42" s="1040">
        <v>2155</v>
      </c>
      <c r="F42" s="1041">
        <v>2249.6</v>
      </c>
      <c r="G42" s="1040">
        <v>2343.1</v>
      </c>
      <c r="H42" s="1041">
        <v>2428.3000000000002</v>
      </c>
      <c r="I42" s="1042">
        <v>3.6362084418078533E-2</v>
      </c>
      <c r="J42" s="1043">
        <v>6.5188736077619769E-2</v>
      </c>
      <c r="K42" s="1046">
        <v>2541</v>
      </c>
      <c r="L42" s="1045">
        <v>2704.17</v>
      </c>
      <c r="M42" s="1044">
        <v>3082.17</v>
      </c>
      <c r="O42" s="964"/>
      <c r="P42" s="964"/>
      <c r="Q42" s="964"/>
      <c r="R42" s="964"/>
    </row>
    <row r="43" spans="1:19" ht="13.5" customHeight="1" thickBot="1">
      <c r="A43" s="994"/>
      <c r="B43" s="1022" t="s">
        <v>738</v>
      </c>
      <c r="C43" s="988">
        <v>1678.5</v>
      </c>
      <c r="D43" s="989">
        <v>1778</v>
      </c>
      <c r="E43" s="988">
        <v>2097.1999999999998</v>
      </c>
      <c r="F43" s="989">
        <v>2189.9</v>
      </c>
      <c r="G43" s="988">
        <v>2288</v>
      </c>
      <c r="H43" s="989">
        <v>2400.1999999999998</v>
      </c>
      <c r="I43" s="995">
        <v>4.9038461538461364E-2</v>
      </c>
      <c r="J43" s="996">
        <v>7.4150703371404614E-2</v>
      </c>
      <c r="K43" s="988">
        <v>2502.83</v>
      </c>
      <c r="L43" s="993">
        <v>2666</v>
      </c>
      <c r="M43" s="992">
        <v>3044</v>
      </c>
    </row>
    <row r="44" spans="1:19" ht="13.5" customHeight="1" thickBot="1">
      <c r="A44" s="994"/>
      <c r="B44" s="1022" t="s">
        <v>752</v>
      </c>
      <c r="C44" s="988">
        <v>92.3</v>
      </c>
      <c r="D44" s="989">
        <v>106.4</v>
      </c>
      <c r="E44" s="988">
        <v>57.8</v>
      </c>
      <c r="F44" s="989">
        <v>59.7</v>
      </c>
      <c r="G44" s="988">
        <v>55.1</v>
      </c>
      <c r="H44" s="989">
        <v>28.1</v>
      </c>
      <c r="I44" s="995">
        <v>-0.49001814882032668</v>
      </c>
      <c r="J44" s="996">
        <v>-0.21168294267272048</v>
      </c>
      <c r="K44" s="988">
        <v>38.17</v>
      </c>
      <c r="L44" s="993">
        <v>38.17</v>
      </c>
      <c r="M44" s="992">
        <v>38.17</v>
      </c>
    </row>
    <row r="45" spans="1:19" ht="12.75" customHeight="1" thickBot="1">
      <c r="A45" s="994" t="s">
        <v>910</v>
      </c>
      <c r="B45" s="994"/>
      <c r="C45" s="1040">
        <v>7372.6141259122578</v>
      </c>
      <c r="D45" s="1041">
        <v>7580.6041772787394</v>
      </c>
      <c r="E45" s="1040">
        <v>7774.9886529420592</v>
      </c>
      <c r="F45" s="1041">
        <v>7961.4643880472222</v>
      </c>
      <c r="G45" s="1040">
        <v>8188.4999716964776</v>
      </c>
      <c r="H45" s="1041">
        <v>8349.6201607694802</v>
      </c>
      <c r="I45" s="1042">
        <v>1.9676398562607833E-2</v>
      </c>
      <c r="J45" s="1043">
        <v>2.5201051656048135E-2</v>
      </c>
      <c r="K45" s="1044">
        <v>8781.4378407534932</v>
      </c>
      <c r="L45" s="1045">
        <v>8925.7168081069522</v>
      </c>
      <c r="M45" s="1044">
        <v>8728.7182547083794</v>
      </c>
      <c r="N45" s="947"/>
    </row>
    <row r="46" spans="1:19" ht="12.75" customHeight="1" thickBot="1">
      <c r="A46" s="994"/>
      <c r="B46" s="994"/>
      <c r="C46" s="1016"/>
      <c r="D46" s="1017"/>
      <c r="E46" s="1016"/>
      <c r="F46" s="1017"/>
      <c r="G46" s="1016"/>
      <c r="H46" s="1017"/>
      <c r="I46" s="1018"/>
      <c r="J46" s="1019"/>
      <c r="K46" s="1020"/>
      <c r="L46" s="1021"/>
      <c r="M46" s="1020"/>
    </row>
    <row r="47" spans="1:19" ht="12.75" customHeight="1" thickBot="1">
      <c r="A47" s="986" t="s">
        <v>754</v>
      </c>
      <c r="B47" s="994"/>
      <c r="C47" s="1063">
        <v>378.7</v>
      </c>
      <c r="D47" s="1064">
        <v>386.6</v>
      </c>
      <c r="E47" s="1063">
        <v>395.2</v>
      </c>
      <c r="F47" s="1064">
        <v>408.8</v>
      </c>
      <c r="G47" s="1063">
        <v>443.72611837314082</v>
      </c>
      <c r="H47" s="1064">
        <v>463.46745935715603</v>
      </c>
      <c r="I47" s="1065">
        <v>4.4489923325663261E-2</v>
      </c>
      <c r="J47" s="1066">
        <v>4.122548276412652E-2</v>
      </c>
      <c r="K47" s="1067">
        <v>482.57412911461796</v>
      </c>
      <c r="L47" s="1068">
        <v>502.46848055684603</v>
      </c>
      <c r="M47" s="1067">
        <v>523.18298624155909</v>
      </c>
    </row>
    <row r="48" spans="1:19" ht="12.75" customHeight="1" thickBot="1">
      <c r="A48" s="986"/>
      <c r="B48" s="1022"/>
      <c r="C48" s="1069"/>
      <c r="D48" s="1070"/>
      <c r="E48" s="1071"/>
      <c r="F48" s="1072"/>
      <c r="G48" s="1071"/>
      <c r="H48" s="1072"/>
      <c r="I48" s="1073"/>
      <c r="J48" s="1074"/>
      <c r="K48" s="1075"/>
      <c r="L48" s="1021"/>
      <c r="M48" s="1020"/>
    </row>
    <row r="49" spans="1:27" ht="12.75" customHeight="1" thickBot="1">
      <c r="A49" s="1076" t="s">
        <v>351</v>
      </c>
      <c r="B49" s="1077"/>
      <c r="C49" s="1078">
        <v>37908.300000000003</v>
      </c>
      <c r="D49" s="1079">
        <v>38669.599999999999</v>
      </c>
      <c r="E49" s="1078">
        <v>40292.400000000001</v>
      </c>
      <c r="F49" s="1079">
        <v>41585.599999999999</v>
      </c>
      <c r="G49" s="1078">
        <v>43365.319112359233</v>
      </c>
      <c r="H49" s="1079">
        <v>46129.491818309332</v>
      </c>
      <c r="I49" s="1080">
        <v>6.3741551141089259E-2</v>
      </c>
      <c r="J49" s="1081">
        <v>4.0037197299819693E-2</v>
      </c>
      <c r="K49" s="1082">
        <v>47976.3873835794</v>
      </c>
      <c r="L49" s="1083">
        <v>49897.22747098835</v>
      </c>
      <c r="M49" s="1082">
        <v>51894.972611958292</v>
      </c>
    </row>
    <row r="50" spans="1:27" ht="14.25" customHeight="1">
      <c r="A50" s="1084" t="s">
        <v>178</v>
      </c>
      <c r="B50" s="1084"/>
      <c r="C50" s="1085"/>
      <c r="D50" s="1085"/>
      <c r="E50" s="1085"/>
      <c r="F50" s="1085"/>
      <c r="G50" s="1085"/>
      <c r="H50" s="1085"/>
      <c r="K50" s="1085"/>
      <c r="L50" s="1085"/>
      <c r="M50" s="1085"/>
    </row>
    <row r="51" spans="1:27">
      <c r="A51" s="1086"/>
      <c r="B51" s="1087"/>
      <c r="D51" s="1087"/>
      <c r="K51" s="1087"/>
      <c r="P51" s="964"/>
      <c r="Q51" s="964"/>
      <c r="R51" s="964"/>
      <c r="S51" s="964"/>
      <c r="V51" s="964"/>
      <c r="W51" s="964"/>
      <c r="X51" s="964"/>
      <c r="Y51" s="964"/>
      <c r="Z51" s="955"/>
      <c r="AA51" s="1088"/>
    </row>
    <row r="52" spans="1:27">
      <c r="A52" s="1089" t="s">
        <v>911</v>
      </c>
      <c r="B52" s="1087"/>
      <c r="D52" s="1087"/>
      <c r="K52" s="1087"/>
      <c r="P52" s="964"/>
      <c r="Q52" s="964"/>
      <c r="R52" s="964"/>
      <c r="S52" s="964"/>
      <c r="V52" s="964"/>
      <c r="W52" s="964"/>
      <c r="X52" s="964"/>
      <c r="Y52" s="964"/>
      <c r="Z52" s="955"/>
      <c r="AA52" s="1088"/>
    </row>
    <row r="53" spans="1:27">
      <c r="A53" s="1086"/>
      <c r="B53" s="1087"/>
      <c r="D53" s="1087"/>
      <c r="K53" s="1087"/>
      <c r="P53" s="964"/>
      <c r="Q53" s="964"/>
      <c r="R53" s="964"/>
      <c r="S53" s="964"/>
      <c r="V53" s="964"/>
      <c r="W53" s="964"/>
      <c r="X53" s="964"/>
      <c r="Y53" s="964"/>
      <c r="Z53" s="955"/>
      <c r="AA53" s="1088"/>
    </row>
    <row r="54" spans="1:27">
      <c r="A54" s="1087" t="s">
        <v>352</v>
      </c>
      <c r="B54" s="1087"/>
      <c r="P54" s="964"/>
      <c r="Q54" s="964"/>
      <c r="R54" s="964"/>
      <c r="S54" s="964"/>
    </row>
    <row r="55" spans="1:27">
      <c r="A55" s="1087" t="s">
        <v>353</v>
      </c>
      <c r="B55" s="1087"/>
    </row>
    <row r="56" spans="1:27">
      <c r="A56" s="1087" t="s">
        <v>354</v>
      </c>
      <c r="B56" s="1087"/>
    </row>
    <row r="57" spans="1:27">
      <c r="A57" s="1087" t="s">
        <v>355</v>
      </c>
    </row>
    <row r="58" spans="1:27">
      <c r="A58" s="1087" t="s">
        <v>354</v>
      </c>
    </row>
    <row r="59" spans="1:27">
      <c r="A59" s="1087" t="s">
        <v>356</v>
      </c>
      <c r="B59" s="1087"/>
      <c r="C59" s="1087"/>
      <c r="D59" s="1087"/>
      <c r="E59" s="1087"/>
      <c r="F59" s="1087"/>
      <c r="K59" s="1087"/>
      <c r="L59" s="1087"/>
      <c r="M59" s="1087"/>
    </row>
    <row r="60" spans="1:27">
      <c r="A60" s="1090" t="s">
        <v>357</v>
      </c>
      <c r="B60" s="1087"/>
      <c r="C60" s="1091"/>
      <c r="D60" s="1091"/>
      <c r="E60" s="1091"/>
      <c r="F60" s="1091"/>
      <c r="K60" s="1091"/>
      <c r="L60" s="1091"/>
      <c r="M60" s="1091"/>
    </row>
    <row r="61" spans="1:27" s="1091" customFormat="1">
      <c r="A61" s="1090" t="s">
        <v>358</v>
      </c>
      <c r="B61" s="1087"/>
      <c r="C61" s="1084"/>
      <c r="D61" s="1084"/>
      <c r="K61" s="1084"/>
    </row>
    <row r="62" spans="1:27" s="1091" customFormat="1">
      <c r="A62" s="1090" t="s">
        <v>359</v>
      </c>
      <c r="C62" s="1084"/>
      <c r="D62" s="1084"/>
      <c r="K62" s="1084"/>
    </row>
    <row r="63" spans="1:27">
      <c r="A63" s="1087" t="s">
        <v>360</v>
      </c>
      <c r="B63" s="1087"/>
    </row>
    <row r="64" spans="1:27">
      <c r="A64" s="1087" t="s">
        <v>361</v>
      </c>
      <c r="B64" s="1087"/>
    </row>
    <row r="65" spans="1:13">
      <c r="A65" s="1087" t="s">
        <v>895</v>
      </c>
      <c r="B65" s="1087"/>
    </row>
    <row r="66" spans="1:13" s="1091" customFormat="1">
      <c r="A66" s="1087" t="s">
        <v>896</v>
      </c>
    </row>
    <row r="67" spans="1:13" s="1091" customFormat="1">
      <c r="A67" s="1086" t="s">
        <v>897</v>
      </c>
      <c r="B67" s="1092"/>
    </row>
    <row r="68" spans="1:13" s="1091" customFormat="1">
      <c r="A68" s="1086" t="s">
        <v>898</v>
      </c>
      <c r="B68" s="1092"/>
      <c r="C68" s="946"/>
      <c r="D68" s="946"/>
      <c r="E68" s="946"/>
      <c r="F68" s="946"/>
      <c r="K68" s="946"/>
      <c r="L68" s="946"/>
      <c r="M68" s="946"/>
    </row>
    <row r="69" spans="1:13" s="1091" customFormat="1">
      <c r="A69" s="1086" t="s">
        <v>899</v>
      </c>
      <c r="B69" s="1092"/>
      <c r="C69" s="946"/>
      <c r="D69" s="946"/>
      <c r="E69" s="946"/>
      <c r="F69" s="946"/>
      <c r="K69" s="946"/>
      <c r="L69" s="946"/>
      <c r="M69" s="946"/>
    </row>
    <row r="70" spans="1:13" s="1091" customFormat="1">
      <c r="A70" s="1086" t="s">
        <v>900</v>
      </c>
      <c r="B70" s="1085"/>
      <c r="C70" s="946"/>
      <c r="D70" s="946"/>
      <c r="E70" s="946"/>
      <c r="F70" s="946"/>
      <c r="K70" s="946"/>
      <c r="L70" s="946"/>
      <c r="M70" s="946"/>
    </row>
    <row r="71" spans="1:13">
      <c r="A71" s="1086" t="s">
        <v>901</v>
      </c>
      <c r="B71" s="1085"/>
    </row>
    <row r="72" spans="1:13">
      <c r="A72" s="1090" t="s">
        <v>902</v>
      </c>
    </row>
    <row r="73" spans="1:13">
      <c r="A73" s="1090" t="s">
        <v>903</v>
      </c>
      <c r="B73" s="1085"/>
    </row>
    <row r="74" spans="1:13">
      <c r="A74" s="1087" t="s">
        <v>904</v>
      </c>
      <c r="B74" s="1085"/>
    </row>
    <row r="75" spans="1:13">
      <c r="B75" s="1085"/>
    </row>
    <row r="76" spans="1:13">
      <c r="A76" s="1085"/>
      <c r="B76" s="1085"/>
      <c r="E76" s="964"/>
      <c r="L76" s="964"/>
    </row>
    <row r="77" spans="1:13">
      <c r="A77" s="1085"/>
      <c r="B77" s="1085"/>
    </row>
    <row r="78" spans="1:13">
      <c r="A78" s="1085"/>
      <c r="B78" s="1085"/>
    </row>
    <row r="79" spans="1:13">
      <c r="A79" s="1085"/>
      <c r="B79" s="1085"/>
    </row>
    <row r="80" spans="1:13">
      <c r="A80" s="1085"/>
      <c r="B80" s="1085"/>
    </row>
    <row r="81" spans="1:2">
      <c r="A81" s="1085"/>
      <c r="B81" s="1085"/>
    </row>
    <row r="82" spans="1:2">
      <c r="A82" s="1085"/>
    </row>
    <row r="83" spans="1:2">
      <c r="A83" s="1085"/>
    </row>
    <row r="86" spans="1:2">
      <c r="B86" s="1085"/>
    </row>
    <row r="87" spans="1:2">
      <c r="B87" s="1085"/>
    </row>
    <row r="88" spans="1:2" ht="16">
      <c r="A88" s="945"/>
      <c r="B88" s="1085"/>
    </row>
    <row r="89" spans="1:2">
      <c r="A89" s="1085"/>
      <c r="B89" s="1085"/>
    </row>
    <row r="90" spans="1:2">
      <c r="A90" s="1085"/>
      <c r="B90" s="1085"/>
    </row>
    <row r="91" spans="1:2">
      <c r="A91" s="1085"/>
      <c r="B91" s="1085"/>
    </row>
    <row r="92" spans="1:2">
      <c r="A92" s="1085"/>
      <c r="B92" s="1085"/>
    </row>
    <row r="93" spans="1:2">
      <c r="A93" s="1085"/>
      <c r="B93" s="1085"/>
    </row>
    <row r="94" spans="1:2">
      <c r="A94" s="1085"/>
      <c r="B94" s="1085"/>
    </row>
    <row r="95" spans="1:2">
      <c r="A95" s="1085"/>
      <c r="B95" s="1085"/>
    </row>
    <row r="96" spans="1:2">
      <c r="A96" s="1085"/>
      <c r="B96" s="1085"/>
    </row>
    <row r="97" spans="1:2">
      <c r="A97" s="1085"/>
      <c r="B97" s="1085"/>
    </row>
    <row r="98" spans="1:2">
      <c r="B98" s="1085"/>
    </row>
    <row r="99" spans="1:2">
      <c r="A99" s="1085"/>
      <c r="B99" s="1085"/>
    </row>
    <row r="100" spans="1:2">
      <c r="A100" s="1085"/>
      <c r="B100" s="1085"/>
    </row>
    <row r="101" spans="1:2">
      <c r="A101" s="1085"/>
      <c r="B101" s="1085"/>
    </row>
    <row r="102" spans="1:2">
      <c r="A102" s="1085"/>
      <c r="B102" s="1085"/>
    </row>
    <row r="103" spans="1:2">
      <c r="A103" s="1085"/>
      <c r="B103" s="1085"/>
    </row>
    <row r="104" spans="1:2">
      <c r="A104" s="1085"/>
      <c r="B104" s="1085"/>
    </row>
    <row r="105" spans="1:2">
      <c r="A105" s="1085"/>
    </row>
    <row r="109" spans="1:2">
      <c r="B109" s="1085"/>
    </row>
    <row r="110" spans="1:2">
      <c r="B110" s="1085"/>
    </row>
    <row r="111" spans="1:2">
      <c r="B111" s="1085"/>
    </row>
    <row r="112" spans="1:2">
      <c r="A112" s="1085"/>
      <c r="B112" s="1085"/>
    </row>
    <row r="113" spans="1:2">
      <c r="A113" s="1085"/>
      <c r="B113" s="1085"/>
    </row>
    <row r="114" spans="1:2">
      <c r="A114" s="1085"/>
      <c r="B114" s="1085"/>
    </row>
    <row r="115" spans="1:2">
      <c r="A115" s="1085"/>
      <c r="B115" s="1085"/>
    </row>
    <row r="116" spans="1:2">
      <c r="A116" s="1085"/>
      <c r="B116" s="1085"/>
    </row>
    <row r="117" spans="1:2">
      <c r="A117" s="1085"/>
      <c r="B117" s="1085"/>
    </row>
    <row r="118" spans="1:2" ht="16">
      <c r="A118" s="945"/>
      <c r="B118" s="1085"/>
    </row>
    <row r="119" spans="1:2">
      <c r="A119" s="1085"/>
      <c r="B119" s="1085"/>
    </row>
    <row r="120" spans="1:2">
      <c r="B120" s="1085"/>
    </row>
    <row r="121" spans="1:2">
      <c r="A121" s="1085"/>
      <c r="B121" s="1085"/>
    </row>
    <row r="122" spans="1:2">
      <c r="A122" s="1085"/>
      <c r="B122" s="1085"/>
    </row>
    <row r="123" spans="1:2">
      <c r="A123" s="1085"/>
      <c r="B123" s="1085"/>
    </row>
    <row r="124" spans="1:2">
      <c r="A124" s="1085"/>
      <c r="B124" s="1085"/>
    </row>
  </sheetData>
  <phoneticPr fontId="47" type="noConversion"/>
  <pageMargins left="0.31496062992125984" right="0.19685039370078741" top="0.47244094488188981" bottom="0.35433070866141736" header="0.23622047244094491" footer="0.19685039370078741"/>
  <pageSetup paperSize="9" scale="80" orientation="landscape" cellComments="asDisplayed"/>
  <headerFooter alignWithMargins="0">
    <oddHeader>&amp;L&amp;"Helvetica,Bold"&amp;14Zusatzinformationen zum Gesundheitswesen</oddHeader>
    <oddFooter xml:space="preserve">&amp;LStatistik über die Krankenversicherung, Bundesamt für Sozialversicherung&amp;R&amp;8&amp;P/&amp;N&amp;10 </oddFooter>
  </headerFooter>
  <rowBreaks count="1" manualBreakCount="1">
    <brk id="35" max="16383" man="1"/>
  </row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D7251-A4B1-644E-835B-9CF866AF0DED}">
  <dimension ref="A1:Y124"/>
  <sheetViews>
    <sheetView workbookViewId="0">
      <selection activeCell="M23" sqref="M23"/>
    </sheetView>
  </sheetViews>
  <sheetFormatPr baseColWidth="10" defaultColWidth="10.19921875" defaultRowHeight="13"/>
  <cols>
    <col min="1" max="1" width="3.796875" style="848" customWidth="1"/>
    <col min="2" max="2" width="45" style="848" customWidth="1"/>
    <col min="3" max="3" width="10.796875" style="848" customWidth="1"/>
    <col min="4" max="4" width="11" style="848" customWidth="1"/>
    <col min="5" max="6" width="10.3984375" style="848" customWidth="1"/>
    <col min="7" max="7" width="10.796875" style="848" customWidth="1"/>
    <col min="8" max="8" width="10.3984375" style="848" customWidth="1"/>
    <col min="9" max="9" width="4" style="848" customWidth="1"/>
    <col min="10" max="10" width="19.59765625" style="848" customWidth="1"/>
    <col min="11" max="11" width="18" style="848" customWidth="1"/>
    <col min="12" max="16384" width="10.19921875" style="848"/>
  </cols>
  <sheetData>
    <row r="1" spans="1:25" ht="16">
      <c r="A1" s="847" t="s">
        <v>726</v>
      </c>
      <c r="J1" s="849"/>
      <c r="K1" s="850"/>
      <c r="P1" s="850"/>
      <c r="V1" s="850"/>
    </row>
    <row r="2" spans="1:25" ht="14" thickBot="1">
      <c r="A2" s="851"/>
      <c r="B2" s="851"/>
      <c r="C2" s="851"/>
      <c r="D2" s="851"/>
      <c r="E2" s="851"/>
      <c r="F2" s="851"/>
      <c r="G2" s="851"/>
      <c r="H2" s="851"/>
      <c r="I2" s="852"/>
    </row>
    <row r="3" spans="1:25" s="855" customFormat="1" ht="10.5" customHeight="1">
      <c r="A3" s="853"/>
      <c r="B3" s="853"/>
      <c r="C3" s="854"/>
      <c r="D3" s="853"/>
      <c r="E3" s="854"/>
      <c r="F3" s="853"/>
      <c r="G3" s="854"/>
      <c r="H3" s="853"/>
      <c r="I3" s="848"/>
      <c r="K3" s="848"/>
      <c r="L3" s="856"/>
      <c r="M3" s="856"/>
      <c r="N3" s="856"/>
      <c r="O3" s="856"/>
      <c r="P3" s="857"/>
      <c r="Q3" s="857"/>
      <c r="R3" s="857"/>
      <c r="S3" s="857"/>
      <c r="V3" s="858"/>
      <c r="W3" s="858"/>
      <c r="X3" s="858"/>
      <c r="Y3" s="858"/>
    </row>
    <row r="4" spans="1:25" ht="12" customHeight="1">
      <c r="A4" s="859" t="s">
        <v>727</v>
      </c>
      <c r="B4" s="860"/>
      <c r="C4" s="861">
        <v>1996</v>
      </c>
      <c r="D4" s="862">
        <v>1997</v>
      </c>
      <c r="E4" s="861">
        <v>1998</v>
      </c>
      <c r="F4" s="862">
        <v>1999</v>
      </c>
      <c r="G4" s="861">
        <v>2000</v>
      </c>
      <c r="H4" s="862">
        <v>2001</v>
      </c>
      <c r="L4" s="856"/>
      <c r="M4" s="856"/>
      <c r="N4" s="856"/>
      <c r="O4" s="856"/>
      <c r="P4" s="863"/>
      <c r="Q4" s="863"/>
      <c r="R4" s="863"/>
      <c r="S4" s="863"/>
      <c r="V4" s="858"/>
      <c r="W4" s="858"/>
      <c r="X4" s="858"/>
      <c r="Y4" s="858"/>
    </row>
    <row r="5" spans="1:25" ht="10.5" customHeight="1">
      <c r="A5" s="859" t="s">
        <v>728</v>
      </c>
      <c r="B5" s="864"/>
      <c r="C5" s="861"/>
      <c r="D5" s="862"/>
      <c r="E5" s="861"/>
      <c r="F5" s="862"/>
      <c r="G5" s="861"/>
      <c r="H5" s="862"/>
      <c r="L5" s="856"/>
      <c r="M5" s="856"/>
      <c r="N5" s="856"/>
      <c r="O5" s="856"/>
      <c r="P5" s="863"/>
      <c r="Q5" s="863"/>
      <c r="R5" s="863"/>
      <c r="S5" s="863"/>
      <c r="V5" s="858"/>
      <c r="W5" s="858"/>
      <c r="X5" s="858"/>
      <c r="Y5" s="858"/>
    </row>
    <row r="6" spans="1:25" ht="14.25" customHeight="1">
      <c r="A6" s="865"/>
      <c r="B6" s="865"/>
      <c r="C6" s="866"/>
      <c r="D6" s="867"/>
      <c r="E6" s="866"/>
      <c r="F6" s="867"/>
      <c r="G6" s="866"/>
      <c r="H6" s="867"/>
      <c r="L6" s="856"/>
      <c r="M6" s="856"/>
      <c r="N6" s="856"/>
      <c r="O6" s="856"/>
      <c r="P6" s="868"/>
      <c r="Q6" s="868"/>
      <c r="R6" s="868"/>
      <c r="S6" s="868"/>
      <c r="V6" s="868"/>
      <c r="W6" s="868"/>
      <c r="X6" s="868"/>
      <c r="Y6" s="868"/>
    </row>
    <row r="7" spans="1:25">
      <c r="A7" s="869"/>
      <c r="B7" s="870"/>
      <c r="C7" s="871"/>
      <c r="D7" s="870"/>
      <c r="E7" s="871"/>
      <c r="F7" s="870"/>
      <c r="G7" s="871"/>
      <c r="H7" s="870"/>
      <c r="L7" s="856"/>
      <c r="M7" s="856"/>
      <c r="N7" s="856"/>
      <c r="O7" s="856"/>
      <c r="P7" s="863"/>
      <c r="Q7" s="863"/>
      <c r="R7" s="863"/>
      <c r="S7" s="863"/>
      <c r="V7" s="858"/>
      <c r="W7" s="858"/>
      <c r="X7" s="858"/>
      <c r="Y7" s="858"/>
    </row>
    <row r="8" spans="1:25" ht="18" customHeight="1" thickBot="1">
      <c r="A8" s="872" t="s">
        <v>729</v>
      </c>
      <c r="B8" s="873"/>
      <c r="C8" s="874">
        <v>0.16112872046722609</v>
      </c>
      <c r="D8" s="875">
        <v>0.15665938677207061</v>
      </c>
      <c r="E8" s="874">
        <v>0.15218114469442245</v>
      </c>
      <c r="F8" s="875">
        <v>0.15430014062560118</v>
      </c>
      <c r="G8" s="874">
        <v>0.15218400078875755</v>
      </c>
      <c r="H8" s="875">
        <v>0.16914264240611276</v>
      </c>
      <c r="L8" s="856"/>
      <c r="M8" s="856"/>
      <c r="N8" s="856"/>
      <c r="O8" s="856"/>
      <c r="V8" s="858"/>
      <c r="W8" s="858"/>
      <c r="X8" s="858"/>
      <c r="Y8" s="858"/>
    </row>
    <row r="9" spans="1:25" ht="14" thickBot="1">
      <c r="A9" s="876"/>
      <c r="B9" s="877" t="s">
        <v>730</v>
      </c>
      <c r="C9" s="878">
        <v>3.4090368048685904E-3</v>
      </c>
      <c r="D9" s="879">
        <v>3.0384777768583072E-3</v>
      </c>
      <c r="E9" s="878">
        <v>2.9010932932761516E-3</v>
      </c>
      <c r="F9" s="879">
        <v>3.0306438767265594E-3</v>
      </c>
      <c r="G9" s="878">
        <v>3.3438183545771026E-3</v>
      </c>
      <c r="H9" s="879">
        <v>3.563672468959468E-3</v>
      </c>
      <c r="L9" s="856"/>
      <c r="M9" s="856"/>
      <c r="N9" s="856"/>
      <c r="O9" s="856"/>
      <c r="P9" s="863"/>
      <c r="Q9" s="863"/>
      <c r="R9" s="863"/>
      <c r="S9" s="863"/>
      <c r="V9" s="858"/>
      <c r="W9" s="858"/>
      <c r="X9" s="858"/>
      <c r="Y9" s="858"/>
    </row>
    <row r="10" spans="1:25" ht="14" thickBot="1">
      <c r="A10" s="880"/>
      <c r="B10" s="877" t="s">
        <v>731</v>
      </c>
      <c r="C10" s="878">
        <v>0.1291275964886959</v>
      </c>
      <c r="D10" s="879">
        <v>0.12492352288724784</v>
      </c>
      <c r="E10" s="878">
        <v>0.11976252416963355</v>
      </c>
      <c r="F10" s="879">
        <v>0.122440167317533</v>
      </c>
      <c r="G10" s="878">
        <v>0.1206757907497685</v>
      </c>
      <c r="H10" s="879">
        <v>0.13446049840371574</v>
      </c>
      <c r="L10" s="856"/>
      <c r="M10" s="856"/>
      <c r="N10" s="856"/>
      <c r="O10" s="856"/>
      <c r="P10" s="863"/>
      <c r="Q10" s="863"/>
      <c r="R10" s="863"/>
      <c r="S10" s="863"/>
      <c r="V10" s="858"/>
      <c r="W10" s="858"/>
      <c r="X10" s="858"/>
      <c r="Y10" s="858"/>
    </row>
    <row r="11" spans="1:25" ht="14" thickBot="1">
      <c r="A11" s="880"/>
      <c r="B11" s="877" t="s">
        <v>732</v>
      </c>
      <c r="C11" s="878">
        <v>2.8592087173661625E-2</v>
      </c>
      <c r="D11" s="879">
        <v>2.8697386107964473E-2</v>
      </c>
      <c r="E11" s="878">
        <v>2.9517527231512748E-2</v>
      </c>
      <c r="F11" s="879">
        <v>2.8829329431341616E-2</v>
      </c>
      <c r="G11" s="878">
        <v>2.8164391684411923E-2</v>
      </c>
      <c r="H11" s="879">
        <v>3.111847153343757E-2</v>
      </c>
      <c r="L11" s="856"/>
      <c r="M11" s="856"/>
      <c r="N11" s="856"/>
      <c r="O11" s="856"/>
      <c r="P11" s="863"/>
      <c r="Q11" s="863"/>
      <c r="R11" s="863"/>
      <c r="S11" s="863"/>
      <c r="V11" s="858"/>
      <c r="W11" s="858"/>
      <c r="X11" s="858"/>
      <c r="Y11" s="858"/>
    </row>
    <row r="12" spans="1:25" s="885" customFormat="1" ht="14" thickBot="1">
      <c r="A12" s="880"/>
      <c r="B12" s="881"/>
      <c r="C12" s="882"/>
      <c r="D12" s="883"/>
      <c r="E12" s="882"/>
      <c r="F12" s="883"/>
      <c r="G12" s="882"/>
      <c r="H12" s="883"/>
      <c r="I12" s="848"/>
      <c r="J12" s="884"/>
    </row>
    <row r="13" spans="1:25" s="885" customFormat="1" ht="14" thickBot="1">
      <c r="A13" s="876" t="s">
        <v>733</v>
      </c>
      <c r="B13" s="880"/>
      <c r="C13" s="886">
        <v>7.6015015181371895E-2</v>
      </c>
      <c r="D13" s="887">
        <v>7.7875126714525095E-2</v>
      </c>
      <c r="E13" s="886">
        <v>7.883292612434098E-2</v>
      </c>
      <c r="F13" s="887">
        <v>7.9702389383651373E-2</v>
      </c>
      <c r="G13" s="886">
        <v>7.976386050169279E-2</v>
      </c>
      <c r="H13" s="887">
        <v>7.9373084654911205E-2</v>
      </c>
      <c r="I13" s="848"/>
    </row>
    <row r="14" spans="1:25" ht="14" thickBot="1">
      <c r="A14" s="880" t="s">
        <v>734</v>
      </c>
      <c r="B14" s="880"/>
      <c r="C14" s="888">
        <v>2.9872086060308691E-2</v>
      </c>
      <c r="D14" s="889">
        <v>2.9777913399673131E-2</v>
      </c>
      <c r="E14" s="888">
        <v>3.1865135856886155E-2</v>
      </c>
      <c r="F14" s="889">
        <v>3.3149470008849227E-2</v>
      </c>
      <c r="G14" s="888">
        <v>3.2801469679364106E-2</v>
      </c>
      <c r="H14" s="889">
        <v>3.1982116902801616E-2</v>
      </c>
    </row>
    <row r="15" spans="1:25" ht="12.75" customHeight="1" thickBot="1">
      <c r="A15" s="880" t="s">
        <v>735</v>
      </c>
      <c r="B15" s="880"/>
      <c r="C15" s="888">
        <v>4.5180079296618415E-2</v>
      </c>
      <c r="D15" s="889">
        <v>4.7135217328340612E-2</v>
      </c>
      <c r="E15" s="888">
        <v>4.6089212669694443E-2</v>
      </c>
      <c r="F15" s="889">
        <v>4.5564596493804885E-2</v>
      </c>
      <c r="G15" s="888">
        <v>4.5970815045183189E-2</v>
      </c>
      <c r="H15" s="889">
        <v>4.6411117374003774E-2</v>
      </c>
    </row>
    <row r="16" spans="1:25" ht="14" thickBot="1">
      <c r="A16" s="880" t="s">
        <v>736</v>
      </c>
      <c r="B16" s="880"/>
      <c r="C16" s="888">
        <v>9.628498244447785E-4</v>
      </c>
      <c r="D16" s="889">
        <v>9.6199598651136825E-4</v>
      </c>
      <c r="E16" s="888">
        <v>8.7857759776037165E-4</v>
      </c>
      <c r="F16" s="889">
        <v>9.8832288099726844E-4</v>
      </c>
      <c r="G16" s="888">
        <v>9.9157577714549506E-4</v>
      </c>
      <c r="H16" s="889">
        <v>9.7985037810582594E-4</v>
      </c>
    </row>
    <row r="17" spans="1:9" ht="14" thickBot="1">
      <c r="A17" s="880"/>
      <c r="B17" s="880"/>
      <c r="C17" s="890"/>
      <c r="D17" s="891"/>
      <c r="E17" s="890"/>
      <c r="F17" s="891"/>
      <c r="G17" s="890"/>
      <c r="H17" s="891"/>
    </row>
    <row r="18" spans="1:9" ht="14" thickBot="1">
      <c r="A18" s="876" t="s">
        <v>737</v>
      </c>
      <c r="B18" s="880"/>
      <c r="C18" s="886">
        <v>1.6437033578398392E-2</v>
      </c>
      <c r="D18" s="887">
        <v>-5.5237188902910808E-3</v>
      </c>
      <c r="E18" s="886">
        <v>-7.6044117501067208E-3</v>
      </c>
      <c r="F18" s="887">
        <v>-4.8165711207725581E-3</v>
      </c>
      <c r="G18" s="886">
        <v>2.2789867346285431E-3</v>
      </c>
      <c r="H18" s="887">
        <v>9.8500976726488155E-3</v>
      </c>
    </row>
    <row r="19" spans="1:9" ht="14" thickBot="1">
      <c r="A19" s="880"/>
      <c r="B19" s="892" t="s">
        <v>738</v>
      </c>
      <c r="C19" s="893">
        <v>1.8584320584146479E-2</v>
      </c>
      <c r="D19" s="894">
        <v>8.676065953617312E-3</v>
      </c>
      <c r="E19" s="893">
        <v>4.8272130724404602E-3</v>
      </c>
      <c r="F19" s="894">
        <v>8.000365511138488E-3</v>
      </c>
      <c r="G19" s="893">
        <v>1.6428127697023242E-2</v>
      </c>
      <c r="H19" s="894">
        <v>2.0203560959890905E-2</v>
      </c>
    </row>
    <row r="20" spans="1:9" ht="14" thickBot="1">
      <c r="A20" s="880"/>
      <c r="B20" s="892" t="s">
        <v>739</v>
      </c>
      <c r="C20" s="893">
        <v>9.945051611388487E-4</v>
      </c>
      <c r="D20" s="894">
        <v>-1.3403293543248443E-2</v>
      </c>
      <c r="E20" s="893">
        <v>-1.0302190983907635E-2</v>
      </c>
      <c r="F20" s="894">
        <v>-8.4524450771420873E-3</v>
      </c>
      <c r="G20" s="893">
        <v>-6.2550435821119646E-3</v>
      </c>
      <c r="H20" s="894">
        <v>-2.4084375444149834E-3</v>
      </c>
    </row>
    <row r="21" spans="1:9" ht="14" thickBot="1">
      <c r="A21" s="880"/>
      <c r="B21" s="892" t="s">
        <v>740</v>
      </c>
      <c r="C21" s="893">
        <v>-3.1417921668869348E-3</v>
      </c>
      <c r="D21" s="894">
        <v>-7.9649130065995004E-4</v>
      </c>
      <c r="E21" s="893">
        <v>-2.129433838639545E-3</v>
      </c>
      <c r="F21" s="894">
        <v>-4.3644915547689589E-3</v>
      </c>
      <c r="G21" s="893">
        <v>-7.8940973802827333E-3</v>
      </c>
      <c r="H21" s="894">
        <v>-7.945025742827105E-3</v>
      </c>
    </row>
    <row r="22" spans="1:9" ht="14" thickBot="1">
      <c r="A22" s="880"/>
      <c r="B22" s="892"/>
      <c r="C22" s="893"/>
      <c r="D22" s="894"/>
      <c r="E22" s="893"/>
      <c r="F22" s="894"/>
      <c r="G22" s="893"/>
      <c r="H22" s="894"/>
    </row>
    <row r="23" spans="1:9" s="885" customFormat="1" ht="14" thickBot="1">
      <c r="A23" s="876" t="s">
        <v>741</v>
      </c>
      <c r="B23" s="880"/>
      <c r="C23" s="886">
        <v>7.281439684712844E-2</v>
      </c>
      <c r="D23" s="887">
        <v>7.8225272565529511E-2</v>
      </c>
      <c r="E23" s="886">
        <v>8.116170791514031E-2</v>
      </c>
      <c r="F23" s="887">
        <v>8.7061386633834795E-2</v>
      </c>
      <c r="G23" s="886">
        <v>8.5914276114208626E-2</v>
      </c>
      <c r="H23" s="887">
        <v>8.3191898473869846E-2</v>
      </c>
      <c r="I23" s="848"/>
    </row>
    <row r="24" spans="1:9" s="885" customFormat="1" ht="14" thickBot="1">
      <c r="A24" s="880" t="s">
        <v>742</v>
      </c>
      <c r="B24" s="880"/>
      <c r="C24" s="895">
        <v>4.7893733034717986E-2</v>
      </c>
      <c r="D24" s="896">
        <v>5.3973664066863894E-2</v>
      </c>
      <c r="E24" s="895">
        <v>5.6169401673764774E-2</v>
      </c>
      <c r="F24" s="896">
        <v>5.9554268785348773E-2</v>
      </c>
      <c r="G24" s="895">
        <v>5.8406119264049074E-2</v>
      </c>
      <c r="H24" s="896">
        <v>5.7915227215653189E-2</v>
      </c>
      <c r="I24" s="848"/>
    </row>
    <row r="25" spans="1:9" ht="14" thickBot="1">
      <c r="A25" s="892"/>
      <c r="B25" s="892" t="s">
        <v>730</v>
      </c>
      <c r="C25" s="897">
        <v>3.6002669600061196E-2</v>
      </c>
      <c r="D25" s="898">
        <v>3.9470281564846804E-2</v>
      </c>
      <c r="E25" s="897">
        <v>3.9739504224121668E-2</v>
      </c>
      <c r="F25" s="898">
        <v>4.0869916509561004E-2</v>
      </c>
      <c r="G25" s="897">
        <v>4.0133453082419064E-2</v>
      </c>
      <c r="H25" s="898">
        <v>3.9445481150472583E-2</v>
      </c>
    </row>
    <row r="26" spans="1:9" ht="14" thickBot="1">
      <c r="A26" s="892"/>
      <c r="B26" s="892" t="s">
        <v>743</v>
      </c>
      <c r="C26" s="897">
        <v>1.1891063434656788E-2</v>
      </c>
      <c r="D26" s="898">
        <v>1.450338250201709E-2</v>
      </c>
      <c r="E26" s="897">
        <v>1.642989744964311E-2</v>
      </c>
      <c r="F26" s="898">
        <v>1.8684352275787772E-2</v>
      </c>
      <c r="G26" s="897">
        <v>1.8272666181630006E-2</v>
      </c>
      <c r="H26" s="898">
        <v>1.8469746065180613E-2</v>
      </c>
    </row>
    <row r="27" spans="1:9" s="885" customFormat="1" ht="14" thickBot="1">
      <c r="A27" s="880" t="s">
        <v>744</v>
      </c>
      <c r="B27" s="880"/>
      <c r="C27" s="899">
        <v>7.7291780428032902E-3</v>
      </c>
      <c r="D27" s="900">
        <v>6.1417754515174713E-3</v>
      </c>
      <c r="E27" s="899">
        <v>6.562031549374076E-3</v>
      </c>
      <c r="F27" s="900">
        <v>6.6633642414682011E-3</v>
      </c>
      <c r="G27" s="899">
        <v>7.3099888687237664E-3</v>
      </c>
      <c r="H27" s="900">
        <v>6.8286032987463531E-3</v>
      </c>
      <c r="I27" s="848"/>
    </row>
    <row r="28" spans="1:9" s="885" customFormat="1" ht="11.25" customHeight="1" thickBot="1">
      <c r="A28" s="892"/>
      <c r="B28" s="892" t="s">
        <v>730</v>
      </c>
      <c r="C28" s="897">
        <v>1.6882846236839953E-3</v>
      </c>
      <c r="D28" s="898">
        <v>1.3317955189606305E-3</v>
      </c>
      <c r="E28" s="897">
        <v>1.404731413368278E-3</v>
      </c>
      <c r="F28" s="898">
        <v>1.4259743757454504E-3</v>
      </c>
      <c r="G28" s="897">
        <v>1.5934392139710166E-3</v>
      </c>
      <c r="H28" s="898">
        <v>1.488635519126705E-3</v>
      </c>
      <c r="I28" s="848"/>
    </row>
    <row r="29" spans="1:9" ht="14" thickBot="1">
      <c r="A29" s="892"/>
      <c r="B29" s="892" t="s">
        <v>731</v>
      </c>
      <c r="C29" s="897">
        <v>6.0408934191192951E-3</v>
      </c>
      <c r="D29" s="898">
        <v>4.8099799325568406E-3</v>
      </c>
      <c r="E29" s="897">
        <v>5.1573001360057978E-3</v>
      </c>
      <c r="F29" s="898">
        <v>5.2373898657227507E-3</v>
      </c>
      <c r="G29" s="897">
        <v>5.7165496547527499E-3</v>
      </c>
      <c r="H29" s="898">
        <v>5.3399677796196485E-3</v>
      </c>
    </row>
    <row r="30" spans="1:9" ht="14" thickBot="1">
      <c r="A30" s="880" t="s">
        <v>745</v>
      </c>
      <c r="B30" s="880"/>
      <c r="C30" s="901">
        <v>5.3682175143702033E-3</v>
      </c>
      <c r="D30" s="902">
        <v>5.9116204977553424E-3</v>
      </c>
      <c r="E30" s="901">
        <v>6.6067049865483314E-3</v>
      </c>
      <c r="F30" s="902">
        <v>9.0199492131891809E-3</v>
      </c>
      <c r="G30" s="901">
        <v>8.7281728290597646E-3</v>
      </c>
      <c r="H30" s="902">
        <v>6.8264354881753218E-3</v>
      </c>
    </row>
    <row r="31" spans="1:9" ht="14" thickBot="1">
      <c r="A31" s="880"/>
      <c r="B31" s="892" t="s">
        <v>730</v>
      </c>
      <c r="C31" s="903">
        <v>2.2132356238607374E-3</v>
      </c>
      <c r="D31" s="904">
        <v>2.2601733661584294E-3</v>
      </c>
      <c r="E31" s="903">
        <v>2.8119446843573475E-3</v>
      </c>
      <c r="F31" s="904">
        <v>4.5881266592281951E-3</v>
      </c>
      <c r="G31" s="903">
        <v>4.6511821918661942E-3</v>
      </c>
      <c r="H31" s="904">
        <v>3.0024176408773645E-3</v>
      </c>
    </row>
    <row r="32" spans="1:9" ht="14" thickBot="1">
      <c r="A32" s="880"/>
      <c r="B32" s="892" t="s">
        <v>746</v>
      </c>
      <c r="C32" s="903">
        <v>3.1549818905094659E-3</v>
      </c>
      <c r="D32" s="904">
        <v>3.651447131596913E-3</v>
      </c>
      <c r="E32" s="903">
        <v>3.7947603021909839E-3</v>
      </c>
      <c r="F32" s="904">
        <v>4.4318225539609866E-3</v>
      </c>
      <c r="G32" s="903">
        <v>4.0769906371935713E-3</v>
      </c>
      <c r="H32" s="904">
        <v>3.8240178472979578E-3</v>
      </c>
    </row>
    <row r="33" spans="1:15" ht="14" thickBot="1">
      <c r="A33" s="880" t="s">
        <v>747</v>
      </c>
      <c r="B33" s="880"/>
      <c r="C33" s="899">
        <v>1.182326825523698E-2</v>
      </c>
      <c r="D33" s="900">
        <v>1.2198212549392805E-2</v>
      </c>
      <c r="E33" s="899">
        <v>1.1823569705453138E-2</v>
      </c>
      <c r="F33" s="900">
        <v>1.1823804393828635E-2</v>
      </c>
      <c r="G33" s="899">
        <v>1.1469995152376029E-2</v>
      </c>
      <c r="H33" s="900">
        <v>1.1621632471294984E-2</v>
      </c>
    </row>
    <row r="34" spans="1:15" ht="14" thickBot="1">
      <c r="A34" s="880"/>
      <c r="B34" s="892" t="s">
        <v>748</v>
      </c>
      <c r="C34" s="903">
        <v>8.554854741573744E-3</v>
      </c>
      <c r="D34" s="904">
        <v>8.8027804787223028E-3</v>
      </c>
      <c r="E34" s="903">
        <v>8.527662785041348E-3</v>
      </c>
      <c r="F34" s="904">
        <v>8.5197760763341158E-3</v>
      </c>
      <c r="G34" s="903">
        <v>8.2024070681547111E-3</v>
      </c>
      <c r="H34" s="904">
        <v>8.3699166147491021E-3</v>
      </c>
    </row>
    <row r="35" spans="1:15" ht="14" thickBot="1">
      <c r="A35" s="880"/>
      <c r="B35" s="892" t="s">
        <v>749</v>
      </c>
      <c r="C35" s="903">
        <v>3.2684135136632347E-3</v>
      </c>
      <c r="D35" s="904">
        <v>3.3954320706705014E-3</v>
      </c>
      <c r="E35" s="903">
        <v>3.2959069204117901E-3</v>
      </c>
      <c r="F35" s="904">
        <v>3.3040283174945177E-3</v>
      </c>
      <c r="G35" s="903">
        <v>3.2675880842213175E-3</v>
      </c>
      <c r="H35" s="904">
        <v>3.2517158565458825E-3</v>
      </c>
      <c r="K35" s="885"/>
      <c r="L35" s="905"/>
      <c r="M35" s="905"/>
      <c r="N35" s="905"/>
      <c r="O35" s="905"/>
    </row>
    <row r="36" spans="1:15" s="885" customFormat="1" ht="14" thickBot="1">
      <c r="A36" s="880"/>
      <c r="B36" s="880"/>
      <c r="C36" s="890"/>
      <c r="D36" s="891"/>
      <c r="E36" s="890"/>
      <c r="F36" s="891"/>
      <c r="G36" s="890"/>
      <c r="H36" s="891"/>
      <c r="I36" s="848"/>
    </row>
    <row r="37" spans="1:15" ht="13.5" customHeight="1" thickBot="1">
      <c r="A37" s="876" t="s">
        <v>1350</v>
      </c>
      <c r="B37" s="880"/>
      <c r="C37" s="886">
        <v>0.6636149372541702</v>
      </c>
      <c r="D37" s="887">
        <v>0.68276641540845373</v>
      </c>
      <c r="E37" s="886">
        <v>0.68562033169883296</v>
      </c>
      <c r="F37" s="887">
        <v>0.67392232859564905</v>
      </c>
      <c r="G37" s="886">
        <v>0.66962659514755896</v>
      </c>
      <c r="H37" s="887">
        <v>0.64839518021522613</v>
      </c>
    </row>
    <row r="38" spans="1:15" ht="13.5" customHeight="1" thickBot="1">
      <c r="A38" s="877" t="s">
        <v>750</v>
      </c>
      <c r="B38" s="880"/>
      <c r="C38" s="901">
        <v>0.42241672667990915</v>
      </c>
      <c r="D38" s="902">
        <v>0.43800039307362887</v>
      </c>
      <c r="E38" s="901">
        <v>0.43917215157200856</v>
      </c>
      <c r="F38" s="902">
        <v>0.42837905428802281</v>
      </c>
      <c r="G38" s="901">
        <v>0.42676893406568905</v>
      </c>
      <c r="H38" s="902">
        <v>0.41475028763282845</v>
      </c>
    </row>
    <row r="39" spans="1:15" ht="14" thickBot="1">
      <c r="A39" s="880"/>
      <c r="B39" s="892" t="s">
        <v>738</v>
      </c>
      <c r="C39" s="906">
        <v>0.29110247623871288</v>
      </c>
      <c r="D39" s="907">
        <v>0.30837660591265492</v>
      </c>
      <c r="E39" s="906">
        <v>0.31281829823986657</v>
      </c>
      <c r="F39" s="907">
        <v>0.31139384787041668</v>
      </c>
      <c r="G39" s="906">
        <v>0.30777333761614495</v>
      </c>
      <c r="H39" s="907">
        <v>0.30251189531771966</v>
      </c>
    </row>
    <row r="40" spans="1:15" ht="14" thickBot="1">
      <c r="A40" s="880"/>
      <c r="B40" s="892" t="s">
        <v>739</v>
      </c>
      <c r="C40" s="906">
        <v>0.11442085242545827</v>
      </c>
      <c r="D40" s="907">
        <v>0.11405858865879141</v>
      </c>
      <c r="E40" s="906">
        <v>0.1105245654267306</v>
      </c>
      <c r="F40" s="907">
        <v>9.0577026663075683E-2</v>
      </c>
      <c r="G40" s="906">
        <v>6.7273849719430442E-2</v>
      </c>
      <c r="H40" s="907">
        <v>4.3074396046377784E-2</v>
      </c>
    </row>
    <row r="41" spans="1:15" ht="14" thickBot="1">
      <c r="A41" s="880"/>
      <c r="B41" s="892" t="s">
        <v>740</v>
      </c>
      <c r="C41" s="906">
        <v>1.6893398015737977E-2</v>
      </c>
      <c r="D41" s="907">
        <v>1.5565198502182593E-2</v>
      </c>
      <c r="E41" s="906">
        <v>1.5829287905411441E-2</v>
      </c>
      <c r="F41" s="907">
        <v>2.6408179754530418E-2</v>
      </c>
      <c r="G41" s="906">
        <v>5.1721746730113614E-2</v>
      </c>
      <c r="H41" s="907">
        <v>6.9163996268730918E-2</v>
      </c>
    </row>
    <row r="42" spans="1:15" ht="11.25" customHeight="1" thickBot="1">
      <c r="A42" s="880" t="s">
        <v>751</v>
      </c>
      <c r="B42" s="880"/>
      <c r="C42" s="899">
        <v>4.6712725181556544E-2</v>
      </c>
      <c r="D42" s="900">
        <v>4.8730785940376942E-2</v>
      </c>
      <c r="E42" s="899">
        <v>5.3484031728067823E-2</v>
      </c>
      <c r="F42" s="900">
        <v>5.4095648493709361E-2</v>
      </c>
      <c r="G42" s="899">
        <v>5.4031655893711852E-2</v>
      </c>
      <c r="H42" s="900">
        <v>5.2640944096335768E-2</v>
      </c>
      <c r="K42" s="863"/>
      <c r="L42" s="863"/>
      <c r="M42" s="863"/>
      <c r="N42" s="863"/>
    </row>
    <row r="43" spans="1:15" ht="13.5" customHeight="1" thickBot="1">
      <c r="A43" s="880"/>
      <c r="B43" s="892" t="s">
        <v>738</v>
      </c>
      <c r="C43" s="878">
        <v>4.4277902200837278E-2</v>
      </c>
      <c r="D43" s="879">
        <v>4.5979270538097111E-2</v>
      </c>
      <c r="E43" s="878">
        <v>5.2049518023250037E-2</v>
      </c>
      <c r="F43" s="879">
        <v>5.2660055403793628E-2</v>
      </c>
      <c r="G43" s="878">
        <v>5.2761055304857973E-2</v>
      </c>
      <c r="H43" s="879">
        <v>5.2031789325876175E-2</v>
      </c>
    </row>
    <row r="44" spans="1:15" ht="13.5" customHeight="1" thickBot="1">
      <c r="A44" s="880"/>
      <c r="B44" s="892" t="s">
        <v>752</v>
      </c>
      <c r="C44" s="878">
        <v>2.4348229807192616E-3</v>
      </c>
      <c r="D44" s="879">
        <v>2.7515154022798275E-3</v>
      </c>
      <c r="E44" s="878">
        <v>1.4345137048177819E-3</v>
      </c>
      <c r="F44" s="879">
        <v>1.4355930899157402E-3</v>
      </c>
      <c r="G44" s="878">
        <v>1.2706005888538786E-3</v>
      </c>
      <c r="H44" s="879">
        <v>6.0915477045959531E-4</v>
      </c>
    </row>
    <row r="45" spans="1:15" ht="12.75" customHeight="1" thickBot="1">
      <c r="A45" s="880" t="s">
        <v>753</v>
      </c>
      <c r="B45" s="880"/>
      <c r="C45" s="899">
        <v>0.19448548539270444</v>
      </c>
      <c r="D45" s="900">
        <v>0.19603523639444784</v>
      </c>
      <c r="E45" s="899">
        <v>0.19296414839875656</v>
      </c>
      <c r="F45" s="900">
        <v>0.19144762581391689</v>
      </c>
      <c r="G45" s="899">
        <v>0.18882600518815812</v>
      </c>
      <c r="H45" s="900">
        <v>0.18100394848606199</v>
      </c>
      <c r="J45" s="849"/>
    </row>
    <row r="46" spans="1:15" ht="12.75" customHeight="1" thickBot="1">
      <c r="A46" s="880"/>
      <c r="B46" s="880"/>
      <c r="C46" s="890"/>
      <c r="D46" s="891"/>
      <c r="E46" s="890"/>
      <c r="F46" s="891"/>
      <c r="G46" s="890"/>
      <c r="H46" s="891"/>
    </row>
    <row r="47" spans="1:15" ht="12.75" customHeight="1" thickBot="1">
      <c r="A47" s="876" t="s">
        <v>754</v>
      </c>
      <c r="B47" s="880"/>
      <c r="C47" s="908">
        <v>9.9898966717051393E-3</v>
      </c>
      <c r="D47" s="909">
        <v>9.9975174297122302E-3</v>
      </c>
      <c r="E47" s="908">
        <v>9.8083013173700245E-3</v>
      </c>
      <c r="F47" s="909">
        <v>9.8303258820360909E-3</v>
      </c>
      <c r="G47" s="908">
        <v>1.0232280713153514E-2</v>
      </c>
      <c r="H47" s="909">
        <v>1.0047096577231324E-2</v>
      </c>
    </row>
    <row r="48" spans="1:15" ht="12.75" customHeight="1" thickBot="1">
      <c r="A48" s="876"/>
      <c r="B48" s="892"/>
      <c r="C48" s="910"/>
      <c r="D48" s="911"/>
      <c r="E48" s="910"/>
      <c r="F48" s="911"/>
      <c r="G48" s="910"/>
      <c r="H48" s="911"/>
    </row>
    <row r="49" spans="1:23" ht="12.75" customHeight="1" thickBot="1">
      <c r="A49" s="912" t="s">
        <v>755</v>
      </c>
      <c r="B49" s="913"/>
      <c r="C49" s="914">
        <v>1</v>
      </c>
      <c r="D49" s="915">
        <v>1</v>
      </c>
      <c r="E49" s="914">
        <v>1</v>
      </c>
      <c r="F49" s="915">
        <v>1</v>
      </c>
      <c r="G49" s="914">
        <v>1</v>
      </c>
      <c r="H49" s="915">
        <v>1</v>
      </c>
    </row>
    <row r="50" spans="1:23" ht="15" customHeight="1">
      <c r="A50" s="916" t="s">
        <v>178</v>
      </c>
      <c r="B50" s="916"/>
      <c r="C50" s="852"/>
      <c r="D50" s="852"/>
      <c r="E50" s="852"/>
      <c r="F50" s="852"/>
      <c r="G50" s="852"/>
      <c r="H50" s="852"/>
    </row>
    <row r="51" spans="1:23" ht="11.25" customHeight="1">
      <c r="A51" s="917"/>
      <c r="B51" s="918"/>
      <c r="L51" s="863"/>
      <c r="M51" s="863"/>
      <c r="N51" s="863"/>
      <c r="O51" s="863"/>
      <c r="R51" s="863"/>
      <c r="S51" s="863"/>
      <c r="T51" s="863"/>
      <c r="U51" s="863"/>
      <c r="V51" s="856"/>
      <c r="W51" s="919"/>
    </row>
    <row r="52" spans="1:23">
      <c r="A52" s="920" t="s">
        <v>756</v>
      </c>
      <c r="B52" s="918"/>
      <c r="L52" s="863"/>
      <c r="M52" s="863"/>
      <c r="N52" s="863"/>
      <c r="O52" s="863"/>
    </row>
    <row r="53" spans="1:23" ht="9" customHeight="1">
      <c r="A53" s="920"/>
      <c r="B53" s="918"/>
    </row>
    <row r="54" spans="1:23">
      <c r="A54" s="921" t="s">
        <v>757</v>
      </c>
    </row>
    <row r="55" spans="1:23">
      <c r="A55" s="918"/>
      <c r="B55" s="918"/>
    </row>
    <row r="56" spans="1:23">
      <c r="A56" s="922"/>
      <c r="B56" s="918"/>
      <c r="C56" s="918"/>
      <c r="D56" s="918"/>
      <c r="E56" s="918"/>
      <c r="F56" s="918"/>
      <c r="H56" s="918"/>
    </row>
    <row r="57" spans="1:23">
      <c r="A57" s="922"/>
      <c r="B57" s="918"/>
      <c r="C57" s="917"/>
      <c r="D57" s="917"/>
      <c r="E57" s="917"/>
      <c r="F57" s="917"/>
      <c r="H57" s="917"/>
    </row>
    <row r="58" spans="1:23" s="917" customFormat="1">
      <c r="A58" s="922"/>
      <c r="C58" s="916"/>
      <c r="D58" s="916"/>
      <c r="I58" s="848"/>
    </row>
    <row r="59" spans="1:23" s="917" customFormat="1">
      <c r="A59" s="918"/>
      <c r="B59" s="918"/>
      <c r="C59" s="916"/>
      <c r="D59" s="916"/>
      <c r="I59" s="848"/>
    </row>
    <row r="60" spans="1:23" s="917" customFormat="1">
      <c r="A60" s="918"/>
      <c r="I60" s="848"/>
    </row>
    <row r="61" spans="1:23" s="917" customFormat="1">
      <c r="A61" s="923"/>
      <c r="B61" s="924"/>
      <c r="I61" s="848"/>
    </row>
    <row r="62" spans="1:23" s="917" customFormat="1">
      <c r="A62" s="923"/>
      <c r="B62" s="924"/>
      <c r="C62" s="848"/>
      <c r="D62" s="848"/>
      <c r="E62" s="848"/>
      <c r="F62" s="848"/>
      <c r="H62" s="848"/>
      <c r="I62" s="848"/>
    </row>
    <row r="63" spans="1:23" s="917" customFormat="1">
      <c r="A63" s="923"/>
      <c r="B63" s="852"/>
      <c r="C63" s="848"/>
      <c r="D63" s="848"/>
      <c r="E63" s="848"/>
      <c r="F63" s="848"/>
      <c r="H63" s="848"/>
      <c r="I63" s="848"/>
    </row>
    <row r="64" spans="1:23">
      <c r="A64" s="923"/>
      <c r="B64" s="852"/>
    </row>
    <row r="66" spans="1:5">
      <c r="A66" s="852"/>
      <c r="B66" s="852"/>
    </row>
    <row r="67" spans="1:5">
      <c r="A67" s="852"/>
      <c r="B67" s="852"/>
    </row>
    <row r="68" spans="1:5">
      <c r="A68" s="852"/>
      <c r="B68" s="925"/>
    </row>
    <row r="69" spans="1:5">
      <c r="A69" s="852"/>
      <c r="B69" s="926"/>
    </row>
    <row r="70" spans="1:5">
      <c r="A70" s="852"/>
      <c r="B70" s="927"/>
    </row>
    <row r="71" spans="1:5">
      <c r="A71" s="852"/>
      <c r="B71" s="928"/>
    </row>
    <row r="72" spans="1:5">
      <c r="A72" s="852"/>
      <c r="B72" s="929"/>
    </row>
    <row r="73" spans="1:5">
      <c r="A73" s="852"/>
      <c r="B73" s="852"/>
    </row>
    <row r="74" spans="1:5">
      <c r="A74" s="852"/>
      <c r="B74" s="852"/>
    </row>
    <row r="75" spans="1:5">
      <c r="B75" s="852"/>
    </row>
    <row r="76" spans="1:5">
      <c r="A76" s="852"/>
      <c r="B76" s="852"/>
      <c r="E76" s="863"/>
    </row>
    <row r="77" spans="1:5">
      <c r="A77" s="852"/>
      <c r="B77" s="852"/>
    </row>
    <row r="78" spans="1:5">
      <c r="A78" s="852"/>
      <c r="B78" s="852"/>
    </row>
    <row r="79" spans="1:5">
      <c r="A79" s="852"/>
      <c r="B79" s="852"/>
    </row>
    <row r="80" spans="1:5">
      <c r="A80" s="852"/>
      <c r="B80" s="852"/>
    </row>
    <row r="81" spans="1:2">
      <c r="A81" s="852"/>
      <c r="B81" s="852"/>
    </row>
    <row r="82" spans="1:2">
      <c r="A82" s="852"/>
    </row>
    <row r="83" spans="1:2">
      <c r="A83" s="852"/>
    </row>
    <row r="86" spans="1:2">
      <c r="B86" s="852"/>
    </row>
    <row r="87" spans="1:2">
      <c r="B87" s="852"/>
    </row>
    <row r="88" spans="1:2" ht="16">
      <c r="A88" s="847"/>
      <c r="B88" s="852"/>
    </row>
    <row r="89" spans="1:2">
      <c r="A89" s="852"/>
      <c r="B89" s="852"/>
    </row>
    <row r="90" spans="1:2">
      <c r="A90" s="852"/>
      <c r="B90" s="852"/>
    </row>
    <row r="91" spans="1:2">
      <c r="A91" s="852"/>
      <c r="B91" s="852"/>
    </row>
    <row r="92" spans="1:2">
      <c r="A92" s="852"/>
      <c r="B92" s="852"/>
    </row>
    <row r="93" spans="1:2">
      <c r="A93" s="852"/>
      <c r="B93" s="852"/>
    </row>
    <row r="94" spans="1:2">
      <c r="A94" s="852"/>
      <c r="B94" s="852"/>
    </row>
    <row r="95" spans="1:2">
      <c r="A95" s="852"/>
      <c r="B95" s="852"/>
    </row>
    <row r="96" spans="1:2">
      <c r="A96" s="852"/>
      <c r="B96" s="852"/>
    </row>
    <row r="97" spans="1:2">
      <c r="A97" s="852"/>
      <c r="B97" s="852"/>
    </row>
    <row r="98" spans="1:2">
      <c r="B98" s="852"/>
    </row>
    <row r="99" spans="1:2">
      <c r="A99" s="852"/>
      <c r="B99" s="852"/>
    </row>
    <row r="100" spans="1:2">
      <c r="A100" s="852"/>
      <c r="B100" s="852"/>
    </row>
    <row r="101" spans="1:2">
      <c r="A101" s="852"/>
      <c r="B101" s="852"/>
    </row>
    <row r="102" spans="1:2">
      <c r="A102" s="852"/>
      <c r="B102" s="852"/>
    </row>
    <row r="103" spans="1:2">
      <c r="A103" s="852"/>
      <c r="B103" s="852"/>
    </row>
    <row r="104" spans="1:2">
      <c r="A104" s="852"/>
      <c r="B104" s="852"/>
    </row>
    <row r="105" spans="1:2">
      <c r="A105" s="852"/>
    </row>
    <row r="109" spans="1:2">
      <c r="B109" s="852"/>
    </row>
    <row r="110" spans="1:2">
      <c r="B110" s="852"/>
    </row>
    <row r="111" spans="1:2">
      <c r="B111" s="852"/>
    </row>
    <row r="112" spans="1:2">
      <c r="A112" s="852"/>
      <c r="B112" s="852"/>
    </row>
    <row r="113" spans="1:2">
      <c r="A113" s="852"/>
      <c r="B113" s="852"/>
    </row>
    <row r="114" spans="1:2">
      <c r="A114" s="852"/>
      <c r="B114" s="852"/>
    </row>
    <row r="115" spans="1:2">
      <c r="A115" s="852"/>
      <c r="B115" s="852"/>
    </row>
    <row r="116" spans="1:2">
      <c r="A116" s="852"/>
      <c r="B116" s="852"/>
    </row>
    <row r="117" spans="1:2">
      <c r="A117" s="852"/>
      <c r="B117" s="852"/>
    </row>
    <row r="118" spans="1:2" ht="16">
      <c r="A118" s="847"/>
      <c r="B118" s="852"/>
    </row>
    <row r="119" spans="1:2">
      <c r="A119" s="852"/>
      <c r="B119" s="852"/>
    </row>
    <row r="120" spans="1:2">
      <c r="B120" s="852"/>
    </row>
    <row r="121" spans="1:2">
      <c r="A121" s="852"/>
      <c r="B121" s="852"/>
    </row>
    <row r="122" spans="1:2">
      <c r="A122" s="852"/>
      <c r="B122" s="852"/>
    </row>
    <row r="123" spans="1:2">
      <c r="A123" s="852"/>
      <c r="B123" s="852"/>
    </row>
    <row r="124" spans="1:2">
      <c r="A124" s="852"/>
      <c r="B124" s="852"/>
    </row>
  </sheetData>
  <phoneticPr fontId="47" type="noConversion"/>
  <pageMargins left="0.31" right="0.18" top="0.48" bottom="0.35433070866141736" header="0.22" footer="0.19685039370078741"/>
  <pageSetup paperSize="9" scale="80" orientation="portrait" cellComments="asDisplayed"/>
  <headerFooter alignWithMargins="0">
    <oddHeader>&amp;L&amp;"Helvetica,Bold"&amp;14Zusatzinformationen zum Gesundheitswesen</oddHeader>
    <oddFooter xml:space="preserve">&amp;LStatistik über die Krankenversicherung, Bundesamt für Sozialversicherung&amp;R </oddFooter>
  </headerFooter>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0185-6D81-CF41-AFE7-826E02A0910B}">
  <dimension ref="A1:N85"/>
  <sheetViews>
    <sheetView workbookViewId="0">
      <selection activeCell="B2" sqref="B2"/>
    </sheetView>
  </sheetViews>
  <sheetFormatPr baseColWidth="10" defaultColWidth="10.19921875" defaultRowHeight="13"/>
  <cols>
    <col min="1" max="1" width="3.796875" style="1093" customWidth="1"/>
    <col min="2" max="2" width="3" style="1093" customWidth="1"/>
    <col min="3" max="3" width="49.3984375" style="1093" customWidth="1"/>
    <col min="4" max="10" width="10.19921875" style="1093" customWidth="1"/>
    <col min="11" max="11" width="10.796875" style="1093" customWidth="1"/>
    <col min="12" max="12" width="10.19921875" style="1093" customWidth="1"/>
    <col min="13" max="14" width="10.796875" style="1093" customWidth="1"/>
    <col min="15" max="16384" width="10.19921875" style="1093"/>
  </cols>
  <sheetData>
    <row r="1" spans="1:14" ht="16">
      <c r="B1" s="1094" t="s">
        <v>912</v>
      </c>
    </row>
    <row r="2" spans="1:14" ht="14.25" customHeight="1" thickBot="1">
      <c r="B2" s="1095"/>
      <c r="C2" s="1095"/>
      <c r="D2" s="1095"/>
      <c r="E2" s="1095"/>
      <c r="F2" s="1095"/>
      <c r="G2" s="1095"/>
      <c r="H2" s="1095"/>
      <c r="I2" s="1095"/>
      <c r="J2" s="1095"/>
      <c r="K2" s="1095"/>
      <c r="L2" s="1095"/>
      <c r="M2" s="1096"/>
      <c r="N2" s="1096"/>
    </row>
    <row r="3" spans="1:14" ht="13.5" customHeight="1">
      <c r="B3" s="1097"/>
      <c r="C3" s="1097"/>
      <c r="D3" s="1098"/>
      <c r="E3" s="1097"/>
      <c r="F3" s="1098"/>
      <c r="G3" s="1097"/>
      <c r="H3" s="1098"/>
      <c r="I3" s="1099"/>
      <c r="J3" s="1100" t="s">
        <v>609</v>
      </c>
      <c r="K3" s="1101" t="s">
        <v>913</v>
      </c>
      <c r="L3" s="1102" t="s">
        <v>5</v>
      </c>
      <c r="M3" s="1103" t="s">
        <v>5</v>
      </c>
      <c r="N3" s="1102" t="s">
        <v>5</v>
      </c>
    </row>
    <row r="4" spans="1:14">
      <c r="B4" s="1104" t="s">
        <v>914</v>
      </c>
      <c r="C4" s="1105"/>
      <c r="D4" s="1106">
        <v>1996</v>
      </c>
      <c r="E4" s="1107">
        <v>1997</v>
      </c>
      <c r="F4" s="1106">
        <v>1998</v>
      </c>
      <c r="G4" s="1107">
        <v>1999</v>
      </c>
      <c r="H4" s="1106">
        <v>2000</v>
      </c>
      <c r="I4" s="1107">
        <v>2001</v>
      </c>
      <c r="J4" s="1100" t="s">
        <v>348</v>
      </c>
      <c r="K4" s="1108" t="s">
        <v>349</v>
      </c>
      <c r="L4" s="1109">
        <v>2002</v>
      </c>
      <c r="M4" s="1110">
        <v>2003</v>
      </c>
      <c r="N4" s="1109">
        <v>2004</v>
      </c>
    </row>
    <row r="5" spans="1:14" ht="9.75" customHeight="1">
      <c r="B5" s="1104"/>
      <c r="C5" s="1105"/>
      <c r="D5" s="1111"/>
      <c r="E5" s="1112"/>
      <c r="F5" s="1111"/>
      <c r="G5" s="1112"/>
      <c r="H5" s="1111"/>
      <c r="I5" s="1113"/>
      <c r="J5" s="1114"/>
      <c r="K5" s="1108" t="s">
        <v>1746</v>
      </c>
      <c r="L5" s="1111"/>
      <c r="M5" s="1112"/>
      <c r="N5" s="1111"/>
    </row>
    <row r="6" spans="1:14" ht="9.75" customHeight="1">
      <c r="B6" s="1115"/>
      <c r="C6" s="1116"/>
      <c r="D6" s="1117"/>
      <c r="E6" s="1118"/>
      <c r="F6" s="1117"/>
      <c r="G6" s="1118"/>
      <c r="H6" s="1117"/>
      <c r="I6" s="1119"/>
      <c r="J6" s="1120"/>
      <c r="K6" s="1121" t="s">
        <v>350</v>
      </c>
      <c r="L6" s="1117"/>
      <c r="M6" s="1118"/>
      <c r="N6" s="1117"/>
    </row>
    <row r="7" spans="1:14" ht="17.25" customHeight="1" thickBot="1">
      <c r="A7" s="1313" t="s">
        <v>915</v>
      </c>
      <c r="B7" s="1122" t="s">
        <v>916</v>
      </c>
      <c r="C7" s="1123"/>
      <c r="D7" s="1124">
        <v>15102.8</v>
      </c>
      <c r="E7" s="1125">
        <v>15124.7</v>
      </c>
      <c r="F7" s="1124">
        <v>15686.5</v>
      </c>
      <c r="G7" s="1125">
        <v>15981.6</v>
      </c>
      <c r="H7" s="1124">
        <v>16973.123118</v>
      </c>
      <c r="I7" s="1125">
        <v>17916.27</v>
      </c>
      <c r="J7" s="1126">
        <v>5.5567079519961426E-2</v>
      </c>
      <c r="K7" s="1127">
        <v>3.4756171936231928E-2</v>
      </c>
      <c r="L7" s="1124">
        <v>18410.55</v>
      </c>
      <c r="M7" s="1128">
        <v>19212</v>
      </c>
      <c r="N7" s="1129">
        <v>20170</v>
      </c>
    </row>
    <row r="8" spans="1:14" ht="14" thickBot="1">
      <c r="A8" s="1314"/>
      <c r="B8" s="1130"/>
      <c r="C8" s="1131" t="s">
        <v>738</v>
      </c>
      <c r="D8" s="1132">
        <v>10780.5</v>
      </c>
      <c r="E8" s="1133">
        <v>11360.5</v>
      </c>
      <c r="F8" s="1132">
        <v>11926.9</v>
      </c>
      <c r="G8" s="1133">
        <v>12430.6</v>
      </c>
      <c r="H8" s="1132">
        <v>13190.308999999999</v>
      </c>
      <c r="I8" s="1133">
        <v>13986.27</v>
      </c>
      <c r="J8" s="1134">
        <v>6.034437858885644E-2</v>
      </c>
      <c r="K8" s="1135">
        <v>5.3446781939583854E-2</v>
      </c>
      <c r="L8" s="1132">
        <v>14592.75</v>
      </c>
      <c r="M8" s="1136">
        <v>15382</v>
      </c>
      <c r="N8" s="1137">
        <v>16330</v>
      </c>
    </row>
    <row r="9" spans="1:14" ht="14" thickBot="1">
      <c r="A9" s="1314"/>
      <c r="B9" s="1130"/>
      <c r="C9" s="1131" t="s">
        <v>752</v>
      </c>
      <c r="D9" s="1138">
        <v>3809.6</v>
      </c>
      <c r="E9" s="1139">
        <v>3288.3</v>
      </c>
      <c r="F9" s="1138">
        <v>3299.5</v>
      </c>
      <c r="G9" s="1139">
        <v>2787.1</v>
      </c>
      <c r="H9" s="1138">
        <v>2199.056302</v>
      </c>
      <c r="I9" s="1139">
        <v>1576.7</v>
      </c>
      <c r="J9" s="1140">
        <v>-0.28301062661923604</v>
      </c>
      <c r="K9" s="1141">
        <v>-0.16174927463013555</v>
      </c>
      <c r="L9" s="1138">
        <v>1422.3</v>
      </c>
      <c r="M9" s="1142">
        <v>1400</v>
      </c>
      <c r="N9" s="1143">
        <v>1370</v>
      </c>
    </row>
    <row r="10" spans="1:14" ht="14" thickBot="1">
      <c r="A10" s="1314"/>
      <c r="B10" s="1130"/>
      <c r="C10" s="1131" t="s">
        <v>917</v>
      </c>
      <c r="D10" s="1138">
        <v>512.70000000000005</v>
      </c>
      <c r="E10" s="1139">
        <v>475.9</v>
      </c>
      <c r="F10" s="1138">
        <v>460.1</v>
      </c>
      <c r="G10" s="1139">
        <v>763.9</v>
      </c>
      <c r="H10" s="1138">
        <v>1583.757816</v>
      </c>
      <c r="I10" s="1139">
        <v>2353.3000000000002</v>
      </c>
      <c r="J10" s="1140">
        <v>0.48589637646972172</v>
      </c>
      <c r="K10" s="1141">
        <v>0.35632196645749281</v>
      </c>
      <c r="L10" s="1138">
        <v>2395.5</v>
      </c>
      <c r="M10" s="1142">
        <v>2430</v>
      </c>
      <c r="N10" s="1143">
        <v>2470</v>
      </c>
    </row>
    <row r="11" spans="1:14" ht="14" thickBot="1">
      <c r="A11" s="1314"/>
      <c r="B11" s="1130"/>
      <c r="C11" s="1130"/>
      <c r="D11" s="1144"/>
      <c r="E11" s="1145"/>
      <c r="F11" s="1144"/>
      <c r="G11" s="1145"/>
      <c r="H11" s="1144"/>
      <c r="I11" s="1145"/>
      <c r="J11" s="1146"/>
      <c r="K11" s="1147"/>
      <c r="L11" s="1148"/>
      <c r="M11" s="1149"/>
      <c r="N11" s="1148"/>
    </row>
    <row r="12" spans="1:14" ht="14" thickBot="1">
      <c r="A12" s="1314"/>
      <c r="B12" s="1150" t="s">
        <v>1505</v>
      </c>
      <c r="C12" s="1130"/>
      <c r="D12" s="1151">
        <v>72.599999999999739</v>
      </c>
      <c r="E12" s="1152">
        <v>80.999999999998636</v>
      </c>
      <c r="F12" s="1151">
        <v>106.80000000000098</v>
      </c>
      <c r="G12" s="1152">
        <v>50.400000000001</v>
      </c>
      <c r="H12" s="1151">
        <v>32.676882000000205</v>
      </c>
      <c r="I12" s="1152">
        <v>42.130000000000337</v>
      </c>
      <c r="J12" s="1153">
        <v>0.28929069793134099</v>
      </c>
      <c r="K12" s="1154">
        <v>-0.10312696337723826</v>
      </c>
      <c r="L12" s="1155">
        <v>44.540917500001115</v>
      </c>
      <c r="M12" s="1156">
        <v>46.255340000000615</v>
      </c>
      <c r="N12" s="1155">
        <v>48.292100000002392</v>
      </c>
    </row>
    <row r="13" spans="1:14" ht="14" thickBot="1">
      <c r="A13" s="1314"/>
      <c r="B13" s="1150"/>
      <c r="C13" s="1131" t="s">
        <v>918</v>
      </c>
      <c r="D13" s="1157">
        <v>20.5</v>
      </c>
      <c r="E13" s="1158">
        <v>18.599999999998545</v>
      </c>
      <c r="F13" s="1157">
        <v>22.800000000001091</v>
      </c>
      <c r="G13" s="1158">
        <v>20.800000000001091</v>
      </c>
      <c r="H13" s="1157">
        <v>19.591000000000349</v>
      </c>
      <c r="I13" s="1158">
        <v>30.430000000000291</v>
      </c>
      <c r="J13" s="1159">
        <v>0.55326425399416812</v>
      </c>
      <c r="K13" s="1160">
        <v>8.2205204665553699E-2</v>
      </c>
      <c r="L13" s="1161">
        <v>34.584817500001009</v>
      </c>
      <c r="M13" s="1162">
        <v>36.455340000000433</v>
      </c>
      <c r="N13" s="1161">
        <v>38.702100000002247</v>
      </c>
    </row>
    <row r="14" spans="1:14" ht="14" thickBot="1">
      <c r="A14" s="1314"/>
      <c r="B14" s="1150"/>
      <c r="C14" s="1131" t="s">
        <v>752</v>
      </c>
      <c r="D14" s="1157">
        <v>134.19999999999999</v>
      </c>
      <c r="E14" s="1158">
        <v>62.400000000000091</v>
      </c>
      <c r="F14" s="1157">
        <v>84.099999999999909</v>
      </c>
      <c r="G14" s="1158">
        <v>29.599999999999909</v>
      </c>
      <c r="H14" s="1157">
        <v>13.043697999999949</v>
      </c>
      <c r="I14" s="1158">
        <v>11.7</v>
      </c>
      <c r="J14" s="1159">
        <v>-0.10301511120541962</v>
      </c>
      <c r="K14" s="1160">
        <v>-0.3861154983225894</v>
      </c>
      <c r="L14" s="1161">
        <v>9.9561000000001059</v>
      </c>
      <c r="M14" s="1162">
        <v>9.8000000000001819</v>
      </c>
      <c r="N14" s="1161">
        <v>9.5900000000001455</v>
      </c>
    </row>
    <row r="15" spans="1:14" ht="14" thickBot="1">
      <c r="A15" s="1314"/>
      <c r="B15" s="1150"/>
      <c r="C15" s="1131" t="s">
        <v>919</v>
      </c>
      <c r="D15" s="1157">
        <v>-82.10000000000008</v>
      </c>
      <c r="E15" s="1158">
        <v>0</v>
      </c>
      <c r="F15" s="1157">
        <v>-0.10000000000002274</v>
      </c>
      <c r="G15" s="1158">
        <v>0</v>
      </c>
      <c r="H15" s="1157">
        <v>4.2183999999906518E-2</v>
      </c>
      <c r="I15" s="1158">
        <v>0</v>
      </c>
      <c r="J15" s="1163" t="s">
        <v>490</v>
      </c>
      <c r="K15" s="1164">
        <v>-1</v>
      </c>
      <c r="L15" s="1161">
        <v>0</v>
      </c>
      <c r="M15" s="1162">
        <v>0</v>
      </c>
      <c r="N15" s="1161">
        <v>0</v>
      </c>
    </row>
    <row r="16" spans="1:14" ht="14" thickBot="1">
      <c r="A16" s="1165"/>
      <c r="B16" s="1130"/>
      <c r="C16" s="1130"/>
      <c r="D16" s="1144"/>
      <c r="E16" s="1145"/>
      <c r="F16" s="1144"/>
      <c r="G16" s="1145"/>
      <c r="H16" s="1144"/>
      <c r="I16" s="1145"/>
      <c r="J16" s="1146"/>
      <c r="K16" s="1147"/>
      <c r="L16" s="1148"/>
      <c r="M16" s="1149"/>
      <c r="N16" s="1148"/>
    </row>
    <row r="17" spans="1:14" ht="14" thickBot="1">
      <c r="A17" s="1165"/>
      <c r="B17" s="1150" t="s">
        <v>1506</v>
      </c>
      <c r="C17" s="1130"/>
      <c r="D17" s="1151">
        <v>15175.4</v>
      </c>
      <c r="E17" s="1152">
        <v>15205.7</v>
      </c>
      <c r="F17" s="1151">
        <v>15793.3</v>
      </c>
      <c r="G17" s="1152">
        <v>16032</v>
      </c>
      <c r="H17" s="1151">
        <v>17005.8</v>
      </c>
      <c r="I17" s="1152">
        <v>17958.400000000001</v>
      </c>
      <c r="J17" s="1153">
        <v>5.6016182714133E-2</v>
      </c>
      <c r="K17" s="1154">
        <v>3.4249926466375369E-2</v>
      </c>
      <c r="L17" s="1155">
        <v>18455.090917499998</v>
      </c>
      <c r="M17" s="1156">
        <v>19258.25534</v>
      </c>
      <c r="N17" s="1155">
        <v>20218.292100000002</v>
      </c>
    </row>
    <row r="18" spans="1:14" ht="14" thickBot="1">
      <c r="A18" s="1165"/>
      <c r="B18" s="1130"/>
      <c r="C18" s="1131" t="s">
        <v>738</v>
      </c>
      <c r="D18" s="1166">
        <v>10801</v>
      </c>
      <c r="E18" s="1167">
        <v>11379.1</v>
      </c>
      <c r="F18" s="1166">
        <v>11949.7</v>
      </c>
      <c r="G18" s="1167">
        <v>12451.4</v>
      </c>
      <c r="H18" s="1166">
        <v>13209.9</v>
      </c>
      <c r="I18" s="1167">
        <v>14016.7</v>
      </c>
      <c r="J18" s="1163">
        <v>6.1075405567036833E-2</v>
      </c>
      <c r="K18" s="1164">
        <v>5.3504420942472875E-2</v>
      </c>
      <c r="L18" s="1168">
        <v>14627.334817500001</v>
      </c>
      <c r="M18" s="1169">
        <v>15418.45534</v>
      </c>
      <c r="N18" s="1168">
        <v>16368.702100000002</v>
      </c>
    </row>
    <row r="19" spans="1:14" ht="14" thickBot="1">
      <c r="A19" s="1165"/>
      <c r="B19" s="1130"/>
      <c r="C19" s="1131" t="s">
        <v>752</v>
      </c>
      <c r="D19" s="1166">
        <v>3943.8</v>
      </c>
      <c r="E19" s="1167">
        <v>3350.7</v>
      </c>
      <c r="F19" s="1166">
        <v>3383.6</v>
      </c>
      <c r="G19" s="1167">
        <v>2816.7</v>
      </c>
      <c r="H19" s="1166">
        <v>2212.1</v>
      </c>
      <c r="I19" s="1167">
        <v>1588.4</v>
      </c>
      <c r="J19" s="1163">
        <v>-0.28194927896568867</v>
      </c>
      <c r="K19" s="1164">
        <v>-0.16630154024476118</v>
      </c>
      <c r="L19" s="1168">
        <v>1432.2561000000001</v>
      </c>
      <c r="M19" s="1169">
        <v>1409.8</v>
      </c>
      <c r="N19" s="1168">
        <v>1379.59</v>
      </c>
    </row>
    <row r="20" spans="1:14" ht="14" thickBot="1">
      <c r="A20" s="1165"/>
      <c r="B20" s="1130"/>
      <c r="C20" s="1131" t="s">
        <v>917</v>
      </c>
      <c r="D20" s="1166">
        <v>430.6</v>
      </c>
      <c r="E20" s="1167">
        <v>475.9</v>
      </c>
      <c r="F20" s="1166">
        <v>460</v>
      </c>
      <c r="G20" s="1167">
        <v>763.9</v>
      </c>
      <c r="H20" s="1166">
        <v>1583.8</v>
      </c>
      <c r="I20" s="1167">
        <v>2353.3000000000002</v>
      </c>
      <c r="J20" s="1163">
        <v>0.48585680010102306</v>
      </c>
      <c r="K20" s="1164">
        <v>0.40449647602174243</v>
      </c>
      <c r="L20" s="1168">
        <v>2395.5</v>
      </c>
      <c r="M20" s="1169">
        <v>2430</v>
      </c>
      <c r="N20" s="1168">
        <v>2470</v>
      </c>
    </row>
    <row r="21" spans="1:14" ht="14" thickBot="1">
      <c r="A21" s="1165"/>
      <c r="B21" s="1130"/>
      <c r="C21" s="1130"/>
      <c r="D21" s="1144"/>
      <c r="E21" s="1145"/>
      <c r="F21" s="1144"/>
      <c r="G21" s="1145"/>
      <c r="H21" s="1144"/>
      <c r="I21" s="1145"/>
      <c r="J21" s="1146"/>
      <c r="K21" s="1147"/>
      <c r="L21" s="1148"/>
      <c r="M21" s="1149"/>
      <c r="N21" s="1148"/>
    </row>
    <row r="22" spans="1:14" ht="14" thickBot="1">
      <c r="A22" s="1165"/>
      <c r="B22" s="1150" t="s">
        <v>920</v>
      </c>
      <c r="C22" s="1130"/>
      <c r="D22" s="1151">
        <v>1460.8</v>
      </c>
      <c r="E22" s="1152">
        <v>1518</v>
      </c>
      <c r="F22" s="1151">
        <v>1595.6</v>
      </c>
      <c r="G22" s="1152">
        <v>1582.1</v>
      </c>
      <c r="H22" s="1151">
        <v>1600</v>
      </c>
      <c r="I22" s="1152">
        <v>1628.2</v>
      </c>
      <c r="J22" s="1153">
        <v>1.7625000000000002E-2</v>
      </c>
      <c r="K22" s="1154">
        <v>2.193529317655285E-2</v>
      </c>
      <c r="L22" s="1155">
        <v>1642.7091</v>
      </c>
      <c r="M22" s="1156">
        <v>1694.4839999999999</v>
      </c>
      <c r="N22" s="1155">
        <v>1755.8</v>
      </c>
    </row>
    <row r="23" spans="1:14" ht="14" thickBot="1">
      <c r="A23" s="1165"/>
      <c r="B23" s="1150"/>
      <c r="C23" s="1131" t="s">
        <v>738</v>
      </c>
      <c r="D23" s="1170">
        <v>938.7</v>
      </c>
      <c r="E23" s="1171">
        <v>881.2</v>
      </c>
      <c r="F23" s="1170">
        <v>849</v>
      </c>
      <c r="G23" s="1171">
        <v>830.8</v>
      </c>
      <c r="H23" s="1170">
        <v>849.2</v>
      </c>
      <c r="I23" s="1171">
        <v>870</v>
      </c>
      <c r="J23" s="1172">
        <v>2.44936410739518E-2</v>
      </c>
      <c r="K23" s="1173">
        <v>-1.5085600393161203E-2</v>
      </c>
      <c r="L23" s="1174">
        <v>904.75049999999999</v>
      </c>
      <c r="M23" s="1175">
        <v>953.68399999999997</v>
      </c>
      <c r="N23" s="1174">
        <v>1012.46</v>
      </c>
    </row>
    <row r="24" spans="1:14" ht="14" thickBot="1">
      <c r="A24" s="1165"/>
      <c r="B24" s="1150"/>
      <c r="C24" s="1131" t="s">
        <v>752</v>
      </c>
      <c r="D24" s="1170">
        <v>431.4</v>
      </c>
      <c r="E24" s="1171">
        <v>541.6</v>
      </c>
      <c r="F24" s="1170">
        <v>654.6</v>
      </c>
      <c r="G24" s="1171">
        <v>598.5</v>
      </c>
      <c r="H24" s="1170">
        <v>434</v>
      </c>
      <c r="I24" s="1171">
        <v>287.5</v>
      </c>
      <c r="J24" s="1172">
        <v>-0.3375576036866359</v>
      </c>
      <c r="K24" s="1173">
        <v>-7.7956221771882106E-2</v>
      </c>
      <c r="L24" s="1174">
        <v>258.85859999999997</v>
      </c>
      <c r="M24" s="1175">
        <v>254.8</v>
      </c>
      <c r="N24" s="1174">
        <v>249.34</v>
      </c>
    </row>
    <row r="25" spans="1:14" ht="14" thickBot="1">
      <c r="A25" s="1165"/>
      <c r="B25" s="1150"/>
      <c r="C25" s="1131" t="s">
        <v>921</v>
      </c>
      <c r="D25" s="1170">
        <v>90.7</v>
      </c>
      <c r="E25" s="1171">
        <v>95.2</v>
      </c>
      <c r="F25" s="1170">
        <v>92</v>
      </c>
      <c r="G25" s="1171">
        <v>152.80000000000001</v>
      </c>
      <c r="H25" s="1170">
        <v>316.8</v>
      </c>
      <c r="I25" s="1171">
        <v>470.7</v>
      </c>
      <c r="J25" s="1172">
        <v>0.48579545454545436</v>
      </c>
      <c r="K25" s="1173">
        <v>0.39004027043263201</v>
      </c>
      <c r="L25" s="1174">
        <v>479.1</v>
      </c>
      <c r="M25" s="1175">
        <v>486</v>
      </c>
      <c r="N25" s="1174">
        <v>494</v>
      </c>
    </row>
    <row r="26" spans="1:14" ht="14" thickBot="1">
      <c r="A26" s="1165"/>
      <c r="B26" s="1130"/>
      <c r="C26" s="1130"/>
      <c r="D26" s="1176"/>
      <c r="E26" s="1130"/>
      <c r="F26" s="1176"/>
      <c r="G26" s="1130"/>
      <c r="H26" s="1176"/>
      <c r="I26" s="1130"/>
      <c r="J26" s="1146"/>
      <c r="K26" s="1147"/>
      <c r="L26" s="1148"/>
      <c r="M26" s="1149"/>
      <c r="N26" s="1148"/>
    </row>
    <row r="27" spans="1:14" ht="14" thickBot="1">
      <c r="A27" s="1165"/>
      <c r="B27" s="1177" t="s">
        <v>922</v>
      </c>
      <c r="C27" s="1150"/>
      <c r="D27" s="1151">
        <v>16636.2</v>
      </c>
      <c r="E27" s="1152">
        <v>16723.7</v>
      </c>
      <c r="F27" s="1151">
        <v>17388.900000000001</v>
      </c>
      <c r="G27" s="1152">
        <v>17614.099999999999</v>
      </c>
      <c r="H27" s="1151">
        <v>18605.8</v>
      </c>
      <c r="I27" s="1152">
        <v>19586.599999999999</v>
      </c>
      <c r="J27" s="1153">
        <v>5.271474486450467E-2</v>
      </c>
      <c r="K27" s="1154">
        <v>3.3191879871125485E-2</v>
      </c>
      <c r="L27" s="1155">
        <v>20097.800017499998</v>
      </c>
      <c r="M27" s="1156">
        <v>20952.73934</v>
      </c>
      <c r="N27" s="1155">
        <v>21974.092100000002</v>
      </c>
    </row>
    <row r="28" spans="1:14" ht="14" thickBot="1">
      <c r="A28" s="1165"/>
      <c r="B28" s="1130"/>
      <c r="C28" s="1131" t="s">
        <v>738</v>
      </c>
      <c r="D28" s="1178">
        <v>11739.7</v>
      </c>
      <c r="E28" s="1179">
        <v>12260.3</v>
      </c>
      <c r="F28" s="1178">
        <v>12798.7</v>
      </c>
      <c r="G28" s="1179">
        <v>13282.2</v>
      </c>
      <c r="H28" s="1178">
        <v>14059.1</v>
      </c>
      <c r="I28" s="1179">
        <v>14886.7</v>
      </c>
      <c r="J28" s="1180">
        <v>5.8865787994964114E-2</v>
      </c>
      <c r="K28" s="1181">
        <v>4.8644509964797633E-2</v>
      </c>
      <c r="L28" s="1182">
        <v>15532.085317500001</v>
      </c>
      <c r="M28" s="1183">
        <v>16372.13934</v>
      </c>
      <c r="N28" s="1182">
        <v>17381.162100000001</v>
      </c>
    </row>
    <row r="29" spans="1:14" ht="14" thickBot="1">
      <c r="A29" s="1165"/>
      <c r="B29" s="1130"/>
      <c r="C29" s="1131" t="s">
        <v>752</v>
      </c>
      <c r="D29" s="1178">
        <v>4375.2</v>
      </c>
      <c r="E29" s="1179">
        <v>3892.3</v>
      </c>
      <c r="F29" s="1178">
        <v>4038.2</v>
      </c>
      <c r="G29" s="1179">
        <v>3415.2</v>
      </c>
      <c r="H29" s="1178">
        <v>2646.1</v>
      </c>
      <c r="I29" s="1179">
        <v>1875.9</v>
      </c>
      <c r="J29" s="1180">
        <v>-0.29106987642190385</v>
      </c>
      <c r="K29" s="1181">
        <v>-0.1558058183114539</v>
      </c>
      <c r="L29" s="1182">
        <v>1691.1147000000001</v>
      </c>
      <c r="M29" s="1183">
        <v>1664.6</v>
      </c>
      <c r="N29" s="1182">
        <v>1628.93</v>
      </c>
    </row>
    <row r="30" spans="1:14" ht="14" thickBot="1">
      <c r="A30" s="1165"/>
      <c r="B30" s="1130"/>
      <c r="C30" s="1131" t="s">
        <v>917</v>
      </c>
      <c r="D30" s="1178">
        <v>521.29999999999995</v>
      </c>
      <c r="E30" s="1179">
        <v>571.1</v>
      </c>
      <c r="F30" s="1178">
        <v>552</v>
      </c>
      <c r="G30" s="1179">
        <v>916.7</v>
      </c>
      <c r="H30" s="1178">
        <v>1900.6</v>
      </c>
      <c r="I30" s="1179">
        <v>2824</v>
      </c>
      <c r="J30" s="1180">
        <v>0.48584657476586357</v>
      </c>
      <c r="K30" s="1181">
        <v>0.40202382404551096</v>
      </c>
      <c r="L30" s="1182">
        <v>2874.6</v>
      </c>
      <c r="M30" s="1183">
        <v>2916</v>
      </c>
      <c r="N30" s="1182">
        <v>2964</v>
      </c>
    </row>
    <row r="31" spans="1:14" ht="14" thickBot="1">
      <c r="A31" s="1165"/>
      <c r="B31" s="1130"/>
      <c r="C31" s="1131"/>
      <c r="D31" s="1184"/>
      <c r="E31" s="1185"/>
      <c r="F31" s="1184"/>
      <c r="G31" s="1185"/>
      <c r="H31" s="1184"/>
      <c r="I31" s="1185"/>
      <c r="J31" s="1186"/>
      <c r="K31" s="1187"/>
      <c r="L31" s="1188"/>
      <c r="M31" s="1189"/>
      <c r="N31" s="1188"/>
    </row>
    <row r="32" spans="1:14" ht="14" thickBot="1">
      <c r="A32" s="1165"/>
      <c r="B32" s="1150" t="s">
        <v>923</v>
      </c>
      <c r="C32" s="1130"/>
      <c r="D32" s="1190">
        <v>1770.8</v>
      </c>
      <c r="E32" s="1191">
        <v>1884.4</v>
      </c>
      <c r="F32" s="1190">
        <v>2155</v>
      </c>
      <c r="G32" s="1191">
        <v>2249.6</v>
      </c>
      <c r="H32" s="1190">
        <v>2343.1</v>
      </c>
      <c r="I32" s="1191">
        <v>2428.2489999999998</v>
      </c>
      <c r="J32" s="1192">
        <v>3.6340318381631098E-2</v>
      </c>
      <c r="K32" s="1193">
        <v>6.5184261747271544E-2</v>
      </c>
      <c r="L32" s="1190">
        <v>2541</v>
      </c>
      <c r="M32" s="1194">
        <v>2704.17</v>
      </c>
      <c r="N32" s="1195">
        <v>3082.17</v>
      </c>
    </row>
    <row r="33" spans="1:14" ht="14" thickBot="1">
      <c r="A33" s="1165"/>
      <c r="B33" s="1130"/>
      <c r="C33" s="1131" t="s">
        <v>738</v>
      </c>
      <c r="D33" s="1196">
        <v>1678.5</v>
      </c>
      <c r="E33" s="1197">
        <v>1778</v>
      </c>
      <c r="F33" s="1196">
        <v>2097.1999999999998</v>
      </c>
      <c r="G33" s="1197">
        <v>2189.9</v>
      </c>
      <c r="H33" s="1196">
        <v>2288</v>
      </c>
      <c r="I33" s="1197">
        <v>2400.1889999999999</v>
      </c>
      <c r="J33" s="1198">
        <v>4.9033653846153769E-2</v>
      </c>
      <c r="K33" s="1199">
        <v>7.4149718813501408E-2</v>
      </c>
      <c r="L33" s="1196">
        <v>2502.83</v>
      </c>
      <c r="M33" s="1200">
        <v>2666</v>
      </c>
      <c r="N33" s="1201">
        <v>3044</v>
      </c>
    </row>
    <row r="34" spans="1:14" ht="14" thickBot="1">
      <c r="A34" s="1165"/>
      <c r="B34" s="1130"/>
      <c r="C34" s="1131" t="s">
        <v>752</v>
      </c>
      <c r="D34" s="1196">
        <v>92.3</v>
      </c>
      <c r="E34" s="1197">
        <v>106.4</v>
      </c>
      <c r="F34" s="1196">
        <v>57.8</v>
      </c>
      <c r="G34" s="1197">
        <v>59.7</v>
      </c>
      <c r="H34" s="1196">
        <v>55.1</v>
      </c>
      <c r="I34" s="1197">
        <v>28.06</v>
      </c>
      <c r="J34" s="1198">
        <v>-0.49074410163339388</v>
      </c>
      <c r="K34" s="1199">
        <v>-0.21190750247482326</v>
      </c>
      <c r="L34" s="1196">
        <v>38.17</v>
      </c>
      <c r="M34" s="1200">
        <v>38.17</v>
      </c>
      <c r="N34" s="1201">
        <v>38.17</v>
      </c>
    </row>
    <row r="35" spans="1:14" ht="14" thickBot="1">
      <c r="A35" s="1165"/>
      <c r="B35" s="1130"/>
      <c r="C35" s="1131" t="s">
        <v>917</v>
      </c>
      <c r="D35" s="1196">
        <v>0</v>
      </c>
      <c r="E35" s="1197">
        <v>0</v>
      </c>
      <c r="F35" s="1196">
        <v>0</v>
      </c>
      <c r="G35" s="1197">
        <v>0</v>
      </c>
      <c r="H35" s="1196">
        <v>0</v>
      </c>
      <c r="I35" s="1197">
        <v>0</v>
      </c>
      <c r="J35" s="1198" t="s">
        <v>490</v>
      </c>
      <c r="K35" s="1199" t="s">
        <v>490</v>
      </c>
      <c r="L35" s="1196">
        <v>0</v>
      </c>
      <c r="M35" s="1200">
        <v>0</v>
      </c>
      <c r="N35" s="1201">
        <v>0</v>
      </c>
    </row>
    <row r="36" spans="1:14" ht="14" thickBot="1">
      <c r="A36" s="1165"/>
      <c r="B36" s="1130"/>
      <c r="C36" s="1131"/>
      <c r="D36" s="1184"/>
      <c r="E36" s="1185"/>
      <c r="F36" s="1184"/>
      <c r="G36" s="1185"/>
      <c r="H36" s="1184"/>
      <c r="I36" s="1185"/>
      <c r="J36" s="1186"/>
      <c r="K36" s="1187"/>
      <c r="L36" s="1188"/>
      <c r="M36" s="1189"/>
      <c r="N36" s="1188"/>
    </row>
    <row r="37" spans="1:14" ht="14" thickBot="1">
      <c r="A37" s="1165"/>
      <c r="B37" s="1177" t="s">
        <v>924</v>
      </c>
      <c r="C37" s="1130"/>
      <c r="D37" s="1202">
        <v>18407</v>
      </c>
      <c r="E37" s="1203">
        <v>18608.099999999999</v>
      </c>
      <c r="F37" s="1202">
        <v>19543.900000000001</v>
      </c>
      <c r="G37" s="1203">
        <v>19863.7</v>
      </c>
      <c r="H37" s="1202">
        <v>20948.900000000001</v>
      </c>
      <c r="I37" s="1203">
        <v>22014.849000000002</v>
      </c>
      <c r="J37" s="1204">
        <v>5.0883292201500119E-2</v>
      </c>
      <c r="K37" s="1205">
        <v>3.6445665752787848E-2</v>
      </c>
      <c r="L37" s="1206">
        <v>22638.800017499998</v>
      </c>
      <c r="M37" s="1207">
        <v>23656.909339999998</v>
      </c>
      <c r="N37" s="1206">
        <v>24317.1921</v>
      </c>
    </row>
    <row r="38" spans="1:14" ht="14" thickBot="1">
      <c r="A38" s="1165"/>
      <c r="B38" s="1130"/>
      <c r="C38" s="1131" t="s">
        <v>738</v>
      </c>
      <c r="D38" s="1208">
        <v>13418.2</v>
      </c>
      <c r="E38" s="1209">
        <v>14038.3</v>
      </c>
      <c r="F38" s="1208">
        <v>14895.9</v>
      </c>
      <c r="G38" s="1209">
        <v>15472.1</v>
      </c>
      <c r="H38" s="1208">
        <v>16347.1</v>
      </c>
      <c r="I38" s="1209">
        <v>17286.888999999999</v>
      </c>
      <c r="J38" s="1210">
        <v>5.748964648163879E-2</v>
      </c>
      <c r="K38" s="1211">
        <v>5.1972813925940331E-2</v>
      </c>
      <c r="L38" s="1212">
        <v>18034.915317500003</v>
      </c>
      <c r="M38" s="1213">
        <v>19038.139340000002</v>
      </c>
      <c r="N38" s="1212">
        <v>20425.162100000001</v>
      </c>
    </row>
    <row r="39" spans="1:14" ht="14" thickBot="1">
      <c r="A39" s="1165"/>
      <c r="B39" s="1130"/>
      <c r="C39" s="1131" t="s">
        <v>752</v>
      </c>
      <c r="D39" s="1208">
        <v>4467.5</v>
      </c>
      <c r="E39" s="1209">
        <v>3998.7</v>
      </c>
      <c r="F39" s="1208">
        <v>4096</v>
      </c>
      <c r="G39" s="1209">
        <v>3474.9</v>
      </c>
      <c r="H39" s="1208">
        <v>2701.2</v>
      </c>
      <c r="I39" s="1209">
        <v>1903.96</v>
      </c>
      <c r="J39" s="1210">
        <v>-0.29514289945209526</v>
      </c>
      <c r="K39" s="1211">
        <v>-0.15682319347060836</v>
      </c>
      <c r="L39" s="1212">
        <v>1729.2847000000002</v>
      </c>
      <c r="M39" s="1213">
        <v>1702.77</v>
      </c>
      <c r="N39" s="1212">
        <v>1667.1</v>
      </c>
    </row>
    <row r="40" spans="1:14">
      <c r="A40" s="1165"/>
      <c r="B40" s="1214"/>
      <c r="C40" s="1215" t="s">
        <v>917</v>
      </c>
      <c r="D40" s="1216">
        <v>521.29999999999995</v>
      </c>
      <c r="E40" s="1217">
        <v>571.1</v>
      </c>
      <c r="F40" s="1216">
        <v>552</v>
      </c>
      <c r="G40" s="1217">
        <v>916.7</v>
      </c>
      <c r="H40" s="1216">
        <v>1900.6</v>
      </c>
      <c r="I40" s="1217">
        <v>2824</v>
      </c>
      <c r="J40" s="1218">
        <v>0.48584657476586357</v>
      </c>
      <c r="K40" s="1219">
        <v>0.40202382404551096</v>
      </c>
      <c r="L40" s="1220">
        <v>2874.6</v>
      </c>
      <c r="M40" s="1221">
        <v>2916</v>
      </c>
      <c r="N40" s="1220">
        <v>2964</v>
      </c>
    </row>
    <row r="41" spans="1:14">
      <c r="B41" s="1222"/>
      <c r="C41" s="1223"/>
      <c r="D41" s="1224"/>
      <c r="E41" s="1224"/>
      <c r="F41" s="1224"/>
      <c r="G41" s="1224"/>
      <c r="H41" s="1224"/>
      <c r="I41" s="1225"/>
      <c r="J41" s="1226"/>
      <c r="K41" s="1227"/>
      <c r="L41" s="1228"/>
      <c r="M41" s="1228"/>
      <c r="N41" s="1228"/>
    </row>
    <row r="42" spans="1:14">
      <c r="B42" s="1229"/>
      <c r="C42" s="1230"/>
      <c r="D42" s="1231"/>
      <c r="E42" s="1231"/>
      <c r="F42" s="1231"/>
      <c r="G42" s="1231"/>
      <c r="H42" s="1231"/>
      <c r="I42" s="1232"/>
      <c r="J42" s="1233"/>
      <c r="K42" s="1234"/>
      <c r="L42" s="1235"/>
      <c r="M42" s="1235"/>
      <c r="N42" s="1235"/>
    </row>
    <row r="43" spans="1:14" ht="13.5" customHeight="1" thickBot="1">
      <c r="A43" s="1315" t="s">
        <v>1350</v>
      </c>
      <c r="B43" s="1236" t="s">
        <v>925</v>
      </c>
      <c r="C43" s="1122"/>
      <c r="D43" s="1237">
        <v>16013.1</v>
      </c>
      <c r="E43" s="1238">
        <v>16937.3</v>
      </c>
      <c r="F43" s="1237">
        <v>17695.3</v>
      </c>
      <c r="G43" s="1238">
        <v>17814.400000000001</v>
      </c>
      <c r="H43" s="1237">
        <v>18506.971013000002</v>
      </c>
      <c r="I43" s="1238">
        <v>19132.22</v>
      </c>
      <c r="J43" s="1239">
        <v>3.3784512147384982E-2</v>
      </c>
      <c r="K43" s="1240">
        <v>3.6234363152614524E-2</v>
      </c>
      <c r="L43" s="1237">
        <v>20686.96</v>
      </c>
      <c r="M43" s="1241">
        <v>22236</v>
      </c>
      <c r="N43" s="1242">
        <v>23550</v>
      </c>
    </row>
    <row r="44" spans="1:14" ht="14" thickBot="1">
      <c r="A44" s="1316"/>
      <c r="B44" s="1130"/>
      <c r="C44" s="1131" t="s">
        <v>738</v>
      </c>
      <c r="D44" s="1196">
        <v>11035.2</v>
      </c>
      <c r="E44" s="1197">
        <v>11924.8</v>
      </c>
      <c r="F44" s="1196">
        <v>12604.2</v>
      </c>
      <c r="G44" s="1197">
        <v>12949.5</v>
      </c>
      <c r="H44" s="1196">
        <v>13346.689</v>
      </c>
      <c r="I44" s="1197">
        <v>13954.72</v>
      </c>
      <c r="J44" s="1198">
        <v>4.5556692000540355E-2</v>
      </c>
      <c r="K44" s="1199">
        <v>4.8064917038892707E-2</v>
      </c>
      <c r="L44" s="1196">
        <v>15296.16</v>
      </c>
      <c r="M44" s="1200">
        <v>16766</v>
      </c>
      <c r="N44" s="1201">
        <v>18000</v>
      </c>
    </row>
    <row r="45" spans="1:14" ht="14" thickBot="1">
      <c r="A45" s="1316"/>
      <c r="B45" s="1130"/>
      <c r="C45" s="1131" t="s">
        <v>752</v>
      </c>
      <c r="D45" s="1196">
        <v>4337.5</v>
      </c>
      <c r="E45" s="1197">
        <v>4410.6000000000004</v>
      </c>
      <c r="F45" s="1196">
        <v>4453.3</v>
      </c>
      <c r="G45" s="1197">
        <v>3766.7</v>
      </c>
      <c r="H45" s="1196">
        <v>2917.3519609999998</v>
      </c>
      <c r="I45" s="1197">
        <v>1987</v>
      </c>
      <c r="J45" s="1198">
        <v>-0.31890288639739484</v>
      </c>
      <c r="K45" s="1199">
        <v>-0.14455582014478296</v>
      </c>
      <c r="L45" s="1196">
        <v>1958.4</v>
      </c>
      <c r="M45" s="1200">
        <v>1920</v>
      </c>
      <c r="N45" s="1201">
        <v>1880</v>
      </c>
    </row>
    <row r="46" spans="1:14" ht="14" thickBot="1">
      <c r="A46" s="1316"/>
      <c r="B46" s="1130"/>
      <c r="C46" s="1131" t="s">
        <v>917</v>
      </c>
      <c r="D46" s="1196">
        <v>640.4</v>
      </c>
      <c r="E46" s="1197">
        <v>601.9</v>
      </c>
      <c r="F46" s="1196">
        <v>637.79999999999995</v>
      </c>
      <c r="G46" s="1197">
        <v>1098.2</v>
      </c>
      <c r="H46" s="1196">
        <v>2242.9300519999997</v>
      </c>
      <c r="I46" s="1197">
        <v>3190.5</v>
      </c>
      <c r="J46" s="1198">
        <v>0.4224696829734218</v>
      </c>
      <c r="K46" s="1199">
        <v>0.37873717334379853</v>
      </c>
      <c r="L46" s="1196">
        <v>3432.4</v>
      </c>
      <c r="M46" s="1200">
        <v>3550</v>
      </c>
      <c r="N46" s="1201">
        <v>3670</v>
      </c>
    </row>
    <row r="47" spans="1:14" ht="14" thickBot="1">
      <c r="A47" s="1316"/>
      <c r="B47" s="1130"/>
      <c r="C47" s="1131"/>
      <c r="D47" s="1196"/>
      <c r="E47" s="1197"/>
      <c r="F47" s="1196"/>
      <c r="G47" s="1197"/>
      <c r="H47" s="1196"/>
      <c r="I47" s="1197"/>
      <c r="J47" s="1198"/>
      <c r="K47" s="1199"/>
      <c r="L47" s="1243"/>
      <c r="M47" s="1200"/>
      <c r="N47" s="1201"/>
    </row>
    <row r="48" spans="1:14" ht="14" thickBot="1">
      <c r="A48" s="1316"/>
      <c r="B48" s="1177" t="s">
        <v>923</v>
      </c>
      <c r="C48" s="1130"/>
      <c r="D48" s="1190">
        <v>1770.8</v>
      </c>
      <c r="E48" s="1191">
        <v>1884.4</v>
      </c>
      <c r="F48" s="1190">
        <v>2155</v>
      </c>
      <c r="G48" s="1191">
        <v>2249.6</v>
      </c>
      <c r="H48" s="1190">
        <v>2343.1</v>
      </c>
      <c r="I48" s="1191">
        <v>2428.2489999999998</v>
      </c>
      <c r="J48" s="1192">
        <v>3.6340318381631098E-2</v>
      </c>
      <c r="K48" s="1193">
        <v>6.5184261747271544E-2</v>
      </c>
      <c r="L48" s="1190">
        <v>2541</v>
      </c>
      <c r="M48" s="1194">
        <v>2704.17</v>
      </c>
      <c r="N48" s="1195">
        <v>2343.1</v>
      </c>
    </row>
    <row r="49" spans="1:14" ht="14" thickBot="1">
      <c r="A49" s="1316"/>
      <c r="B49" s="1130"/>
      <c r="C49" s="1131" t="s">
        <v>738</v>
      </c>
      <c r="D49" s="1196">
        <v>1678.5</v>
      </c>
      <c r="E49" s="1197">
        <v>1778</v>
      </c>
      <c r="F49" s="1196">
        <v>2097.1999999999998</v>
      </c>
      <c r="G49" s="1197">
        <v>2189.9</v>
      </c>
      <c r="H49" s="1196">
        <v>2288</v>
      </c>
      <c r="I49" s="1197">
        <v>2400.1889999999999</v>
      </c>
      <c r="J49" s="1198">
        <v>4.9033653846153769E-2</v>
      </c>
      <c r="K49" s="1199">
        <v>7.4149718813501408E-2</v>
      </c>
      <c r="L49" s="1196">
        <v>2502.83</v>
      </c>
      <c r="M49" s="1200">
        <v>2666</v>
      </c>
      <c r="N49" s="1201">
        <v>3044</v>
      </c>
    </row>
    <row r="50" spans="1:14" ht="14" thickBot="1">
      <c r="A50" s="1316"/>
      <c r="B50" s="1130"/>
      <c r="C50" s="1131" t="s">
        <v>752</v>
      </c>
      <c r="D50" s="1196">
        <v>92.3</v>
      </c>
      <c r="E50" s="1197">
        <v>106.4</v>
      </c>
      <c r="F50" s="1196">
        <v>57.8</v>
      </c>
      <c r="G50" s="1197">
        <v>59.7</v>
      </c>
      <c r="H50" s="1196">
        <v>55.1</v>
      </c>
      <c r="I50" s="1197">
        <v>28.06</v>
      </c>
      <c r="J50" s="1198">
        <v>-0.49074410163339388</v>
      </c>
      <c r="K50" s="1199">
        <v>-0.21190750247482326</v>
      </c>
      <c r="L50" s="1196">
        <v>38.17</v>
      </c>
      <c r="M50" s="1200">
        <v>38.17</v>
      </c>
      <c r="N50" s="1201">
        <v>38.17</v>
      </c>
    </row>
    <row r="51" spans="1:14" ht="14" thickBot="1">
      <c r="A51" s="1316"/>
      <c r="B51" s="1130"/>
      <c r="C51" s="1131" t="s">
        <v>917</v>
      </c>
      <c r="D51" s="1196">
        <v>0</v>
      </c>
      <c r="E51" s="1197">
        <v>0</v>
      </c>
      <c r="F51" s="1196">
        <v>0</v>
      </c>
      <c r="G51" s="1197">
        <v>0</v>
      </c>
      <c r="H51" s="1196">
        <v>0</v>
      </c>
      <c r="I51" s="1197">
        <v>0</v>
      </c>
      <c r="J51" s="1198" t="s">
        <v>490</v>
      </c>
      <c r="K51" s="1199" t="s">
        <v>490</v>
      </c>
      <c r="L51" s="1196">
        <v>0</v>
      </c>
      <c r="M51" s="1200">
        <v>0</v>
      </c>
      <c r="N51" s="1201">
        <v>0</v>
      </c>
    </row>
    <row r="52" spans="1:14" ht="14" thickBot="1">
      <c r="A52" s="1244"/>
      <c r="B52" s="1130"/>
      <c r="C52" s="1130"/>
      <c r="D52" s="1144"/>
      <c r="E52" s="1145"/>
      <c r="F52" s="1144"/>
      <c r="G52" s="1145"/>
      <c r="H52" s="1144"/>
      <c r="I52" s="1145"/>
      <c r="J52" s="1146"/>
      <c r="K52" s="1147"/>
      <c r="L52" s="1245"/>
      <c r="M52" s="1149"/>
      <c r="N52" s="1148"/>
    </row>
    <row r="53" spans="1:14" ht="14" thickBot="1">
      <c r="A53" s="1244"/>
      <c r="B53" s="1150" t="s">
        <v>1507</v>
      </c>
      <c r="C53" s="1130"/>
      <c r="D53" s="1202">
        <v>17783.900000000001</v>
      </c>
      <c r="E53" s="1203">
        <v>18821.7</v>
      </c>
      <c r="F53" s="1202">
        <v>19850.3</v>
      </c>
      <c r="G53" s="1203">
        <v>20064</v>
      </c>
      <c r="H53" s="1202">
        <v>20850.071013000001</v>
      </c>
      <c r="I53" s="1203">
        <v>21560.469000000001</v>
      </c>
      <c r="J53" s="1204">
        <v>3.4071729854400434E-2</v>
      </c>
      <c r="K53" s="1205">
        <v>3.9264850922877681E-2</v>
      </c>
      <c r="L53" s="1246">
        <v>23227.96</v>
      </c>
      <c r="M53" s="1207">
        <v>24940.17</v>
      </c>
      <c r="N53" s="1206">
        <v>25893.1</v>
      </c>
    </row>
    <row r="54" spans="1:14" ht="14" thickBot="1">
      <c r="A54" s="1244"/>
      <c r="B54" s="1130"/>
      <c r="C54" s="1131" t="s">
        <v>738</v>
      </c>
      <c r="D54" s="1208">
        <v>12713.7</v>
      </c>
      <c r="E54" s="1209">
        <v>13702.8</v>
      </c>
      <c r="F54" s="1208">
        <v>14701.4</v>
      </c>
      <c r="G54" s="1209">
        <v>15139.4</v>
      </c>
      <c r="H54" s="1208">
        <v>15634.689</v>
      </c>
      <c r="I54" s="1209">
        <v>16354.909</v>
      </c>
      <c r="J54" s="1210">
        <v>4.606551495843636E-2</v>
      </c>
      <c r="K54" s="1211">
        <v>5.1659706360462243E-2</v>
      </c>
      <c r="L54" s="1247">
        <v>17798.990000000002</v>
      </c>
      <c r="M54" s="1213">
        <v>19432</v>
      </c>
      <c r="N54" s="1212">
        <v>21044</v>
      </c>
    </row>
    <row r="55" spans="1:14" ht="14" thickBot="1">
      <c r="A55" s="1244"/>
      <c r="B55" s="1130"/>
      <c r="C55" s="1131" t="s">
        <v>752</v>
      </c>
      <c r="D55" s="1208">
        <v>4429.8</v>
      </c>
      <c r="E55" s="1209">
        <v>4517</v>
      </c>
      <c r="F55" s="1208">
        <v>4511.1000000000004</v>
      </c>
      <c r="G55" s="1209">
        <v>3826.4</v>
      </c>
      <c r="H55" s="1208">
        <v>2972.4519609999998</v>
      </c>
      <c r="I55" s="1209">
        <v>2015.06</v>
      </c>
      <c r="J55" s="1210">
        <v>-0.32208828723270988</v>
      </c>
      <c r="K55" s="1211">
        <v>-0.14575829041281141</v>
      </c>
      <c r="L55" s="1247">
        <v>1996.57</v>
      </c>
      <c r="M55" s="1213">
        <v>1958.17</v>
      </c>
      <c r="N55" s="1212">
        <v>1918.17</v>
      </c>
    </row>
    <row r="56" spans="1:14">
      <c r="A56" s="1244"/>
      <c r="B56" s="1214"/>
      <c r="C56" s="1215" t="s">
        <v>917</v>
      </c>
      <c r="D56" s="1216">
        <v>640.4</v>
      </c>
      <c r="E56" s="1217">
        <v>601.9</v>
      </c>
      <c r="F56" s="1216">
        <v>637.79999999999995</v>
      </c>
      <c r="G56" s="1217">
        <v>1098.2</v>
      </c>
      <c r="H56" s="1216">
        <v>2242.9300519999997</v>
      </c>
      <c r="I56" s="1217">
        <v>3190.5</v>
      </c>
      <c r="J56" s="1218">
        <v>0.4224696829734218</v>
      </c>
      <c r="K56" s="1219">
        <v>0.37873717334379853</v>
      </c>
      <c r="L56" s="1248">
        <v>3432.4</v>
      </c>
      <c r="M56" s="1221">
        <v>3550</v>
      </c>
      <c r="N56" s="1220">
        <v>3670</v>
      </c>
    </row>
    <row r="57" spans="1:14">
      <c r="A57" s="1249"/>
      <c r="B57" s="1222"/>
      <c r="C57" s="1223"/>
      <c r="D57" s="1225"/>
      <c r="E57" s="1225"/>
      <c r="F57" s="1225"/>
      <c r="G57" s="1225"/>
      <c r="H57" s="1225"/>
      <c r="I57" s="1225"/>
      <c r="J57" s="1226"/>
      <c r="K57" s="1226"/>
      <c r="L57" s="1250"/>
      <c r="M57" s="1250"/>
      <c r="N57" s="1250"/>
    </row>
    <row r="58" spans="1:14" ht="10.5" customHeight="1">
      <c r="B58" s="1229"/>
      <c r="C58" s="1229"/>
      <c r="D58" s="1251"/>
      <c r="E58" s="1251"/>
      <c r="F58" s="1251"/>
      <c r="G58" s="1251"/>
      <c r="H58" s="1251"/>
      <c r="I58" s="1252"/>
      <c r="J58" s="1253"/>
      <c r="K58" s="1254"/>
      <c r="L58" s="1255"/>
      <c r="M58" s="1255"/>
      <c r="N58" s="1255"/>
    </row>
    <row r="59" spans="1:14" ht="14" thickBot="1">
      <c r="B59" s="1236" t="s">
        <v>926</v>
      </c>
      <c r="C59" s="1123"/>
      <c r="D59" s="1256">
        <v>623.1</v>
      </c>
      <c r="E59" s="1257">
        <v>-213.60000000000218</v>
      </c>
      <c r="F59" s="1256">
        <v>-306.39999999999782</v>
      </c>
      <c r="G59" s="1257">
        <v>-200.29999999999927</v>
      </c>
      <c r="H59" s="1256">
        <v>98.828986999997142</v>
      </c>
      <c r="I59" s="1257">
        <v>454.38000000000102</v>
      </c>
      <c r="J59" s="1258">
        <v>3.5976389497953081</v>
      </c>
      <c r="K59" s="1259">
        <v>-6.1201707144295514E-2</v>
      </c>
      <c r="L59" s="1260">
        <v>-589.15998250000484</v>
      </c>
      <c r="M59" s="1261">
        <v>-1283.2606599999999</v>
      </c>
      <c r="N59" s="1260">
        <v>-1575.9078999999983</v>
      </c>
    </row>
    <row r="60" spans="1:14" ht="14" thickBot="1">
      <c r="B60" s="1130"/>
      <c r="C60" s="1131" t="s">
        <v>738</v>
      </c>
      <c r="D60" s="1151">
        <v>704.5</v>
      </c>
      <c r="E60" s="1152">
        <v>335.5</v>
      </c>
      <c r="F60" s="1151">
        <v>194.5</v>
      </c>
      <c r="G60" s="1152">
        <v>332.70000000000073</v>
      </c>
      <c r="H60" s="1151">
        <v>712.41100000000006</v>
      </c>
      <c r="I60" s="1152">
        <v>931.98000000000138</v>
      </c>
      <c r="J60" s="1153">
        <v>0.30820551619781456</v>
      </c>
      <c r="K60" s="1154">
        <v>5.7560250494109066E-2</v>
      </c>
      <c r="L60" s="1155">
        <v>235.92531750000126</v>
      </c>
      <c r="M60" s="1156">
        <v>-393.86066000000028</v>
      </c>
      <c r="N60" s="1155">
        <v>-618.83789999999863</v>
      </c>
    </row>
    <row r="61" spans="1:14" ht="14" thickBot="1">
      <c r="B61" s="1130"/>
      <c r="C61" s="1131" t="s">
        <v>752</v>
      </c>
      <c r="D61" s="1151">
        <v>37.699999999999818</v>
      </c>
      <c r="E61" s="1152">
        <v>-518.29999999999995</v>
      </c>
      <c r="F61" s="1151">
        <v>-415.1</v>
      </c>
      <c r="G61" s="1152">
        <v>-351.5</v>
      </c>
      <c r="H61" s="1151">
        <v>-271.25196099999994</v>
      </c>
      <c r="I61" s="1152">
        <v>-111.1</v>
      </c>
      <c r="J61" s="1153">
        <v>0.59041770761613055</v>
      </c>
      <c r="K61" s="1154">
        <v>-2.2412936729841064</v>
      </c>
      <c r="L61" s="1155">
        <v>-267.28530000000001</v>
      </c>
      <c r="M61" s="1156">
        <v>-255.4</v>
      </c>
      <c r="N61" s="1155">
        <v>-251.07</v>
      </c>
    </row>
    <row r="62" spans="1:14">
      <c r="B62" s="1214"/>
      <c r="C62" s="1215" t="s">
        <v>917</v>
      </c>
      <c r="D62" s="1262">
        <v>-119.1</v>
      </c>
      <c r="E62" s="1263">
        <v>-30.8</v>
      </c>
      <c r="F62" s="1262">
        <v>-85.8</v>
      </c>
      <c r="G62" s="1263">
        <v>-181.5</v>
      </c>
      <c r="H62" s="1262">
        <v>-342.3300519999998</v>
      </c>
      <c r="I62" s="1263">
        <v>-366.5</v>
      </c>
      <c r="J62" s="1264">
        <v>-7.0604224954226913E-2</v>
      </c>
      <c r="K62" s="1265">
        <v>-2.2520810524901016</v>
      </c>
      <c r="L62" s="1266">
        <v>-557.79999999999995</v>
      </c>
      <c r="M62" s="1267">
        <v>-634</v>
      </c>
      <c r="N62" s="1266">
        <v>-706</v>
      </c>
    </row>
    <row r="63" spans="1:14" ht="11.25" customHeight="1" thickBot="1">
      <c r="B63" s="1095"/>
      <c r="C63" s="1095"/>
      <c r="D63" s="1268"/>
      <c r="E63" s="1268"/>
      <c r="F63" s="1268"/>
      <c r="G63" s="1268"/>
      <c r="H63" s="1268"/>
      <c r="I63" s="1269"/>
      <c r="J63" s="1095"/>
      <c r="K63" s="1268"/>
      <c r="L63" s="1268"/>
      <c r="M63" s="1268"/>
      <c r="N63" s="1268"/>
    </row>
    <row r="64" spans="1:14" ht="13.5" customHeight="1">
      <c r="B64" s="1270" t="s">
        <v>178</v>
      </c>
    </row>
    <row r="65" spans="2:3" ht="9" customHeight="1"/>
    <row r="66" spans="2:3" ht="12" customHeight="1">
      <c r="B66" s="1271" t="s">
        <v>1508</v>
      </c>
    </row>
    <row r="67" spans="2:3" ht="12.75" customHeight="1"/>
    <row r="68" spans="2:3">
      <c r="B68" s="1272" t="s">
        <v>1492</v>
      </c>
      <c r="C68" s="1272"/>
    </row>
    <row r="69" spans="2:3">
      <c r="B69" s="1272" t="s">
        <v>1493</v>
      </c>
      <c r="C69" s="1272"/>
    </row>
    <row r="70" spans="2:3">
      <c r="B70" s="1272" t="s">
        <v>1494</v>
      </c>
      <c r="C70" s="1272"/>
    </row>
    <row r="71" spans="2:3">
      <c r="B71" s="1272" t="s">
        <v>1495</v>
      </c>
      <c r="C71" s="1272"/>
    </row>
    <row r="72" spans="2:3">
      <c r="B72" s="1272" t="s">
        <v>1496</v>
      </c>
      <c r="C72" s="1272"/>
    </row>
    <row r="73" spans="2:3">
      <c r="B73" s="1272"/>
      <c r="C73" s="1272" t="s">
        <v>1497</v>
      </c>
    </row>
    <row r="74" spans="2:3">
      <c r="B74" s="1272" t="s">
        <v>1498</v>
      </c>
      <c r="C74" s="1272"/>
    </row>
    <row r="75" spans="2:3">
      <c r="B75" s="1273" t="s">
        <v>1499</v>
      </c>
      <c r="C75" s="1272"/>
    </row>
    <row r="76" spans="2:3">
      <c r="B76" s="1273" t="s">
        <v>1500</v>
      </c>
      <c r="C76" s="1272"/>
    </row>
    <row r="77" spans="2:3" ht="13.5" customHeight="1">
      <c r="B77" s="1272" t="s">
        <v>1501</v>
      </c>
      <c r="C77" s="1272"/>
    </row>
    <row r="78" spans="2:3">
      <c r="B78" s="1273" t="s">
        <v>1502</v>
      </c>
      <c r="C78" s="1272"/>
    </row>
    <row r="79" spans="2:3" ht="14.25" customHeight="1">
      <c r="B79" s="1273" t="s">
        <v>1503</v>
      </c>
      <c r="C79" s="1272"/>
    </row>
    <row r="80" spans="2:3" ht="12.75" customHeight="1">
      <c r="B80" s="1272" t="s">
        <v>1504</v>
      </c>
      <c r="C80" s="1272"/>
    </row>
    <row r="82" spans="3:3">
      <c r="C82" s="1274"/>
    </row>
    <row r="83" spans="3:3">
      <c r="C83" s="1275"/>
    </row>
    <row r="84" spans="3:3">
      <c r="C84" s="1276"/>
    </row>
    <row r="85" spans="3:3">
      <c r="C85" s="1277"/>
    </row>
  </sheetData>
  <mergeCells count="2">
    <mergeCell ref="A7:A15"/>
    <mergeCell ref="A43:A51"/>
  </mergeCells>
  <phoneticPr fontId="47" type="noConversion"/>
  <pageMargins left="0.57999999999999996" right="0.41" top="0.57999999999999996" bottom="0.33" header="0.2" footer="0.14000000000000001"/>
  <pageSetup paperSize="9" scale="70" orientation="landscape"/>
  <headerFooter alignWithMargins="0">
    <oddHeader>&amp;L&amp;"Helvetica,Bold"&amp;14Zusatzinformationen zum Gesundheitswesen</oddHeader>
    <oddFooter>&amp;LStatistik über die Krankenversicherung, Bundesamt für Sozialversicherung&amp;R&amp;8&amp;P/&amp;N</oddFooter>
  </headerFooter>
  <rowBreaks count="1" manualBreakCount="1">
    <brk id="41" max="16383" man="1"/>
  </row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DA0F-B328-3543-B16D-8371FC315586}">
  <dimension ref="A1:U46"/>
  <sheetViews>
    <sheetView topLeftCell="A27" zoomScale="75" workbookViewId="0">
      <selection activeCell="G47" sqref="G47"/>
    </sheetView>
  </sheetViews>
  <sheetFormatPr baseColWidth="10" defaultColWidth="11.3984375" defaultRowHeight="13"/>
  <cols>
    <col min="1" max="1" width="8.19921875" style="3" customWidth="1"/>
    <col min="2" max="10" width="11" style="22" customWidth="1"/>
    <col min="11" max="11" width="11.3984375" style="3"/>
    <col min="12" max="12" width="8.796875" style="3" hidden="1" customWidth="1"/>
    <col min="13" max="21" width="9.796875" style="22" hidden="1" customWidth="1"/>
    <col min="22" max="16384" width="11.3984375" style="3"/>
  </cols>
  <sheetData>
    <row r="1" spans="1:21" s="1" customFormat="1" ht="14" customHeight="1">
      <c r="A1" s="62"/>
      <c r="B1" s="634"/>
      <c r="C1" s="634"/>
      <c r="D1" s="634"/>
      <c r="E1" s="634"/>
      <c r="F1" s="634"/>
      <c r="G1" s="634"/>
      <c r="H1" s="634"/>
      <c r="I1" s="634"/>
      <c r="J1" s="634"/>
      <c r="M1" s="24"/>
      <c r="N1" s="24"/>
      <c r="O1" s="24"/>
      <c r="P1" s="24"/>
      <c r="Q1" s="24"/>
      <c r="R1" s="24"/>
      <c r="S1" s="24"/>
      <c r="T1" s="24"/>
      <c r="U1" s="24"/>
    </row>
    <row r="2" spans="1:21" s="1" customFormat="1" ht="27" customHeight="1">
      <c r="A2" s="240" t="s">
        <v>1653</v>
      </c>
      <c r="B2" s="634"/>
      <c r="C2" s="634"/>
      <c r="D2" s="634"/>
      <c r="E2" s="634"/>
      <c r="F2" s="634"/>
      <c r="G2" s="634"/>
      <c r="H2" s="634"/>
      <c r="I2" s="634"/>
      <c r="J2" s="634"/>
      <c r="L2" s="64" t="s">
        <v>1242</v>
      </c>
      <c r="M2" s="24"/>
      <c r="N2" s="24"/>
      <c r="O2" s="24"/>
      <c r="P2" s="24"/>
      <c r="Q2" s="24"/>
      <c r="R2" s="24"/>
      <c r="S2" s="24"/>
      <c r="T2" s="24"/>
      <c r="U2" s="24"/>
    </row>
    <row r="3" spans="1:21" ht="27" customHeight="1">
      <c r="A3" s="2" t="s">
        <v>1663</v>
      </c>
      <c r="B3" s="74" t="s">
        <v>784</v>
      </c>
      <c r="C3" s="17" t="s">
        <v>1243</v>
      </c>
      <c r="D3" s="74" t="s">
        <v>1243</v>
      </c>
      <c r="E3" s="17" t="s">
        <v>607</v>
      </c>
      <c r="F3" s="74" t="s">
        <v>1244</v>
      </c>
      <c r="G3" s="17" t="s">
        <v>718</v>
      </c>
      <c r="H3" s="74" t="s">
        <v>1294</v>
      </c>
      <c r="I3" s="17" t="s">
        <v>1245</v>
      </c>
      <c r="J3" s="74" t="s">
        <v>718</v>
      </c>
      <c r="L3" s="2" t="s">
        <v>1663</v>
      </c>
      <c r="M3" s="74" t="s">
        <v>784</v>
      </c>
      <c r="N3" s="17" t="s">
        <v>1243</v>
      </c>
      <c r="O3" s="74" t="s">
        <v>1243</v>
      </c>
      <c r="P3" s="17" t="s">
        <v>607</v>
      </c>
      <c r="Q3" s="74" t="s">
        <v>609</v>
      </c>
      <c r="R3" s="17" t="s">
        <v>1244</v>
      </c>
      <c r="S3" s="74" t="s">
        <v>1294</v>
      </c>
      <c r="T3" s="17" t="s">
        <v>609</v>
      </c>
      <c r="U3" s="74" t="s">
        <v>1245</v>
      </c>
    </row>
    <row r="4" spans="1:21" ht="15" customHeight="1">
      <c r="A4" s="82"/>
      <c r="B4" s="559" t="s">
        <v>1226</v>
      </c>
      <c r="C4" s="18" t="s">
        <v>1246</v>
      </c>
      <c r="D4" s="75" t="s">
        <v>1247</v>
      </c>
      <c r="E4" s="635" t="s">
        <v>1248</v>
      </c>
      <c r="F4" s="75" t="s">
        <v>719</v>
      </c>
      <c r="G4" s="18" t="s">
        <v>610</v>
      </c>
      <c r="H4" s="75" t="s">
        <v>1227</v>
      </c>
      <c r="I4" s="18" t="s">
        <v>1249</v>
      </c>
      <c r="J4" s="75" t="s">
        <v>610</v>
      </c>
      <c r="L4" s="82"/>
      <c r="M4" s="559" t="s">
        <v>1226</v>
      </c>
      <c r="N4" s="18" t="s">
        <v>1246</v>
      </c>
      <c r="O4" s="75" t="s">
        <v>1247</v>
      </c>
      <c r="P4" s="635" t="s">
        <v>1248</v>
      </c>
      <c r="Q4" s="75" t="s">
        <v>610</v>
      </c>
      <c r="R4" s="18" t="s">
        <v>720</v>
      </c>
      <c r="S4" s="75" t="s">
        <v>1227</v>
      </c>
      <c r="T4" s="18" t="s">
        <v>610</v>
      </c>
      <c r="U4" s="75" t="s">
        <v>1249</v>
      </c>
    </row>
    <row r="5" spans="1:21" ht="15" hidden="1" customHeight="1">
      <c r="A5" s="82"/>
      <c r="B5" s="559"/>
      <c r="C5" s="635" t="s">
        <v>1229</v>
      </c>
      <c r="D5" s="559"/>
      <c r="E5" s="635"/>
      <c r="F5" s="75"/>
      <c r="G5" s="635"/>
      <c r="H5" s="75" t="s">
        <v>1230</v>
      </c>
      <c r="I5" s="635"/>
      <c r="J5" s="75"/>
      <c r="L5" s="82"/>
      <c r="M5" s="559"/>
      <c r="N5" s="18" t="s">
        <v>1229</v>
      </c>
      <c r="O5" s="75"/>
      <c r="P5" s="635"/>
      <c r="Q5" s="75"/>
      <c r="R5" s="18"/>
      <c r="S5" s="75" t="s">
        <v>1230</v>
      </c>
      <c r="T5" s="18"/>
      <c r="U5" s="75"/>
    </row>
    <row r="6" spans="1:21" ht="15" customHeight="1">
      <c r="A6" s="82"/>
      <c r="B6" s="559" t="s">
        <v>1231</v>
      </c>
      <c r="C6" s="635" t="s">
        <v>1250</v>
      </c>
      <c r="D6" s="559" t="s">
        <v>1251</v>
      </c>
      <c r="E6" s="635" t="s">
        <v>1252</v>
      </c>
      <c r="F6" s="559"/>
      <c r="G6" s="635" t="s">
        <v>611</v>
      </c>
      <c r="H6" s="559" t="s">
        <v>721</v>
      </c>
      <c r="I6" s="635" t="s">
        <v>722</v>
      </c>
      <c r="J6" s="559" t="s">
        <v>611</v>
      </c>
      <c r="L6" s="82"/>
      <c r="M6" s="559" t="s">
        <v>1231</v>
      </c>
      <c r="N6" s="635" t="s">
        <v>1250</v>
      </c>
      <c r="O6" s="559" t="s">
        <v>1251</v>
      </c>
      <c r="P6" s="635" t="s">
        <v>1252</v>
      </c>
      <c r="Q6" s="559" t="s">
        <v>611</v>
      </c>
      <c r="R6" s="635"/>
      <c r="S6" s="75" t="s">
        <v>1253</v>
      </c>
      <c r="T6" s="635" t="s">
        <v>611</v>
      </c>
      <c r="U6" s="75" t="s">
        <v>720</v>
      </c>
    </row>
    <row r="7" spans="1:21" ht="27" customHeight="1">
      <c r="A7" s="82"/>
      <c r="B7" s="559" t="s">
        <v>1241</v>
      </c>
      <c r="C7" s="635" t="s">
        <v>723</v>
      </c>
      <c r="D7" s="559" t="s">
        <v>724</v>
      </c>
      <c r="E7" s="635" t="s">
        <v>725</v>
      </c>
      <c r="F7" s="559"/>
      <c r="G7" s="635"/>
      <c r="H7" s="559"/>
      <c r="I7" s="635"/>
      <c r="J7" s="559"/>
      <c r="L7" s="283"/>
      <c r="M7" s="78" t="s">
        <v>969</v>
      </c>
      <c r="N7" s="19" t="s">
        <v>1254</v>
      </c>
      <c r="O7" s="78" t="s">
        <v>1255</v>
      </c>
      <c r="P7" s="19" t="s">
        <v>1256</v>
      </c>
      <c r="Q7" s="78" t="s">
        <v>633</v>
      </c>
      <c r="R7" s="19"/>
      <c r="S7" s="78"/>
      <c r="T7" s="19" t="s">
        <v>633</v>
      </c>
      <c r="U7" s="78"/>
    </row>
    <row r="8" spans="1:21" ht="30" customHeight="1" thickBot="1">
      <c r="A8" s="560" t="s">
        <v>1671</v>
      </c>
      <c r="B8" s="20">
        <v>1259055</v>
      </c>
      <c r="C8" s="91">
        <v>943</v>
      </c>
      <c r="D8" s="20">
        <v>1889</v>
      </c>
      <c r="E8" s="91">
        <v>2832</v>
      </c>
      <c r="F8" s="833">
        <v>2.2493060271394021</v>
      </c>
      <c r="G8" s="126">
        <v>9.7215466701077169E-3</v>
      </c>
      <c r="H8" s="20">
        <v>222</v>
      </c>
      <c r="I8" s="831">
        <v>1.7632271822914805</v>
      </c>
      <c r="J8" s="127">
        <v>-2.5088863416269702E-2</v>
      </c>
      <c r="L8" s="560" t="s">
        <v>1671</v>
      </c>
      <c r="M8" s="20">
        <v>1209530</v>
      </c>
      <c r="N8" s="91">
        <v>875</v>
      </c>
      <c r="O8" s="20">
        <v>1726</v>
      </c>
      <c r="P8" s="91">
        <v>2601</v>
      </c>
      <c r="Q8" s="170"/>
      <c r="R8" s="91">
        <f t="shared" ref="R8:R34" si="0">M8/P8</f>
        <v>465.02499038831218</v>
      </c>
      <c r="S8" s="20">
        <v>223</v>
      </c>
      <c r="T8" s="169"/>
      <c r="U8" s="20">
        <f t="shared" ref="U8:U34" si="1">M8/S8</f>
        <v>5423.9013452914796</v>
      </c>
    </row>
    <row r="9" spans="1:21" ht="18" customHeight="1" thickBot="1">
      <c r="A9" s="561" t="s">
        <v>1672</v>
      </c>
      <c r="B9" s="30">
        <v>958585</v>
      </c>
      <c r="C9" s="122">
        <v>651</v>
      </c>
      <c r="D9" s="30">
        <v>1263</v>
      </c>
      <c r="E9" s="122">
        <v>1914</v>
      </c>
      <c r="F9" s="833">
        <v>1.9966930423488787</v>
      </c>
      <c r="G9" s="126">
        <v>7.7152691987869559E-4</v>
      </c>
      <c r="H9" s="30">
        <v>174</v>
      </c>
      <c r="I9" s="831">
        <v>1.8151754930444353</v>
      </c>
      <c r="J9" s="127">
        <v>-1.1185743271891146E-2</v>
      </c>
      <c r="L9" s="561" t="s">
        <v>1672</v>
      </c>
      <c r="M9" s="30">
        <v>949795</v>
      </c>
      <c r="N9" s="122">
        <v>581</v>
      </c>
      <c r="O9" s="30">
        <v>1249</v>
      </c>
      <c r="P9" s="122">
        <v>1830</v>
      </c>
      <c r="Q9" s="449"/>
      <c r="R9" s="122">
        <f t="shared" si="0"/>
        <v>519.01366120218574</v>
      </c>
      <c r="S9" s="30">
        <v>172</v>
      </c>
      <c r="T9" s="93"/>
      <c r="U9" s="30">
        <f t="shared" si="1"/>
        <v>5522.0639534883721</v>
      </c>
    </row>
    <row r="10" spans="1:21" ht="18" customHeight="1" thickBot="1">
      <c r="A10" s="561" t="s">
        <v>1673</v>
      </c>
      <c r="B10" s="30">
        <v>351458</v>
      </c>
      <c r="C10" s="122">
        <v>206</v>
      </c>
      <c r="D10" s="30">
        <v>309</v>
      </c>
      <c r="E10" s="122">
        <v>515</v>
      </c>
      <c r="F10" s="833">
        <v>1.4653244484404964</v>
      </c>
      <c r="G10" s="126">
        <v>1.0072806186889105E-2</v>
      </c>
      <c r="H10" s="30">
        <v>33</v>
      </c>
      <c r="I10" s="831">
        <v>0.93894576307837641</v>
      </c>
      <c r="J10" s="127">
        <v>-3.8671426892946448E-2</v>
      </c>
      <c r="L10" s="561" t="s">
        <v>1673</v>
      </c>
      <c r="M10" s="30">
        <v>343180</v>
      </c>
      <c r="N10" s="122">
        <v>203</v>
      </c>
      <c r="O10" s="30">
        <v>282</v>
      </c>
      <c r="P10" s="122">
        <v>485</v>
      </c>
      <c r="Q10" s="449"/>
      <c r="R10" s="122">
        <f t="shared" si="0"/>
        <v>707.58762886597935</v>
      </c>
      <c r="S10" s="30">
        <v>34</v>
      </c>
      <c r="T10" s="93"/>
      <c r="U10" s="30">
        <f t="shared" si="1"/>
        <v>10093.529411764706</v>
      </c>
    </row>
    <row r="11" spans="1:21" ht="18" customHeight="1" thickBot="1">
      <c r="A11" s="561" t="s">
        <v>1674</v>
      </c>
      <c r="B11" s="30">
        <v>34196</v>
      </c>
      <c r="C11" s="122">
        <v>21</v>
      </c>
      <c r="D11" s="30">
        <v>24</v>
      </c>
      <c r="E11" s="122">
        <v>45</v>
      </c>
      <c r="F11" s="833">
        <v>1.3159433851912503</v>
      </c>
      <c r="G11" s="126">
        <v>2.1650591775752348E-2</v>
      </c>
      <c r="H11" s="30">
        <v>2</v>
      </c>
      <c r="I11" s="831">
        <v>0.58486372675166687</v>
      </c>
      <c r="J11" s="127">
        <v>-1.0527547081529143E-3</v>
      </c>
      <c r="L11" s="561" t="s">
        <v>1674</v>
      </c>
      <c r="M11" s="30">
        <v>34560</v>
      </c>
      <c r="N11" s="122">
        <v>21</v>
      </c>
      <c r="O11" s="30">
        <v>22</v>
      </c>
      <c r="P11" s="122">
        <v>43</v>
      </c>
      <c r="Q11" s="449"/>
      <c r="R11" s="122">
        <f t="shared" si="0"/>
        <v>803.72093023255809</v>
      </c>
      <c r="S11" s="30">
        <v>2</v>
      </c>
      <c r="T11" s="93"/>
      <c r="U11" s="30">
        <f t="shared" si="1"/>
        <v>17280</v>
      </c>
    </row>
    <row r="12" spans="1:21" ht="18" customHeight="1" thickBot="1">
      <c r="A12" s="561" t="s">
        <v>1675</v>
      </c>
      <c r="B12" s="30">
        <v>132093</v>
      </c>
      <c r="C12" s="122">
        <v>80</v>
      </c>
      <c r="D12" s="30">
        <v>78</v>
      </c>
      <c r="E12" s="122">
        <v>158</v>
      </c>
      <c r="F12" s="833">
        <v>1.1961269711491147</v>
      </c>
      <c r="G12" s="126">
        <v>1.839657531836969E-2</v>
      </c>
      <c r="H12" s="30">
        <v>11</v>
      </c>
      <c r="I12" s="831">
        <v>0.83274662548356082</v>
      </c>
      <c r="J12" s="127">
        <v>-1.3831164406895136E-2</v>
      </c>
      <c r="L12" s="561" t="s">
        <v>1675</v>
      </c>
      <c r="M12" s="30">
        <v>126680</v>
      </c>
      <c r="N12" s="122">
        <v>65</v>
      </c>
      <c r="O12" s="30">
        <v>66</v>
      </c>
      <c r="P12" s="122">
        <v>131</v>
      </c>
      <c r="Q12" s="449"/>
      <c r="R12" s="122">
        <f t="shared" si="0"/>
        <v>967.02290076335873</v>
      </c>
      <c r="S12" s="30">
        <v>11</v>
      </c>
      <c r="T12" s="93"/>
      <c r="U12" s="30">
        <f t="shared" si="1"/>
        <v>11516.363636363636</v>
      </c>
    </row>
    <row r="13" spans="1:21" ht="18" customHeight="1" thickBot="1">
      <c r="A13" s="561" t="s">
        <v>1676</v>
      </c>
      <c r="B13" s="30">
        <v>32848</v>
      </c>
      <c r="C13" s="122">
        <v>21</v>
      </c>
      <c r="D13" s="30">
        <v>14</v>
      </c>
      <c r="E13" s="122">
        <v>35</v>
      </c>
      <c r="F13" s="833">
        <v>1.0655138821237213</v>
      </c>
      <c r="G13" s="126">
        <v>1.8129853012807562E-2</v>
      </c>
      <c r="H13" s="30">
        <v>2</v>
      </c>
      <c r="I13" s="831">
        <v>0.60886507549926938</v>
      </c>
      <c r="J13" s="127">
        <v>-1.0959571358986953E-2</v>
      </c>
      <c r="L13" s="561" t="s">
        <v>1676</v>
      </c>
      <c r="M13" s="30">
        <v>31952</v>
      </c>
      <c r="N13" s="122">
        <v>19</v>
      </c>
      <c r="O13" s="30">
        <v>13</v>
      </c>
      <c r="P13" s="122">
        <v>32</v>
      </c>
      <c r="Q13" s="449"/>
      <c r="R13" s="122">
        <f t="shared" si="0"/>
        <v>998.5</v>
      </c>
      <c r="S13" s="30">
        <v>2</v>
      </c>
      <c r="T13" s="93"/>
      <c r="U13" s="30">
        <f t="shared" si="1"/>
        <v>15976</v>
      </c>
    </row>
    <row r="14" spans="1:21" ht="18" customHeight="1" thickBot="1">
      <c r="A14" s="561" t="s">
        <v>1677</v>
      </c>
      <c r="B14" s="30">
        <v>37906</v>
      </c>
      <c r="C14" s="122">
        <v>17</v>
      </c>
      <c r="D14" s="30">
        <v>27</v>
      </c>
      <c r="E14" s="122">
        <v>44</v>
      </c>
      <c r="F14" s="833">
        <v>1.1607661056297156</v>
      </c>
      <c r="G14" s="126">
        <v>5.8590376965870661E-2</v>
      </c>
      <c r="H14" s="30">
        <v>2</v>
      </c>
      <c r="I14" s="831">
        <v>0.52762095710441625</v>
      </c>
      <c r="J14" s="127">
        <v>-1.3586239645438591E-2</v>
      </c>
      <c r="L14" s="561" t="s">
        <v>1677</v>
      </c>
      <c r="M14" s="30">
        <v>36549</v>
      </c>
      <c r="N14" s="122">
        <v>16</v>
      </c>
      <c r="O14" s="30">
        <v>20</v>
      </c>
      <c r="P14" s="122">
        <v>36</v>
      </c>
      <c r="Q14" s="449"/>
      <c r="R14" s="122">
        <f t="shared" si="0"/>
        <v>1015.25</v>
      </c>
      <c r="S14" s="30">
        <v>2</v>
      </c>
      <c r="T14" s="93"/>
      <c r="U14" s="30">
        <f t="shared" si="1"/>
        <v>18274.5</v>
      </c>
    </row>
    <row r="15" spans="1:21" ht="18" customHeight="1" thickBot="1">
      <c r="A15" s="561" t="s">
        <v>1678</v>
      </c>
      <c r="B15" s="30">
        <v>38096</v>
      </c>
      <c r="C15" s="122">
        <v>27</v>
      </c>
      <c r="D15" s="30">
        <v>21</v>
      </c>
      <c r="E15" s="122">
        <v>48</v>
      </c>
      <c r="F15" s="833">
        <v>1.2599748005039899</v>
      </c>
      <c r="G15" s="126">
        <v>-2.2516692523292359E-2</v>
      </c>
      <c r="H15" s="30">
        <v>2</v>
      </c>
      <c r="I15" s="831">
        <v>0.5249895002099958</v>
      </c>
      <c r="J15" s="127">
        <v>-0.33476830463390728</v>
      </c>
      <c r="L15" s="561" t="s">
        <v>1678</v>
      </c>
      <c r="M15" s="30">
        <v>38305</v>
      </c>
      <c r="N15" s="122">
        <v>25</v>
      </c>
      <c r="O15" s="30">
        <v>22</v>
      </c>
      <c r="P15" s="122">
        <v>47</v>
      </c>
      <c r="Q15" s="449"/>
      <c r="R15" s="122">
        <f t="shared" si="0"/>
        <v>815</v>
      </c>
      <c r="S15" s="30">
        <v>3</v>
      </c>
      <c r="T15" s="93"/>
      <c r="U15" s="30">
        <f t="shared" si="1"/>
        <v>12768.333333333334</v>
      </c>
    </row>
    <row r="16" spans="1:21" ht="18" customHeight="1" thickBot="1">
      <c r="A16" s="561" t="s">
        <v>1679</v>
      </c>
      <c r="B16" s="30">
        <v>102091</v>
      </c>
      <c r="C16" s="122">
        <v>59</v>
      </c>
      <c r="D16" s="30">
        <v>104</v>
      </c>
      <c r="E16" s="122">
        <v>163</v>
      </c>
      <c r="F16" s="833">
        <v>1.5966147848488113</v>
      </c>
      <c r="G16" s="126">
        <v>1.2951029417909377E-2</v>
      </c>
      <c r="H16" s="30">
        <v>13</v>
      </c>
      <c r="I16" s="831">
        <v>1.2733737547873956</v>
      </c>
      <c r="J16" s="127">
        <v>-1.812108804889756E-2</v>
      </c>
      <c r="L16" s="561" t="s">
        <v>1679</v>
      </c>
      <c r="M16" s="30">
        <v>97049</v>
      </c>
      <c r="N16" s="122">
        <v>53</v>
      </c>
      <c r="O16" s="30">
        <v>102</v>
      </c>
      <c r="P16" s="122">
        <v>155</v>
      </c>
      <c r="Q16" s="449"/>
      <c r="R16" s="122">
        <f t="shared" si="0"/>
        <v>626.12258064516129</v>
      </c>
      <c r="S16" s="30">
        <v>14</v>
      </c>
      <c r="T16" s="93"/>
      <c r="U16" s="30">
        <f t="shared" si="1"/>
        <v>6932.0714285714284</v>
      </c>
    </row>
    <row r="17" spans="1:21" ht="18" customHeight="1" thickBot="1">
      <c r="A17" s="561" t="s">
        <v>1680</v>
      </c>
      <c r="B17" s="30">
        <v>243781</v>
      </c>
      <c r="C17" s="122">
        <v>123</v>
      </c>
      <c r="D17" s="30">
        <v>231</v>
      </c>
      <c r="E17" s="122">
        <v>354</v>
      </c>
      <c r="F17" s="833">
        <v>1.4521230120476987</v>
      </c>
      <c r="G17" s="126">
        <v>2.4541120200218369E-2</v>
      </c>
      <c r="H17" s="30">
        <v>69</v>
      </c>
      <c r="I17" s="831">
        <v>2.8304092607709377</v>
      </c>
      <c r="J17" s="127">
        <v>-1.5065353980923124E-3</v>
      </c>
      <c r="L17" s="561" t="s">
        <v>1680</v>
      </c>
      <c r="M17" s="30">
        <v>235151</v>
      </c>
      <c r="N17" s="122">
        <v>112</v>
      </c>
      <c r="O17" s="30">
        <v>225</v>
      </c>
      <c r="P17" s="122">
        <v>337</v>
      </c>
      <c r="Q17" s="449"/>
      <c r="R17" s="122">
        <f t="shared" si="0"/>
        <v>697.77744807121667</v>
      </c>
      <c r="S17" s="30">
        <v>71</v>
      </c>
      <c r="T17" s="93"/>
      <c r="U17" s="30">
        <f t="shared" si="1"/>
        <v>3311.9859154929577</v>
      </c>
    </row>
    <row r="18" spans="1:21" ht="18" customHeight="1" thickBot="1">
      <c r="A18" s="561" t="s">
        <v>1681</v>
      </c>
      <c r="B18" s="30">
        <v>244565</v>
      </c>
      <c r="C18" s="122">
        <v>163</v>
      </c>
      <c r="D18" s="30">
        <v>219</v>
      </c>
      <c r="E18" s="122">
        <v>382</v>
      </c>
      <c r="F18" s="833">
        <v>1.561956943961728</v>
      </c>
      <c r="G18" s="126">
        <v>8.3936656257987963E-4</v>
      </c>
      <c r="H18" s="30">
        <v>26</v>
      </c>
      <c r="I18" s="831">
        <v>1.0631120560996055</v>
      </c>
      <c r="J18" s="127">
        <v>-4.3797642223418531E-2</v>
      </c>
      <c r="L18" s="561" t="s">
        <v>1681</v>
      </c>
      <c r="M18" s="30">
        <v>241747</v>
      </c>
      <c r="N18" s="122">
        <v>158</v>
      </c>
      <c r="O18" s="30">
        <v>210</v>
      </c>
      <c r="P18" s="122">
        <v>368</v>
      </c>
      <c r="Q18" s="449"/>
      <c r="R18" s="122">
        <f t="shared" si="0"/>
        <v>656.92119565217388</v>
      </c>
      <c r="S18" s="30">
        <v>28</v>
      </c>
      <c r="T18" s="93"/>
      <c r="U18" s="30">
        <f t="shared" si="1"/>
        <v>8633.8214285714294</v>
      </c>
    </row>
    <row r="19" spans="1:21" ht="18" customHeight="1" thickBot="1">
      <c r="A19" s="561" t="s">
        <v>1682</v>
      </c>
      <c r="B19" s="30">
        <v>190914</v>
      </c>
      <c r="C19" s="122">
        <v>134</v>
      </c>
      <c r="D19" s="30">
        <v>540</v>
      </c>
      <c r="E19" s="122">
        <v>674</v>
      </c>
      <c r="F19" s="833">
        <v>3.5303854091370983</v>
      </c>
      <c r="G19" s="126">
        <v>-1.1507683609841335E-2</v>
      </c>
      <c r="H19" s="30">
        <v>69</v>
      </c>
      <c r="I19" s="831">
        <v>3.6141927778999969</v>
      </c>
      <c r="J19" s="127">
        <v>-4.174654556501789E-3</v>
      </c>
      <c r="L19" s="561" t="s">
        <v>1682</v>
      </c>
      <c r="M19" s="30">
        <v>192347</v>
      </c>
      <c r="N19" s="122">
        <v>118</v>
      </c>
      <c r="O19" s="30">
        <v>556</v>
      </c>
      <c r="P19" s="122">
        <v>674</v>
      </c>
      <c r="Q19" s="449"/>
      <c r="R19" s="122">
        <f t="shared" si="0"/>
        <v>285.38130563798222</v>
      </c>
      <c r="S19" s="30">
        <v>70</v>
      </c>
      <c r="T19" s="93"/>
      <c r="U19" s="30">
        <f t="shared" si="1"/>
        <v>2747.8142857142857</v>
      </c>
    </row>
    <row r="20" spans="1:21" ht="18" customHeight="1" thickBot="1">
      <c r="A20" s="561" t="s">
        <v>1683</v>
      </c>
      <c r="B20" s="30">
        <v>260820</v>
      </c>
      <c r="C20" s="122">
        <v>172</v>
      </c>
      <c r="D20" s="30">
        <v>328</v>
      </c>
      <c r="E20" s="122">
        <v>500</v>
      </c>
      <c r="F20" s="833">
        <v>1.9170309025381489</v>
      </c>
      <c r="G20" s="126">
        <v>2.4720351136688468E-2</v>
      </c>
      <c r="H20" s="30">
        <v>36</v>
      </c>
      <c r="I20" s="831">
        <v>1.3802622498274673</v>
      </c>
      <c r="J20" s="127">
        <v>-8.0707000996855793E-3</v>
      </c>
      <c r="L20" s="561" t="s">
        <v>1683</v>
      </c>
      <c r="M20" s="30">
        <v>255485</v>
      </c>
      <c r="N20" s="122">
        <v>164</v>
      </c>
      <c r="O20" s="30">
        <v>306</v>
      </c>
      <c r="P20" s="122">
        <v>470</v>
      </c>
      <c r="Q20" s="449"/>
      <c r="R20" s="122">
        <f t="shared" si="0"/>
        <v>543.58510638297878</v>
      </c>
      <c r="S20" s="30">
        <v>36</v>
      </c>
      <c r="T20" s="93"/>
      <c r="U20" s="30">
        <f t="shared" si="1"/>
        <v>7096.8055555555557</v>
      </c>
    </row>
    <row r="21" spans="1:21" ht="18" customHeight="1" thickBot="1">
      <c r="A21" s="561" t="s">
        <v>1684</v>
      </c>
      <c r="B21" s="30">
        <v>73691</v>
      </c>
      <c r="C21" s="122">
        <v>57</v>
      </c>
      <c r="D21" s="30">
        <v>80</v>
      </c>
      <c r="E21" s="122">
        <v>137</v>
      </c>
      <c r="F21" s="833">
        <v>1.8591144101722055</v>
      </c>
      <c r="G21" s="126">
        <v>1.0581295798085311E-2</v>
      </c>
      <c r="H21" s="30">
        <v>13</v>
      </c>
      <c r="I21" s="831">
        <v>1.7641231629371292</v>
      </c>
      <c r="J21" s="127">
        <v>-1.1548221628150168E-2</v>
      </c>
      <c r="L21" s="561" t="s">
        <v>1684</v>
      </c>
      <c r="M21" s="30">
        <v>73115</v>
      </c>
      <c r="N21" s="122">
        <v>55</v>
      </c>
      <c r="O21" s="30">
        <v>81</v>
      </c>
      <c r="P21" s="122">
        <v>136</v>
      </c>
      <c r="Q21" s="449"/>
      <c r="R21" s="122">
        <f t="shared" si="0"/>
        <v>537.61029411764707</v>
      </c>
      <c r="S21" s="30">
        <v>14</v>
      </c>
      <c r="T21" s="93"/>
      <c r="U21" s="30">
        <f t="shared" si="1"/>
        <v>5222.5</v>
      </c>
    </row>
    <row r="22" spans="1:21" ht="18" customHeight="1" thickBot="1">
      <c r="A22" s="561" t="s">
        <v>1685</v>
      </c>
      <c r="B22" s="30">
        <v>52837</v>
      </c>
      <c r="C22" s="122">
        <v>41</v>
      </c>
      <c r="D22" s="30">
        <v>38</v>
      </c>
      <c r="E22" s="122">
        <v>79</v>
      </c>
      <c r="F22" s="833">
        <v>1.495164373450423</v>
      </c>
      <c r="G22" s="126">
        <v>-2.2697805526757486E-2</v>
      </c>
      <c r="H22" s="30">
        <v>4</v>
      </c>
      <c r="I22" s="831">
        <v>0.75704525237996101</v>
      </c>
      <c r="J22" s="127">
        <v>2.044022181425964E-3</v>
      </c>
      <c r="L22" s="561" t="s">
        <v>1685</v>
      </c>
      <c r="M22" s="30">
        <v>53390</v>
      </c>
      <c r="N22" s="122">
        <v>44</v>
      </c>
      <c r="O22" s="30">
        <v>36</v>
      </c>
      <c r="P22" s="122">
        <v>80</v>
      </c>
      <c r="Q22" s="449"/>
      <c r="R22" s="122">
        <f t="shared" si="0"/>
        <v>667.375</v>
      </c>
      <c r="S22" s="30">
        <v>4</v>
      </c>
      <c r="T22" s="93"/>
      <c r="U22" s="30">
        <f t="shared" si="1"/>
        <v>13347.5</v>
      </c>
    </row>
    <row r="23" spans="1:21" ht="18" customHeight="1" thickBot="1">
      <c r="A23" s="561" t="s">
        <v>1686</v>
      </c>
      <c r="B23" s="30">
        <v>14715</v>
      </c>
      <c r="C23" s="122">
        <v>8</v>
      </c>
      <c r="D23" s="30">
        <v>8</v>
      </c>
      <c r="E23" s="122">
        <v>16</v>
      </c>
      <c r="F23" s="833">
        <v>1.0873258579680598</v>
      </c>
      <c r="G23" s="126">
        <v>-2.7183146449205609E-4</v>
      </c>
      <c r="H23" s="30">
        <v>1</v>
      </c>
      <c r="I23" s="831">
        <v>0.6795786612300373</v>
      </c>
      <c r="J23" s="127">
        <v>-2.7183146449216711E-4</v>
      </c>
      <c r="L23" s="561" t="s">
        <v>1686</v>
      </c>
      <c r="M23" s="30">
        <v>14520</v>
      </c>
      <c r="N23" s="122">
        <v>8</v>
      </c>
      <c r="O23" s="30">
        <v>7</v>
      </c>
      <c r="P23" s="122">
        <v>15</v>
      </c>
      <c r="Q23" s="449"/>
      <c r="R23" s="122">
        <f t="shared" si="0"/>
        <v>968</v>
      </c>
      <c r="S23" s="30">
        <v>1</v>
      </c>
      <c r="T23" s="93"/>
      <c r="U23" s="30">
        <f t="shared" si="1"/>
        <v>14520</v>
      </c>
    </row>
    <row r="24" spans="1:21" ht="18" customHeight="1" thickBot="1">
      <c r="A24" s="561" t="s">
        <v>1687</v>
      </c>
      <c r="B24" s="30">
        <v>455347</v>
      </c>
      <c r="C24" s="122">
        <v>304</v>
      </c>
      <c r="D24" s="30">
        <v>402</v>
      </c>
      <c r="E24" s="122">
        <v>706</v>
      </c>
      <c r="F24" s="833">
        <v>1.5504659084170971</v>
      </c>
      <c r="G24" s="126">
        <v>-5.4808809604603992E-3</v>
      </c>
      <c r="H24" s="30">
        <v>47</v>
      </c>
      <c r="I24" s="831">
        <v>1.0321798540453764</v>
      </c>
      <c r="J24" s="127">
        <v>-3.0337989489334527E-2</v>
      </c>
      <c r="L24" s="561" t="s">
        <v>1687</v>
      </c>
      <c r="M24" s="30">
        <v>445797</v>
      </c>
      <c r="N24" s="122">
        <v>300</v>
      </c>
      <c r="O24" s="30">
        <v>370</v>
      </c>
      <c r="P24" s="122">
        <v>670</v>
      </c>
      <c r="Q24" s="449"/>
      <c r="R24" s="122">
        <f t="shared" si="0"/>
        <v>665.36865671641795</v>
      </c>
      <c r="S24" s="30">
        <v>49</v>
      </c>
      <c r="T24" s="93"/>
      <c r="U24" s="30">
        <f t="shared" si="1"/>
        <v>9097.8979591836742</v>
      </c>
    </row>
    <row r="25" spans="1:21" ht="18" customHeight="1" thickBot="1">
      <c r="A25" s="561" t="s">
        <v>1688</v>
      </c>
      <c r="B25" s="30">
        <v>189380</v>
      </c>
      <c r="C25" s="122">
        <v>143</v>
      </c>
      <c r="D25" s="30">
        <v>172</v>
      </c>
      <c r="E25" s="122">
        <v>315</v>
      </c>
      <c r="F25" s="833">
        <v>1.6633224205301509</v>
      </c>
      <c r="G25" s="126">
        <v>1.6673427164239252E-2</v>
      </c>
      <c r="H25" s="30">
        <v>36</v>
      </c>
      <c r="I25" s="831">
        <v>1.9009399091773154</v>
      </c>
      <c r="J25" s="127">
        <v>-3.2786361184291457E-2</v>
      </c>
      <c r="L25" s="561" t="s">
        <v>1688</v>
      </c>
      <c r="M25" s="30">
        <v>187572</v>
      </c>
      <c r="N25" s="122">
        <v>146</v>
      </c>
      <c r="O25" s="30">
        <v>178</v>
      </c>
      <c r="P25" s="122">
        <v>324</v>
      </c>
      <c r="Q25" s="449"/>
      <c r="R25" s="122">
        <f t="shared" si="0"/>
        <v>578.92592592592598</v>
      </c>
      <c r="S25" s="30">
        <v>36</v>
      </c>
      <c r="T25" s="93"/>
      <c r="U25" s="30">
        <f t="shared" si="1"/>
        <v>5210.333333333333</v>
      </c>
    </row>
    <row r="26" spans="1:21" ht="18" customHeight="1" thickBot="1">
      <c r="A26" s="561" t="s">
        <v>1689</v>
      </c>
      <c r="B26" s="30">
        <v>553963</v>
      </c>
      <c r="C26" s="122">
        <v>290</v>
      </c>
      <c r="D26" s="30">
        <v>489</v>
      </c>
      <c r="E26" s="122">
        <v>779</v>
      </c>
      <c r="F26" s="833">
        <v>1.4062311020772145</v>
      </c>
      <c r="G26" s="126">
        <v>1.8519759033021277E-2</v>
      </c>
      <c r="H26" s="30">
        <v>108</v>
      </c>
      <c r="I26" s="831">
        <v>1.9495886909414526</v>
      </c>
      <c r="J26" s="127">
        <v>-2.3211350501384009E-2</v>
      </c>
      <c r="L26" s="561" t="s">
        <v>1689</v>
      </c>
      <c r="M26" s="30">
        <v>536746</v>
      </c>
      <c r="N26" s="122">
        <v>281</v>
      </c>
      <c r="O26" s="30">
        <v>454</v>
      </c>
      <c r="P26" s="122">
        <v>735</v>
      </c>
      <c r="Q26" s="449"/>
      <c r="R26" s="122">
        <f t="shared" si="0"/>
        <v>730.26666666666665</v>
      </c>
      <c r="S26" s="30">
        <v>108</v>
      </c>
      <c r="T26" s="93"/>
      <c r="U26" s="30">
        <f t="shared" si="1"/>
        <v>4969.8703703703704</v>
      </c>
    </row>
    <row r="27" spans="1:21" ht="18" customHeight="1" thickBot="1">
      <c r="A27" s="561" t="s">
        <v>1690</v>
      </c>
      <c r="B27" s="30">
        <v>229684</v>
      </c>
      <c r="C27" s="122">
        <v>145</v>
      </c>
      <c r="D27" s="30">
        <v>144</v>
      </c>
      <c r="E27" s="122">
        <v>289</v>
      </c>
      <c r="F27" s="833">
        <v>1.2582504658574387</v>
      </c>
      <c r="G27" s="126">
        <v>1.1362220614932195E-3</v>
      </c>
      <c r="H27" s="30">
        <v>22</v>
      </c>
      <c r="I27" s="831">
        <v>0.95783772487417496</v>
      </c>
      <c r="J27" s="127">
        <v>-5.23320130568804E-2</v>
      </c>
      <c r="L27" s="561" t="s">
        <v>1690</v>
      </c>
      <c r="M27" s="30">
        <v>226619</v>
      </c>
      <c r="N27" s="122">
        <v>144</v>
      </c>
      <c r="O27" s="30">
        <v>138</v>
      </c>
      <c r="P27" s="122">
        <v>282</v>
      </c>
      <c r="Q27" s="449"/>
      <c r="R27" s="122">
        <f t="shared" si="0"/>
        <v>803.61347517730496</v>
      </c>
      <c r="S27" s="30">
        <v>23</v>
      </c>
      <c r="T27" s="93"/>
      <c r="U27" s="30">
        <f t="shared" si="1"/>
        <v>9853</v>
      </c>
    </row>
    <row r="28" spans="1:21" ht="18" customHeight="1" thickBot="1">
      <c r="A28" s="561" t="s">
        <v>1691</v>
      </c>
      <c r="B28" s="30">
        <v>312689</v>
      </c>
      <c r="C28" s="122">
        <v>178</v>
      </c>
      <c r="D28" s="30">
        <v>424</v>
      </c>
      <c r="E28" s="122">
        <v>602</v>
      </c>
      <c r="F28" s="833">
        <v>1.9252356174985368</v>
      </c>
      <c r="G28" s="126">
        <v>-9.993847795052524E-3</v>
      </c>
      <c r="H28" s="30">
        <v>173</v>
      </c>
      <c r="I28" s="831">
        <v>5.5326538509509451</v>
      </c>
      <c r="J28" s="127">
        <v>-1.3388693161650589E-2</v>
      </c>
      <c r="L28" s="561" t="s">
        <v>1691</v>
      </c>
      <c r="M28" s="30">
        <v>303836</v>
      </c>
      <c r="N28" s="122">
        <v>193</v>
      </c>
      <c r="O28" s="30">
        <v>384</v>
      </c>
      <c r="P28" s="122">
        <v>577</v>
      </c>
      <c r="Q28" s="449"/>
      <c r="R28" s="122">
        <f t="shared" si="0"/>
        <v>526.57885615251303</v>
      </c>
      <c r="S28" s="30">
        <v>171</v>
      </c>
      <c r="T28" s="93"/>
      <c r="U28" s="30">
        <f t="shared" si="1"/>
        <v>1776.8187134502923</v>
      </c>
    </row>
    <row r="29" spans="1:21" ht="18" customHeight="1" thickBot="1">
      <c r="A29" s="561" t="s">
        <v>1692</v>
      </c>
      <c r="B29" s="30">
        <v>642436</v>
      </c>
      <c r="C29" s="122">
        <v>470</v>
      </c>
      <c r="D29" s="30">
        <v>1043</v>
      </c>
      <c r="E29" s="122">
        <v>1513</v>
      </c>
      <c r="F29" s="833">
        <v>2.355098406689538</v>
      </c>
      <c r="G29" s="126">
        <v>-1.3160844037382713E-2</v>
      </c>
      <c r="H29" s="30">
        <v>237</v>
      </c>
      <c r="I29" s="831">
        <v>3.6890834262089918</v>
      </c>
      <c r="J29" s="127">
        <v>-1.3160844037382824E-2</v>
      </c>
      <c r="L29" s="561" t="s">
        <v>1692</v>
      </c>
      <c r="M29" s="30">
        <v>623912</v>
      </c>
      <c r="N29" s="122">
        <v>474</v>
      </c>
      <c r="O29" s="30">
        <v>999</v>
      </c>
      <c r="P29" s="122">
        <v>1473</v>
      </c>
      <c r="Q29" s="449"/>
      <c r="R29" s="122">
        <f t="shared" si="0"/>
        <v>423.56551255940258</v>
      </c>
      <c r="S29" s="30">
        <v>234</v>
      </c>
      <c r="T29" s="93"/>
      <c r="U29" s="30">
        <f t="shared" si="1"/>
        <v>2666.2905982905982</v>
      </c>
    </row>
    <row r="30" spans="1:21" ht="18" customHeight="1" thickBot="1">
      <c r="A30" s="561" t="s">
        <v>1693</v>
      </c>
      <c r="B30" s="30">
        <v>278423</v>
      </c>
      <c r="C30" s="122">
        <v>179</v>
      </c>
      <c r="D30" s="30">
        <v>283</v>
      </c>
      <c r="E30" s="122">
        <v>462</v>
      </c>
      <c r="F30" s="833">
        <v>1.6593456718733726</v>
      </c>
      <c r="G30" s="126">
        <v>-2.0536424444912327E-2</v>
      </c>
      <c r="H30" s="30">
        <v>106</v>
      </c>
      <c r="I30" s="831">
        <v>3.8071567363328462</v>
      </c>
      <c r="J30" s="127">
        <v>-4.7874739412434586E-3</v>
      </c>
      <c r="L30" s="561" t="s">
        <v>1693</v>
      </c>
      <c r="M30" s="30">
        <v>271444</v>
      </c>
      <c r="N30" s="122">
        <v>172</v>
      </c>
      <c r="O30" s="30">
        <v>274</v>
      </c>
      <c r="P30" s="122">
        <v>446</v>
      </c>
      <c r="Q30" s="449"/>
      <c r="R30" s="122">
        <f t="shared" si="0"/>
        <v>608.61883408071753</v>
      </c>
      <c r="S30" s="30">
        <v>105</v>
      </c>
      <c r="T30" s="93"/>
      <c r="U30" s="30">
        <f t="shared" si="1"/>
        <v>2585.1809523809525</v>
      </c>
    </row>
    <row r="31" spans="1:21" ht="18" customHeight="1" thickBot="1">
      <c r="A31" s="561" t="s">
        <v>1694</v>
      </c>
      <c r="B31" s="30">
        <v>167834</v>
      </c>
      <c r="C31" s="122">
        <v>119</v>
      </c>
      <c r="D31" s="30">
        <v>222</v>
      </c>
      <c r="E31" s="122">
        <v>341</v>
      </c>
      <c r="F31" s="833">
        <v>2.0317694865164388</v>
      </c>
      <c r="G31" s="126">
        <v>-9.619310559368599E-3</v>
      </c>
      <c r="H31" s="30">
        <v>55</v>
      </c>
      <c r="I31" s="831">
        <v>3.2770475588974821</v>
      </c>
      <c r="J31" s="127">
        <v>1.167919889096769E-2</v>
      </c>
      <c r="L31" s="561" t="s">
        <v>1694</v>
      </c>
      <c r="M31" s="30">
        <v>166096</v>
      </c>
      <c r="N31" s="122">
        <v>119</v>
      </c>
      <c r="O31" s="30">
        <v>198</v>
      </c>
      <c r="P31" s="122">
        <v>317</v>
      </c>
      <c r="Q31" s="449"/>
      <c r="R31" s="122">
        <f t="shared" si="0"/>
        <v>523.96214511041012</v>
      </c>
      <c r="S31" s="30">
        <v>54</v>
      </c>
      <c r="T31" s="93"/>
      <c r="U31" s="30">
        <f t="shared" si="1"/>
        <v>3075.8518518518517</v>
      </c>
    </row>
    <row r="32" spans="1:21" ht="18" customHeight="1" thickBot="1">
      <c r="A32" s="561" t="s">
        <v>1695</v>
      </c>
      <c r="B32" s="30">
        <v>422779</v>
      </c>
      <c r="C32" s="122">
        <v>284</v>
      </c>
      <c r="D32" s="30">
        <v>1120</v>
      </c>
      <c r="E32" s="122">
        <v>1404</v>
      </c>
      <c r="F32" s="833">
        <v>3.3208839606508365</v>
      </c>
      <c r="G32" s="126">
        <v>1.7583989727305127E-2</v>
      </c>
      <c r="H32" s="30">
        <v>167</v>
      </c>
      <c r="I32" s="831">
        <v>3.9500542836801258</v>
      </c>
      <c r="J32" s="127">
        <v>-2.3055175511600745E-2</v>
      </c>
      <c r="L32" s="561" t="s">
        <v>1695</v>
      </c>
      <c r="M32" s="30">
        <v>404080</v>
      </c>
      <c r="N32" s="122">
        <v>235</v>
      </c>
      <c r="O32" s="30">
        <v>1022</v>
      </c>
      <c r="P32" s="122">
        <v>1257</v>
      </c>
      <c r="Q32" s="449"/>
      <c r="R32" s="122">
        <f t="shared" si="0"/>
        <v>321.46380270485281</v>
      </c>
      <c r="S32" s="30">
        <v>170</v>
      </c>
      <c r="T32" s="93"/>
      <c r="U32" s="30">
        <f t="shared" si="1"/>
        <v>2376.9411764705883</v>
      </c>
    </row>
    <row r="33" spans="1:21" ht="18" customHeight="1" thickBot="1">
      <c r="A33" s="561" t="s">
        <v>1696</v>
      </c>
      <c r="B33" s="30">
        <v>67584</v>
      </c>
      <c r="C33" s="122">
        <v>40</v>
      </c>
      <c r="D33" s="30">
        <v>61</v>
      </c>
      <c r="E33" s="122">
        <v>101</v>
      </c>
      <c r="F33" s="833">
        <v>1.494436553030303</v>
      </c>
      <c r="G33" s="126">
        <v>5.9500769412879073E-3</v>
      </c>
      <c r="H33" s="30">
        <v>18</v>
      </c>
      <c r="I33" s="831">
        <v>2.6633522727272725</v>
      </c>
      <c r="J33" s="127">
        <v>5.4577832553476036E-2</v>
      </c>
      <c r="L33" s="561" t="s">
        <v>1696</v>
      </c>
      <c r="M33" s="30">
        <v>67281</v>
      </c>
      <c r="N33" s="122">
        <v>41</v>
      </c>
      <c r="O33" s="30">
        <v>60</v>
      </c>
      <c r="P33" s="122">
        <v>101</v>
      </c>
      <c r="Q33" s="449"/>
      <c r="R33" s="122">
        <f t="shared" si="0"/>
        <v>666.14851485148517</v>
      </c>
      <c r="S33" s="30">
        <v>17</v>
      </c>
      <c r="T33" s="93"/>
      <c r="U33" s="30">
        <f t="shared" si="1"/>
        <v>3957.705882352941</v>
      </c>
    </row>
    <row r="34" spans="1:21" ht="30" customHeight="1" thickBot="1">
      <c r="A34" s="562" t="s">
        <v>1697</v>
      </c>
      <c r="B34" s="136">
        <v>7347770</v>
      </c>
      <c r="C34" s="138">
        <v>4875</v>
      </c>
      <c r="D34" s="136">
        <v>9533</v>
      </c>
      <c r="E34" s="138">
        <v>14408</v>
      </c>
      <c r="F34" s="838">
        <v>1.9608670385708864</v>
      </c>
      <c r="G34" s="563">
        <v>4.1303028601149538E-3</v>
      </c>
      <c r="H34" s="136">
        <v>1648</v>
      </c>
      <c r="I34" s="839">
        <v>2.2428573567218355</v>
      </c>
      <c r="J34" s="657">
        <v>-1.4887795617395394E-2</v>
      </c>
      <c r="L34" s="840" t="s">
        <v>607</v>
      </c>
      <c r="M34" s="307">
        <f>SUM(M8:M33)</f>
        <v>7166738</v>
      </c>
      <c r="N34" s="841">
        <f>SUM(N8:N33)</f>
        <v>4622</v>
      </c>
      <c r="O34" s="307">
        <f>SUM(O8:O33)</f>
        <v>9000</v>
      </c>
      <c r="P34" s="841">
        <f>SUM(P8:P33)</f>
        <v>13622</v>
      </c>
      <c r="Q34" s="179"/>
      <c r="R34" s="841">
        <f t="shared" si="0"/>
        <v>526.11496109235065</v>
      </c>
      <c r="S34" s="307">
        <f>SUM(S8:S33)</f>
        <v>1654</v>
      </c>
      <c r="T34" s="178"/>
      <c r="U34" s="307">
        <f t="shared" si="1"/>
        <v>4332.9733978234581</v>
      </c>
    </row>
    <row r="35" spans="1:21" ht="20" customHeight="1">
      <c r="A35" s="752" t="s">
        <v>178</v>
      </c>
      <c r="B35" s="753"/>
      <c r="C35" s="753"/>
      <c r="D35" s="753"/>
      <c r="E35" s="753"/>
      <c r="F35" s="753"/>
      <c r="G35" s="753"/>
      <c r="H35" s="753"/>
      <c r="I35" s="753"/>
      <c r="J35" s="753"/>
      <c r="L35" s="842" t="s">
        <v>1257</v>
      </c>
      <c r="M35" s="843"/>
      <c r="N35" s="843"/>
      <c r="O35" s="843"/>
      <c r="P35" s="843"/>
      <c r="Q35" s="843"/>
      <c r="R35" s="843"/>
      <c r="S35" s="843"/>
      <c r="T35" s="843"/>
      <c r="U35" s="843"/>
    </row>
    <row r="36" spans="1:21" ht="10.5" customHeight="1">
      <c r="A36" s="754"/>
      <c r="B36" s="755"/>
      <c r="C36" s="755"/>
      <c r="D36" s="755"/>
      <c r="E36" s="755"/>
      <c r="F36" s="755"/>
      <c r="G36" s="755"/>
      <c r="H36" s="755"/>
      <c r="I36" s="755"/>
      <c r="J36" s="755"/>
      <c r="L36" s="844"/>
      <c r="M36" s="845"/>
      <c r="N36" s="845"/>
      <c r="O36" s="845"/>
      <c r="P36" s="845"/>
      <c r="Q36" s="845"/>
      <c r="R36" s="845"/>
      <c r="S36" s="845"/>
      <c r="T36" s="845"/>
      <c r="U36" s="845"/>
    </row>
    <row r="37" spans="1:21" ht="12" customHeight="1">
      <c r="A37" s="754" t="s">
        <v>709</v>
      </c>
      <c r="B37" s="755"/>
      <c r="C37" s="755"/>
      <c r="D37" s="755"/>
      <c r="E37" s="755"/>
      <c r="F37" s="755"/>
      <c r="G37" s="755"/>
      <c r="H37" s="755"/>
      <c r="I37" s="755"/>
      <c r="J37" s="755"/>
      <c r="L37" s="3" t="s">
        <v>710</v>
      </c>
      <c r="M37" s="845"/>
      <c r="N37" s="845"/>
      <c r="O37" s="845"/>
      <c r="P37" s="845"/>
      <c r="Q37" s="845"/>
      <c r="R37" s="845"/>
      <c r="S37" s="845"/>
      <c r="T37" s="845"/>
      <c r="U37" s="845"/>
    </row>
    <row r="38" spans="1:21" ht="12" customHeight="1">
      <c r="A38" s="754" t="s">
        <v>711</v>
      </c>
      <c r="B38" s="755"/>
      <c r="C38" s="755"/>
      <c r="D38" s="755"/>
      <c r="E38" s="755"/>
      <c r="F38" s="755"/>
      <c r="G38" s="755"/>
      <c r="H38" s="755"/>
      <c r="I38" s="755"/>
      <c r="J38" s="755"/>
      <c r="M38" s="845"/>
      <c r="N38" s="845"/>
      <c r="O38" s="845"/>
      <c r="P38" s="845"/>
      <c r="Q38" s="845"/>
      <c r="R38" s="845"/>
      <c r="S38" s="845"/>
      <c r="T38" s="845"/>
      <c r="U38" s="845"/>
    </row>
    <row r="39" spans="1:21" ht="12" customHeight="1">
      <c r="A39" s="754" t="s">
        <v>712</v>
      </c>
      <c r="B39" s="755"/>
      <c r="C39" s="755"/>
      <c r="D39" s="755"/>
      <c r="E39" s="755"/>
      <c r="F39" s="755"/>
      <c r="G39" s="755"/>
      <c r="H39" s="755"/>
      <c r="I39" s="755"/>
      <c r="J39" s="755"/>
      <c r="M39" s="845"/>
      <c r="N39" s="845"/>
      <c r="O39" s="845"/>
      <c r="P39" s="845"/>
      <c r="Q39" s="845"/>
      <c r="R39" s="845"/>
      <c r="S39" s="845"/>
      <c r="T39" s="845"/>
      <c r="U39" s="845"/>
    </row>
    <row r="40" spans="1:21" ht="12" customHeight="1">
      <c r="A40" s="754" t="s">
        <v>713</v>
      </c>
      <c r="B40" s="755"/>
      <c r="C40" s="755"/>
      <c r="D40" s="755"/>
      <c r="E40" s="755"/>
      <c r="F40" s="755"/>
      <c r="G40" s="755"/>
      <c r="H40" s="755"/>
      <c r="I40" s="755"/>
      <c r="J40" s="755"/>
      <c r="L40" s="3" t="s">
        <v>710</v>
      </c>
      <c r="M40" s="845"/>
      <c r="N40" s="845"/>
      <c r="O40" s="845"/>
      <c r="P40" s="845"/>
      <c r="Q40" s="845"/>
      <c r="R40" s="845"/>
      <c r="S40" s="845"/>
      <c r="T40" s="845"/>
      <c r="U40" s="845"/>
    </row>
    <row r="41" spans="1:21" ht="12" customHeight="1">
      <c r="A41" s="754" t="s">
        <v>714</v>
      </c>
      <c r="B41" s="755"/>
      <c r="C41" s="755"/>
      <c r="D41" s="755"/>
      <c r="E41" s="755"/>
      <c r="F41" s="755"/>
      <c r="G41" s="755"/>
      <c r="H41" s="755"/>
      <c r="I41" s="755"/>
      <c r="J41" s="755"/>
      <c r="M41" s="845"/>
      <c r="N41" s="845"/>
      <c r="O41" s="845"/>
      <c r="P41" s="845"/>
      <c r="Q41" s="845"/>
      <c r="R41" s="845"/>
      <c r="S41" s="845"/>
      <c r="T41" s="845"/>
      <c r="U41" s="845"/>
    </row>
    <row r="42" spans="1:21" ht="12" customHeight="1">
      <c r="A42" s="754" t="s">
        <v>715</v>
      </c>
      <c r="B42" s="755"/>
      <c r="C42" s="755"/>
      <c r="D42" s="755"/>
      <c r="E42" s="755"/>
      <c r="F42" s="755"/>
      <c r="G42" s="755"/>
      <c r="H42" s="755"/>
      <c r="I42" s="755"/>
      <c r="J42" s="755"/>
      <c r="M42" s="845"/>
      <c r="N42" s="845"/>
      <c r="O42" s="845"/>
      <c r="P42" s="845"/>
      <c r="Q42" s="845"/>
      <c r="R42" s="845"/>
      <c r="S42" s="845"/>
      <c r="T42" s="845"/>
      <c r="U42" s="845"/>
    </row>
    <row r="43" spans="1:21" ht="12" customHeight="1">
      <c r="A43" s="754" t="s">
        <v>716</v>
      </c>
      <c r="B43" s="755"/>
      <c r="C43" s="755"/>
      <c r="D43" s="755"/>
      <c r="E43" s="755"/>
      <c r="F43" s="755"/>
      <c r="G43" s="755"/>
      <c r="H43" s="755"/>
      <c r="I43" s="755"/>
      <c r="J43" s="755"/>
      <c r="M43" s="845"/>
      <c r="N43" s="845"/>
      <c r="O43" s="845"/>
      <c r="P43" s="845"/>
      <c r="Q43" s="845"/>
      <c r="R43" s="845"/>
      <c r="S43" s="845"/>
      <c r="T43" s="845"/>
      <c r="U43" s="845"/>
    </row>
    <row r="44" spans="1:21" ht="12" customHeight="1">
      <c r="A44" s="754" t="s">
        <v>717</v>
      </c>
      <c r="B44" s="755"/>
      <c r="C44" s="755"/>
      <c r="D44" s="755"/>
      <c r="E44" s="755"/>
      <c r="F44" s="755"/>
      <c r="G44" s="755"/>
      <c r="H44" s="755"/>
      <c r="I44" s="755"/>
      <c r="J44" s="755"/>
      <c r="M44" s="845"/>
      <c r="N44" s="845"/>
      <c r="O44" s="845"/>
      <c r="P44" s="845"/>
      <c r="Q44" s="845"/>
      <c r="R44" s="845"/>
      <c r="S44" s="845"/>
      <c r="T44" s="845"/>
      <c r="U44" s="845"/>
    </row>
    <row r="45" spans="1:21" ht="12" customHeight="1">
      <c r="A45" s="646"/>
      <c r="B45" s="647"/>
      <c r="C45" s="647"/>
      <c r="D45" s="647"/>
      <c r="E45" s="647"/>
      <c r="F45" s="647"/>
      <c r="G45" s="647"/>
      <c r="H45" s="647"/>
      <c r="I45" s="647"/>
      <c r="J45" s="647"/>
      <c r="M45" s="845"/>
      <c r="N45" s="845"/>
      <c r="O45" s="845"/>
      <c r="P45" s="845"/>
      <c r="Q45" s="845"/>
      <c r="R45" s="845"/>
      <c r="S45" s="845"/>
      <c r="T45" s="845"/>
      <c r="U45" s="845"/>
    </row>
    <row r="46" spans="1:21">
      <c r="A46" s="124"/>
      <c r="B46" s="846"/>
      <c r="C46" s="846"/>
      <c r="D46" s="846"/>
      <c r="E46" s="846"/>
      <c r="F46" s="846"/>
      <c r="G46" s="846"/>
      <c r="H46" s="846"/>
      <c r="I46" s="846"/>
      <c r="J46" s="846"/>
    </row>
  </sheetData>
  <phoneticPr fontId="0" type="noConversion"/>
  <pageMargins left="0.78740157480314965" right="0.47" top="1" bottom="0.49" header="0.6"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5DF5-859F-7646-B041-42901A092089}">
  <dimension ref="A1:N46"/>
  <sheetViews>
    <sheetView topLeftCell="A12" zoomScale="75" workbookViewId="0">
      <selection activeCell="I34" sqref="I34"/>
    </sheetView>
  </sheetViews>
  <sheetFormatPr baseColWidth="10" defaultColWidth="11.3984375" defaultRowHeight="13"/>
  <cols>
    <col min="1" max="1" width="11.796875" style="3" customWidth="1"/>
    <col min="2" max="9" width="11.796875" style="22" customWidth="1"/>
    <col min="10" max="10" width="7.19921875" style="3" customWidth="1"/>
    <col min="11" max="16384" width="11.3984375" style="3"/>
  </cols>
  <sheetData>
    <row r="1" spans="1:9" s="1" customFormat="1" ht="14" customHeight="1">
      <c r="A1" s="62"/>
      <c r="B1" s="634"/>
      <c r="C1" s="634"/>
      <c r="D1" s="634"/>
      <c r="E1" s="634"/>
      <c r="F1" s="634"/>
      <c r="G1" s="634"/>
      <c r="H1" s="634"/>
      <c r="I1" s="634"/>
    </row>
    <row r="2" spans="1:9" s="1" customFormat="1" ht="27" customHeight="1">
      <c r="A2" s="240" t="s">
        <v>1223</v>
      </c>
      <c r="B2" s="634"/>
      <c r="C2" s="634"/>
      <c r="D2" s="634"/>
      <c r="E2" s="634"/>
      <c r="F2" s="634"/>
      <c r="G2" s="634"/>
      <c r="H2" s="634"/>
      <c r="I2" s="634"/>
    </row>
    <row r="3" spans="1:9" ht="27" customHeight="1">
      <c r="A3" s="2" t="s">
        <v>335</v>
      </c>
      <c r="B3" s="74" t="s">
        <v>784</v>
      </c>
      <c r="C3" s="17" t="s">
        <v>609</v>
      </c>
      <c r="D3" s="74" t="s">
        <v>1294</v>
      </c>
      <c r="E3" s="17" t="s">
        <v>1224</v>
      </c>
      <c r="F3" s="74" t="s">
        <v>1236</v>
      </c>
      <c r="G3" s="17" t="s">
        <v>1294</v>
      </c>
      <c r="H3" s="74" t="s">
        <v>1225</v>
      </c>
      <c r="I3" s="17" t="s">
        <v>1236</v>
      </c>
    </row>
    <row r="4" spans="1:9" ht="15" customHeight="1">
      <c r="A4" s="82"/>
      <c r="B4" s="559" t="s">
        <v>1226</v>
      </c>
      <c r="C4" s="635" t="s">
        <v>610</v>
      </c>
      <c r="D4" s="75" t="s">
        <v>1237</v>
      </c>
      <c r="E4" s="18" t="s">
        <v>1238</v>
      </c>
      <c r="F4" s="75" t="s">
        <v>610</v>
      </c>
      <c r="G4" s="18" t="s">
        <v>1227</v>
      </c>
      <c r="H4" s="75" t="s">
        <v>1228</v>
      </c>
      <c r="I4" s="18" t="s">
        <v>610</v>
      </c>
    </row>
    <row r="5" spans="1:9" ht="15" hidden="1" customHeight="1">
      <c r="A5" s="82"/>
      <c r="B5" s="559"/>
      <c r="C5" s="635"/>
      <c r="D5" s="75" t="s">
        <v>1229</v>
      </c>
      <c r="E5" s="18"/>
      <c r="F5" s="75"/>
      <c r="G5" s="18" t="s">
        <v>1230</v>
      </c>
      <c r="H5" s="75"/>
      <c r="I5" s="18"/>
    </row>
    <row r="6" spans="1:9" ht="15" customHeight="1">
      <c r="A6" s="82"/>
      <c r="B6" s="559" t="s">
        <v>1231</v>
      </c>
      <c r="C6" s="635" t="s">
        <v>611</v>
      </c>
      <c r="D6" s="559"/>
      <c r="E6" s="635"/>
      <c r="F6" s="559" t="s">
        <v>611</v>
      </c>
      <c r="G6" s="18" t="s">
        <v>1239</v>
      </c>
      <c r="H6" s="559" t="s">
        <v>1240</v>
      </c>
      <c r="I6" s="18" t="s">
        <v>611</v>
      </c>
    </row>
    <row r="7" spans="1:9" ht="27" customHeight="1">
      <c r="A7" s="283"/>
      <c r="B7" s="78" t="s">
        <v>1241</v>
      </c>
      <c r="C7" s="19"/>
      <c r="D7" s="78"/>
      <c r="E7" s="19"/>
      <c r="F7" s="78"/>
      <c r="G7" s="19"/>
      <c r="H7" s="78"/>
      <c r="I7" s="19"/>
    </row>
    <row r="8" spans="1:9" ht="30" customHeight="1" thickBot="1">
      <c r="A8" s="560">
        <v>1985</v>
      </c>
      <c r="B8" s="20">
        <v>6533300</v>
      </c>
      <c r="C8" s="830" t="s">
        <v>490</v>
      </c>
      <c r="D8" s="20">
        <v>9298</v>
      </c>
      <c r="E8" s="831">
        <v>1.4231705263802366</v>
      </c>
      <c r="F8" s="832" t="s">
        <v>490</v>
      </c>
      <c r="G8" s="91">
        <v>1381</v>
      </c>
      <c r="H8" s="833">
        <v>2.113786294828035</v>
      </c>
      <c r="I8" s="830" t="s">
        <v>490</v>
      </c>
    </row>
    <row r="9" spans="1:9" ht="18" customHeight="1" thickBot="1">
      <c r="A9" s="561">
        <v>1986</v>
      </c>
      <c r="B9" s="30">
        <v>6572900</v>
      </c>
      <c r="C9" s="26">
        <v>6.0612554145684418E-3</v>
      </c>
      <c r="D9" s="30">
        <v>9646</v>
      </c>
      <c r="E9" s="834">
        <v>1.4675409636537904</v>
      </c>
      <c r="F9" s="128">
        <v>3.1177175504335297E-2</v>
      </c>
      <c r="G9" s="122">
        <v>1418</v>
      </c>
      <c r="H9" s="833">
        <v>2.1573430297129121</v>
      </c>
      <c r="I9" s="26">
        <v>2.0606025780113502E-2</v>
      </c>
    </row>
    <row r="10" spans="1:9" ht="18" customHeight="1" thickBot="1">
      <c r="A10" s="561">
        <v>1987</v>
      </c>
      <c r="B10" s="30">
        <v>6619000</v>
      </c>
      <c r="C10" s="26">
        <v>7.0136469442711744E-3</v>
      </c>
      <c r="D10" s="30">
        <v>9945</v>
      </c>
      <c r="E10" s="834">
        <v>1.5024928236893791</v>
      </c>
      <c r="F10" s="128">
        <v>2.3816616299805249E-2</v>
      </c>
      <c r="G10" s="122">
        <v>1417</v>
      </c>
      <c r="H10" s="833">
        <v>2.1408067683940173</v>
      </c>
      <c r="I10" s="26">
        <v>-7.6651052202372227E-3</v>
      </c>
    </row>
    <row r="11" spans="1:9" ht="18" customHeight="1" thickBot="1">
      <c r="A11" s="561">
        <v>1988</v>
      </c>
      <c r="B11" s="30">
        <v>6671500</v>
      </c>
      <c r="C11" s="26">
        <v>7.9317117389333738E-3</v>
      </c>
      <c r="D11" s="30">
        <v>10240</v>
      </c>
      <c r="E11" s="834">
        <v>1.5348872067750881</v>
      </c>
      <c r="F11" s="128">
        <v>2.1560424499176278E-2</v>
      </c>
      <c r="G11" s="122">
        <v>1467</v>
      </c>
      <c r="H11" s="833">
        <v>2.1989057932998577</v>
      </c>
      <c r="I11" s="26">
        <v>2.7138845861097938E-2</v>
      </c>
    </row>
    <row r="12" spans="1:9" ht="18" customHeight="1" thickBot="1">
      <c r="A12" s="561">
        <v>1989</v>
      </c>
      <c r="B12" s="30">
        <v>6723000</v>
      </c>
      <c r="C12" s="26">
        <v>7.7194034325114291E-3</v>
      </c>
      <c r="D12" s="30">
        <v>10278</v>
      </c>
      <c r="E12" s="834">
        <v>1.5287817938420347</v>
      </c>
      <c r="F12" s="128">
        <v>-3.9777599983267242E-3</v>
      </c>
      <c r="G12" s="122">
        <v>1510</v>
      </c>
      <c r="H12" s="833">
        <v>2.2460211215231296</v>
      </c>
      <c r="I12" s="26">
        <v>2.1426715217556902E-2</v>
      </c>
    </row>
    <row r="13" spans="1:9" ht="18" customHeight="1" thickBot="1">
      <c r="A13" s="561">
        <v>1990</v>
      </c>
      <c r="B13" s="30">
        <v>6796300</v>
      </c>
      <c r="C13" s="26">
        <v>1.0902870742228172E-2</v>
      </c>
      <c r="D13" s="30">
        <v>10398</v>
      </c>
      <c r="E13" s="834">
        <v>1.5299501199181909</v>
      </c>
      <c r="F13" s="128">
        <v>7.6422029675016212E-4</v>
      </c>
      <c r="G13" s="122">
        <v>1536</v>
      </c>
      <c r="H13" s="833">
        <v>2.2600532642761499</v>
      </c>
      <c r="I13" s="26">
        <v>6.2475560085135662E-3</v>
      </c>
    </row>
    <row r="14" spans="1:9" ht="18" customHeight="1" thickBot="1">
      <c r="A14" s="561">
        <v>1991</v>
      </c>
      <c r="B14" s="30">
        <v>6880100</v>
      </c>
      <c r="C14" s="26">
        <v>1.2330238512131601E-2</v>
      </c>
      <c r="D14" s="30">
        <v>10781</v>
      </c>
      <c r="E14" s="834">
        <v>1.5669830380372378</v>
      </c>
      <c r="F14" s="128">
        <v>2.4205310772502209E-2</v>
      </c>
      <c r="G14" s="122">
        <v>1537</v>
      </c>
      <c r="H14" s="833">
        <v>2.2339791572796908</v>
      </c>
      <c r="I14" s="26">
        <v>-1.153694357942936E-2</v>
      </c>
    </row>
    <row r="15" spans="1:9" ht="18" customHeight="1" thickBot="1">
      <c r="A15" s="561">
        <v>1992</v>
      </c>
      <c r="B15" s="30">
        <v>6943100</v>
      </c>
      <c r="C15" s="26">
        <v>9.1568436505283356E-3</v>
      </c>
      <c r="D15" s="30">
        <v>11120</v>
      </c>
      <c r="E15" s="834">
        <v>1.6015900678371333</v>
      </c>
      <c r="F15" s="128">
        <v>2.2085133635679544E-2</v>
      </c>
      <c r="G15" s="122">
        <v>1562</v>
      </c>
      <c r="H15" s="833">
        <v>2.2497155449294985</v>
      </c>
      <c r="I15" s="26">
        <v>7.0441067449213968E-3</v>
      </c>
    </row>
    <row r="16" spans="1:9" ht="18" customHeight="1" thickBot="1">
      <c r="A16" s="561">
        <v>1993</v>
      </c>
      <c r="B16" s="30">
        <v>6988900</v>
      </c>
      <c r="C16" s="26">
        <v>6.5964770779622936E-3</v>
      </c>
      <c r="D16" s="30">
        <v>11563</v>
      </c>
      <c r="E16" s="834">
        <v>1.6544806765013091</v>
      </c>
      <c r="F16" s="128">
        <v>3.3023811602179709E-2</v>
      </c>
      <c r="G16" s="122">
        <v>1543</v>
      </c>
      <c r="H16" s="833">
        <v>2.2077866330896136</v>
      </c>
      <c r="I16" s="26">
        <v>-1.8637428155922175E-2</v>
      </c>
    </row>
    <row r="17" spans="1:9" ht="18" customHeight="1" thickBot="1">
      <c r="A17" s="561">
        <v>1994</v>
      </c>
      <c r="B17" s="30">
        <v>7036851.9999999898</v>
      </c>
      <c r="C17" s="26">
        <v>6.8611655625334111E-3</v>
      </c>
      <c r="D17" s="30">
        <v>11814</v>
      </c>
      <c r="E17" s="834">
        <v>1.6788757245427384</v>
      </c>
      <c r="F17" s="128">
        <v>1.4744837088709328E-2</v>
      </c>
      <c r="G17" s="122">
        <v>1614</v>
      </c>
      <c r="H17" s="833">
        <v>2.2936392580091245</v>
      </c>
      <c r="I17" s="26">
        <v>3.8886287122486651E-2</v>
      </c>
    </row>
    <row r="18" spans="1:9" ht="18" customHeight="1" thickBot="1">
      <c r="A18" s="561">
        <v>1995</v>
      </c>
      <c r="B18" s="30">
        <v>7080948</v>
      </c>
      <c r="C18" s="26">
        <v>6.2664384585621961E-3</v>
      </c>
      <c r="D18" s="30">
        <v>12327</v>
      </c>
      <c r="E18" s="834">
        <v>1.7408685955609333</v>
      </c>
      <c r="F18" s="128">
        <v>3.6925229254285208E-2</v>
      </c>
      <c r="G18" s="122">
        <v>1641</v>
      </c>
      <c r="H18" s="833">
        <v>2.3174863026815054</v>
      </c>
      <c r="I18" s="26">
        <v>1.0397033704890424E-2</v>
      </c>
    </row>
    <row r="19" spans="1:9" ht="18" customHeight="1" thickBot="1">
      <c r="A19" s="561">
        <v>1996</v>
      </c>
      <c r="B19" s="30">
        <v>7105446</v>
      </c>
      <c r="C19" s="26">
        <v>3.459706242723432E-3</v>
      </c>
      <c r="D19" s="30">
        <v>12711</v>
      </c>
      <c r="E19" s="834">
        <v>1.7889095209505499</v>
      </c>
      <c r="F19" s="128">
        <v>2.7595951533686547E-2</v>
      </c>
      <c r="G19" s="122">
        <v>1649</v>
      </c>
      <c r="H19" s="833">
        <v>2.3207550940503947</v>
      </c>
      <c r="I19" s="26">
        <v>1.4104900491136441E-3</v>
      </c>
    </row>
    <row r="20" spans="1:9" ht="18" customHeight="1" thickBot="1">
      <c r="A20" s="561">
        <v>1997</v>
      </c>
      <c r="B20" s="30">
        <v>7113565</v>
      </c>
      <c r="C20" s="26">
        <v>1.142644670017899E-3</v>
      </c>
      <c r="D20" s="30">
        <v>13038</v>
      </c>
      <c r="E20" s="834">
        <v>1.8328362782936545</v>
      </c>
      <c r="F20" s="128">
        <v>2.4555046987375651E-2</v>
      </c>
      <c r="G20" s="122">
        <v>1651</v>
      </c>
      <c r="H20" s="833">
        <v>2.3209178520193463</v>
      </c>
      <c r="I20" s="26">
        <v>7.0131471161527514E-5</v>
      </c>
    </row>
    <row r="21" spans="1:9" ht="18" customHeight="1" thickBot="1">
      <c r="A21" s="561">
        <v>1998</v>
      </c>
      <c r="B21" s="30">
        <v>7131888</v>
      </c>
      <c r="C21" s="26">
        <v>2.5757830286220764E-3</v>
      </c>
      <c r="D21" s="30">
        <v>13357</v>
      </c>
      <c r="E21" s="834">
        <v>1.8728561076674226</v>
      </c>
      <c r="F21" s="128">
        <v>2.1834917743458249E-2</v>
      </c>
      <c r="G21" s="122">
        <v>1653</v>
      </c>
      <c r="H21" s="833">
        <v>2.3177593366581193</v>
      </c>
      <c r="I21" s="26">
        <v>-1.3608906314710456E-3</v>
      </c>
    </row>
    <row r="22" spans="1:9" ht="18" customHeight="1" thickBot="1">
      <c r="A22" s="561">
        <v>1999</v>
      </c>
      <c r="B22" s="30">
        <v>7166738</v>
      </c>
      <c r="C22" s="26">
        <v>4.8865041066264644E-3</v>
      </c>
      <c r="D22" s="30">
        <v>13622</v>
      </c>
      <c r="E22" s="834">
        <v>1.9007252671996662</v>
      </c>
      <c r="F22" s="128">
        <v>1.4880566327625466E-2</v>
      </c>
      <c r="G22" s="122">
        <v>1654</v>
      </c>
      <c r="H22" s="833">
        <v>2.3078840052475758</v>
      </c>
      <c r="I22" s="26">
        <v>-4.260723386743992E-3</v>
      </c>
    </row>
    <row r="23" spans="1:9" ht="18" customHeight="1" thickBot="1">
      <c r="A23" s="561">
        <v>2000</v>
      </c>
      <c r="B23" s="30">
        <v>7209042</v>
      </c>
      <c r="C23" s="26">
        <v>5.9028249672305588E-3</v>
      </c>
      <c r="D23" s="30">
        <v>13935</v>
      </c>
      <c r="E23" s="834">
        <v>1.9329891544535323</v>
      </c>
      <c r="F23" s="128">
        <v>1.6974513787255674E-2</v>
      </c>
      <c r="G23" s="122">
        <v>1664</v>
      </c>
      <c r="H23" s="833">
        <v>2.3082123810625603</v>
      </c>
      <c r="I23" s="26">
        <v>1.4228436708174641E-4</v>
      </c>
    </row>
    <row r="24" spans="1:9" ht="18" customHeight="1" thickBot="1">
      <c r="A24" s="561">
        <v>2001</v>
      </c>
      <c r="B24" s="30">
        <v>7260339</v>
      </c>
      <c r="C24" s="26">
        <v>7.1156472663080617E-3</v>
      </c>
      <c r="D24" s="30">
        <v>14178</v>
      </c>
      <c r="E24" s="834">
        <v>1.952801377456342</v>
      </c>
      <c r="F24" s="128">
        <v>1.0249526210306614E-2</v>
      </c>
      <c r="G24" s="122">
        <v>1653</v>
      </c>
      <c r="H24" s="833">
        <v>2.2767531929294211</v>
      </c>
      <c r="I24" s="26">
        <v>-1.362924330154458E-2</v>
      </c>
    </row>
    <row r="25" spans="1:9" ht="30" customHeight="1" thickBot="1">
      <c r="A25" s="562">
        <v>2002</v>
      </c>
      <c r="B25" s="136">
        <v>7347770</v>
      </c>
      <c r="C25" s="636">
        <v>1.2042275160980775E-2</v>
      </c>
      <c r="D25" s="136">
        <v>14408</v>
      </c>
      <c r="E25" s="835">
        <v>1.9608670385708864</v>
      </c>
      <c r="F25" s="137">
        <v>4.1303028601149538E-3</v>
      </c>
      <c r="G25" s="138">
        <v>1648</v>
      </c>
      <c r="H25" s="836">
        <v>2.2428573567218355</v>
      </c>
      <c r="I25" s="636">
        <v>-1.4887795617395394E-2</v>
      </c>
    </row>
    <row r="26" spans="1:9" ht="20" customHeight="1">
      <c r="A26" s="752" t="s">
        <v>178</v>
      </c>
      <c r="B26" s="753"/>
      <c r="C26" s="753"/>
      <c r="D26" s="753"/>
      <c r="E26" s="753"/>
      <c r="F26" s="753"/>
      <c r="G26" s="753"/>
      <c r="H26" s="753"/>
      <c r="I26" s="753"/>
    </row>
    <row r="27" spans="1:9" ht="17.25" customHeight="1">
      <c r="A27" s="754"/>
      <c r="B27" s="755"/>
      <c r="C27" s="755"/>
      <c r="D27" s="755"/>
      <c r="E27" s="755"/>
      <c r="F27" s="755"/>
      <c r="G27" s="755"/>
      <c r="H27" s="755"/>
      <c r="I27" s="755"/>
    </row>
    <row r="28" spans="1:9" ht="12" customHeight="1">
      <c r="A28" s="754" t="s">
        <v>1232</v>
      </c>
      <c r="B28" s="755"/>
      <c r="C28" s="755"/>
      <c r="D28" s="755"/>
      <c r="E28" s="755"/>
      <c r="F28" s="755"/>
      <c r="G28" s="755"/>
      <c r="H28" s="755"/>
      <c r="I28" s="755"/>
    </row>
    <row r="29" spans="1:9" ht="12" customHeight="1">
      <c r="A29" s="247" t="s">
        <v>1233</v>
      </c>
      <c r="B29" s="755"/>
      <c r="C29" s="755"/>
      <c r="D29" s="755"/>
      <c r="E29" s="755"/>
      <c r="F29" s="755"/>
      <c r="G29" s="755"/>
      <c r="H29" s="755"/>
      <c r="I29" s="755"/>
    </row>
    <row r="30" spans="1:9" ht="12" customHeight="1">
      <c r="A30" s="247" t="s">
        <v>1234</v>
      </c>
      <c r="B30" s="755"/>
      <c r="C30" s="755"/>
      <c r="D30" s="755"/>
      <c r="E30" s="755"/>
      <c r="F30" s="755"/>
      <c r="G30" s="755"/>
      <c r="H30" s="755"/>
      <c r="I30" s="755"/>
    </row>
    <row r="31" spans="1:9" ht="12" customHeight="1">
      <c r="A31" s="247" t="s">
        <v>1235</v>
      </c>
      <c r="B31" s="755"/>
      <c r="C31" s="755"/>
      <c r="D31" s="755"/>
      <c r="E31" s="755"/>
      <c r="F31" s="755"/>
      <c r="G31" s="755"/>
      <c r="H31" s="755"/>
      <c r="I31" s="755"/>
    </row>
    <row r="32" spans="1:9" ht="39.75" customHeight="1">
      <c r="A32" s="62"/>
      <c r="B32" s="650"/>
      <c r="C32" s="650"/>
      <c r="D32" s="650"/>
      <c r="E32" s="650"/>
      <c r="F32" s="650"/>
      <c r="G32" s="650"/>
      <c r="H32" s="650"/>
      <c r="I32" s="650"/>
    </row>
    <row r="33" spans="1:14" ht="18" customHeight="1">
      <c r="A33" s="10"/>
      <c r="B33" s="650"/>
      <c r="C33" s="650"/>
      <c r="D33" s="650"/>
      <c r="E33" s="650"/>
      <c r="F33" s="650"/>
      <c r="G33" s="650"/>
      <c r="H33" s="650"/>
      <c r="I33" s="650"/>
    </row>
    <row r="34" spans="1:14" ht="31" customHeight="1">
      <c r="A34" s="39"/>
      <c r="B34" s="649"/>
      <c r="C34" s="649"/>
      <c r="D34" s="649"/>
      <c r="E34" s="649"/>
      <c r="F34" s="649"/>
      <c r="G34" s="649"/>
      <c r="H34" s="649"/>
      <c r="I34" s="649"/>
      <c r="J34" s="39"/>
      <c r="K34" s="39"/>
      <c r="L34" s="39"/>
      <c r="M34" s="39"/>
      <c r="N34" s="39"/>
    </row>
    <row r="35" spans="1:14" ht="31" customHeight="1">
      <c r="A35" s="39"/>
      <c r="B35" s="649"/>
      <c r="C35" s="649"/>
      <c r="D35" s="649"/>
      <c r="E35" s="649"/>
      <c r="F35" s="649"/>
      <c r="G35" s="649"/>
      <c r="H35" s="649"/>
      <c r="I35" s="649"/>
      <c r="J35" s="39"/>
      <c r="K35" s="39"/>
      <c r="L35" s="837"/>
      <c r="M35" s="39"/>
      <c r="N35" s="39"/>
    </row>
    <row r="36" spans="1:14" ht="31" customHeight="1">
      <c r="A36" s="39"/>
      <c r="B36" s="649"/>
      <c r="C36" s="649"/>
      <c r="D36" s="649"/>
      <c r="E36" s="649"/>
      <c r="F36" s="649"/>
      <c r="G36" s="649"/>
      <c r="H36" s="649"/>
      <c r="I36" s="649"/>
      <c r="J36" s="39"/>
      <c r="K36" s="39"/>
      <c r="L36" s="39"/>
      <c r="M36" s="39"/>
      <c r="N36" s="39"/>
    </row>
    <row r="37" spans="1:14" ht="31" customHeight="1">
      <c r="A37" s="39"/>
      <c r="B37" s="649"/>
      <c r="C37" s="649"/>
      <c r="D37" s="649"/>
      <c r="E37" s="649"/>
      <c r="F37" s="649"/>
      <c r="G37" s="649"/>
      <c r="H37" s="649"/>
      <c r="I37" s="649"/>
      <c r="J37" s="39"/>
      <c r="K37" s="39"/>
      <c r="L37" s="39"/>
      <c r="M37" s="39"/>
      <c r="N37" s="39"/>
    </row>
    <row r="38" spans="1:14" ht="31" customHeight="1">
      <c r="A38" s="39"/>
      <c r="B38" s="649"/>
      <c r="C38" s="649"/>
      <c r="D38" s="649"/>
      <c r="E38" s="649"/>
      <c r="F38" s="649"/>
      <c r="G38" s="649"/>
      <c r="H38" s="649"/>
      <c r="I38" s="649"/>
      <c r="J38" s="39"/>
      <c r="K38" s="39"/>
      <c r="L38" s="39"/>
      <c r="M38" s="39"/>
      <c r="N38" s="39"/>
    </row>
    <row r="39" spans="1:14" ht="31" customHeight="1">
      <c r="A39" s="39"/>
      <c r="B39" s="649"/>
      <c r="C39" s="649"/>
      <c r="D39" s="649"/>
      <c r="E39" s="649"/>
      <c r="F39" s="649"/>
      <c r="G39" s="649"/>
      <c r="H39" s="649"/>
      <c r="I39" s="649"/>
      <c r="J39" s="39"/>
      <c r="K39" s="39"/>
      <c r="L39" s="39"/>
      <c r="M39" s="39"/>
      <c r="N39" s="39"/>
    </row>
    <row r="40" spans="1:14" ht="31" customHeight="1">
      <c r="A40" s="39"/>
      <c r="B40" s="649"/>
      <c r="C40" s="649"/>
      <c r="D40" s="649"/>
      <c r="E40" s="649"/>
      <c r="F40" s="649"/>
      <c r="G40" s="649"/>
      <c r="H40" s="649"/>
      <c r="I40" s="649"/>
      <c r="J40" s="39"/>
      <c r="K40" s="39"/>
      <c r="L40" s="39"/>
      <c r="M40" s="39"/>
      <c r="N40" s="39"/>
    </row>
    <row r="41" spans="1:14" ht="18" customHeight="1">
      <c r="A41" s="39"/>
      <c r="B41" s="649"/>
      <c r="C41" s="649"/>
      <c r="D41" s="649"/>
      <c r="E41" s="649"/>
      <c r="F41" s="649"/>
      <c r="G41" s="649"/>
      <c r="H41" s="649"/>
      <c r="I41" s="649"/>
      <c r="J41" s="39"/>
      <c r="K41" s="39"/>
      <c r="L41" s="39"/>
      <c r="M41" s="39"/>
      <c r="N41" s="39"/>
    </row>
    <row r="42" spans="1:14">
      <c r="A42" s="39"/>
      <c r="B42" s="649"/>
      <c r="C42" s="649"/>
      <c r="D42" s="649"/>
      <c r="E42" s="649"/>
      <c r="F42" s="649"/>
      <c r="G42" s="649"/>
      <c r="H42" s="649"/>
      <c r="I42" s="649"/>
      <c r="J42" s="39"/>
      <c r="K42" s="39"/>
      <c r="L42" s="39"/>
      <c r="M42" s="39"/>
      <c r="N42" s="39"/>
    </row>
    <row r="43" spans="1:14">
      <c r="A43" s="39"/>
      <c r="B43" s="649"/>
      <c r="C43" s="649"/>
      <c r="D43" s="649"/>
      <c r="E43" s="649"/>
      <c r="F43" s="649"/>
      <c r="G43" s="649"/>
      <c r="H43" s="649"/>
      <c r="I43" s="649"/>
      <c r="J43" s="39"/>
      <c r="K43" s="39"/>
      <c r="L43" s="39"/>
      <c r="M43" s="39"/>
      <c r="N43" s="39"/>
    </row>
    <row r="44" spans="1:14">
      <c r="A44" s="39"/>
      <c r="B44" s="649"/>
      <c r="C44" s="649"/>
      <c r="D44" s="649"/>
      <c r="E44" s="649"/>
      <c r="F44" s="649"/>
      <c r="G44" s="649"/>
      <c r="H44" s="649"/>
      <c r="I44" s="649"/>
      <c r="J44" s="39"/>
      <c r="K44" s="39"/>
      <c r="L44" s="39"/>
      <c r="M44" s="39"/>
      <c r="N44" s="39"/>
    </row>
    <row r="45" spans="1:14">
      <c r="A45" s="39"/>
      <c r="B45" s="649"/>
      <c r="C45" s="649"/>
      <c r="D45" s="649"/>
      <c r="E45" s="649"/>
      <c r="F45" s="649"/>
      <c r="G45" s="649"/>
      <c r="H45" s="649"/>
      <c r="I45" s="649"/>
      <c r="J45" s="39"/>
      <c r="K45" s="39"/>
      <c r="L45" s="39"/>
      <c r="M45" s="39"/>
      <c r="N45" s="39"/>
    </row>
    <row r="46" spans="1:14">
      <c r="A46" s="39"/>
      <c r="B46" s="649"/>
      <c r="C46" s="649"/>
      <c r="D46" s="649"/>
      <c r="E46" s="649"/>
      <c r="F46" s="649"/>
      <c r="G46" s="649"/>
      <c r="H46" s="649"/>
      <c r="I46" s="649"/>
      <c r="J46" s="39"/>
      <c r="K46" s="39"/>
      <c r="L46" s="39"/>
      <c r="M46" s="39"/>
      <c r="N46" s="39"/>
    </row>
  </sheetData>
  <phoneticPr fontId="0" type="noConversion"/>
  <pageMargins left="0.78740157480314965" right="0.33" top="1.45" bottom="0.49" header="0.94"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DCB89-D48F-D448-8443-66801417538E}">
  <dimension ref="A1:N33"/>
  <sheetViews>
    <sheetView topLeftCell="A18" zoomScale="75" workbookViewId="0">
      <selection activeCell="A22" sqref="A22"/>
    </sheetView>
  </sheetViews>
  <sheetFormatPr baseColWidth="10" defaultColWidth="11.3984375" defaultRowHeight="13"/>
  <cols>
    <col min="1" max="1" width="15.59765625" style="3" customWidth="1"/>
    <col min="2" max="2" width="14" style="22" customWidth="1"/>
    <col min="3" max="3" width="13.3984375" style="22" customWidth="1"/>
    <col min="4" max="4" width="12.796875" style="22" customWidth="1"/>
    <col min="5" max="5" width="13" style="22" customWidth="1"/>
    <col min="6" max="6" width="13.796875" style="22" customWidth="1"/>
    <col min="7" max="7" width="13.19921875" style="22" customWidth="1"/>
    <col min="8" max="8" width="12.59765625" style="3" customWidth="1"/>
    <col min="9" max="9" width="12.796875" style="3" customWidth="1"/>
    <col min="10" max="10" width="13.3984375" customWidth="1"/>
    <col min="11" max="11" width="11.3984375" style="3"/>
    <col min="12" max="12" width="12.19921875" style="3" customWidth="1"/>
    <col min="13" max="13" width="11.3984375" style="3"/>
    <col min="14" max="14" width="14.19921875" style="3" customWidth="1"/>
    <col min="15" max="16384" width="11.3984375" style="3"/>
  </cols>
  <sheetData>
    <row r="1" spans="1:14" s="1" customFormat="1" ht="14" customHeight="1">
      <c r="A1" s="62"/>
      <c r="B1" s="634"/>
      <c r="C1" s="634"/>
      <c r="D1" s="634"/>
      <c r="E1" s="634"/>
      <c r="F1" s="634"/>
      <c r="G1" s="634"/>
      <c r="H1" s="62"/>
      <c r="J1"/>
    </row>
    <row r="2" spans="1:14" s="1" customFormat="1" ht="27" customHeight="1">
      <c r="A2" s="240" t="s">
        <v>1575</v>
      </c>
      <c r="B2" s="634"/>
      <c r="C2" s="634"/>
      <c r="D2" s="634"/>
      <c r="E2" s="634"/>
      <c r="F2" s="634"/>
      <c r="G2" s="634"/>
      <c r="H2" s="62"/>
      <c r="I2" s="779"/>
      <c r="J2"/>
    </row>
    <row r="3" spans="1:14" ht="21.75" customHeight="1">
      <c r="A3" s="2" t="s">
        <v>335</v>
      </c>
      <c r="B3" s="467" t="s">
        <v>1576</v>
      </c>
      <c r="C3" s="756" t="s">
        <v>1577</v>
      </c>
      <c r="D3" s="780"/>
      <c r="E3" s="17"/>
      <c r="F3" s="74"/>
      <c r="G3" s="756" t="s">
        <v>1220</v>
      </c>
      <c r="H3" s="74"/>
      <c r="I3" s="17"/>
      <c r="J3" s="74"/>
      <c r="K3" s="756" t="s">
        <v>1578</v>
      </c>
      <c r="L3" s="74"/>
      <c r="M3" s="17"/>
      <c r="N3" s="74"/>
    </row>
    <row r="4" spans="1:14" ht="18" customHeight="1">
      <c r="A4" s="82"/>
      <c r="B4" s="469" t="s">
        <v>999</v>
      </c>
      <c r="C4" s="821"/>
      <c r="D4" s="559"/>
      <c r="E4" s="18"/>
      <c r="F4" s="75"/>
      <c r="G4" s="821"/>
      <c r="H4" s="559"/>
      <c r="I4" s="18"/>
      <c r="J4" s="75"/>
      <c r="K4" s="821" t="s">
        <v>1579</v>
      </c>
      <c r="L4" s="559"/>
      <c r="M4" s="18"/>
      <c r="N4" s="75"/>
    </row>
    <row r="5" spans="1:14" s="134" customFormat="1" ht="15" customHeight="1">
      <c r="A5" s="276"/>
      <c r="B5" s="469" t="s">
        <v>1580</v>
      </c>
      <c r="C5" s="822" t="s">
        <v>1642</v>
      </c>
      <c r="D5" s="75" t="s">
        <v>1642</v>
      </c>
      <c r="E5" s="18" t="s">
        <v>1642</v>
      </c>
      <c r="F5" s="469" t="s">
        <v>1576</v>
      </c>
      <c r="G5" s="822" t="s">
        <v>1642</v>
      </c>
      <c r="H5" s="75" t="s">
        <v>1642</v>
      </c>
      <c r="I5" s="18" t="s">
        <v>1642</v>
      </c>
      <c r="J5" s="469" t="s">
        <v>1576</v>
      </c>
      <c r="K5" s="822" t="s">
        <v>1642</v>
      </c>
      <c r="L5" s="75" t="s">
        <v>1642</v>
      </c>
      <c r="M5" s="18" t="s">
        <v>1642</v>
      </c>
      <c r="N5" s="469" t="s">
        <v>1576</v>
      </c>
    </row>
    <row r="6" spans="1:14" s="134" customFormat="1" ht="15" customHeight="1">
      <c r="A6" s="276"/>
      <c r="B6" s="469" t="s">
        <v>1581</v>
      </c>
      <c r="C6" s="822" t="s">
        <v>1643</v>
      </c>
      <c r="D6" s="559" t="s">
        <v>1582</v>
      </c>
      <c r="E6" s="18" t="s">
        <v>1583</v>
      </c>
      <c r="F6" s="469" t="s">
        <v>999</v>
      </c>
      <c r="G6" s="822" t="s">
        <v>1643</v>
      </c>
      <c r="H6" s="559" t="s">
        <v>1582</v>
      </c>
      <c r="I6" s="18" t="s">
        <v>1583</v>
      </c>
      <c r="J6" s="469" t="s">
        <v>999</v>
      </c>
      <c r="K6" s="822" t="s">
        <v>1643</v>
      </c>
      <c r="L6" s="559" t="s">
        <v>1582</v>
      </c>
      <c r="M6" s="18" t="s">
        <v>1583</v>
      </c>
      <c r="N6" s="469" t="s">
        <v>999</v>
      </c>
    </row>
    <row r="7" spans="1:14" s="134" customFormat="1" ht="18" customHeight="1">
      <c r="A7" s="276"/>
      <c r="B7" s="469" t="s">
        <v>1584</v>
      </c>
      <c r="C7" s="822" t="s">
        <v>1585</v>
      </c>
      <c r="D7" s="469" t="s">
        <v>1221</v>
      </c>
      <c r="E7" s="470" t="s">
        <v>1221</v>
      </c>
      <c r="F7" s="469"/>
      <c r="G7" s="822" t="s">
        <v>1585</v>
      </c>
      <c r="H7" s="469" t="s">
        <v>1586</v>
      </c>
      <c r="I7" s="470" t="s">
        <v>1586</v>
      </c>
      <c r="J7" s="469"/>
      <c r="K7" s="822" t="s">
        <v>1585</v>
      </c>
      <c r="L7" s="469" t="s">
        <v>1586</v>
      </c>
      <c r="M7" s="470" t="s">
        <v>1586</v>
      </c>
      <c r="N7" s="469"/>
    </row>
    <row r="8" spans="1:14" s="134" customFormat="1" ht="24" customHeight="1">
      <c r="A8" s="276"/>
      <c r="B8" s="469"/>
      <c r="C8" s="822" t="s">
        <v>1222</v>
      </c>
      <c r="D8" s="469"/>
      <c r="E8" s="470"/>
      <c r="F8" s="469"/>
      <c r="G8" s="822" t="s">
        <v>1586</v>
      </c>
      <c r="H8" s="469"/>
      <c r="I8" s="470"/>
      <c r="J8" s="469"/>
      <c r="K8" s="822" t="s">
        <v>1586</v>
      </c>
      <c r="L8" s="469"/>
      <c r="M8" s="470"/>
      <c r="N8" s="469"/>
    </row>
    <row r="9" spans="1:14" ht="27" customHeight="1" thickBot="1">
      <c r="A9" s="812">
        <v>1994</v>
      </c>
      <c r="B9" s="823">
        <v>7131653</v>
      </c>
      <c r="C9" s="824" t="s">
        <v>490</v>
      </c>
      <c r="D9" s="813">
        <v>0.19055217633275204</v>
      </c>
      <c r="E9" s="814">
        <v>0.10299505598491682</v>
      </c>
      <c r="F9" s="823">
        <v>2093477</v>
      </c>
      <c r="G9" s="824" t="s">
        <v>490</v>
      </c>
      <c r="H9" s="813" t="s">
        <v>490</v>
      </c>
      <c r="I9" s="814" t="s">
        <v>490</v>
      </c>
      <c r="J9" s="813" t="s">
        <v>490</v>
      </c>
      <c r="K9" s="824" t="s">
        <v>490</v>
      </c>
      <c r="L9" s="813" t="s">
        <v>490</v>
      </c>
      <c r="M9" s="814" t="s">
        <v>490</v>
      </c>
      <c r="N9" s="813" t="s">
        <v>490</v>
      </c>
    </row>
    <row r="10" spans="1:14" ht="27" customHeight="1" thickBot="1">
      <c r="A10" s="812">
        <v>1995</v>
      </c>
      <c r="B10" s="823">
        <v>7166317</v>
      </c>
      <c r="C10" s="824" t="s">
        <v>490</v>
      </c>
      <c r="D10" s="813">
        <v>0.19392360120268193</v>
      </c>
      <c r="E10" s="814">
        <v>0.10486920966515995</v>
      </c>
      <c r="F10" s="823">
        <v>2141244</v>
      </c>
      <c r="G10" s="824" t="s">
        <v>490</v>
      </c>
      <c r="H10" s="813" t="s">
        <v>490</v>
      </c>
      <c r="I10" s="814" t="s">
        <v>490</v>
      </c>
      <c r="J10" s="813" t="s">
        <v>490</v>
      </c>
      <c r="K10" s="824" t="s">
        <v>490</v>
      </c>
      <c r="L10" s="813" t="s">
        <v>490</v>
      </c>
      <c r="M10" s="814" t="s">
        <v>490</v>
      </c>
      <c r="N10" s="813" t="s">
        <v>490</v>
      </c>
    </row>
    <row r="11" spans="1:14" ht="27" customHeight="1" thickBot="1">
      <c r="A11" s="812">
        <v>1996</v>
      </c>
      <c r="B11" s="823">
        <v>7194754</v>
      </c>
      <c r="C11" s="824" t="s">
        <v>490</v>
      </c>
      <c r="D11" s="813">
        <v>0.18782351696805755</v>
      </c>
      <c r="E11" s="814">
        <v>0.10061414191506757</v>
      </c>
      <c r="F11" s="823">
        <v>2075238</v>
      </c>
      <c r="G11" s="824" t="s">
        <v>490</v>
      </c>
      <c r="H11" s="813" t="s">
        <v>490</v>
      </c>
      <c r="I11" s="814" t="s">
        <v>490</v>
      </c>
      <c r="J11" s="813" t="s">
        <v>490</v>
      </c>
      <c r="K11" s="824" t="s">
        <v>490</v>
      </c>
      <c r="L11" s="813" t="s">
        <v>490</v>
      </c>
      <c r="M11" s="814" t="s">
        <v>490</v>
      </c>
      <c r="N11" s="813" t="s">
        <v>490</v>
      </c>
    </row>
    <row r="12" spans="1:14" ht="27" customHeight="1" thickBot="1">
      <c r="A12" s="812">
        <v>1997</v>
      </c>
      <c r="B12" s="823">
        <v>7214805</v>
      </c>
      <c r="C12" s="824">
        <v>0.2921774046561203</v>
      </c>
      <c r="D12" s="813">
        <v>0.17122098241047401</v>
      </c>
      <c r="E12" s="814">
        <v>8.6709897218289339E-2</v>
      </c>
      <c r="F12" s="823">
        <v>3968924</v>
      </c>
      <c r="G12" s="824">
        <v>4.6746100552960197E-2</v>
      </c>
      <c r="H12" s="813">
        <v>2.1729346808402997E-2</v>
      </c>
      <c r="I12" s="814">
        <v>6.734901359080391E-3</v>
      </c>
      <c r="J12" s="823">
        <v>542628</v>
      </c>
      <c r="K12" s="824">
        <v>0.33892350520908049</v>
      </c>
      <c r="L12" s="813">
        <v>0.192950329218877</v>
      </c>
      <c r="M12" s="814">
        <v>9.3444798577369731E-2</v>
      </c>
      <c r="N12" s="823">
        <v>4511552</v>
      </c>
    </row>
    <row r="13" spans="1:14" ht="27" customHeight="1" thickBot="1">
      <c r="A13" s="812">
        <v>1998</v>
      </c>
      <c r="B13" s="823">
        <v>7248603</v>
      </c>
      <c r="C13" s="824">
        <v>0.31128039430494397</v>
      </c>
      <c r="D13" s="813">
        <v>0.16889778623549945</v>
      </c>
      <c r="E13" s="814">
        <v>8.0429428953413512E-2</v>
      </c>
      <c r="F13" s="823">
        <v>4063622</v>
      </c>
      <c r="G13" s="824">
        <v>4.7327740255605114E-2</v>
      </c>
      <c r="H13" s="813">
        <v>2.1183943995829266E-2</v>
      </c>
      <c r="I13" s="814">
        <v>6.9956928252243918E-3</v>
      </c>
      <c r="J13" s="823">
        <v>547323</v>
      </c>
      <c r="K13" s="824">
        <v>0.35860813456054907</v>
      </c>
      <c r="L13" s="813">
        <v>0.19008173023132871</v>
      </c>
      <c r="M13" s="814">
        <v>8.7425121778637899E-2</v>
      </c>
      <c r="N13" s="823">
        <v>4610945</v>
      </c>
    </row>
    <row r="14" spans="1:14" ht="27" customHeight="1" thickBot="1">
      <c r="A14" s="561">
        <v>1999</v>
      </c>
      <c r="B14" s="823">
        <v>7266534</v>
      </c>
      <c r="C14" s="824">
        <v>0.27493520294544826</v>
      </c>
      <c r="D14" s="813">
        <v>0.15472314586293823</v>
      </c>
      <c r="E14" s="814">
        <v>7.4331173569132131E-2</v>
      </c>
      <c r="F14" s="823">
        <v>3662257</v>
      </c>
      <c r="G14" s="824">
        <v>7.5837668962947122E-2</v>
      </c>
      <c r="H14" s="813">
        <v>3.5360462085500463E-2</v>
      </c>
      <c r="I14" s="814">
        <v>5.9961186447348904E-3</v>
      </c>
      <c r="J14" s="823">
        <v>851596</v>
      </c>
      <c r="K14" s="824">
        <v>0.3507728719083954</v>
      </c>
      <c r="L14" s="813">
        <v>0.1900836079484387</v>
      </c>
      <c r="M14" s="814">
        <v>8.0327292213867016E-2</v>
      </c>
      <c r="N14" s="823">
        <v>4513853</v>
      </c>
    </row>
    <row r="15" spans="1:14" ht="27" customHeight="1" thickBot="1">
      <c r="A15" s="561">
        <v>2000</v>
      </c>
      <c r="B15" s="823">
        <v>7268111</v>
      </c>
      <c r="C15" s="824">
        <v>0.20126508799879364</v>
      </c>
      <c r="D15" s="813">
        <v>0.12321647261578696</v>
      </c>
      <c r="E15" s="814">
        <v>6.2163057223534421E-2</v>
      </c>
      <c r="F15" s="823">
        <v>2810176</v>
      </c>
      <c r="G15" s="824">
        <v>0.19326576052567165</v>
      </c>
      <c r="H15" s="813">
        <v>6.6940089384985996E-2</v>
      </c>
      <c r="I15" s="814">
        <v>2.2992631785618025E-2</v>
      </c>
      <c r="J15" s="823">
        <v>2058318</v>
      </c>
      <c r="K15" s="824">
        <v>0.39453084852446529</v>
      </c>
      <c r="L15" s="813">
        <v>0.19015656200077297</v>
      </c>
      <c r="M15" s="814">
        <v>8.5155689009152449E-2</v>
      </c>
      <c r="N15" s="823">
        <v>4868494</v>
      </c>
    </row>
    <row r="16" spans="1:14" ht="27" customHeight="1" thickBot="1">
      <c r="A16" s="561">
        <v>2001</v>
      </c>
      <c r="B16" s="823">
        <v>7321287</v>
      </c>
      <c r="C16" s="824">
        <v>0.16551188336149095</v>
      </c>
      <c r="D16" s="813">
        <v>0.11914653803354519</v>
      </c>
      <c r="E16" s="814">
        <v>6.1670168100226096E-2</v>
      </c>
      <c r="F16" s="823">
        <v>2535571</v>
      </c>
      <c r="G16" s="824">
        <v>0.22884637632700372</v>
      </c>
      <c r="H16" s="813">
        <v>9.1391855011284218E-2</v>
      </c>
      <c r="I16" s="814">
        <v>3.6045984811140443E-2</v>
      </c>
      <c r="J16" s="823">
        <v>2608459</v>
      </c>
      <c r="K16" s="824">
        <v>0.39435825968849469</v>
      </c>
      <c r="L16" s="813">
        <v>0.21053839304482941</v>
      </c>
      <c r="M16" s="814">
        <v>9.7716152911366538E-2</v>
      </c>
      <c r="N16" s="823">
        <v>5144030</v>
      </c>
    </row>
    <row r="17" spans="1:14" s="115" customFormat="1" ht="27" customHeight="1" thickBot="1">
      <c r="A17" s="562">
        <v>2002</v>
      </c>
      <c r="B17" s="270">
        <v>7359365</v>
      </c>
      <c r="C17" s="825">
        <v>0.19453539809480846</v>
      </c>
      <c r="D17" s="826">
        <v>0.10741619691372829</v>
      </c>
      <c r="E17" s="827">
        <v>5.1274804279988831E-2</v>
      </c>
      <c r="F17" s="828">
        <v>2599522</v>
      </c>
      <c r="G17" s="825">
        <v>0.22534498560677449</v>
      </c>
      <c r="H17" s="826">
        <v>9.5236341722417628E-2</v>
      </c>
      <c r="I17" s="666">
        <v>4.2874215370483727E-2</v>
      </c>
      <c r="J17" s="270">
        <v>2674802</v>
      </c>
      <c r="K17" s="829">
        <v>0.41988038370158298</v>
      </c>
      <c r="L17" s="481">
        <v>0.20265253863614591</v>
      </c>
      <c r="M17" s="666">
        <v>9.4149019650472565E-2</v>
      </c>
      <c r="N17" s="270">
        <v>5274324</v>
      </c>
    </row>
    <row r="18" spans="1:14" ht="20" customHeight="1">
      <c r="A18" s="752" t="s">
        <v>1587</v>
      </c>
      <c r="B18" s="753"/>
      <c r="C18" s="753"/>
      <c r="D18" s="753"/>
      <c r="E18" s="753"/>
      <c r="F18" s="753"/>
      <c r="G18" s="753"/>
      <c r="H18" s="753"/>
    </row>
    <row r="19" spans="1:14" ht="11.25" customHeight="1">
      <c r="A19" s="754"/>
      <c r="B19" s="755"/>
      <c r="C19" s="755"/>
      <c r="D19" s="755"/>
      <c r="E19" s="755"/>
      <c r="F19" s="755"/>
      <c r="G19" s="755"/>
      <c r="H19" s="755"/>
    </row>
    <row r="20" spans="1:14" ht="12.75" customHeight="1">
      <c r="A20" s="754" t="s">
        <v>1218</v>
      </c>
      <c r="B20" s="755"/>
      <c r="C20" s="755"/>
      <c r="D20" s="755"/>
      <c r="E20" s="755"/>
      <c r="F20" s="755"/>
      <c r="G20" s="755"/>
      <c r="H20" s="755"/>
    </row>
    <row r="21" spans="1:14" ht="11.25" customHeight="1">
      <c r="A21" s="754" t="s">
        <v>1219</v>
      </c>
      <c r="B21" s="755"/>
      <c r="C21" s="755"/>
      <c r="D21" s="755"/>
      <c r="E21" s="755"/>
      <c r="F21" s="755"/>
      <c r="G21" s="755"/>
      <c r="H21" s="755"/>
    </row>
    <row r="22" spans="1:14" ht="22.5" customHeight="1">
      <c r="A22" s="62"/>
      <c r="B22" s="650"/>
      <c r="C22" s="650"/>
      <c r="D22" s="650"/>
      <c r="E22" s="650"/>
      <c r="F22" s="650"/>
      <c r="G22" s="650"/>
      <c r="H22" s="247"/>
    </row>
    <row r="23" spans="1:14" ht="18" customHeight="1">
      <c r="A23" s="10"/>
      <c r="B23" s="650"/>
      <c r="C23" s="650"/>
      <c r="D23" s="650"/>
      <c r="E23" s="650"/>
      <c r="F23" s="650"/>
      <c r="G23" s="650"/>
      <c r="H23" s="247"/>
    </row>
    <row r="24" spans="1:14" ht="31" customHeight="1">
      <c r="A24" s="247"/>
      <c r="B24" s="650"/>
      <c r="C24" s="650"/>
      <c r="D24" s="650"/>
      <c r="E24" s="650"/>
      <c r="F24" s="650"/>
      <c r="G24" s="650"/>
      <c r="H24" s="247"/>
    </row>
    <row r="25" spans="1:14" ht="31" customHeight="1">
      <c r="A25" s="247"/>
      <c r="B25" s="650"/>
      <c r="C25" s="650"/>
      <c r="D25" s="650"/>
      <c r="E25" s="650"/>
      <c r="F25" s="650"/>
      <c r="G25" s="650"/>
      <c r="H25" s="247"/>
    </row>
    <row r="26" spans="1:14" ht="31" customHeight="1">
      <c r="A26" s="247"/>
      <c r="B26" s="650"/>
      <c r="C26" s="650"/>
      <c r="D26" s="650"/>
      <c r="E26" s="650"/>
      <c r="F26" s="650"/>
      <c r="G26" s="650"/>
      <c r="H26" s="247"/>
    </row>
    <row r="27" spans="1:14" ht="31" customHeight="1">
      <c r="A27" s="247"/>
      <c r="B27" s="650"/>
      <c r="C27" s="650"/>
      <c r="D27" s="650"/>
      <c r="E27" s="650"/>
      <c r="F27" s="650"/>
      <c r="G27" s="650"/>
      <c r="H27" s="247"/>
    </row>
    <row r="28" spans="1:14" ht="31" customHeight="1">
      <c r="A28" s="247"/>
      <c r="B28" s="650"/>
      <c r="C28" s="650"/>
      <c r="D28" s="650"/>
      <c r="E28" s="650"/>
      <c r="F28" s="650"/>
      <c r="G28" s="650"/>
      <c r="H28" s="247"/>
    </row>
    <row r="29" spans="1:14" ht="31" customHeight="1">
      <c r="A29" s="247"/>
      <c r="B29" s="650"/>
      <c r="C29" s="650"/>
      <c r="D29" s="650"/>
      <c r="E29" s="650"/>
      <c r="F29" s="650"/>
      <c r="G29" s="650"/>
      <c r="H29" s="247"/>
    </row>
    <row r="30" spans="1:14" ht="31" customHeight="1">
      <c r="A30" s="247"/>
      <c r="B30" s="650"/>
      <c r="C30" s="650"/>
      <c r="D30" s="650"/>
      <c r="E30" s="650"/>
      <c r="F30" s="650"/>
      <c r="G30" s="650"/>
      <c r="H30" s="247"/>
    </row>
    <row r="31" spans="1:14" ht="31" customHeight="1">
      <c r="A31" s="247"/>
      <c r="B31" s="650"/>
      <c r="C31" s="650"/>
      <c r="D31" s="650"/>
      <c r="E31" s="650"/>
      <c r="F31" s="650"/>
      <c r="G31" s="650"/>
      <c r="H31" s="247"/>
    </row>
    <row r="32" spans="1:14">
      <c r="A32" s="247"/>
      <c r="B32" s="650"/>
      <c r="C32" s="650"/>
      <c r="D32" s="650"/>
      <c r="E32" s="650"/>
      <c r="F32" s="650"/>
      <c r="G32" s="650"/>
      <c r="H32" s="247"/>
    </row>
    <row r="33" spans="1:8">
      <c r="A33" s="247"/>
      <c r="B33" s="650"/>
      <c r="C33" s="650"/>
      <c r="D33" s="650"/>
      <c r="E33" s="650"/>
      <c r="F33" s="650"/>
      <c r="G33" s="650"/>
      <c r="H33" s="247"/>
    </row>
  </sheetData>
  <phoneticPr fontId="0" type="noConversion"/>
  <pageMargins left="0.45" right="0.23" top="1.07" bottom="0.49" header="0.71" footer="0.4921259845"/>
  <pageSetup paperSize="9" scale="75" orientation="landscape" horizontalDpi="1200" verticalDpi="1200"/>
  <headerFooter alignWithMargins="0">
    <oddHeader>&amp;L&amp;"Arial,Bold"&amp;14Zusatzinformationen zum Gesundheitswesen</oddHeader>
    <oddFooter>&amp;L&amp;"Arial,Regular"Statistik der Krankenversicherung, Bundesamt für Sozialversicherung</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BDEC-8D2C-304D-9697-747AC98D2CC6}">
  <dimension ref="A1:K43"/>
  <sheetViews>
    <sheetView topLeftCell="A19" zoomScale="75" workbookViewId="0">
      <selection activeCell="J2" sqref="J2"/>
    </sheetView>
  </sheetViews>
  <sheetFormatPr baseColWidth="10" defaultColWidth="11.3984375" defaultRowHeight="13"/>
  <cols>
    <col min="1" max="1" width="12.19921875" style="3" customWidth="1"/>
    <col min="2" max="2" width="13.19921875" style="22" customWidth="1"/>
    <col min="3" max="3" width="12.796875" style="22" customWidth="1"/>
    <col min="4" max="4" width="14" style="22" customWidth="1"/>
    <col min="5" max="5" width="13.3984375" style="22" customWidth="1"/>
    <col min="6" max="6" width="13.59765625" style="22" customWidth="1"/>
    <col min="7" max="7" width="13.19921875" style="22" customWidth="1"/>
    <col min="8" max="8" width="13.3984375" style="22" customWidth="1"/>
    <col min="9" max="9" width="12.796875" style="22" customWidth="1"/>
    <col min="10" max="16384" width="11.3984375" style="3"/>
  </cols>
  <sheetData>
    <row r="1" spans="1:9" s="1" customFormat="1" ht="14" customHeight="1">
      <c r="A1" s="62"/>
      <c r="B1" s="634"/>
      <c r="C1" s="634"/>
      <c r="D1" s="634"/>
      <c r="E1" s="634"/>
      <c r="F1" s="634"/>
      <c r="G1" s="634"/>
      <c r="H1" s="634"/>
      <c r="I1" s="634"/>
    </row>
    <row r="2" spans="1:9" s="1" customFormat="1" ht="27" customHeight="1">
      <c r="A2" s="240" t="s">
        <v>1574</v>
      </c>
      <c r="B2" s="634"/>
      <c r="C2" s="634"/>
      <c r="D2" s="634"/>
      <c r="E2" s="634"/>
      <c r="F2" s="634"/>
      <c r="G2" s="634"/>
      <c r="H2" s="634"/>
      <c r="I2" s="634"/>
    </row>
    <row r="3" spans="1:9" s="811" customFormat="1" ht="50.25" customHeight="1">
      <c r="A3" s="808" t="s">
        <v>335</v>
      </c>
      <c r="B3" s="809" t="s">
        <v>527</v>
      </c>
      <c r="C3" s="810" t="s">
        <v>528</v>
      </c>
      <c r="D3" s="809" t="s">
        <v>529</v>
      </c>
      <c r="E3" s="810" t="s">
        <v>530</v>
      </c>
      <c r="F3" s="809" t="s">
        <v>531</v>
      </c>
      <c r="G3" s="810" t="s">
        <v>532</v>
      </c>
      <c r="H3" s="809" t="s">
        <v>538</v>
      </c>
      <c r="I3" s="810" t="s">
        <v>534</v>
      </c>
    </row>
    <row r="4" spans="1:9" ht="31.5" customHeight="1">
      <c r="A4" s="785"/>
      <c r="B4" s="559"/>
      <c r="C4" s="635"/>
      <c r="D4" s="559"/>
      <c r="E4" s="635"/>
      <c r="F4" s="559"/>
      <c r="G4" s="817"/>
      <c r="H4" s="559"/>
      <c r="I4" s="817"/>
    </row>
    <row r="5" spans="1:9" ht="30" customHeight="1" thickBot="1">
      <c r="A5" s="560">
        <v>1985</v>
      </c>
      <c r="B5" s="170">
        <v>79.803910497972154</v>
      </c>
      <c r="C5" s="169">
        <v>82.124675257010722</v>
      </c>
      <c r="D5" s="170">
        <v>74.899486171378285</v>
      </c>
      <c r="E5" s="169">
        <v>56.90324828666278</v>
      </c>
      <c r="F5" s="170" t="s">
        <v>490</v>
      </c>
      <c r="G5" s="169" t="s">
        <v>490</v>
      </c>
      <c r="H5" s="170">
        <v>71.772783316367835</v>
      </c>
      <c r="I5" s="169">
        <v>75.634286419536451</v>
      </c>
    </row>
    <row r="6" spans="1:9" ht="18" customHeight="1" thickBot="1">
      <c r="A6" s="561">
        <v>1986</v>
      </c>
      <c r="B6" s="449">
        <v>81.691551843864474</v>
      </c>
      <c r="C6" s="93">
        <v>85.120541992530136</v>
      </c>
      <c r="D6" s="449">
        <v>74.899486171378285</v>
      </c>
      <c r="E6" s="93">
        <v>58.569147999386438</v>
      </c>
      <c r="F6" s="449" t="s">
        <v>490</v>
      </c>
      <c r="G6" s="93" t="s">
        <v>490</v>
      </c>
      <c r="H6" s="449">
        <v>73.366960831407027</v>
      </c>
      <c r="I6" s="93">
        <v>76.201754702737617</v>
      </c>
    </row>
    <row r="7" spans="1:9" ht="18" customHeight="1" thickBot="1">
      <c r="A7" s="561">
        <v>1987</v>
      </c>
      <c r="B7" s="449">
        <v>83.577898301573143</v>
      </c>
      <c r="C7" s="93">
        <v>86.935850575577163</v>
      </c>
      <c r="D7" s="449">
        <v>76.3202015779178</v>
      </c>
      <c r="E7" s="93">
        <v>61.452434923213964</v>
      </c>
      <c r="F7" s="449" t="s">
        <v>490</v>
      </c>
      <c r="G7" s="93" t="s">
        <v>490</v>
      </c>
      <c r="H7" s="449">
        <v>75.359309889172337</v>
      </c>
      <c r="I7" s="93">
        <v>77.299277766856065</v>
      </c>
    </row>
    <row r="8" spans="1:9" ht="18" customHeight="1" thickBot="1">
      <c r="A8" s="561">
        <v>1988</v>
      </c>
      <c r="B8" s="449">
        <v>84.877089374469264</v>
      </c>
      <c r="C8" s="93">
        <v>87.366496649732213</v>
      </c>
      <c r="D8" s="449">
        <v>80.582347797536443</v>
      </c>
      <c r="E8" s="93">
        <v>65.450334524479089</v>
      </c>
      <c r="F8" s="449" t="s">
        <v>490</v>
      </c>
      <c r="G8" s="93" t="s">
        <v>490</v>
      </c>
      <c r="H8" s="449">
        <v>78.036645446804982</v>
      </c>
      <c r="I8" s="93">
        <v>78.746700247173862</v>
      </c>
    </row>
    <row r="9" spans="1:9" ht="18" customHeight="1" thickBot="1">
      <c r="A9" s="561">
        <v>1989</v>
      </c>
      <c r="B9" s="449">
        <v>86.408684726576709</v>
      </c>
      <c r="C9" s="93">
        <v>89.695746859504723</v>
      </c>
      <c r="D9" s="449">
        <v>80.582347797536443</v>
      </c>
      <c r="E9" s="93">
        <v>67.535096596969893</v>
      </c>
      <c r="F9" s="449" t="s">
        <v>490</v>
      </c>
      <c r="G9" s="93" t="s">
        <v>490</v>
      </c>
      <c r="H9" s="449">
        <v>79.508038518297582</v>
      </c>
      <c r="I9" s="93">
        <v>81.23138428320911</v>
      </c>
    </row>
    <row r="10" spans="1:9" ht="18" customHeight="1" thickBot="1">
      <c r="A10" s="561">
        <v>1990</v>
      </c>
      <c r="B10" s="449">
        <v>88.197810014327416</v>
      </c>
      <c r="C10" s="93">
        <v>91.567098424804811</v>
      </c>
      <c r="D10" s="449">
        <v>85.009815587951692</v>
      </c>
      <c r="E10" s="93">
        <v>71.770089120859765</v>
      </c>
      <c r="F10" s="449" t="s">
        <v>490</v>
      </c>
      <c r="G10" s="93" t="s">
        <v>490</v>
      </c>
      <c r="H10" s="449">
        <v>82.806579602227302</v>
      </c>
      <c r="I10" s="93">
        <v>85.621088701027531</v>
      </c>
    </row>
    <row r="11" spans="1:9" ht="18" customHeight="1" thickBot="1">
      <c r="A11" s="561">
        <v>1991</v>
      </c>
      <c r="B11" s="449">
        <v>91.720581467528135</v>
      </c>
      <c r="C11" s="93">
        <v>95.108243461336954</v>
      </c>
      <c r="D11" s="449">
        <v>90.067588166216254</v>
      </c>
      <c r="E11" s="93">
        <v>79.548976975420402</v>
      </c>
      <c r="F11" s="449" t="s">
        <v>490</v>
      </c>
      <c r="G11" s="93" t="s">
        <v>490</v>
      </c>
      <c r="H11" s="449">
        <v>87.989624753538052</v>
      </c>
      <c r="I11" s="93">
        <v>90.638135071792831</v>
      </c>
    </row>
    <row r="12" spans="1:9" ht="18" customHeight="1" thickBot="1">
      <c r="A12" s="561">
        <v>1992</v>
      </c>
      <c r="B12" s="449">
        <v>94.315649986415721</v>
      </c>
      <c r="C12" s="93">
        <v>99.587270200873206</v>
      </c>
      <c r="D12" s="449">
        <v>93.702489498759562</v>
      </c>
      <c r="E12" s="93">
        <v>87.550051522532087</v>
      </c>
      <c r="F12" s="449" t="s">
        <v>490</v>
      </c>
      <c r="G12" s="93" t="s">
        <v>490</v>
      </c>
      <c r="H12" s="449">
        <v>93.035240808724708</v>
      </c>
      <c r="I12" s="93">
        <v>94.297203174795513</v>
      </c>
    </row>
    <row r="13" spans="1:9" ht="18" customHeight="1" thickBot="1">
      <c r="A13" s="561">
        <v>1993</v>
      </c>
      <c r="B13" s="449">
        <v>96.154415335465316</v>
      </c>
      <c r="C13" s="93">
        <v>99.673288489423555</v>
      </c>
      <c r="D13" s="449">
        <v>97.857139317890727</v>
      </c>
      <c r="E13" s="93">
        <v>93.956078292606335</v>
      </c>
      <c r="F13" s="449">
        <v>98.042770446197054</v>
      </c>
      <c r="G13" s="93">
        <v>100</v>
      </c>
      <c r="H13" s="449">
        <v>96.308637136896735</v>
      </c>
      <c r="I13" s="93">
        <v>97.402032602062121</v>
      </c>
    </row>
    <row r="14" spans="1:9" ht="18" customHeight="1" thickBot="1">
      <c r="A14" s="561">
        <v>1994</v>
      </c>
      <c r="B14" s="449">
        <v>97.461697448812885</v>
      </c>
      <c r="C14" s="93">
        <v>99.685414748741465</v>
      </c>
      <c r="D14" s="449">
        <v>99.253471140137265</v>
      </c>
      <c r="E14" s="93">
        <v>97.373554724666249</v>
      </c>
      <c r="F14" s="449">
        <v>99.406750257998937</v>
      </c>
      <c r="G14" s="93">
        <v>100</v>
      </c>
      <c r="H14" s="449">
        <v>98.219473832979858</v>
      </c>
      <c r="I14" s="93">
        <v>98.23199008718872</v>
      </c>
    </row>
    <row r="15" spans="1:9" ht="18" customHeight="1" thickBot="1">
      <c r="A15" s="561">
        <v>1995</v>
      </c>
      <c r="B15" s="449">
        <v>100</v>
      </c>
      <c r="C15" s="93">
        <v>100</v>
      </c>
      <c r="D15" s="449">
        <v>100</v>
      </c>
      <c r="E15" s="93">
        <v>100</v>
      </c>
      <c r="F15" s="449">
        <v>100</v>
      </c>
      <c r="G15" s="93">
        <v>100</v>
      </c>
      <c r="H15" s="449">
        <v>100</v>
      </c>
      <c r="I15" s="93">
        <v>100</v>
      </c>
    </row>
    <row r="16" spans="1:9" ht="18" customHeight="1" thickBot="1">
      <c r="A16" s="561">
        <v>1996</v>
      </c>
      <c r="B16" s="449">
        <v>100.3317648296466</v>
      </c>
      <c r="C16" s="93">
        <v>100.5085129617779</v>
      </c>
      <c r="D16" s="449">
        <v>100.6394757972715</v>
      </c>
      <c r="E16" s="93">
        <v>103.41952344611119</v>
      </c>
      <c r="F16" s="449">
        <v>100.15009280076963</v>
      </c>
      <c r="G16" s="93">
        <v>99.950338889746504</v>
      </c>
      <c r="H16" s="449">
        <v>101.88374972470828</v>
      </c>
      <c r="I16" s="93">
        <v>100.81166011923193</v>
      </c>
    </row>
    <row r="17" spans="1:9" ht="18" customHeight="1" thickBot="1">
      <c r="A17" s="561">
        <v>1997</v>
      </c>
      <c r="B17" s="449">
        <v>99.934201986149347</v>
      </c>
      <c r="C17" s="93">
        <v>100.89052794606968</v>
      </c>
      <c r="D17" s="449">
        <v>101.19106637628903</v>
      </c>
      <c r="E17" s="93">
        <v>104.89625020391236</v>
      </c>
      <c r="F17" s="449">
        <v>99.408031628158213</v>
      </c>
      <c r="G17" s="93">
        <v>99.572346480177814</v>
      </c>
      <c r="H17" s="449">
        <v>102.65904058016756</v>
      </c>
      <c r="I17" s="93">
        <v>101.33608693032861</v>
      </c>
    </row>
    <row r="18" spans="1:9" ht="18" customHeight="1" thickBot="1">
      <c r="A18" s="561">
        <v>1998</v>
      </c>
      <c r="B18" s="449">
        <v>97.248813005760397</v>
      </c>
      <c r="C18" s="93">
        <v>100.84512380255291</v>
      </c>
      <c r="D18" s="449">
        <v>101.91798405391825</v>
      </c>
      <c r="E18" s="93">
        <v>106.51816165874149</v>
      </c>
      <c r="F18" s="449">
        <v>98.600349518352687</v>
      </c>
      <c r="G18" s="93">
        <v>100.39777432787591</v>
      </c>
      <c r="H18" s="449">
        <v>103.15542407064117</v>
      </c>
      <c r="I18" s="93">
        <v>101.35426363530824</v>
      </c>
    </row>
    <row r="19" spans="1:9" ht="18" customHeight="1" thickBot="1">
      <c r="A19" s="561">
        <v>1999</v>
      </c>
      <c r="B19" s="449">
        <v>96.162651146024274</v>
      </c>
      <c r="C19" s="93">
        <v>100.84207332983468</v>
      </c>
      <c r="D19" s="449">
        <v>102.52590462445758</v>
      </c>
      <c r="E19" s="93">
        <v>107.70441081029026</v>
      </c>
      <c r="F19" s="449">
        <v>98.824884997028221</v>
      </c>
      <c r="G19" s="93">
        <v>98.048653324672969</v>
      </c>
      <c r="H19" s="449">
        <v>103.58917110746175</v>
      </c>
      <c r="I19" s="93">
        <v>102.17165514800229</v>
      </c>
    </row>
    <row r="20" spans="1:9" ht="18" customHeight="1" thickBot="1">
      <c r="A20" s="561">
        <v>2000</v>
      </c>
      <c r="B20" s="449">
        <v>96.574111919839808</v>
      </c>
      <c r="C20" s="93">
        <v>100.84207332983468</v>
      </c>
      <c r="D20" s="449">
        <v>104.23249473797034</v>
      </c>
      <c r="E20" s="93">
        <v>108.30103875592766</v>
      </c>
      <c r="F20" s="449">
        <v>98.511245008816815</v>
      </c>
      <c r="G20" s="93">
        <v>97.025382021610099</v>
      </c>
      <c r="H20" s="449">
        <v>104.08545055067016</v>
      </c>
      <c r="I20" s="93">
        <v>103.76399138722388</v>
      </c>
    </row>
    <row r="21" spans="1:9" ht="18" customHeight="1" thickBot="1">
      <c r="A21" s="561">
        <v>2001</v>
      </c>
      <c r="B21" s="449">
        <v>95.934903638603615</v>
      </c>
      <c r="C21" s="93">
        <v>100.90207436346591</v>
      </c>
      <c r="D21" s="449">
        <v>106.34455647564107</v>
      </c>
      <c r="E21" s="93">
        <v>109.09012209311607</v>
      </c>
      <c r="F21" s="449">
        <v>99.881621110671944</v>
      </c>
      <c r="G21" s="93">
        <v>97.909281821703502</v>
      </c>
      <c r="H21" s="449">
        <v>104.66145621084139</v>
      </c>
      <c r="I21" s="93">
        <v>104.7902814183139</v>
      </c>
    </row>
    <row r="22" spans="1:9" s="36" customFormat="1" ht="30" customHeight="1" thickBot="1">
      <c r="A22" s="562">
        <v>2002</v>
      </c>
      <c r="B22" s="453">
        <v>92.859021421632789</v>
      </c>
      <c r="C22" s="750">
        <v>100.92990677570496</v>
      </c>
      <c r="D22" s="453">
        <v>107.48242230438171</v>
      </c>
      <c r="E22" s="750">
        <v>110.93297580023598</v>
      </c>
      <c r="F22" s="453">
        <v>100.22088850206843</v>
      </c>
      <c r="G22" s="750">
        <v>98.535798233171278</v>
      </c>
      <c r="H22" s="453">
        <v>105.0856569110795</v>
      </c>
      <c r="I22" s="750">
        <v>105.46377617124475</v>
      </c>
    </row>
    <row r="23" spans="1:9" ht="20" customHeight="1">
      <c r="A23" s="752" t="s">
        <v>178</v>
      </c>
      <c r="B23" s="753"/>
      <c r="C23" s="753"/>
      <c r="D23" s="753"/>
      <c r="E23" s="753"/>
      <c r="F23" s="753"/>
      <c r="G23" s="753"/>
      <c r="H23" s="753"/>
      <c r="I23" s="753"/>
    </row>
    <row r="24" spans="1:9" ht="11.25" customHeight="1">
      <c r="A24" s="754"/>
      <c r="B24" s="755"/>
      <c r="C24" s="755"/>
      <c r="D24" s="755"/>
      <c r="E24" s="755"/>
      <c r="F24" s="755"/>
      <c r="G24" s="755"/>
      <c r="H24" s="755"/>
      <c r="I24" s="755"/>
    </row>
    <row r="25" spans="1:9" ht="13.5" customHeight="1">
      <c r="A25" s="754" t="s">
        <v>539</v>
      </c>
      <c r="B25" s="755"/>
      <c r="C25" s="755"/>
      <c r="D25" s="755"/>
      <c r="E25" s="755"/>
      <c r="F25" s="755"/>
      <c r="G25" s="755"/>
      <c r="H25" s="755"/>
      <c r="I25" s="755"/>
    </row>
    <row r="26" spans="1:9" ht="12.75" customHeight="1">
      <c r="A26" s="754"/>
      <c r="B26" s="755"/>
      <c r="C26" s="755"/>
      <c r="D26" s="755"/>
      <c r="E26" s="755"/>
      <c r="F26" s="755"/>
      <c r="G26" s="755"/>
      <c r="H26" s="755"/>
      <c r="I26" s="755"/>
    </row>
    <row r="27" spans="1:9" ht="13.5" customHeight="1">
      <c r="A27" s="818" t="s">
        <v>540</v>
      </c>
      <c r="B27" s="650"/>
      <c r="C27" s="650"/>
      <c r="D27" s="650"/>
      <c r="E27" s="650"/>
      <c r="F27" s="650"/>
      <c r="G27" s="650"/>
      <c r="H27" s="650"/>
      <c r="I27" s="650"/>
    </row>
    <row r="28" spans="1:9" ht="13.5" customHeight="1">
      <c r="A28" s="819" t="s">
        <v>541</v>
      </c>
      <c r="B28" s="650"/>
      <c r="C28" s="650"/>
      <c r="D28" s="650"/>
      <c r="E28" s="650"/>
      <c r="F28" s="650"/>
      <c r="G28" s="650"/>
      <c r="H28" s="650"/>
      <c r="I28" s="650"/>
    </row>
    <row r="29" spans="1:9" ht="13.5" customHeight="1">
      <c r="A29" s="819" t="s">
        <v>542</v>
      </c>
      <c r="B29" s="650"/>
      <c r="C29" s="650"/>
      <c r="D29" s="650"/>
      <c r="E29" s="650"/>
      <c r="F29" s="650"/>
      <c r="G29" s="650"/>
      <c r="H29" s="650"/>
      <c r="I29" s="650"/>
    </row>
    <row r="30" spans="1:9" ht="13.5" customHeight="1">
      <c r="A30" s="820" t="s">
        <v>543</v>
      </c>
      <c r="B30" s="650"/>
      <c r="C30" s="650"/>
      <c r="D30" s="650"/>
      <c r="E30" s="650"/>
      <c r="F30" s="650"/>
      <c r="G30" s="650"/>
      <c r="H30" s="650"/>
      <c r="I30" s="650"/>
    </row>
    <row r="31" spans="1:9" ht="13.5" customHeight="1">
      <c r="A31" s="820" t="s">
        <v>544</v>
      </c>
      <c r="B31" s="650"/>
      <c r="C31" s="650"/>
      <c r="D31" s="650"/>
      <c r="E31" s="650"/>
      <c r="F31" s="650"/>
      <c r="G31" s="650"/>
      <c r="H31" s="650"/>
      <c r="I31" s="650"/>
    </row>
    <row r="32" spans="1:9" ht="13.5" customHeight="1">
      <c r="A32" s="819" t="s">
        <v>545</v>
      </c>
      <c r="B32" s="650"/>
      <c r="C32" s="650"/>
      <c r="D32" s="650"/>
      <c r="E32" s="650"/>
      <c r="F32" s="650"/>
      <c r="G32" s="650"/>
      <c r="H32" s="650"/>
      <c r="I32" s="650"/>
    </row>
    <row r="33" spans="1:11" ht="13.5" customHeight="1">
      <c r="A33" s="819" t="s">
        <v>546</v>
      </c>
      <c r="B33" s="650"/>
      <c r="C33" s="650"/>
      <c r="D33" s="650"/>
      <c r="E33" s="650"/>
      <c r="F33" s="650"/>
      <c r="G33" s="650"/>
      <c r="H33" s="650"/>
      <c r="I33" s="650"/>
    </row>
    <row r="34" spans="1:11" ht="13.5" customHeight="1">
      <c r="A34" s="819" t="s">
        <v>547</v>
      </c>
      <c r="B34" s="650"/>
      <c r="C34" s="650"/>
      <c r="D34" s="650"/>
      <c r="E34" s="650"/>
      <c r="F34" s="650"/>
      <c r="G34" s="650"/>
      <c r="H34" s="650"/>
      <c r="I34" s="650"/>
    </row>
    <row r="35" spans="1:11" ht="13.5" customHeight="1">
      <c r="A35" s="819" t="s">
        <v>548</v>
      </c>
      <c r="B35" s="650"/>
      <c r="C35" s="650"/>
      <c r="D35" s="650"/>
      <c r="E35" s="650"/>
      <c r="F35" s="650"/>
      <c r="G35" s="650"/>
      <c r="H35" s="650"/>
      <c r="I35" s="650"/>
    </row>
    <row r="36" spans="1:11" ht="13.5" customHeight="1">
      <c r="A36" s="820" t="s">
        <v>549</v>
      </c>
      <c r="B36" s="650"/>
      <c r="C36" s="650"/>
      <c r="D36" s="650"/>
      <c r="E36" s="650"/>
      <c r="F36" s="650"/>
      <c r="G36" s="650"/>
      <c r="H36" s="650"/>
      <c r="I36" s="650"/>
    </row>
    <row r="37" spans="1:11" ht="13.5" customHeight="1">
      <c r="A37" s="820" t="s">
        <v>550</v>
      </c>
      <c r="B37" s="650"/>
      <c r="C37" s="650"/>
      <c r="D37" s="650"/>
      <c r="E37" s="650"/>
      <c r="F37" s="650"/>
      <c r="G37" s="650"/>
      <c r="H37" s="650"/>
      <c r="I37" s="650"/>
    </row>
    <row r="38" spans="1:11" ht="13.5" customHeight="1">
      <c r="A38" s="819" t="s">
        <v>1572</v>
      </c>
      <c r="B38" s="650"/>
      <c r="C38" s="650"/>
      <c r="D38" s="650"/>
      <c r="E38" s="650"/>
      <c r="F38" s="650"/>
      <c r="G38" s="650"/>
      <c r="H38" s="650"/>
      <c r="I38" s="650"/>
    </row>
    <row r="40" spans="1:11">
      <c r="A40" s="754" t="s">
        <v>1573</v>
      </c>
    </row>
    <row r="43" spans="1:11" ht="16">
      <c r="K43" s="10"/>
    </row>
  </sheetData>
  <phoneticPr fontId="0" type="noConversion"/>
  <pageMargins left="0.5" right="0.35" top="1.46" bottom="0.49" header="0.94"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rowBreaks count="1" manualBreakCount="1">
    <brk id="40" max="16383" man="1"/>
  </row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A417-2B96-524B-8221-A180617FBF41}">
  <dimension ref="A1:J36"/>
  <sheetViews>
    <sheetView topLeftCell="A19" zoomScale="75" workbookViewId="0">
      <selection activeCell="A23" sqref="A23"/>
    </sheetView>
  </sheetViews>
  <sheetFormatPr baseColWidth="10" defaultColWidth="11.3984375" defaultRowHeight="13"/>
  <cols>
    <col min="1" max="1" width="12.3984375" style="3" customWidth="1"/>
    <col min="2" max="2" width="13" style="22" customWidth="1"/>
    <col min="3" max="3" width="12.796875" style="22" customWidth="1"/>
    <col min="4" max="4" width="14.59765625" style="22" customWidth="1"/>
    <col min="5" max="6" width="13.59765625" style="22" customWidth="1"/>
    <col min="7" max="7" width="12.19921875" style="22" customWidth="1"/>
    <col min="8" max="8" width="13.19921875" style="3" customWidth="1"/>
    <col min="9" max="9" width="14.19921875" style="3" customWidth="1"/>
    <col min="10" max="16384" width="11.3984375" style="3"/>
  </cols>
  <sheetData>
    <row r="1" spans="1:9" s="1" customFormat="1" ht="14" customHeight="1">
      <c r="A1" s="62"/>
      <c r="B1" s="634"/>
      <c r="C1" s="634"/>
      <c r="D1" s="634"/>
      <c r="E1" s="634"/>
      <c r="F1" s="634"/>
      <c r="G1" s="634"/>
    </row>
    <row r="2" spans="1:9" s="1" customFormat="1" ht="27" customHeight="1">
      <c r="A2" s="240" t="s">
        <v>537</v>
      </c>
      <c r="B2" s="634"/>
      <c r="C2" s="634"/>
      <c r="D2" s="634"/>
      <c r="E2" s="634"/>
      <c r="F2" s="634"/>
      <c r="G2" s="634"/>
    </row>
    <row r="3" spans="1:9" s="811" customFormat="1" ht="45.75" customHeight="1">
      <c r="A3" s="808" t="s">
        <v>335</v>
      </c>
      <c r="B3" s="809" t="s">
        <v>527</v>
      </c>
      <c r="C3" s="810" t="s">
        <v>528</v>
      </c>
      <c r="D3" s="809" t="s">
        <v>529</v>
      </c>
      <c r="E3" s="810" t="s">
        <v>530</v>
      </c>
      <c r="F3" s="809" t="s">
        <v>531</v>
      </c>
      <c r="G3" s="810" t="s">
        <v>532</v>
      </c>
      <c r="H3" s="809" t="s">
        <v>533</v>
      </c>
      <c r="I3" s="810" t="s">
        <v>534</v>
      </c>
    </row>
    <row r="4" spans="1:9" ht="25.5" customHeight="1">
      <c r="A4" s="785"/>
      <c r="B4" s="559"/>
      <c r="C4" s="635"/>
      <c r="D4" s="559"/>
      <c r="E4" s="635"/>
      <c r="F4" s="559"/>
      <c r="G4" s="635"/>
      <c r="H4" s="559"/>
      <c r="I4" s="635"/>
    </row>
    <row r="5" spans="1:9" ht="30" customHeight="1" thickBot="1">
      <c r="A5" s="812">
        <v>1986</v>
      </c>
      <c r="B5" s="813">
        <v>2.3653494347752435E-2</v>
      </c>
      <c r="C5" s="814">
        <v>3.647949567098796E-2</v>
      </c>
      <c r="D5" s="813">
        <v>0</v>
      </c>
      <c r="E5" s="814">
        <v>2.9276003793866412E-2</v>
      </c>
      <c r="F5" s="813" t="s">
        <v>490</v>
      </c>
      <c r="G5" s="814" t="s">
        <v>490</v>
      </c>
      <c r="H5" s="813">
        <v>2.2211448983554094E-2</v>
      </c>
      <c r="I5" s="814">
        <v>7.502791525703989E-3</v>
      </c>
    </row>
    <row r="6" spans="1:9" ht="18" customHeight="1" thickBot="1">
      <c r="A6" s="561">
        <v>1987</v>
      </c>
      <c r="B6" s="128">
        <v>2.3091083657144962E-2</v>
      </c>
      <c r="C6" s="26">
        <v>2.1326327823503854E-2</v>
      </c>
      <c r="D6" s="128">
        <v>1.896829309734871E-2</v>
      </c>
      <c r="E6" s="26">
        <v>4.9228766719600081E-2</v>
      </c>
      <c r="F6" s="128" t="s">
        <v>490</v>
      </c>
      <c r="G6" s="26" t="s">
        <v>490</v>
      </c>
      <c r="H6" s="128">
        <v>2.7155943699829876E-2</v>
      </c>
      <c r="I6" s="26">
        <v>1.440285815464315E-2</v>
      </c>
    </row>
    <row r="7" spans="1:9" ht="18" customHeight="1" thickBot="1">
      <c r="A7" s="561">
        <v>1988</v>
      </c>
      <c r="B7" s="128">
        <v>1.5544672686171879E-2</v>
      </c>
      <c r="C7" s="26">
        <v>4.9536074163174515E-3</v>
      </c>
      <c r="D7" s="128">
        <v>5.5845583888654682E-2</v>
      </c>
      <c r="E7" s="26">
        <v>6.5056813554427606E-2</v>
      </c>
      <c r="F7" s="128" t="s">
        <v>490</v>
      </c>
      <c r="G7" s="26" t="s">
        <v>490</v>
      </c>
      <c r="H7" s="128">
        <v>3.5527601852645585E-2</v>
      </c>
      <c r="I7" s="26">
        <v>1.8724915964718258E-2</v>
      </c>
    </row>
    <row r="8" spans="1:9" ht="18" customHeight="1" thickBot="1">
      <c r="A8" s="561">
        <v>1989</v>
      </c>
      <c r="B8" s="128">
        <v>1.8044861851355343E-2</v>
      </c>
      <c r="C8" s="26">
        <v>2.66606799985456E-2</v>
      </c>
      <c r="D8" s="128">
        <v>0</v>
      </c>
      <c r="E8" s="26">
        <v>3.1852580855963097E-2</v>
      </c>
      <c r="F8" s="128" t="s">
        <v>490</v>
      </c>
      <c r="G8" s="26" t="s">
        <v>490</v>
      </c>
      <c r="H8" s="128">
        <v>1.8855155332062612E-2</v>
      </c>
      <c r="I8" s="26">
        <v>3.1552865431011101E-2</v>
      </c>
    </row>
    <row r="9" spans="1:9" ht="18" customHeight="1" thickBot="1">
      <c r="A9" s="561">
        <v>1990</v>
      </c>
      <c r="B9" s="128">
        <v>2.0705387350959503E-2</v>
      </c>
      <c r="C9" s="26">
        <v>2.086332552903869E-2</v>
      </c>
      <c r="D9" s="128">
        <v>5.4943395314557941E-2</v>
      </c>
      <c r="E9" s="26">
        <v>6.2708024972009557E-2</v>
      </c>
      <c r="F9" s="128" t="s">
        <v>490</v>
      </c>
      <c r="G9" s="26" t="s">
        <v>490</v>
      </c>
      <c r="H9" s="128">
        <v>4.1486887934867323E-2</v>
      </c>
      <c r="I9" s="26">
        <v>5.4039512641000265E-2</v>
      </c>
    </row>
    <row r="10" spans="1:9" ht="18" customHeight="1" thickBot="1">
      <c r="A10" s="561">
        <v>1991</v>
      </c>
      <c r="B10" s="128">
        <v>3.9941711167527316E-2</v>
      </c>
      <c r="C10" s="26">
        <v>3.8672679351526407E-2</v>
      </c>
      <c r="D10" s="128">
        <v>5.949633631461948E-2</v>
      </c>
      <c r="E10" s="26">
        <v>0.10838620865387405</v>
      </c>
      <c r="F10" s="128" t="s">
        <v>490</v>
      </c>
      <c r="G10" s="26" t="s">
        <v>490</v>
      </c>
      <c r="H10" s="128">
        <v>6.2592189850229518E-2</v>
      </c>
      <c r="I10" s="26">
        <v>5.8595918912966338E-2</v>
      </c>
    </row>
    <row r="11" spans="1:9" ht="18" customHeight="1" thickBot="1">
      <c r="A11" s="561">
        <v>1992</v>
      </c>
      <c r="B11" s="128">
        <v>2.8293197419450689E-2</v>
      </c>
      <c r="C11" s="26">
        <v>4.7093990768077409E-2</v>
      </c>
      <c r="D11" s="128">
        <v>4.0357484934927301E-2</v>
      </c>
      <c r="E11" s="26">
        <v>0.10058048326107216</v>
      </c>
      <c r="F11" s="128" t="s">
        <v>490</v>
      </c>
      <c r="G11" s="26" t="s">
        <v>490</v>
      </c>
      <c r="H11" s="128">
        <v>5.734330688782463E-2</v>
      </c>
      <c r="I11" s="26">
        <v>4.0370072708406868E-2</v>
      </c>
    </row>
    <row r="12" spans="1:9" ht="18" customHeight="1" thickBot="1">
      <c r="A12" s="561">
        <v>1993</v>
      </c>
      <c r="B12" s="128">
        <v>1.9495866797444972E-2</v>
      </c>
      <c r="C12" s="26">
        <v>8.6374783018805523E-4</v>
      </c>
      <c r="D12" s="128">
        <v>4.4338734662819901E-2</v>
      </c>
      <c r="E12" s="26">
        <v>7.3169880070551141E-2</v>
      </c>
      <c r="F12" s="128" t="s">
        <v>490</v>
      </c>
      <c r="G12" s="26" t="s">
        <v>490</v>
      </c>
      <c r="H12" s="128">
        <v>3.5184477405738601E-2</v>
      </c>
      <c r="I12" s="26">
        <v>3.2925996983296457E-2</v>
      </c>
    </row>
    <row r="13" spans="1:9" ht="18" customHeight="1" thickBot="1">
      <c r="A13" s="561">
        <v>1994</v>
      </c>
      <c r="B13" s="128">
        <v>1.3595653499495652E-2</v>
      </c>
      <c r="C13" s="26">
        <v>1.2166007063352247E-4</v>
      </c>
      <c r="D13" s="128">
        <v>1.4269084831005863E-2</v>
      </c>
      <c r="E13" s="26">
        <v>3.637312768011558E-2</v>
      </c>
      <c r="F13" s="128">
        <v>1.3912089648164372E-2</v>
      </c>
      <c r="G13" s="26">
        <v>0</v>
      </c>
      <c r="H13" s="128">
        <v>1.9840761461165535E-2</v>
      </c>
      <c r="I13" s="26">
        <v>8.5209462570190464E-3</v>
      </c>
    </row>
    <row r="14" spans="1:9" ht="18" customHeight="1" thickBot="1">
      <c r="A14" s="561">
        <v>1995</v>
      </c>
      <c r="B14" s="128">
        <v>2.6044103659493834E-2</v>
      </c>
      <c r="C14" s="26">
        <v>3.1557801314410217E-3</v>
      </c>
      <c r="D14" s="128">
        <v>7.5214383062602863E-3</v>
      </c>
      <c r="E14" s="26">
        <v>2.6972880704214663E-2</v>
      </c>
      <c r="F14" s="128">
        <v>5.9679019831284652E-3</v>
      </c>
      <c r="G14" s="26">
        <v>0</v>
      </c>
      <c r="H14" s="128">
        <v>1.8128036096465738E-2</v>
      </c>
      <c r="I14" s="26">
        <v>1.79983110516444E-2</v>
      </c>
    </row>
    <row r="15" spans="1:9" ht="18" customHeight="1" thickBot="1">
      <c r="A15" s="561">
        <v>1996</v>
      </c>
      <c r="B15" s="128">
        <v>3.3176482964660803E-3</v>
      </c>
      <c r="C15" s="26">
        <v>5.0851296177789607E-3</v>
      </c>
      <c r="D15" s="128">
        <v>6.3947579727150483E-3</v>
      </c>
      <c r="E15" s="26">
        <v>3.4195234461111834E-2</v>
      </c>
      <c r="F15" s="128">
        <v>1.5009280076963005E-3</v>
      </c>
      <c r="G15" s="26">
        <v>-4.9661110253496066E-4</v>
      </c>
      <c r="H15" s="128">
        <v>1.8837497247082835E-2</v>
      </c>
      <c r="I15" s="26">
        <v>8.1166011923192727E-3</v>
      </c>
    </row>
    <row r="16" spans="1:9" ht="18" customHeight="1" thickBot="1">
      <c r="A16" s="561">
        <v>1997</v>
      </c>
      <c r="B16" s="128">
        <v>-3.9624823122794695E-3</v>
      </c>
      <c r="C16" s="26">
        <v>3.8008221695315925E-3</v>
      </c>
      <c r="D16" s="128">
        <v>5.4808570359472508E-3</v>
      </c>
      <c r="E16" s="26">
        <v>1.4278994029310654E-2</v>
      </c>
      <c r="F16" s="128">
        <v>-7.4094906141286554E-3</v>
      </c>
      <c r="G16" s="26">
        <v>-3.7818021806373947E-3</v>
      </c>
      <c r="H16" s="128">
        <v>7.6095634245316734E-3</v>
      </c>
      <c r="I16" s="26">
        <v>5.2020451848171501E-3</v>
      </c>
    </row>
    <row r="17" spans="1:10" ht="18" customHeight="1" thickBot="1">
      <c r="A17" s="561">
        <v>1998</v>
      </c>
      <c r="B17" s="128">
        <v>-2.6871570763742469E-2</v>
      </c>
      <c r="C17" s="26">
        <v>-4.5003375877905594E-4</v>
      </c>
      <c r="D17" s="128">
        <v>7.1836151516191382E-3</v>
      </c>
      <c r="E17" s="26">
        <v>1.5462053711893686E-2</v>
      </c>
      <c r="F17" s="128">
        <v>-8.1249180431085533E-3</v>
      </c>
      <c r="G17" s="26">
        <v>8.2897297982469365E-3</v>
      </c>
      <c r="H17" s="128">
        <v>4.8352632916532912E-3</v>
      </c>
      <c r="I17" s="26">
        <v>1.7937050393634912E-4</v>
      </c>
    </row>
    <row r="18" spans="1:10" ht="18" customHeight="1" thickBot="1">
      <c r="A18" s="561">
        <v>1999</v>
      </c>
      <c r="B18" s="128">
        <v>-1.1168895806181078E-2</v>
      </c>
      <c r="C18" s="26">
        <v>-3.0249084965183748E-5</v>
      </c>
      <c r="D18" s="128">
        <v>5.9648017588114222E-3</v>
      </c>
      <c r="E18" s="26">
        <v>1.1136590540768321E-2</v>
      </c>
      <c r="F18" s="128">
        <v>2.2772280197012051E-3</v>
      </c>
      <c r="G18" s="26">
        <v>-2.3398138244890343E-2</v>
      </c>
      <c r="H18" s="128">
        <v>4.2047913692211392E-3</v>
      </c>
      <c r="I18" s="26">
        <v>8.06469785657149E-3</v>
      </c>
    </row>
    <row r="19" spans="1:10" ht="18" customHeight="1" thickBot="1">
      <c r="A19" s="561">
        <v>2000</v>
      </c>
      <c r="B19" s="128">
        <v>4.2788002297349248E-3</v>
      </c>
      <c r="C19" s="26">
        <v>0</v>
      </c>
      <c r="D19" s="128">
        <v>1.6645452871289823E-2</v>
      </c>
      <c r="E19" s="26">
        <v>5.5394940759512235E-3</v>
      </c>
      <c r="F19" s="128">
        <v>-3.1736944416462798E-3</v>
      </c>
      <c r="G19" s="26">
        <v>-1.0436362646149444E-2</v>
      </c>
      <c r="H19" s="128">
        <v>4.7908428835055084E-3</v>
      </c>
      <c r="I19" s="26">
        <v>1.5584911851677319E-2</v>
      </c>
    </row>
    <row r="20" spans="1:10" ht="18" customHeight="1" thickBot="1">
      <c r="A20" s="561">
        <v>2001</v>
      </c>
      <c r="B20" s="128">
        <v>-6.618836751683066E-3</v>
      </c>
      <c r="C20" s="26">
        <v>5.9499999999990116E-4</v>
      </c>
      <c r="D20" s="128">
        <v>2.0262987497135398E-2</v>
      </c>
      <c r="E20" s="26">
        <v>7.2860181790750378E-3</v>
      </c>
      <c r="F20" s="128">
        <v>1.3910859635694273E-2</v>
      </c>
      <c r="G20" s="26">
        <v>9.1099852603160336E-3</v>
      </c>
      <c r="H20" s="128">
        <v>5.5339690333648939E-3</v>
      </c>
      <c r="I20" s="26">
        <v>9.8906182903097939E-3</v>
      </c>
    </row>
    <row r="21" spans="1:10" s="36" customFormat="1" ht="30" customHeight="1" thickBot="1">
      <c r="A21" s="562">
        <v>2002</v>
      </c>
      <c r="B21" s="137">
        <v>-3.2062180711182831E-2</v>
      </c>
      <c r="C21" s="636">
        <v>2.7583587765289685E-4</v>
      </c>
      <c r="D21" s="137">
        <v>1.0699803228774396E-2</v>
      </c>
      <c r="E21" s="636">
        <v>1.6892947516796264E-2</v>
      </c>
      <c r="F21" s="137">
        <v>3.3966948836419153E-3</v>
      </c>
      <c r="G21" s="636">
        <v>6.3989480855215497E-3</v>
      </c>
      <c r="H21" s="481">
        <v>4.053074700045789E-3</v>
      </c>
      <c r="I21" s="666">
        <v>6.4270726618465002E-3</v>
      </c>
    </row>
    <row r="22" spans="1:10" ht="20" customHeight="1">
      <c r="A22" s="815" t="s">
        <v>178</v>
      </c>
      <c r="B22" s="753"/>
      <c r="C22" s="753"/>
      <c r="D22" s="753"/>
      <c r="E22" s="753"/>
      <c r="F22" s="753"/>
      <c r="G22" s="753"/>
    </row>
    <row r="23" spans="1:10" ht="12" customHeight="1">
      <c r="A23" s="816"/>
      <c r="B23" s="755"/>
      <c r="C23" s="755"/>
      <c r="D23" s="755"/>
      <c r="E23" s="755"/>
      <c r="F23" s="755"/>
      <c r="G23" s="755"/>
    </row>
    <row r="24" spans="1:10" ht="13.5" customHeight="1">
      <c r="A24" s="816" t="s">
        <v>535</v>
      </c>
      <c r="B24" s="755"/>
      <c r="C24" s="755"/>
      <c r="D24" s="755"/>
      <c r="E24" s="755"/>
      <c r="F24" s="755"/>
      <c r="G24" s="755"/>
    </row>
    <row r="25" spans="1:10" ht="10.5" customHeight="1">
      <c r="A25" s="816"/>
      <c r="B25" s="755"/>
      <c r="C25" s="755"/>
      <c r="D25" s="755"/>
      <c r="E25" s="755"/>
      <c r="F25" s="755"/>
      <c r="G25" s="755"/>
    </row>
    <row r="26" spans="1:10" ht="12.75" customHeight="1">
      <c r="A26" s="157" t="s">
        <v>536</v>
      </c>
      <c r="B26" s="650"/>
      <c r="C26" s="650"/>
      <c r="D26" s="650"/>
      <c r="E26" s="650"/>
      <c r="F26" s="650"/>
      <c r="G26" s="650"/>
    </row>
    <row r="27" spans="1:10" ht="18" customHeight="1">
      <c r="B27" s="650"/>
      <c r="C27" s="650"/>
      <c r="D27" s="650"/>
      <c r="E27" s="650"/>
      <c r="F27" s="650"/>
      <c r="G27" s="650"/>
    </row>
    <row r="28" spans="1:10" ht="31" customHeight="1">
      <c r="A28" s="247"/>
      <c r="B28" s="650"/>
      <c r="C28" s="650"/>
      <c r="D28" s="650"/>
      <c r="E28" s="650"/>
      <c r="F28" s="650"/>
      <c r="G28" s="650"/>
    </row>
    <row r="29" spans="1:10" ht="31" customHeight="1">
      <c r="A29" s="247"/>
      <c r="B29" s="650"/>
      <c r="C29" s="650"/>
      <c r="D29" s="650"/>
      <c r="E29" s="650"/>
      <c r="F29" s="650"/>
      <c r="G29" s="650"/>
      <c r="J29" s="10"/>
    </row>
    <row r="30" spans="1:10" ht="31" customHeight="1">
      <c r="A30" s="247"/>
      <c r="B30" s="650"/>
      <c r="C30" s="650"/>
      <c r="D30" s="650"/>
      <c r="E30" s="650"/>
      <c r="F30" s="650"/>
      <c r="G30" s="650"/>
    </row>
    <row r="31" spans="1:10" ht="31" customHeight="1">
      <c r="A31" s="247"/>
      <c r="B31" s="650"/>
      <c r="C31" s="650"/>
      <c r="D31" s="650"/>
      <c r="E31" s="650"/>
      <c r="F31" s="650"/>
      <c r="G31" s="650"/>
    </row>
    <row r="32" spans="1:10" ht="31" customHeight="1">
      <c r="A32" s="247"/>
      <c r="B32" s="650"/>
      <c r="C32" s="650"/>
      <c r="D32" s="650"/>
      <c r="E32" s="650"/>
      <c r="F32" s="650"/>
      <c r="G32" s="650"/>
    </row>
    <row r="33" spans="1:7" ht="31" customHeight="1">
      <c r="A33" s="247"/>
      <c r="B33" s="650"/>
      <c r="C33" s="650"/>
      <c r="D33" s="650"/>
      <c r="E33" s="650"/>
      <c r="F33" s="650"/>
      <c r="G33" s="650"/>
    </row>
    <row r="34" spans="1:7" ht="31" customHeight="1">
      <c r="A34" s="247"/>
      <c r="B34" s="650"/>
      <c r="C34" s="650"/>
      <c r="D34" s="650"/>
      <c r="E34" s="650"/>
      <c r="F34" s="650"/>
      <c r="G34" s="650"/>
    </row>
    <row r="35" spans="1:7" ht="31" customHeight="1">
      <c r="A35" s="247"/>
      <c r="B35" s="650"/>
      <c r="C35" s="650"/>
      <c r="D35" s="650"/>
      <c r="E35" s="650"/>
      <c r="F35" s="650"/>
      <c r="G35" s="650"/>
    </row>
    <row r="36" spans="1:7">
      <c r="A36" s="247"/>
      <c r="B36" s="650"/>
      <c r="C36" s="650"/>
      <c r="D36" s="650"/>
      <c r="E36" s="650"/>
      <c r="F36" s="650"/>
      <c r="G36" s="650"/>
    </row>
  </sheetData>
  <phoneticPr fontId="0" type="noConversion"/>
  <pageMargins left="0.53" right="0.38" top="1.46" bottom="0.49" header="0.94" footer="0.4921259845"/>
  <pageSetup paperSize="9" scale="75"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C384A-DBA0-6343-8587-6AE7E1A65A3A}">
  <dimension ref="A1:I43"/>
  <sheetViews>
    <sheetView topLeftCell="A21" zoomScale="75" workbookViewId="0">
      <selection activeCell="A36" sqref="A36"/>
    </sheetView>
  </sheetViews>
  <sheetFormatPr baseColWidth="10" defaultColWidth="11.3984375" defaultRowHeight="13"/>
  <cols>
    <col min="1" max="1" width="17.19921875" style="3" customWidth="1"/>
    <col min="2" max="7" width="15.19921875" style="22" customWidth="1"/>
    <col min="8" max="16384" width="11.3984375" style="3"/>
  </cols>
  <sheetData>
    <row r="1" spans="1:7" s="1" customFormat="1" ht="14" customHeight="1">
      <c r="A1" s="62"/>
      <c r="B1" s="634"/>
      <c r="C1" s="634"/>
      <c r="D1" s="634"/>
      <c r="E1" s="634"/>
      <c r="F1" s="634"/>
      <c r="G1" s="634"/>
    </row>
    <row r="2" spans="1:7" s="1" customFormat="1" ht="27" customHeight="1">
      <c r="A2" s="240" t="s">
        <v>506</v>
      </c>
      <c r="B2" s="634"/>
      <c r="C2" s="634"/>
      <c r="D2" s="634"/>
      <c r="E2" s="634"/>
      <c r="F2" s="634"/>
      <c r="G2" s="634"/>
    </row>
    <row r="3" spans="1:7" ht="27" customHeight="1">
      <c r="A3" s="2" t="s">
        <v>335</v>
      </c>
      <c r="B3" s="74" t="s">
        <v>507</v>
      </c>
      <c r="C3" s="17" t="s">
        <v>609</v>
      </c>
      <c r="D3" s="74" t="s">
        <v>508</v>
      </c>
      <c r="E3" s="17" t="s">
        <v>609</v>
      </c>
      <c r="F3" s="74" t="s">
        <v>509</v>
      </c>
      <c r="G3" s="17" t="s">
        <v>609</v>
      </c>
    </row>
    <row r="4" spans="1:7" ht="15" customHeight="1">
      <c r="A4" s="82"/>
      <c r="B4" s="559" t="s">
        <v>510</v>
      </c>
      <c r="C4" s="635" t="s">
        <v>610</v>
      </c>
      <c r="D4" s="75" t="s">
        <v>524</v>
      </c>
      <c r="E4" s="18" t="s">
        <v>610</v>
      </c>
      <c r="F4" s="75" t="s">
        <v>511</v>
      </c>
      <c r="G4" s="18" t="s">
        <v>610</v>
      </c>
    </row>
    <row r="5" spans="1:7" ht="15" customHeight="1">
      <c r="A5" s="82"/>
      <c r="B5" s="559" t="s">
        <v>512</v>
      </c>
      <c r="C5" s="635" t="s">
        <v>611</v>
      </c>
      <c r="D5" s="75" t="s">
        <v>513</v>
      </c>
      <c r="E5" s="18" t="s">
        <v>611</v>
      </c>
      <c r="F5" s="75" t="s">
        <v>525</v>
      </c>
      <c r="G5" s="18" t="s">
        <v>611</v>
      </c>
    </row>
    <row r="6" spans="1:7" ht="15" hidden="1" customHeight="1">
      <c r="A6" s="82"/>
      <c r="B6" s="559" t="s">
        <v>514</v>
      </c>
      <c r="C6" s="635"/>
      <c r="D6" s="75" t="s">
        <v>515</v>
      </c>
      <c r="E6" s="18"/>
      <c r="F6" s="75" t="s">
        <v>516</v>
      </c>
      <c r="G6" s="18"/>
    </row>
    <row r="7" spans="1:7" ht="27" customHeight="1">
      <c r="A7" s="283"/>
      <c r="B7" s="78" t="s">
        <v>526</v>
      </c>
      <c r="C7" s="19"/>
      <c r="D7" s="78"/>
      <c r="E7" s="19"/>
      <c r="F7" s="78"/>
      <c r="G7" s="19"/>
    </row>
    <row r="8" spans="1:7" ht="30" customHeight="1" thickBot="1">
      <c r="A8" s="560">
        <v>1985</v>
      </c>
      <c r="B8" s="170">
        <v>52.722501221738085</v>
      </c>
      <c r="C8" s="169" t="s">
        <v>487</v>
      </c>
      <c r="D8" s="170">
        <v>70.111287758346592</v>
      </c>
      <c r="E8" s="169" t="s">
        <v>487</v>
      </c>
      <c r="F8" s="170">
        <v>75.634286419536451</v>
      </c>
      <c r="G8" s="169" t="s">
        <v>487</v>
      </c>
    </row>
    <row r="9" spans="1:7" ht="18" customHeight="1" thickBot="1">
      <c r="A9" s="561">
        <v>1986</v>
      </c>
      <c r="B9" s="449">
        <v>56.277117350074633</v>
      </c>
      <c r="C9" s="26">
        <v>6.7421234690415943E-2</v>
      </c>
      <c r="D9" s="449">
        <v>72.602013778484363</v>
      </c>
      <c r="E9" s="26">
        <v>3.5525321239606722E-2</v>
      </c>
      <c r="F9" s="449">
        <v>76.201754702737617</v>
      </c>
      <c r="G9" s="26">
        <v>7.502791525703989E-3</v>
      </c>
    </row>
    <row r="10" spans="1:7" ht="18" customHeight="1" thickBot="1">
      <c r="A10" s="561">
        <v>1987</v>
      </c>
      <c r="B10" s="449">
        <v>60.581640475871247</v>
      </c>
      <c r="C10" s="26">
        <v>7.6487981767440427E-2</v>
      </c>
      <c r="D10" s="449">
        <v>74.350821409644936</v>
      </c>
      <c r="E10" s="26">
        <v>2.4087591240876005E-2</v>
      </c>
      <c r="F10" s="449">
        <v>77.299277766856065</v>
      </c>
      <c r="G10" s="26">
        <v>1.440285815464315E-2</v>
      </c>
    </row>
    <row r="11" spans="1:7" ht="18" customHeight="1" thickBot="1">
      <c r="A11" s="561">
        <v>1988</v>
      </c>
      <c r="B11" s="449">
        <v>63.374524308683064</v>
      </c>
      <c r="C11" s="26">
        <v>4.6101158880373694E-2</v>
      </c>
      <c r="D11" s="449">
        <v>76.947535771065176</v>
      </c>
      <c r="E11" s="26">
        <v>3.4925160370634201E-2</v>
      </c>
      <c r="F11" s="449">
        <v>78.746700247173862</v>
      </c>
      <c r="G11" s="26">
        <v>1.8724915964718258E-2</v>
      </c>
    </row>
    <row r="12" spans="1:7" ht="18" customHeight="1" thickBot="1">
      <c r="A12" s="561">
        <v>1989</v>
      </c>
      <c r="B12" s="449">
        <v>67.01613848038383</v>
      </c>
      <c r="C12" s="26">
        <v>5.7461798907764372E-2</v>
      </c>
      <c r="D12" s="449">
        <v>79.862215156332809</v>
      </c>
      <c r="E12" s="26">
        <v>3.7878787878788067E-2</v>
      </c>
      <c r="F12" s="449">
        <v>81.23138428320911</v>
      </c>
      <c r="G12" s="26">
        <v>3.1552865431011101E-2</v>
      </c>
    </row>
    <row r="13" spans="1:7" ht="18" customHeight="1" thickBot="1">
      <c r="A13" s="561">
        <v>1990</v>
      </c>
      <c r="B13" s="449">
        <v>70.540790625872404</v>
      </c>
      <c r="C13" s="26">
        <v>5.2594079954640494E-2</v>
      </c>
      <c r="D13" s="449">
        <v>84.525702172761001</v>
      </c>
      <c r="E13" s="26">
        <v>5.8394160583941535E-2</v>
      </c>
      <c r="F13" s="449">
        <v>85.621088701027531</v>
      </c>
      <c r="G13" s="26">
        <v>5.4039512641000265E-2</v>
      </c>
    </row>
    <row r="14" spans="1:7" ht="18" customHeight="1" thickBot="1">
      <c r="A14" s="561">
        <v>1991</v>
      </c>
      <c r="B14" s="449">
        <v>77.968747743032324</v>
      </c>
      <c r="C14" s="26">
        <v>0.10530016818999965</v>
      </c>
      <c r="D14" s="449">
        <v>90.408055113937465</v>
      </c>
      <c r="E14" s="26">
        <v>6.959247648902811E-2</v>
      </c>
      <c r="F14" s="449">
        <v>90.638135071792831</v>
      </c>
      <c r="G14" s="26">
        <v>5.8595918912966338E-2</v>
      </c>
    </row>
    <row r="15" spans="1:7" ht="18" customHeight="1" thickBot="1">
      <c r="A15" s="561">
        <v>1992</v>
      </c>
      <c r="B15" s="449">
        <v>84.878316515713948</v>
      </c>
      <c r="C15" s="26">
        <v>8.861972229506665E-2</v>
      </c>
      <c r="D15" s="449">
        <v>94.753577106518279</v>
      </c>
      <c r="E15" s="26">
        <v>4.8065650644783187E-2</v>
      </c>
      <c r="F15" s="449">
        <v>94.297203174795513</v>
      </c>
      <c r="G15" s="26">
        <v>4.0370072708406868E-2</v>
      </c>
    </row>
    <row r="16" spans="1:7" ht="18" customHeight="1" thickBot="1">
      <c r="A16" s="561">
        <v>1993</v>
      </c>
      <c r="B16" s="449">
        <v>90.517093874100482</v>
      </c>
      <c r="C16" s="26">
        <v>6.643366162125286E-2</v>
      </c>
      <c r="D16" s="449">
        <v>97.297297297297305</v>
      </c>
      <c r="E16" s="26">
        <v>2.6845637583892801E-2</v>
      </c>
      <c r="F16" s="449">
        <v>97.402032602062121</v>
      </c>
      <c r="G16" s="26">
        <v>3.2925996983296457E-2</v>
      </c>
    </row>
    <row r="17" spans="1:7" ht="18" customHeight="1" thickBot="1">
      <c r="A17" s="561">
        <v>1994</v>
      </c>
      <c r="B17" s="449">
        <v>96.051577326373916</v>
      </c>
      <c r="C17" s="26">
        <v>6.1142964443503978E-2</v>
      </c>
      <c r="D17" s="449">
        <v>98.675145733969259</v>
      </c>
      <c r="E17" s="26">
        <v>1.4161220043572786E-2</v>
      </c>
      <c r="F17" s="449">
        <v>98.23199008718872</v>
      </c>
      <c r="G17" s="26">
        <v>8.5209462570190464E-3</v>
      </c>
    </row>
    <row r="18" spans="1:7" ht="18" customHeight="1" thickBot="1">
      <c r="A18" s="561">
        <v>1995</v>
      </c>
      <c r="B18" s="449">
        <v>100</v>
      </c>
      <c r="C18" s="26">
        <v>4.1107317376056551E-2</v>
      </c>
      <c r="D18" s="449">
        <v>100</v>
      </c>
      <c r="E18" s="26">
        <v>1.3426423200859405E-2</v>
      </c>
      <c r="F18" s="449">
        <v>100</v>
      </c>
      <c r="G18" s="26">
        <v>1.79983110516444E-2</v>
      </c>
    </row>
    <row r="19" spans="1:7" ht="18" customHeight="1" thickBot="1">
      <c r="A19" s="561">
        <v>1996</v>
      </c>
      <c r="B19" s="449">
        <v>109.74910251288583</v>
      </c>
      <c r="C19" s="26">
        <v>9.7491025128858322E-2</v>
      </c>
      <c r="D19" s="449">
        <v>101.21886592474827</v>
      </c>
      <c r="E19" s="26">
        <v>1.2188659247482692E-2</v>
      </c>
      <c r="F19" s="449">
        <v>100.81166011923193</v>
      </c>
      <c r="G19" s="26">
        <v>8.1166011923192727E-3</v>
      </c>
    </row>
    <row r="20" spans="1:7" ht="18" customHeight="1" thickBot="1">
      <c r="A20" s="561">
        <v>1997</v>
      </c>
      <c r="B20" s="449">
        <v>115.4124928624605</v>
      </c>
      <c r="C20" s="26">
        <v>5.1603067541347025E-2</v>
      </c>
      <c r="D20" s="449">
        <v>101.69581346051935</v>
      </c>
      <c r="E20" s="26">
        <v>4.7120418848167755E-3</v>
      </c>
      <c r="F20" s="449">
        <v>101.33608693032861</v>
      </c>
      <c r="G20" s="26">
        <v>5.2020451848171501E-3</v>
      </c>
    </row>
    <row r="21" spans="1:7" ht="18" customHeight="1" thickBot="1">
      <c r="A21" s="561">
        <v>1998</v>
      </c>
      <c r="B21" s="449">
        <v>122.61785151110804</v>
      </c>
      <c r="C21" s="26">
        <v>6.2431357905372797E-2</v>
      </c>
      <c r="D21" s="449">
        <v>102.38473767885532</v>
      </c>
      <c r="E21" s="26">
        <v>6.774361646690874E-3</v>
      </c>
      <c r="F21" s="449">
        <v>101.35426363530824</v>
      </c>
      <c r="G21" s="26">
        <v>1.7937050393634912E-4</v>
      </c>
    </row>
    <row r="22" spans="1:7" ht="18" customHeight="1" thickBot="1">
      <c r="A22" s="561">
        <v>1999</v>
      </c>
      <c r="B22" s="449">
        <v>127.51691232156152</v>
      </c>
      <c r="C22" s="26">
        <v>3.9953895375582249E-2</v>
      </c>
      <c r="D22" s="449">
        <v>102.70270270270269</v>
      </c>
      <c r="E22" s="26">
        <v>3.1055900621117516E-3</v>
      </c>
      <c r="F22" s="449">
        <v>102.17165514800229</v>
      </c>
      <c r="G22" s="26">
        <v>8.06469785657149E-3</v>
      </c>
    </row>
    <row r="23" spans="1:7" ht="18" customHeight="1" thickBot="1">
      <c r="A23" s="561">
        <v>2000</v>
      </c>
      <c r="B23" s="449">
        <v>134.9694422142035</v>
      </c>
      <c r="C23" s="26">
        <v>5.8443462572625782E-2</v>
      </c>
      <c r="D23" s="449">
        <v>104.02755696873345</v>
      </c>
      <c r="E23" s="26">
        <v>1.2899896800825816E-2</v>
      </c>
      <c r="F23" s="449">
        <v>103.76399138722388</v>
      </c>
      <c r="G23" s="26">
        <v>1.5584911851677319E-2</v>
      </c>
    </row>
    <row r="24" spans="1:7" ht="18" customHeight="1" thickBot="1">
      <c r="A24" s="561">
        <v>2001</v>
      </c>
      <c r="B24" s="449">
        <v>141.8505644621508</v>
      </c>
      <c r="C24" s="26">
        <v>5.0982816073482873E-2</v>
      </c>
      <c r="D24" s="449">
        <v>106.57127715951245</v>
      </c>
      <c r="E24" s="26">
        <v>2.4452368823229653E-2</v>
      </c>
      <c r="F24" s="449">
        <v>104.7902814183139</v>
      </c>
      <c r="G24" s="26">
        <v>9.8906182903097939E-3</v>
      </c>
    </row>
    <row r="25" spans="1:7" s="36" customFormat="1" ht="30" customHeight="1" thickBot="1">
      <c r="A25" s="562">
        <v>2002</v>
      </c>
      <c r="B25" s="453">
        <v>147.22343196454216</v>
      </c>
      <c r="C25" s="636">
        <v>3.7876955391495715E-2</v>
      </c>
      <c r="D25" s="453">
        <v>108.4790673025967</v>
      </c>
      <c r="E25" s="636">
        <v>1.7901541521631037E-2</v>
      </c>
      <c r="F25" s="453">
        <v>105.46377617124475</v>
      </c>
      <c r="G25" s="636">
        <v>6.4270726618465002E-3</v>
      </c>
    </row>
    <row r="26" spans="1:7" ht="20" customHeight="1">
      <c r="A26" s="752" t="s">
        <v>178</v>
      </c>
      <c r="B26" s="753"/>
      <c r="C26" s="753"/>
      <c r="D26" s="753"/>
      <c r="E26" s="753"/>
      <c r="F26" s="753"/>
      <c r="G26" s="753"/>
    </row>
    <row r="27" spans="1:7" ht="12.75" customHeight="1">
      <c r="A27" s="754"/>
      <c r="B27" s="755"/>
      <c r="C27" s="755"/>
      <c r="D27" s="755"/>
      <c r="E27" s="755"/>
      <c r="F27" s="755"/>
      <c r="G27" s="755"/>
    </row>
    <row r="28" spans="1:7" ht="12" customHeight="1">
      <c r="A28" s="754" t="s">
        <v>517</v>
      </c>
      <c r="B28" s="755"/>
      <c r="C28" s="755"/>
      <c r="D28" s="755"/>
      <c r="E28" s="755"/>
      <c r="F28" s="755"/>
      <c r="G28" s="755"/>
    </row>
    <row r="29" spans="1:7" ht="12" customHeight="1">
      <c r="A29" s="754" t="s">
        <v>518</v>
      </c>
      <c r="B29" s="755"/>
      <c r="C29" s="755"/>
      <c r="D29" s="755"/>
      <c r="E29" s="755"/>
      <c r="F29" s="755"/>
      <c r="G29" s="755"/>
    </row>
    <row r="30" spans="1:7" ht="12" customHeight="1">
      <c r="A30" s="754" t="s">
        <v>519</v>
      </c>
      <c r="B30" s="755"/>
      <c r="C30" s="755"/>
      <c r="D30" s="755"/>
      <c r="E30" s="755"/>
      <c r="F30" s="755"/>
      <c r="G30" s="755"/>
    </row>
    <row r="31" spans="1:7" ht="12" customHeight="1">
      <c r="A31" s="754" t="s">
        <v>520</v>
      </c>
      <c r="B31" s="755"/>
      <c r="C31" s="755"/>
      <c r="D31" s="755"/>
      <c r="E31" s="755"/>
      <c r="F31" s="755"/>
      <c r="G31" s="755"/>
    </row>
    <row r="32" spans="1:7" ht="12.75" customHeight="1">
      <c r="A32" s="754" t="s">
        <v>521</v>
      </c>
      <c r="B32" s="755"/>
      <c r="C32" s="755"/>
      <c r="D32" s="755"/>
      <c r="E32" s="755"/>
      <c r="F32" s="755"/>
      <c r="G32" s="755"/>
    </row>
    <row r="33" spans="1:9" ht="12.75" customHeight="1">
      <c r="A33" s="754" t="s">
        <v>522</v>
      </c>
      <c r="B33" s="755"/>
      <c r="C33" s="755"/>
      <c r="D33" s="755"/>
      <c r="E33" s="755"/>
      <c r="F33" s="755"/>
      <c r="G33" s="755"/>
    </row>
    <row r="34" spans="1:9" ht="12" customHeight="1">
      <c r="A34" s="754" t="s">
        <v>523</v>
      </c>
      <c r="B34" s="755"/>
      <c r="C34" s="755"/>
      <c r="D34" s="755"/>
      <c r="E34" s="755"/>
      <c r="F34" s="755"/>
      <c r="G34" s="755"/>
    </row>
    <row r="35" spans="1:9" ht="12.75" customHeight="1">
      <c r="A35" s="754" t="s">
        <v>585</v>
      </c>
      <c r="B35" s="650"/>
      <c r="C35" s="650"/>
      <c r="D35" s="650"/>
      <c r="E35" s="650"/>
      <c r="F35" s="650"/>
      <c r="G35" s="650"/>
    </row>
    <row r="36" spans="1:9" ht="31" customHeight="1">
      <c r="A36" s="247"/>
      <c r="B36" s="650"/>
      <c r="C36" s="650"/>
      <c r="D36" s="650"/>
      <c r="E36" s="650"/>
      <c r="F36" s="650"/>
      <c r="G36" s="650"/>
    </row>
    <row r="37" spans="1:9" ht="31" customHeight="1">
      <c r="A37" s="247"/>
      <c r="B37" s="650"/>
      <c r="C37" s="650"/>
      <c r="D37" s="650"/>
      <c r="E37" s="650"/>
      <c r="F37" s="650"/>
      <c r="G37" s="650"/>
      <c r="I37" s="10"/>
    </row>
    <row r="38" spans="1:9" ht="31" customHeight="1">
      <c r="A38" s="247"/>
      <c r="B38" s="650"/>
      <c r="C38" s="650"/>
      <c r="D38" s="650"/>
      <c r="E38" s="650"/>
      <c r="F38" s="650"/>
      <c r="G38" s="650"/>
    </row>
    <row r="39" spans="1:9" ht="31" customHeight="1">
      <c r="A39" s="247"/>
      <c r="B39" s="650"/>
      <c r="C39" s="650"/>
      <c r="D39" s="650"/>
      <c r="E39" s="650"/>
      <c r="F39" s="650"/>
      <c r="G39" s="650"/>
    </row>
    <row r="40" spans="1:9" ht="31" customHeight="1">
      <c r="A40" s="247"/>
      <c r="B40" s="650"/>
      <c r="C40" s="650"/>
      <c r="D40" s="650"/>
      <c r="E40" s="650"/>
      <c r="F40" s="650"/>
      <c r="G40" s="650"/>
    </row>
    <row r="41" spans="1:9" ht="31" customHeight="1">
      <c r="A41" s="247"/>
      <c r="B41" s="650"/>
      <c r="C41" s="650"/>
      <c r="D41" s="650"/>
      <c r="E41" s="650"/>
      <c r="F41" s="650"/>
      <c r="G41" s="650"/>
    </row>
    <row r="42" spans="1:9" ht="31" customHeight="1">
      <c r="A42" s="247"/>
      <c r="B42" s="650"/>
      <c r="C42" s="650"/>
      <c r="D42" s="650"/>
      <c r="E42" s="650"/>
      <c r="F42" s="650"/>
      <c r="G42" s="650"/>
    </row>
    <row r="43" spans="1:9" ht="31" customHeight="1">
      <c r="A43" s="247"/>
      <c r="B43" s="650"/>
      <c r="C43" s="650"/>
      <c r="D43" s="650"/>
      <c r="E43" s="650"/>
      <c r="F43" s="650"/>
      <c r="G43" s="650"/>
    </row>
  </sheetData>
  <phoneticPr fontId="0" type="noConversion"/>
  <pageMargins left="0.78740157480314965" right="0.78740157480314965" top="1.46" bottom="0.49" header="0.94"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rowBreaks count="1" manualBreakCount="1">
    <brk id="35" max="16383" man="1"/>
  </rowBreak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2ABD-8C0A-E242-B323-7C33F567383C}">
  <dimension ref="A1:J57"/>
  <sheetViews>
    <sheetView topLeftCell="A21" zoomScale="75" workbookViewId="0">
      <selection activeCell="L19" sqref="L19"/>
    </sheetView>
  </sheetViews>
  <sheetFormatPr baseColWidth="10" defaultColWidth="11.3984375" defaultRowHeight="13"/>
  <cols>
    <col min="1" max="1" width="11.3984375" style="3"/>
    <col min="2" max="2" width="11.19921875" style="22" customWidth="1"/>
    <col min="3" max="3" width="12.19921875" style="22" customWidth="1"/>
    <col min="4" max="4" width="13.3984375" style="22" customWidth="1"/>
    <col min="5" max="6" width="11.19921875" style="22" customWidth="1"/>
    <col min="7" max="7" width="12.19921875" style="22" customWidth="1"/>
    <col min="8" max="8" width="12.3984375" style="3" customWidth="1"/>
    <col min="9" max="9" width="12.796875" style="3" customWidth="1"/>
    <col min="10" max="10" width="11.3984375" style="3"/>
    <col min="11" max="11" width="5.796875" style="3" customWidth="1"/>
    <col min="12" max="16384" width="11.3984375" style="3"/>
  </cols>
  <sheetData>
    <row r="1" spans="1:10" s="1" customFormat="1" ht="14" customHeight="1">
      <c r="A1" s="62"/>
      <c r="B1" s="634"/>
      <c r="C1" s="634"/>
      <c r="D1" s="634"/>
      <c r="E1" s="634"/>
      <c r="F1" s="634"/>
      <c r="G1" s="634"/>
    </row>
    <row r="2" spans="1:10" s="1" customFormat="1" ht="27" customHeight="1">
      <c r="A2" s="777" t="s">
        <v>1640</v>
      </c>
      <c r="B2" s="778"/>
      <c r="C2" s="778"/>
      <c r="D2" s="778"/>
      <c r="E2" s="778"/>
      <c r="F2" s="778"/>
      <c r="G2" s="778"/>
      <c r="H2" s="779"/>
      <c r="I2" s="779"/>
      <c r="J2" s="779"/>
    </row>
    <row r="3" spans="1:10" ht="27" customHeight="1">
      <c r="A3" s="2" t="s">
        <v>335</v>
      </c>
      <c r="B3" s="780" t="s">
        <v>500</v>
      </c>
      <c r="C3" s="17"/>
      <c r="D3" s="74"/>
      <c r="E3" s="781"/>
      <c r="F3" s="772" t="s">
        <v>501</v>
      </c>
      <c r="G3" s="17"/>
      <c r="H3" s="782"/>
      <c r="I3" s="56"/>
      <c r="J3" s="783" t="s">
        <v>502</v>
      </c>
    </row>
    <row r="4" spans="1:10" ht="20.25" customHeight="1">
      <c r="A4" s="82"/>
      <c r="B4" s="559" t="s">
        <v>503</v>
      </c>
      <c r="C4" s="18" t="s">
        <v>1670</v>
      </c>
      <c r="D4" s="75" t="s">
        <v>1641</v>
      </c>
      <c r="E4" s="18" t="s">
        <v>504</v>
      </c>
      <c r="F4" s="784" t="s">
        <v>607</v>
      </c>
      <c r="G4" s="470" t="s">
        <v>1642</v>
      </c>
      <c r="H4" s="469" t="s">
        <v>1642</v>
      </c>
      <c r="I4" s="470" t="s">
        <v>1642</v>
      </c>
      <c r="J4" s="784"/>
    </row>
    <row r="5" spans="1:10" ht="15" customHeight="1">
      <c r="A5" s="82"/>
      <c r="B5" s="559"/>
      <c r="C5" s="18"/>
      <c r="D5" s="75" t="s">
        <v>505</v>
      </c>
      <c r="E5" s="18"/>
      <c r="F5" s="775"/>
      <c r="G5" s="470" t="s">
        <v>1643</v>
      </c>
      <c r="H5" s="469" t="s">
        <v>1644</v>
      </c>
      <c r="I5" s="470" t="s">
        <v>1645</v>
      </c>
      <c r="J5" s="775"/>
    </row>
    <row r="6" spans="1:10" s="556" customFormat="1" ht="26.25" customHeight="1">
      <c r="A6" s="785"/>
      <c r="B6" s="559"/>
      <c r="C6" s="635"/>
      <c r="D6" s="559" t="s">
        <v>1646</v>
      </c>
      <c r="E6" s="635"/>
      <c r="F6" s="786"/>
      <c r="G6" s="635" t="s">
        <v>1647</v>
      </c>
      <c r="H6" s="78"/>
      <c r="I6" s="787"/>
      <c r="J6" s="786"/>
    </row>
    <row r="7" spans="1:10" ht="30" customHeight="1" thickBot="1">
      <c r="A7" s="560">
        <v>1996</v>
      </c>
      <c r="B7" s="170">
        <v>86.006060740352524</v>
      </c>
      <c r="C7" s="169">
        <v>84.889109946275426</v>
      </c>
      <c r="D7" s="170">
        <v>88.105833187353355</v>
      </c>
      <c r="E7" s="169">
        <v>89.456872549597762</v>
      </c>
      <c r="F7" s="776" t="s">
        <v>490</v>
      </c>
      <c r="G7" s="169" t="s">
        <v>490</v>
      </c>
      <c r="H7" s="762" t="s">
        <v>490</v>
      </c>
      <c r="I7" s="788" t="s">
        <v>490</v>
      </c>
      <c r="J7" s="776" t="s">
        <v>490</v>
      </c>
    </row>
    <row r="8" spans="1:10" ht="18" customHeight="1" thickBot="1">
      <c r="A8" s="561">
        <v>1997</v>
      </c>
      <c r="B8" s="170">
        <v>93.450605294375507</v>
      </c>
      <c r="C8" s="93">
        <v>92.236973058553744</v>
      </c>
      <c r="D8" s="449">
        <v>95.732130624841147</v>
      </c>
      <c r="E8" s="93">
        <v>97.200113754069974</v>
      </c>
      <c r="F8" s="776" t="s">
        <v>490</v>
      </c>
      <c r="G8" s="169" t="s">
        <v>490</v>
      </c>
      <c r="H8" s="762" t="s">
        <v>490</v>
      </c>
      <c r="I8" s="788" t="s">
        <v>490</v>
      </c>
      <c r="J8" s="776" t="s">
        <v>490</v>
      </c>
    </row>
    <row r="9" spans="1:10" ht="18" customHeight="1" thickBot="1">
      <c r="A9" s="789">
        <v>1998</v>
      </c>
      <c r="B9" s="170">
        <v>97.215487948935049</v>
      </c>
      <c r="C9" s="790">
        <v>96.76145469915906</v>
      </c>
      <c r="D9" s="791">
        <v>96.219599118266132</v>
      </c>
      <c r="E9" s="790">
        <v>97.097348546501266</v>
      </c>
      <c r="F9" s="776" t="s">
        <v>490</v>
      </c>
      <c r="G9" s="169" t="s">
        <v>490</v>
      </c>
      <c r="H9" s="762" t="s">
        <v>490</v>
      </c>
      <c r="I9" s="788" t="s">
        <v>490</v>
      </c>
      <c r="J9" s="776" t="s">
        <v>490</v>
      </c>
    </row>
    <row r="10" spans="1:10" ht="18" customHeight="1" thickBot="1">
      <c r="A10" s="561">
        <v>1999</v>
      </c>
      <c r="B10" s="170">
        <v>100</v>
      </c>
      <c r="C10" s="93">
        <v>100</v>
      </c>
      <c r="D10" s="449">
        <v>100</v>
      </c>
      <c r="E10" s="93">
        <v>100</v>
      </c>
      <c r="F10" s="749">
        <v>100</v>
      </c>
      <c r="G10" s="93">
        <v>100</v>
      </c>
      <c r="H10" s="449">
        <v>100</v>
      </c>
      <c r="I10" s="93">
        <v>100</v>
      </c>
      <c r="J10" s="749">
        <v>100</v>
      </c>
    </row>
    <row r="11" spans="1:10" ht="18" customHeight="1" thickBot="1">
      <c r="A11" s="740">
        <v>2000</v>
      </c>
      <c r="B11" s="762">
        <v>103.8338895386602</v>
      </c>
      <c r="C11" s="743">
        <v>103.81904229623156</v>
      </c>
      <c r="D11" s="762">
        <v>103.45593003208138</v>
      </c>
      <c r="E11" s="743">
        <v>103.42115417527525</v>
      </c>
      <c r="F11" s="792">
        <v>106.4</v>
      </c>
      <c r="G11" s="743">
        <v>104.3</v>
      </c>
      <c r="H11" s="762">
        <v>107.5</v>
      </c>
      <c r="I11" s="788">
        <v>106.7</v>
      </c>
      <c r="J11" s="792">
        <v>104.6</v>
      </c>
    </row>
    <row r="12" spans="1:10" ht="18" customHeight="1" thickBot="1">
      <c r="A12" s="561">
        <v>2001</v>
      </c>
      <c r="B12" s="449">
        <v>109.89171777464087</v>
      </c>
      <c r="C12" s="93">
        <v>109.50538235327545</v>
      </c>
      <c r="D12" s="449">
        <v>115.01405375002101</v>
      </c>
      <c r="E12" s="93">
        <v>108.06385866336825</v>
      </c>
      <c r="F12" s="749">
        <v>111.1</v>
      </c>
      <c r="G12" s="93">
        <v>107.5</v>
      </c>
      <c r="H12" s="449">
        <v>112.5</v>
      </c>
      <c r="I12" s="93">
        <v>112.5</v>
      </c>
      <c r="J12" s="749">
        <v>110.3</v>
      </c>
    </row>
    <row r="13" spans="1:10" ht="18" customHeight="1" thickBot="1">
      <c r="A13" s="789">
        <v>2002</v>
      </c>
      <c r="B13" s="791">
        <v>120.84480835451934</v>
      </c>
      <c r="C13" s="790">
        <v>120.16923101478226</v>
      </c>
      <c r="D13" s="791">
        <v>132.24555803965833</v>
      </c>
      <c r="E13" s="790">
        <v>118.3322495934523</v>
      </c>
      <c r="F13" s="793">
        <v>115.4</v>
      </c>
      <c r="G13" s="790">
        <v>107.9</v>
      </c>
      <c r="H13" s="791">
        <v>117.5</v>
      </c>
      <c r="I13" s="790">
        <v>119.3</v>
      </c>
      <c r="J13" s="793">
        <v>119</v>
      </c>
    </row>
    <row r="14" spans="1:10" ht="18" customHeight="1" thickBot="1">
      <c r="A14" s="789">
        <v>2003</v>
      </c>
      <c r="B14" s="791">
        <v>133.09774039506712</v>
      </c>
      <c r="C14" s="790">
        <v>131.71223226225331</v>
      </c>
      <c r="D14" s="791">
        <v>152.60915065942334</v>
      </c>
      <c r="E14" s="790">
        <v>129.32141615117271</v>
      </c>
      <c r="F14" s="793">
        <v>116.4</v>
      </c>
      <c r="G14" s="790">
        <v>110</v>
      </c>
      <c r="H14" s="791">
        <v>117.9</v>
      </c>
      <c r="I14" s="790">
        <v>120.1</v>
      </c>
      <c r="J14" s="793">
        <v>127.4</v>
      </c>
    </row>
    <row r="15" spans="1:10" ht="18" customHeight="1" thickBot="1">
      <c r="A15" s="794">
        <v>2004</v>
      </c>
      <c r="B15" s="795">
        <v>139.12814381452651</v>
      </c>
      <c r="C15" s="796">
        <v>137.31946500322508</v>
      </c>
      <c r="D15" s="795">
        <v>163.79346681139063</v>
      </c>
      <c r="E15" s="796">
        <v>134.66275119473332</v>
      </c>
      <c r="F15" s="797" t="s">
        <v>490</v>
      </c>
      <c r="G15" s="796" t="s">
        <v>490</v>
      </c>
      <c r="H15" s="795" t="s">
        <v>490</v>
      </c>
      <c r="I15" s="796" t="s">
        <v>490</v>
      </c>
      <c r="J15" s="797" t="s">
        <v>490</v>
      </c>
    </row>
    <row r="16" spans="1:10" ht="18" customHeight="1">
      <c r="A16" s="798"/>
      <c r="B16" s="647"/>
      <c r="C16" s="799"/>
      <c r="D16" s="647"/>
      <c r="E16" s="799"/>
      <c r="F16" s="647"/>
      <c r="G16" s="799"/>
      <c r="H16" s="647"/>
      <c r="I16" s="799"/>
      <c r="J16" s="647"/>
    </row>
    <row r="17" spans="1:10" ht="18" customHeight="1">
      <c r="A17" s="798"/>
      <c r="B17" s="647"/>
      <c r="C17" s="799"/>
      <c r="D17" s="647"/>
      <c r="E17" s="799"/>
      <c r="F17" s="647"/>
      <c r="G17" s="799"/>
      <c r="H17" s="647"/>
      <c r="I17" s="799"/>
      <c r="J17" s="647"/>
    </row>
    <row r="18" spans="1:10" ht="18" customHeight="1">
      <c r="A18" s="800" t="s">
        <v>1648</v>
      </c>
      <c r="B18" s="647"/>
      <c r="C18" s="799"/>
      <c r="D18" s="647"/>
      <c r="E18" s="799"/>
      <c r="F18" s="647"/>
      <c r="G18" s="799"/>
      <c r="H18" s="647"/>
      <c r="I18" s="799"/>
      <c r="J18" s="647"/>
    </row>
    <row r="19" spans="1:10" ht="18" customHeight="1">
      <c r="A19" s="801"/>
      <c r="B19" s="640"/>
      <c r="C19" s="802"/>
      <c r="D19" s="640"/>
      <c r="E19" s="802"/>
      <c r="F19" s="640"/>
      <c r="G19" s="802"/>
      <c r="H19" s="640"/>
      <c r="I19" s="802"/>
      <c r="J19" s="640"/>
    </row>
    <row r="20" spans="1:10" ht="27" customHeight="1">
      <c r="A20" s="2" t="s">
        <v>335</v>
      </c>
      <c r="B20" s="780" t="s">
        <v>500</v>
      </c>
      <c r="C20" s="17"/>
      <c r="D20" s="74"/>
      <c r="E20" s="781"/>
      <c r="F20" s="772" t="s">
        <v>501</v>
      </c>
      <c r="G20" s="17"/>
      <c r="H20" s="782"/>
      <c r="I20" s="56"/>
      <c r="J20" s="783" t="s">
        <v>502</v>
      </c>
    </row>
    <row r="21" spans="1:10" ht="20.25" customHeight="1">
      <c r="A21" s="82"/>
      <c r="B21" s="559" t="s">
        <v>503</v>
      </c>
      <c r="C21" s="18" t="s">
        <v>1670</v>
      </c>
      <c r="D21" s="75" t="s">
        <v>1641</v>
      </c>
      <c r="E21" s="18" t="s">
        <v>504</v>
      </c>
      <c r="F21" s="784" t="s">
        <v>607</v>
      </c>
      <c r="G21" s="470" t="s">
        <v>1642</v>
      </c>
      <c r="H21" s="469" t="s">
        <v>1642</v>
      </c>
      <c r="I21" s="470" t="s">
        <v>1642</v>
      </c>
      <c r="J21" s="784"/>
    </row>
    <row r="22" spans="1:10" ht="15" customHeight="1">
      <c r="A22" s="82"/>
      <c r="B22" s="559"/>
      <c r="C22" s="18"/>
      <c r="D22" s="75" t="s">
        <v>505</v>
      </c>
      <c r="E22" s="18"/>
      <c r="F22" s="775"/>
      <c r="G22" s="470" t="s">
        <v>1643</v>
      </c>
      <c r="H22" s="469" t="s">
        <v>1644</v>
      </c>
      <c r="I22" s="470" t="s">
        <v>1645</v>
      </c>
      <c r="J22" s="775"/>
    </row>
    <row r="23" spans="1:10" s="556" customFormat="1" ht="26.25" customHeight="1">
      <c r="A23" s="83"/>
      <c r="B23" s="78"/>
      <c r="C23" s="19"/>
      <c r="D23" s="78" t="s">
        <v>1646</v>
      </c>
      <c r="E23" s="19"/>
      <c r="F23" s="739"/>
      <c r="G23" s="19" t="s">
        <v>1647</v>
      </c>
      <c r="H23" s="78"/>
      <c r="I23" s="787"/>
      <c r="J23" s="739"/>
    </row>
    <row r="24" spans="1:10" ht="26.25" customHeight="1" thickBot="1">
      <c r="A24" s="740">
        <v>1997</v>
      </c>
      <c r="B24" s="722">
        <v>8.6558371467537087E-2</v>
      </c>
      <c r="C24" s="25">
        <v>8.6558371467537309E-2</v>
      </c>
      <c r="D24" s="722">
        <v>8.6558371467537087E-2</v>
      </c>
      <c r="E24" s="25">
        <v>8.6558371467537087E-2</v>
      </c>
      <c r="F24" s="803" t="s">
        <v>490</v>
      </c>
      <c r="G24" s="25" t="s">
        <v>490</v>
      </c>
      <c r="H24" s="722" t="s">
        <v>490</v>
      </c>
      <c r="I24" s="25" t="s">
        <v>490</v>
      </c>
      <c r="J24" s="803" t="s">
        <v>490</v>
      </c>
    </row>
    <row r="25" spans="1:10" ht="18" customHeight="1" thickBot="1">
      <c r="A25" s="561">
        <v>1998</v>
      </c>
      <c r="B25" s="722">
        <v>4.0287407906026029E-2</v>
      </c>
      <c r="C25" s="26">
        <v>4.9052798358127925E-2</v>
      </c>
      <c r="D25" s="128">
        <v>5.0920050587330845E-3</v>
      </c>
      <c r="E25" s="26">
        <v>-1.0572539845860041E-3</v>
      </c>
      <c r="F25" s="803" t="s">
        <v>490</v>
      </c>
      <c r="G25" s="25" t="s">
        <v>490</v>
      </c>
      <c r="H25" s="722" t="s">
        <v>490</v>
      </c>
      <c r="I25" s="25" t="s">
        <v>490</v>
      </c>
      <c r="J25" s="803" t="s">
        <v>490</v>
      </c>
    </row>
    <row r="26" spans="1:10" ht="18" customHeight="1" thickBot="1">
      <c r="A26" s="740">
        <v>1999</v>
      </c>
      <c r="B26" s="722">
        <v>2.8642679369439428E-2</v>
      </c>
      <c r="C26" s="26">
        <v>3.3469373842196726E-2</v>
      </c>
      <c r="D26" s="128">
        <v>3.9289301934081866E-2</v>
      </c>
      <c r="E26" s="26">
        <v>2.9894240130652117E-2</v>
      </c>
      <c r="F26" s="803" t="s">
        <v>490</v>
      </c>
      <c r="G26" s="25" t="s">
        <v>490</v>
      </c>
      <c r="H26" s="722" t="s">
        <v>490</v>
      </c>
      <c r="I26" s="25" t="s">
        <v>490</v>
      </c>
      <c r="J26" s="803" t="s">
        <v>490</v>
      </c>
    </row>
    <row r="27" spans="1:10" ht="18" customHeight="1" thickBot="1">
      <c r="A27" s="561">
        <v>2000</v>
      </c>
      <c r="B27" s="722">
        <v>3.8338895386601957E-2</v>
      </c>
      <c r="C27" s="26">
        <v>3.8190422962315562E-2</v>
      </c>
      <c r="D27" s="128">
        <v>3.4559300320813779E-2</v>
      </c>
      <c r="E27" s="26">
        <v>3.4211541752752428E-2</v>
      </c>
      <c r="F27" s="804">
        <v>6.4000000000000001E-2</v>
      </c>
      <c r="G27" s="26">
        <v>4.2999999999999997E-2</v>
      </c>
      <c r="H27" s="128">
        <v>7.4999999999999997E-2</v>
      </c>
      <c r="I27" s="26">
        <v>6.7000000000000004E-2</v>
      </c>
      <c r="J27" s="804">
        <v>4.5999999999999999E-2</v>
      </c>
    </row>
    <row r="28" spans="1:10" ht="18" customHeight="1" thickBot="1">
      <c r="A28" s="740">
        <v>2001</v>
      </c>
      <c r="B28" s="722">
        <v>5.8341532450493228E-2</v>
      </c>
      <c r="C28" s="26">
        <v>5.4771648160833575E-2</v>
      </c>
      <c r="D28" s="128">
        <v>0.11172026305650617</v>
      </c>
      <c r="E28" s="26">
        <v>4.4891246139302288E-2</v>
      </c>
      <c r="F28" s="804">
        <v>4.4000000000000004E-2</v>
      </c>
      <c r="G28" s="26">
        <v>0.03</v>
      </c>
      <c r="H28" s="128">
        <v>4.7E-2</v>
      </c>
      <c r="I28" s="26">
        <v>5.5E-2</v>
      </c>
      <c r="J28" s="804">
        <v>5.4000000000000006E-2</v>
      </c>
    </row>
    <row r="29" spans="1:10" ht="18" customHeight="1" thickBot="1">
      <c r="A29" s="561">
        <v>2002</v>
      </c>
      <c r="B29" s="722">
        <v>9.9671665906073015E-2</v>
      </c>
      <c r="C29" s="26">
        <v>9.7381959063018053E-2</v>
      </c>
      <c r="D29" s="128">
        <v>0.14982085864992989</v>
      </c>
      <c r="E29" s="26">
        <v>9.5021509106678392E-2</v>
      </c>
      <c r="F29" s="804">
        <v>3.9E-2</v>
      </c>
      <c r="G29" s="26">
        <v>4.0000000000000001E-3</v>
      </c>
      <c r="H29" s="128">
        <v>4.4000000000000004E-2</v>
      </c>
      <c r="I29" s="26">
        <v>0.06</v>
      </c>
      <c r="J29" s="804">
        <v>7.9000000000000001E-2</v>
      </c>
    </row>
    <row r="30" spans="1:10" ht="18" customHeight="1" thickBot="1">
      <c r="A30" s="561">
        <v>2003</v>
      </c>
      <c r="B30" s="722">
        <v>0.10139394656162359</v>
      </c>
      <c r="C30" s="26">
        <v>9.6056212975608846E-2</v>
      </c>
      <c r="D30" s="128">
        <v>0.15398318795447397</v>
      </c>
      <c r="E30" s="26">
        <v>9.2867046772754591E-2</v>
      </c>
      <c r="F30" s="804">
        <v>8.6655112651645716E-3</v>
      </c>
      <c r="G30" s="26">
        <v>1.9462465245597693E-2</v>
      </c>
      <c r="H30" s="128">
        <v>3.4042553191488967E-3</v>
      </c>
      <c r="I30" s="26">
        <v>6.7057837384743024E-3</v>
      </c>
      <c r="J30" s="804">
        <v>7.0588235294117618E-2</v>
      </c>
    </row>
    <row r="31" spans="1:10" ht="18" customHeight="1" thickBot="1">
      <c r="A31" s="740">
        <v>2004</v>
      </c>
      <c r="B31" s="128">
        <v>4.5308082628297441E-2</v>
      </c>
      <c r="C31" s="26">
        <v>4.2571845034158784E-2</v>
      </c>
      <c r="D31" s="128">
        <v>7.3287323228259371E-2</v>
      </c>
      <c r="E31" s="26">
        <v>4.1302788065023632E-2</v>
      </c>
      <c r="F31" s="804" t="s">
        <v>490</v>
      </c>
      <c r="G31" s="26" t="s">
        <v>490</v>
      </c>
      <c r="H31" s="805" t="s">
        <v>490</v>
      </c>
      <c r="I31" s="430" t="s">
        <v>490</v>
      </c>
      <c r="J31" s="806" t="s">
        <v>490</v>
      </c>
    </row>
    <row r="32" spans="1:10" ht="17.25" customHeight="1">
      <c r="A32" s="637" t="s">
        <v>178</v>
      </c>
      <c r="B32" s="638"/>
      <c r="C32" s="638"/>
      <c r="D32" s="638"/>
      <c r="E32" s="638"/>
      <c r="F32" s="638"/>
      <c r="G32" s="638"/>
    </row>
    <row r="33" spans="1:9" ht="12" customHeight="1">
      <c r="A33" s="646"/>
      <c r="B33" s="647"/>
      <c r="C33" s="647"/>
      <c r="D33" s="647"/>
      <c r="E33" s="647"/>
      <c r="F33" s="647"/>
      <c r="G33" s="647"/>
    </row>
    <row r="34" spans="1:9" ht="15" customHeight="1">
      <c r="A34" s="646" t="s">
        <v>1649</v>
      </c>
      <c r="B34" s="649"/>
      <c r="C34" s="649"/>
      <c r="D34" s="649"/>
      <c r="E34" s="649"/>
      <c r="F34" s="649"/>
      <c r="G34" s="649"/>
    </row>
    <row r="35" spans="1:9" ht="15" customHeight="1">
      <c r="A35" s="260" t="s">
        <v>1650</v>
      </c>
      <c r="B35" s="649"/>
      <c r="C35" s="649"/>
      <c r="D35" s="649"/>
      <c r="E35" s="649"/>
      <c r="F35" s="649"/>
      <c r="G35" s="649"/>
    </row>
    <row r="36" spans="1:9" ht="15" customHeight="1">
      <c r="A36" s="807" t="s">
        <v>1651</v>
      </c>
      <c r="B36" s="649"/>
      <c r="C36" s="649"/>
      <c r="D36" s="649"/>
      <c r="E36" s="649"/>
      <c r="F36" s="649"/>
      <c r="G36" s="649"/>
    </row>
    <row r="37" spans="1:9" ht="15" customHeight="1">
      <c r="A37" s="807" t="s">
        <v>497</v>
      </c>
      <c r="B37"/>
      <c r="C37"/>
      <c r="D37"/>
      <c r="E37"/>
      <c r="F37"/>
      <c r="G37"/>
    </row>
    <row r="38" spans="1:9" ht="15.75" customHeight="1">
      <c r="A38" s="39" t="s">
        <v>498</v>
      </c>
      <c r="B38" s="649"/>
      <c r="C38" s="649"/>
      <c r="D38" s="649"/>
      <c r="E38" s="649"/>
      <c r="F38" s="649"/>
      <c r="G38" s="649"/>
      <c r="I38" s="10"/>
    </row>
    <row r="39" spans="1:9" ht="15" customHeight="1">
      <c r="A39" s="39" t="s">
        <v>499</v>
      </c>
      <c r="B39" s="649"/>
      <c r="C39" s="649"/>
      <c r="D39" s="649"/>
      <c r="E39" s="649"/>
      <c r="F39" s="649"/>
      <c r="G39" s="649"/>
    </row>
    <row r="40" spans="1:9" ht="18.75" customHeight="1">
      <c r="A40" s="39"/>
      <c r="B40" s="649"/>
      <c r="C40" s="649"/>
      <c r="D40" s="649"/>
      <c r="E40" s="649"/>
      <c r="F40" s="649"/>
      <c r="G40" s="649"/>
    </row>
    <row r="41" spans="1:9" ht="31" customHeight="1">
      <c r="A41" s="39"/>
      <c r="B41" s="649"/>
      <c r="C41" s="649"/>
      <c r="D41" s="649"/>
      <c r="E41" s="649"/>
      <c r="F41" s="649"/>
      <c r="G41" s="649"/>
    </row>
    <row r="42" spans="1:9" ht="31" customHeight="1">
      <c r="A42" s="39"/>
      <c r="B42" s="649"/>
      <c r="C42" s="649"/>
      <c r="D42" s="649"/>
      <c r="E42" s="649"/>
      <c r="F42" s="649"/>
      <c r="G42" s="649"/>
    </row>
    <row r="43" spans="1:9" ht="31" customHeight="1">
      <c r="A43" s="39"/>
      <c r="B43" s="649"/>
      <c r="C43" s="649"/>
      <c r="D43" s="649"/>
      <c r="E43" s="649"/>
      <c r="F43" s="649"/>
      <c r="G43" s="649"/>
    </row>
    <row r="44" spans="1:9" ht="31" customHeight="1">
      <c r="A44" s="39"/>
      <c r="B44" s="649"/>
      <c r="C44" s="649"/>
      <c r="D44" s="649"/>
      <c r="E44" s="649"/>
      <c r="F44" s="649"/>
      <c r="G44" s="649"/>
    </row>
    <row r="45" spans="1:9">
      <c r="A45" s="39"/>
      <c r="B45" s="649"/>
      <c r="C45" s="649"/>
      <c r="D45" s="649"/>
      <c r="E45" s="649"/>
      <c r="F45" s="649"/>
      <c r="G45" s="649"/>
    </row>
    <row r="46" spans="1:9">
      <c r="A46" s="39"/>
      <c r="B46" s="649"/>
      <c r="C46" s="649"/>
      <c r="D46" s="649"/>
      <c r="E46" s="649"/>
      <c r="F46" s="649"/>
      <c r="G46" s="649"/>
    </row>
    <row r="47" spans="1:9">
      <c r="A47" s="39"/>
      <c r="B47" s="649"/>
      <c r="C47" s="649"/>
      <c r="D47" s="649"/>
      <c r="E47" s="649"/>
      <c r="F47" s="649"/>
      <c r="G47" s="649"/>
    </row>
    <row r="48" spans="1:9">
      <c r="A48" s="39"/>
      <c r="B48" s="649"/>
      <c r="C48" s="649"/>
      <c r="D48" s="649"/>
      <c r="E48" s="649"/>
      <c r="F48" s="649"/>
      <c r="G48" s="649"/>
    </row>
    <row r="49" spans="1:7">
      <c r="A49" s="39"/>
      <c r="B49" s="649"/>
      <c r="C49" s="649"/>
      <c r="D49" s="649"/>
      <c r="E49" s="649"/>
      <c r="F49" s="649"/>
      <c r="G49" s="649"/>
    </row>
    <row r="50" spans="1:7">
      <c r="A50" s="39"/>
      <c r="B50" s="649"/>
      <c r="C50" s="649"/>
      <c r="D50" s="649"/>
      <c r="E50" s="649"/>
      <c r="F50" s="649"/>
      <c r="G50" s="649"/>
    </row>
    <row r="51" spans="1:7">
      <c r="A51" s="39"/>
      <c r="B51" s="649"/>
      <c r="C51" s="649"/>
      <c r="D51" s="649"/>
      <c r="E51" s="649"/>
      <c r="F51" s="649"/>
      <c r="G51" s="649"/>
    </row>
    <row r="52" spans="1:7">
      <c r="A52" s="39"/>
      <c r="B52" s="649"/>
      <c r="C52" s="649"/>
      <c r="D52" s="649"/>
      <c r="E52" s="649"/>
      <c r="F52" s="649"/>
      <c r="G52" s="649"/>
    </row>
    <row r="53" spans="1:7">
      <c r="A53" s="39"/>
      <c r="B53" s="649"/>
      <c r="C53" s="649"/>
      <c r="D53" s="649"/>
      <c r="E53" s="649"/>
      <c r="F53" s="649"/>
      <c r="G53" s="649"/>
    </row>
    <row r="54" spans="1:7">
      <c r="A54" s="39"/>
      <c r="B54" s="649"/>
      <c r="C54" s="649"/>
      <c r="D54" s="649"/>
      <c r="E54" s="649"/>
      <c r="F54" s="649"/>
      <c r="G54" s="649"/>
    </row>
    <row r="55" spans="1:7">
      <c r="A55" s="39"/>
      <c r="B55" s="649"/>
      <c r="C55" s="649"/>
      <c r="D55" s="649"/>
      <c r="E55" s="649"/>
      <c r="F55" s="649"/>
      <c r="G55" s="649"/>
    </row>
    <row r="56" spans="1:7">
      <c r="A56" s="39"/>
      <c r="B56" s="649"/>
      <c r="C56" s="649"/>
      <c r="D56" s="649"/>
      <c r="E56" s="649"/>
      <c r="F56" s="649"/>
      <c r="G56" s="649"/>
    </row>
    <row r="57" spans="1:7">
      <c r="A57" s="39"/>
      <c r="B57" s="649"/>
      <c r="C57" s="649"/>
      <c r="D57" s="649"/>
      <c r="E57" s="649"/>
      <c r="F57" s="649"/>
      <c r="G57" s="649"/>
    </row>
  </sheetData>
  <phoneticPr fontId="0" type="noConversion"/>
  <pageMargins left="0.36" right="0.44" top="1.0900000000000001" bottom="0.68" header="0.53" footer="0.33"/>
  <pageSetup paperSize="9" scale="75" orientation="portrait" horizontalDpi="4294967292" verticalDpi="4294967292"/>
  <headerFooter alignWithMargins="0">
    <oddHeader>&amp;L&amp;"Arial,Bold"&amp;14Zusatzinformationen zum Gesundheitswesen</oddHeader>
    <oddFooter>&amp;L&amp;"Arial,Regular"Statistik der Krankenversicherung, Bundesamt für Sozialversicherung</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BCEC9-25BB-A742-B748-B53849887A1B}">
  <dimension ref="A1:I34"/>
  <sheetViews>
    <sheetView topLeftCell="A9" zoomScale="75" workbookViewId="0">
      <selection activeCell="B23" sqref="B23:I23"/>
    </sheetView>
  </sheetViews>
  <sheetFormatPr baseColWidth="10" defaultColWidth="11.3984375" defaultRowHeight="13"/>
  <cols>
    <col min="1" max="1" width="14.19921875" style="3" customWidth="1"/>
    <col min="2" max="2" width="12.3984375" style="22" customWidth="1"/>
    <col min="3" max="3" width="13" style="22" customWidth="1"/>
    <col min="4" max="4" width="11.796875" style="22" customWidth="1"/>
    <col min="5" max="5" width="13.19921875" style="22" customWidth="1"/>
    <col min="6" max="6" width="13" style="22" customWidth="1"/>
    <col min="7" max="7" width="12.796875" style="22" customWidth="1"/>
    <col min="8" max="8" width="12.3984375" style="22" customWidth="1"/>
    <col min="9" max="9" width="14.19921875" style="22" customWidth="1"/>
    <col min="10" max="16384" width="11.3984375" style="3"/>
  </cols>
  <sheetData>
    <row r="1" spans="1:9" s="1" customFormat="1" ht="14" customHeight="1">
      <c r="A1" s="62"/>
      <c r="B1" s="634"/>
      <c r="C1" s="634"/>
      <c r="D1" s="634"/>
      <c r="E1" s="634"/>
      <c r="F1" s="634"/>
      <c r="G1" s="634"/>
      <c r="H1" s="634"/>
      <c r="I1" s="634"/>
    </row>
    <row r="2" spans="1:9" s="1" customFormat="1" ht="27" customHeight="1">
      <c r="A2" s="240" t="s">
        <v>1628</v>
      </c>
      <c r="B2" s="634"/>
      <c r="C2" s="634"/>
      <c r="D2" s="634"/>
      <c r="E2" s="634"/>
      <c r="F2" s="634"/>
      <c r="G2" s="634"/>
      <c r="H2" s="634"/>
      <c r="I2" s="634"/>
    </row>
    <row r="3" spans="1:9" ht="20" customHeight="1">
      <c r="A3" s="2" t="s">
        <v>335</v>
      </c>
      <c r="B3" s="185" t="s">
        <v>1635</v>
      </c>
      <c r="C3" s="17"/>
      <c r="D3" s="74"/>
      <c r="E3" s="17"/>
      <c r="F3" s="772" t="s">
        <v>1636</v>
      </c>
      <c r="G3" s="17"/>
      <c r="H3" s="74"/>
      <c r="I3" s="17"/>
    </row>
    <row r="4" spans="1:9" ht="20" customHeight="1">
      <c r="A4" s="82"/>
      <c r="B4" s="773" t="s">
        <v>1637</v>
      </c>
      <c r="C4" s="455"/>
      <c r="D4" s="445"/>
      <c r="E4" s="18" t="s">
        <v>607</v>
      </c>
      <c r="F4" s="774" t="s">
        <v>1638</v>
      </c>
      <c r="G4" s="455"/>
      <c r="H4" s="445"/>
      <c r="I4" s="18" t="s">
        <v>607</v>
      </c>
    </row>
    <row r="5" spans="1:9" ht="15" customHeight="1">
      <c r="A5" s="82"/>
      <c r="B5" s="75" t="s">
        <v>966</v>
      </c>
      <c r="C5" s="18" t="s">
        <v>967</v>
      </c>
      <c r="D5" s="75" t="s">
        <v>607</v>
      </c>
      <c r="E5" s="18" t="s">
        <v>1629</v>
      </c>
      <c r="F5" s="775" t="s">
        <v>966</v>
      </c>
      <c r="G5" s="18" t="s">
        <v>967</v>
      </c>
      <c r="H5" s="75" t="s">
        <v>607</v>
      </c>
      <c r="I5" s="18" t="s">
        <v>1629</v>
      </c>
    </row>
    <row r="6" spans="1:9" ht="15" customHeight="1">
      <c r="A6" s="82"/>
      <c r="B6" s="559" t="s">
        <v>1630</v>
      </c>
      <c r="C6" s="635" t="s">
        <v>1630</v>
      </c>
      <c r="D6" s="75"/>
      <c r="E6" s="18" t="s">
        <v>256</v>
      </c>
      <c r="F6" s="775" t="s">
        <v>1630</v>
      </c>
      <c r="G6" s="18" t="s">
        <v>1630</v>
      </c>
      <c r="H6" s="75"/>
      <c r="I6" s="18" t="s">
        <v>256</v>
      </c>
    </row>
    <row r="7" spans="1:9" ht="15" customHeight="1">
      <c r="A7" s="82"/>
      <c r="B7" s="559" t="s">
        <v>1402</v>
      </c>
      <c r="C7" s="635" t="s">
        <v>1402</v>
      </c>
      <c r="D7" s="75"/>
      <c r="E7" s="18" t="s">
        <v>258</v>
      </c>
      <c r="F7" s="775" t="s">
        <v>1402</v>
      </c>
      <c r="G7" s="18" t="s">
        <v>1402</v>
      </c>
      <c r="H7" s="75"/>
      <c r="I7" s="18" t="s">
        <v>258</v>
      </c>
    </row>
    <row r="8" spans="1:9" ht="20" customHeight="1">
      <c r="A8" s="283"/>
      <c r="B8" s="78"/>
      <c r="C8" s="19"/>
      <c r="D8" s="78"/>
      <c r="E8" s="19"/>
      <c r="F8" s="739"/>
      <c r="G8" s="19"/>
      <c r="H8" s="78"/>
      <c r="I8" s="19"/>
    </row>
    <row r="9" spans="1:9" ht="27.75" customHeight="1" thickBot="1">
      <c r="A9" s="560">
        <v>1985</v>
      </c>
      <c r="B9" s="170" t="s">
        <v>490</v>
      </c>
      <c r="C9" s="169" t="s">
        <v>490</v>
      </c>
      <c r="D9" s="170" t="s">
        <v>490</v>
      </c>
      <c r="E9" s="169">
        <v>948.43799999999999</v>
      </c>
      <c r="F9" s="776" t="s">
        <v>490</v>
      </c>
      <c r="G9" s="169" t="s">
        <v>490</v>
      </c>
      <c r="H9" s="170" t="s">
        <v>490</v>
      </c>
      <c r="I9" s="169">
        <v>631.95600000000002</v>
      </c>
    </row>
    <row r="10" spans="1:9" ht="20" customHeight="1" thickBot="1">
      <c r="A10" s="561">
        <v>1986</v>
      </c>
      <c r="B10" s="449" t="s">
        <v>490</v>
      </c>
      <c r="C10" s="93" t="s">
        <v>490</v>
      </c>
      <c r="D10" s="449" t="s">
        <v>490</v>
      </c>
      <c r="E10" s="93">
        <v>1033.73</v>
      </c>
      <c r="F10" s="749" t="s">
        <v>490</v>
      </c>
      <c r="G10" s="93" t="s">
        <v>490</v>
      </c>
      <c r="H10" s="449" t="s">
        <v>490</v>
      </c>
      <c r="I10" s="93">
        <v>701.48400000000004</v>
      </c>
    </row>
    <row r="11" spans="1:9" ht="20" customHeight="1" thickBot="1">
      <c r="A11" s="561">
        <v>1987</v>
      </c>
      <c r="B11" s="449" t="s">
        <v>490</v>
      </c>
      <c r="C11" s="93" t="s">
        <v>490</v>
      </c>
      <c r="D11" s="449" t="s">
        <v>490</v>
      </c>
      <c r="E11" s="93">
        <v>1100.9369999999999</v>
      </c>
      <c r="F11" s="749" t="s">
        <v>490</v>
      </c>
      <c r="G11" s="93" t="s">
        <v>490</v>
      </c>
      <c r="H11" s="449" t="s">
        <v>490</v>
      </c>
      <c r="I11" s="93">
        <v>778.54499999999996</v>
      </c>
    </row>
    <row r="12" spans="1:9" ht="20" customHeight="1" thickBot="1">
      <c r="A12" s="561">
        <v>1988</v>
      </c>
      <c r="B12" s="449" t="s">
        <v>490</v>
      </c>
      <c r="C12" s="93" t="s">
        <v>490</v>
      </c>
      <c r="D12" s="449" t="s">
        <v>490</v>
      </c>
      <c r="E12" s="93">
        <v>1177.078</v>
      </c>
      <c r="F12" s="749" t="s">
        <v>490</v>
      </c>
      <c r="G12" s="93" t="s">
        <v>490</v>
      </c>
      <c r="H12" s="449" t="s">
        <v>490</v>
      </c>
      <c r="I12" s="93">
        <v>873.36699999999996</v>
      </c>
    </row>
    <row r="13" spans="1:9" ht="20" customHeight="1" thickBot="1">
      <c r="A13" s="561">
        <v>1989</v>
      </c>
      <c r="B13" s="449" t="s">
        <v>490</v>
      </c>
      <c r="C13" s="93" t="s">
        <v>490</v>
      </c>
      <c r="D13" s="449" t="s">
        <v>490</v>
      </c>
      <c r="E13" s="93">
        <v>1287.019</v>
      </c>
      <c r="F13" s="749" t="s">
        <v>490</v>
      </c>
      <c r="G13" s="93" t="s">
        <v>490</v>
      </c>
      <c r="H13" s="449" t="s">
        <v>490</v>
      </c>
      <c r="I13" s="93">
        <v>948.92100000000005</v>
      </c>
    </row>
    <row r="14" spans="1:9" ht="20" customHeight="1" thickBot="1">
      <c r="A14" s="561">
        <v>1990</v>
      </c>
      <c r="B14" s="449" t="s">
        <v>490</v>
      </c>
      <c r="C14" s="93" t="s">
        <v>490</v>
      </c>
      <c r="D14" s="449" t="s">
        <v>490</v>
      </c>
      <c r="E14" s="93">
        <v>1420.8050000000001</v>
      </c>
      <c r="F14" s="749" t="s">
        <v>490</v>
      </c>
      <c r="G14" s="93" t="s">
        <v>490</v>
      </c>
      <c r="H14" s="449" t="s">
        <v>490</v>
      </c>
      <c r="I14" s="93">
        <v>1086.6199999999999</v>
      </c>
    </row>
    <row r="15" spans="1:9" ht="20" customHeight="1" thickBot="1">
      <c r="A15" s="561">
        <v>1991</v>
      </c>
      <c r="B15" s="449" t="s">
        <v>490</v>
      </c>
      <c r="C15" s="93" t="s">
        <v>490</v>
      </c>
      <c r="D15" s="449">
        <v>763.6</v>
      </c>
      <c r="E15" s="93">
        <v>1543.597</v>
      </c>
      <c r="F15" s="749" t="s">
        <v>490</v>
      </c>
      <c r="G15" s="93" t="s">
        <v>490</v>
      </c>
      <c r="H15" s="449">
        <v>608.6</v>
      </c>
      <c r="I15" s="93">
        <v>1257.979</v>
      </c>
    </row>
    <row r="16" spans="1:9" ht="20" customHeight="1" thickBot="1">
      <c r="A16" s="561">
        <v>1992</v>
      </c>
      <c r="B16" s="449" t="s">
        <v>490</v>
      </c>
      <c r="C16" s="93" t="s">
        <v>490</v>
      </c>
      <c r="D16" s="603">
        <v>751.1</v>
      </c>
      <c r="E16" s="93">
        <v>1648.1410000000001</v>
      </c>
      <c r="F16" s="749" t="s">
        <v>490</v>
      </c>
      <c r="G16" s="93" t="s">
        <v>490</v>
      </c>
      <c r="H16" s="603">
        <v>631.1</v>
      </c>
      <c r="I16" s="93">
        <v>1414.9949999999999</v>
      </c>
    </row>
    <row r="17" spans="1:9" ht="20" customHeight="1" thickBot="1">
      <c r="A17" s="561">
        <v>1993</v>
      </c>
      <c r="B17" s="449" t="s">
        <v>490</v>
      </c>
      <c r="C17" s="93" t="s">
        <v>490</v>
      </c>
      <c r="D17" s="603">
        <v>734.9</v>
      </c>
      <c r="E17" s="93">
        <v>1667.729</v>
      </c>
      <c r="F17" s="749" t="s">
        <v>490</v>
      </c>
      <c r="G17" s="93" t="s">
        <v>490</v>
      </c>
      <c r="H17" s="603">
        <v>626</v>
      </c>
      <c r="I17" s="93">
        <v>1459.6659999999999</v>
      </c>
    </row>
    <row r="18" spans="1:9" ht="20" customHeight="1" thickBot="1">
      <c r="A18" s="561">
        <v>1994</v>
      </c>
      <c r="B18" s="449" t="s">
        <v>490</v>
      </c>
      <c r="C18" s="93" t="s">
        <v>490</v>
      </c>
      <c r="D18" s="603">
        <v>690</v>
      </c>
      <c r="E18" s="93">
        <v>1621.08</v>
      </c>
      <c r="F18" s="749" t="s">
        <v>490</v>
      </c>
      <c r="G18" s="93" t="s">
        <v>490</v>
      </c>
      <c r="H18" s="603">
        <v>613.1</v>
      </c>
      <c r="I18" s="93">
        <v>1489.1569999999999</v>
      </c>
    </row>
    <row r="19" spans="1:9" ht="20" customHeight="1" thickBot="1">
      <c r="A19" s="561">
        <v>1995</v>
      </c>
      <c r="B19" s="449" t="s">
        <v>490</v>
      </c>
      <c r="C19" s="93" t="s">
        <v>490</v>
      </c>
      <c r="D19" s="603">
        <v>651.4</v>
      </c>
      <c r="E19" s="93">
        <v>1586.424</v>
      </c>
      <c r="F19" s="749" t="s">
        <v>490</v>
      </c>
      <c r="G19" s="93" t="s">
        <v>490</v>
      </c>
      <c r="H19" s="603">
        <v>587.29999999999995</v>
      </c>
      <c r="I19" s="93">
        <v>1488.664</v>
      </c>
    </row>
    <row r="20" spans="1:9" ht="20" customHeight="1" thickBot="1">
      <c r="A20" s="561">
        <v>1996</v>
      </c>
      <c r="B20" s="449" t="s">
        <v>490</v>
      </c>
      <c r="C20" s="93" t="s">
        <v>490</v>
      </c>
      <c r="D20" s="603">
        <v>640.4</v>
      </c>
      <c r="E20" s="93">
        <v>1618.7</v>
      </c>
      <c r="F20" s="749" t="s">
        <v>490</v>
      </c>
      <c r="G20" s="93" t="s">
        <v>490</v>
      </c>
      <c r="H20" s="603">
        <v>512.70000000000005</v>
      </c>
      <c r="I20" s="93">
        <v>1358.8</v>
      </c>
    </row>
    <row r="21" spans="1:9" ht="20" customHeight="1" thickBot="1">
      <c r="A21" s="561">
        <v>1997</v>
      </c>
      <c r="B21" s="449">
        <v>513.53</v>
      </c>
      <c r="C21" s="93">
        <v>88.28</v>
      </c>
      <c r="D21" s="449">
        <v>601.80999999999995</v>
      </c>
      <c r="E21" s="93">
        <v>1921.75</v>
      </c>
      <c r="F21" s="749">
        <v>395.33</v>
      </c>
      <c r="G21" s="93">
        <v>80.59</v>
      </c>
      <c r="H21" s="449">
        <v>475.92</v>
      </c>
      <c r="I21" s="93">
        <v>1558.71</v>
      </c>
    </row>
    <row r="22" spans="1:9" ht="20" customHeight="1" thickBot="1">
      <c r="A22" s="561">
        <v>1998</v>
      </c>
      <c r="B22" s="449">
        <v>544.61</v>
      </c>
      <c r="C22" s="93">
        <v>93.2</v>
      </c>
      <c r="D22" s="449">
        <v>637.80999999999995</v>
      </c>
      <c r="E22" s="93">
        <v>2066.17</v>
      </c>
      <c r="F22" s="749">
        <v>381.42</v>
      </c>
      <c r="G22" s="93">
        <v>78.63</v>
      </c>
      <c r="H22" s="449">
        <v>460.05</v>
      </c>
      <c r="I22" s="93">
        <v>1597.15</v>
      </c>
    </row>
    <row r="23" spans="1:9" ht="20" customHeight="1" thickBot="1">
      <c r="A23" s="561">
        <v>1999</v>
      </c>
      <c r="B23" s="449">
        <v>841.09</v>
      </c>
      <c r="C23" s="93">
        <v>257.10000000000002</v>
      </c>
      <c r="D23" s="449">
        <v>1098.19</v>
      </c>
      <c r="E23" s="93">
        <v>2435.96</v>
      </c>
      <c r="F23" s="749">
        <v>558.61</v>
      </c>
      <c r="G23" s="93">
        <v>205.28</v>
      </c>
      <c r="H23" s="449">
        <v>763.89</v>
      </c>
      <c r="I23" s="93">
        <v>1841.41</v>
      </c>
    </row>
    <row r="24" spans="1:9" ht="20" customHeight="1" thickBot="1">
      <c r="A24" s="561">
        <v>2000</v>
      </c>
      <c r="B24" s="449">
        <v>1843.16</v>
      </c>
      <c r="C24" s="93">
        <v>399.77</v>
      </c>
      <c r="D24" s="449">
        <v>2242.9299999999998</v>
      </c>
      <c r="E24" s="93">
        <v>3879.09</v>
      </c>
      <c r="F24" s="749">
        <v>1257.46</v>
      </c>
      <c r="G24" s="93">
        <v>326.3</v>
      </c>
      <c r="H24" s="449">
        <v>1583.76</v>
      </c>
      <c r="I24" s="93">
        <v>2917.88</v>
      </c>
    </row>
    <row r="25" spans="1:9" ht="20" customHeight="1" thickBot="1">
      <c r="A25" s="561">
        <v>2001</v>
      </c>
      <c r="B25" s="449">
        <v>2676.62</v>
      </c>
      <c r="C25" s="93">
        <v>513.83000000000004</v>
      </c>
      <c r="D25" s="449">
        <v>3190.45</v>
      </c>
      <c r="E25" s="93">
        <v>5041.2299999999996</v>
      </c>
      <c r="F25" s="749">
        <v>1941.54</v>
      </c>
      <c r="G25" s="93">
        <v>411.76</v>
      </c>
      <c r="H25" s="449">
        <v>2353.3000000000002</v>
      </c>
      <c r="I25" s="93">
        <v>3948.45</v>
      </c>
    </row>
    <row r="26" spans="1:9" ht="30" customHeight="1" thickBot="1">
      <c r="A26" s="562">
        <v>2002</v>
      </c>
      <c r="B26" s="453">
        <v>2798.3878989999998</v>
      </c>
      <c r="C26" s="750">
        <v>633.98667199999954</v>
      </c>
      <c r="D26" s="453">
        <v>3432.3745709999994</v>
      </c>
      <c r="E26" s="750">
        <v>5378.3268339999995</v>
      </c>
      <c r="F26" s="751">
        <v>1909.542256</v>
      </c>
      <c r="G26" s="750">
        <v>485.91948999999977</v>
      </c>
      <c r="H26" s="453">
        <v>2395.4617459999999</v>
      </c>
      <c r="I26" s="750">
        <v>4096.4477649999999</v>
      </c>
    </row>
    <row r="27" spans="1:9" ht="20" customHeight="1">
      <c r="A27" s="752" t="s">
        <v>565</v>
      </c>
      <c r="B27" s="753"/>
      <c r="C27" s="753"/>
      <c r="D27" s="753"/>
      <c r="E27" s="753"/>
      <c r="F27" s="753"/>
      <c r="G27" s="753"/>
      <c r="H27" s="753"/>
      <c r="I27" s="753"/>
    </row>
    <row r="28" spans="1:9" ht="10.5" customHeight="1">
      <c r="A28" s="754"/>
      <c r="B28" s="755"/>
      <c r="C28" s="755"/>
      <c r="D28" s="755"/>
      <c r="E28" s="755"/>
      <c r="F28" s="755"/>
      <c r="G28" s="755"/>
      <c r="H28" s="755"/>
      <c r="I28" s="755"/>
    </row>
    <row r="29" spans="1:9" ht="14.25" customHeight="1">
      <c r="A29" s="247" t="s">
        <v>1631</v>
      </c>
      <c r="B29" s="755"/>
      <c r="C29" s="755"/>
      <c r="D29" s="755"/>
      <c r="E29" s="755"/>
      <c r="F29" s="755"/>
      <c r="G29" s="755"/>
      <c r="H29" s="755"/>
      <c r="I29" s="755"/>
    </row>
    <row r="30" spans="1:9" ht="12" customHeight="1">
      <c r="A30" s="247" t="s">
        <v>1639</v>
      </c>
      <c r="B30" s="755"/>
      <c r="C30" s="755"/>
      <c r="D30" s="755"/>
      <c r="E30" s="755"/>
      <c r="F30" s="755"/>
      <c r="G30" s="755"/>
      <c r="H30" s="755"/>
      <c r="I30" s="755"/>
    </row>
    <row r="31" spans="1:9" ht="12" customHeight="1">
      <c r="A31" s="247" t="s">
        <v>1632</v>
      </c>
      <c r="B31" s="755"/>
      <c r="C31" s="755"/>
      <c r="D31" s="755"/>
      <c r="E31" s="755"/>
      <c r="F31" s="755"/>
      <c r="G31" s="755"/>
      <c r="H31" s="755"/>
      <c r="I31" s="755"/>
    </row>
    <row r="32" spans="1:9" ht="12" customHeight="1">
      <c r="A32" s="247" t="s">
        <v>1633</v>
      </c>
      <c r="B32" s="755"/>
      <c r="C32" s="755"/>
      <c r="D32" s="755"/>
      <c r="E32" s="755"/>
      <c r="F32" s="755"/>
      <c r="G32" s="755"/>
      <c r="H32" s="755"/>
      <c r="I32" s="755"/>
    </row>
    <row r="33" spans="1:9" ht="12" customHeight="1">
      <c r="A33" s="247"/>
      <c r="B33" s="755"/>
      <c r="C33" s="755"/>
      <c r="D33" s="755"/>
      <c r="E33" s="755"/>
      <c r="F33" s="755"/>
      <c r="G33" s="755"/>
      <c r="H33" s="755"/>
      <c r="I33" s="755"/>
    </row>
    <row r="34" spans="1:9">
      <c r="A34" s="754" t="s">
        <v>1634</v>
      </c>
      <c r="B34" s="650"/>
      <c r="C34" s="650"/>
      <c r="D34" s="650"/>
      <c r="E34" s="650"/>
      <c r="F34" s="650"/>
      <c r="G34" s="650"/>
      <c r="H34" s="650"/>
      <c r="I34" s="650"/>
    </row>
  </sheetData>
  <phoneticPr fontId="0" type="noConversion"/>
  <pageMargins left="0.48" right="0.54" top="1.28" bottom="0.49" header="0.81" footer="0.4921259845"/>
  <pageSetup paperSize="9" scale="80" orientation="portrait" horizontalDpi="4294967292" verticalDpi="4294967292"/>
  <headerFooter alignWithMargins="0">
    <oddHeader>&amp;L&amp;"Arial,Bold"&amp;14Zusatzinformationen zum Gesundheitswesen</oddHeader>
    <oddFooter>&amp;L&amp;"Arial,Regular"Statistik über die Krankenversicherung, Bundesamt für Sozialversicherung</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8803E-28AC-CE4C-83CA-F9EBDC66866A}">
  <dimension ref="A1:L28"/>
  <sheetViews>
    <sheetView zoomScale="75" workbookViewId="0">
      <selection activeCell="A3" sqref="A3"/>
    </sheetView>
  </sheetViews>
  <sheetFormatPr baseColWidth="10" defaultColWidth="11.3984375" defaultRowHeight="13"/>
  <cols>
    <col min="1" max="1" width="10" style="3" customWidth="1"/>
    <col min="2" max="2" width="13.796875" style="22" customWidth="1"/>
    <col min="3" max="3" width="13.3984375" style="22" customWidth="1"/>
    <col min="4" max="4" width="12.59765625" style="22" customWidth="1"/>
    <col min="5" max="5" width="13.19921875" style="22" customWidth="1"/>
    <col min="6" max="6" width="11.796875" style="22" customWidth="1"/>
    <col min="7" max="7" width="14.59765625" style="22" customWidth="1"/>
    <col min="8" max="8" width="13.3984375" style="22" customWidth="1"/>
    <col min="9" max="9" width="12.3984375" style="22" customWidth="1"/>
    <col min="10" max="10" width="13.796875" style="22" customWidth="1"/>
    <col min="11" max="11" width="12.19921875" style="22" customWidth="1"/>
    <col min="12" max="16384" width="11.3984375" style="3"/>
  </cols>
  <sheetData>
    <row r="1" spans="1:12" s="1" customFormat="1" ht="14" customHeight="1">
      <c r="A1" s="62"/>
      <c r="B1" s="634"/>
      <c r="C1" s="634"/>
      <c r="D1" s="634"/>
      <c r="E1" s="634"/>
      <c r="F1" s="634"/>
      <c r="G1" s="634"/>
      <c r="H1" s="634"/>
      <c r="I1" s="634"/>
      <c r="J1" s="634"/>
      <c r="K1" s="634"/>
    </row>
    <row r="2" spans="1:12" s="1" customFormat="1" ht="27" customHeight="1">
      <c r="A2" s="730" t="s">
        <v>577</v>
      </c>
      <c r="B2" s="731"/>
      <c r="C2" s="731"/>
      <c r="D2" s="731"/>
      <c r="E2" s="731"/>
      <c r="F2" s="731"/>
      <c r="G2" s="731"/>
      <c r="H2" s="731"/>
      <c r="I2" s="731"/>
      <c r="J2" s="731"/>
      <c r="K2" s="731"/>
    </row>
    <row r="3" spans="1:12" ht="20" customHeight="1">
      <c r="A3" s="82" t="s">
        <v>335</v>
      </c>
      <c r="B3" s="732" t="s">
        <v>46</v>
      </c>
      <c r="C3" s="18"/>
      <c r="D3" s="75"/>
      <c r="E3" s="82"/>
      <c r="F3" s="732" t="s">
        <v>1623</v>
      </c>
      <c r="G3" s="756" t="s">
        <v>1316</v>
      </c>
      <c r="H3" s="158"/>
      <c r="I3" s="82"/>
      <c r="J3" s="76"/>
      <c r="K3" s="665" t="s">
        <v>1624</v>
      </c>
    </row>
    <row r="4" spans="1:12" ht="32.25" customHeight="1">
      <c r="A4" s="82"/>
      <c r="B4" s="732" t="s">
        <v>560</v>
      </c>
      <c r="C4" s="575"/>
      <c r="D4" s="295" t="s">
        <v>1623</v>
      </c>
      <c r="E4" s="736" t="s">
        <v>578</v>
      </c>
      <c r="F4" s="158"/>
      <c r="G4" s="757" t="s">
        <v>560</v>
      </c>
      <c r="H4" s="732"/>
      <c r="I4" s="575" t="s">
        <v>1624</v>
      </c>
      <c r="J4" s="735" t="s">
        <v>578</v>
      </c>
      <c r="K4" s="4"/>
    </row>
    <row r="5" spans="1:12" ht="15" customHeight="1">
      <c r="A5" s="82"/>
      <c r="B5" s="75" t="s">
        <v>579</v>
      </c>
      <c r="C5" s="18" t="s">
        <v>563</v>
      </c>
      <c r="D5" s="75"/>
      <c r="E5" s="18" t="s">
        <v>563</v>
      </c>
      <c r="F5" s="75"/>
      <c r="G5" s="758" t="s">
        <v>579</v>
      </c>
      <c r="H5" s="75" t="s">
        <v>563</v>
      </c>
      <c r="I5" s="18"/>
      <c r="J5" s="75" t="s">
        <v>563</v>
      </c>
      <c r="K5" s="18"/>
    </row>
    <row r="6" spans="1:12" ht="15" customHeight="1">
      <c r="A6" s="82"/>
      <c r="B6" s="559" t="s">
        <v>563</v>
      </c>
      <c r="C6" s="635" t="s">
        <v>1625</v>
      </c>
      <c r="D6" s="559"/>
      <c r="E6" s="635" t="s">
        <v>1626</v>
      </c>
      <c r="F6" s="75"/>
      <c r="G6" s="759" t="s">
        <v>563</v>
      </c>
      <c r="H6" s="75" t="s">
        <v>1625</v>
      </c>
      <c r="I6" s="18"/>
      <c r="J6" s="75" t="s">
        <v>1626</v>
      </c>
      <c r="K6" s="18"/>
    </row>
    <row r="7" spans="1:12" ht="15" customHeight="1">
      <c r="A7" s="82"/>
      <c r="B7" s="559" t="s">
        <v>1627</v>
      </c>
      <c r="C7" s="635"/>
      <c r="D7" s="559"/>
      <c r="E7" s="635"/>
      <c r="F7" s="559"/>
      <c r="G7" s="759" t="s">
        <v>1627</v>
      </c>
      <c r="H7" s="75"/>
      <c r="I7" s="18"/>
      <c r="J7" s="75"/>
      <c r="K7" s="18"/>
    </row>
    <row r="8" spans="1:12" ht="20" customHeight="1">
      <c r="A8" s="283"/>
      <c r="B8" s="78"/>
      <c r="C8" s="19"/>
      <c r="D8" s="78"/>
      <c r="E8" s="19"/>
      <c r="F8" s="78"/>
      <c r="G8" s="760"/>
      <c r="H8" s="78"/>
      <c r="I8" s="19"/>
      <c r="J8" s="78"/>
      <c r="K8" s="19"/>
    </row>
    <row r="9" spans="1:12" ht="20" customHeight="1" thickBot="1">
      <c r="A9" s="740">
        <v>1991</v>
      </c>
      <c r="B9" s="741">
        <v>996.2</v>
      </c>
      <c r="C9" s="742" t="s">
        <v>490</v>
      </c>
      <c r="D9" s="741">
        <v>996.2</v>
      </c>
      <c r="E9" s="742">
        <v>780</v>
      </c>
      <c r="F9" s="741">
        <v>1776.2</v>
      </c>
      <c r="G9" s="761">
        <v>885.4</v>
      </c>
      <c r="H9" s="741" t="s">
        <v>490</v>
      </c>
      <c r="I9" s="742">
        <v>885.4</v>
      </c>
      <c r="J9" s="762">
        <v>649.4</v>
      </c>
      <c r="K9" s="743">
        <v>1534.8</v>
      </c>
    </row>
    <row r="10" spans="1:12" ht="20" customHeight="1" thickBot="1">
      <c r="A10" s="561">
        <v>1992</v>
      </c>
      <c r="B10" s="168">
        <v>1003.8</v>
      </c>
      <c r="C10" s="742" t="s">
        <v>490</v>
      </c>
      <c r="D10" s="741">
        <v>1003.8</v>
      </c>
      <c r="E10" s="745">
        <v>897</v>
      </c>
      <c r="F10" s="763">
        <v>1900.8</v>
      </c>
      <c r="G10" s="764">
        <v>923.2</v>
      </c>
      <c r="H10" s="741" t="s">
        <v>490</v>
      </c>
      <c r="I10" s="742">
        <v>923.2</v>
      </c>
      <c r="J10" s="603">
        <v>783.9</v>
      </c>
      <c r="K10" s="747">
        <v>1707.1</v>
      </c>
    </row>
    <row r="11" spans="1:12" ht="20" customHeight="1" thickBot="1">
      <c r="A11" s="561">
        <v>1993</v>
      </c>
      <c r="B11" s="168">
        <v>1026.2</v>
      </c>
      <c r="C11" s="742" t="s">
        <v>490</v>
      </c>
      <c r="D11" s="741">
        <v>1026.2</v>
      </c>
      <c r="E11" s="745">
        <v>932.8</v>
      </c>
      <c r="F11" s="763">
        <v>1959</v>
      </c>
      <c r="G11" s="764">
        <v>928.41399999999999</v>
      </c>
      <c r="H11" s="741" t="s">
        <v>490</v>
      </c>
      <c r="I11" s="742">
        <v>928.41399999999999</v>
      </c>
      <c r="J11" s="603">
        <v>833.7</v>
      </c>
      <c r="K11" s="747">
        <v>1762.114</v>
      </c>
    </row>
    <row r="12" spans="1:12" ht="20" customHeight="1" thickBot="1">
      <c r="A12" s="561">
        <v>1994</v>
      </c>
      <c r="B12" s="168">
        <v>1052.2</v>
      </c>
      <c r="C12" s="742" t="s">
        <v>490</v>
      </c>
      <c r="D12" s="741">
        <v>1052.2</v>
      </c>
      <c r="E12" s="745">
        <v>931.1</v>
      </c>
      <c r="F12" s="763">
        <v>1983.3</v>
      </c>
      <c r="G12" s="764">
        <v>983.23500000000001</v>
      </c>
      <c r="H12" s="741" t="s">
        <v>490</v>
      </c>
      <c r="I12" s="742">
        <v>983.23500000000001</v>
      </c>
      <c r="J12" s="603">
        <v>876.1</v>
      </c>
      <c r="K12" s="747">
        <v>1859.335</v>
      </c>
    </row>
    <row r="13" spans="1:12" ht="20" customHeight="1" thickBot="1">
      <c r="A13" s="561">
        <v>1995</v>
      </c>
      <c r="B13" s="168">
        <v>1073.0999999999999</v>
      </c>
      <c r="C13" s="742" t="s">
        <v>490</v>
      </c>
      <c r="D13" s="741">
        <v>1073.0999999999999</v>
      </c>
      <c r="E13" s="745">
        <v>935</v>
      </c>
      <c r="F13" s="763">
        <v>2008.1</v>
      </c>
      <c r="G13" s="764">
        <v>1017.388</v>
      </c>
      <c r="H13" s="741" t="s">
        <v>490</v>
      </c>
      <c r="I13" s="742">
        <v>1017.388</v>
      </c>
      <c r="J13" s="603">
        <v>901.4</v>
      </c>
      <c r="K13" s="747">
        <v>1918.788</v>
      </c>
    </row>
    <row r="14" spans="1:12" ht="20" customHeight="1" thickBot="1">
      <c r="A14" s="561">
        <v>1996</v>
      </c>
      <c r="B14" s="168">
        <v>832</v>
      </c>
      <c r="C14" s="745">
        <v>180.9</v>
      </c>
      <c r="D14" s="763">
        <v>1012.9</v>
      </c>
      <c r="E14" s="745">
        <v>978.3</v>
      </c>
      <c r="F14" s="763">
        <v>1991.2</v>
      </c>
      <c r="G14" s="764">
        <v>872.50191104999999</v>
      </c>
      <c r="H14" s="746">
        <v>116.7</v>
      </c>
      <c r="I14" s="765">
        <v>989.20191105000004</v>
      </c>
      <c r="J14" s="603">
        <v>846.1</v>
      </c>
      <c r="K14" s="747">
        <v>1835.3019110499999</v>
      </c>
      <c r="L14"/>
    </row>
    <row r="15" spans="1:12" ht="20" customHeight="1" thickBot="1">
      <c r="A15" s="561">
        <v>1997</v>
      </c>
      <c r="B15" s="168">
        <v>558.9</v>
      </c>
      <c r="C15" s="93">
        <v>393.8</v>
      </c>
      <c r="D15" s="741">
        <v>952.7</v>
      </c>
      <c r="E15" s="93">
        <v>1319.9</v>
      </c>
      <c r="F15" s="741">
        <v>2272.6</v>
      </c>
      <c r="G15" s="764">
        <v>621.52611999999999</v>
      </c>
      <c r="H15" s="449">
        <v>335.7</v>
      </c>
      <c r="I15" s="742">
        <v>957.22612000000004</v>
      </c>
      <c r="J15" s="449">
        <v>1082.8</v>
      </c>
      <c r="K15" s="743">
        <v>2040.02612</v>
      </c>
      <c r="L15"/>
    </row>
    <row r="16" spans="1:12" ht="20" customHeight="1" thickBot="1">
      <c r="A16" s="561">
        <v>1998</v>
      </c>
      <c r="B16" s="168">
        <v>509.6</v>
      </c>
      <c r="C16" s="93">
        <v>508.1</v>
      </c>
      <c r="D16" s="741">
        <v>1017.7</v>
      </c>
      <c r="E16" s="93">
        <v>1428.4</v>
      </c>
      <c r="F16" s="741">
        <v>2446.1</v>
      </c>
      <c r="G16" s="764">
        <v>456.36259100000001</v>
      </c>
      <c r="H16" s="449">
        <v>453.7</v>
      </c>
      <c r="I16" s="742">
        <v>910.062591</v>
      </c>
      <c r="J16" s="449">
        <v>1137.0999999999999</v>
      </c>
      <c r="K16" s="743">
        <v>2047.1625909999998</v>
      </c>
      <c r="L16"/>
    </row>
    <row r="17" spans="1:12" ht="20" customHeight="1" thickBot="1">
      <c r="A17" s="561">
        <v>1999</v>
      </c>
      <c r="B17" s="168">
        <v>462.9</v>
      </c>
      <c r="C17" s="93">
        <v>442.7</v>
      </c>
      <c r="D17" s="741">
        <v>905.6</v>
      </c>
      <c r="E17" s="93">
        <v>1337.8</v>
      </c>
      <c r="F17" s="741">
        <v>2243.4</v>
      </c>
      <c r="G17" s="764">
        <v>412.14915300000001</v>
      </c>
      <c r="H17" s="449">
        <v>385.2</v>
      </c>
      <c r="I17" s="742">
        <v>797.349153</v>
      </c>
      <c r="J17" s="449">
        <v>1077.5</v>
      </c>
      <c r="K17" s="743">
        <v>1874.8491530000001</v>
      </c>
      <c r="L17"/>
    </row>
    <row r="18" spans="1:12" ht="20" customHeight="1" thickBot="1">
      <c r="A18" s="561">
        <v>2000</v>
      </c>
      <c r="B18" s="168">
        <v>438.9</v>
      </c>
      <c r="C18" s="93">
        <v>339.7</v>
      </c>
      <c r="D18" s="741">
        <v>778.6</v>
      </c>
      <c r="E18" s="93">
        <v>1636.2</v>
      </c>
      <c r="F18" s="741">
        <v>2414.8000000000002</v>
      </c>
      <c r="G18" s="764">
        <v>381.63992000000002</v>
      </c>
      <c r="H18" s="449">
        <v>299.2</v>
      </c>
      <c r="I18" s="742">
        <v>680.83992000000001</v>
      </c>
      <c r="J18" s="449">
        <v>1334.1</v>
      </c>
      <c r="K18" s="743">
        <v>2014.9399199999998</v>
      </c>
      <c r="L18"/>
    </row>
    <row r="19" spans="1:12" ht="20" customHeight="1" thickBot="1">
      <c r="A19" s="561">
        <v>2001</v>
      </c>
      <c r="B19" s="168">
        <v>398.65</v>
      </c>
      <c r="C19" s="93">
        <v>248.38</v>
      </c>
      <c r="D19" s="741">
        <v>647.03</v>
      </c>
      <c r="E19" s="93">
        <v>1850.78</v>
      </c>
      <c r="F19" s="741">
        <v>2497.81</v>
      </c>
      <c r="G19" s="764">
        <v>351.97137099999998</v>
      </c>
      <c r="H19" s="449">
        <v>201.85</v>
      </c>
      <c r="I19" s="742">
        <v>553.821371</v>
      </c>
      <c r="J19" s="449">
        <v>1595.15</v>
      </c>
      <c r="K19" s="743">
        <v>2148.9713710000001</v>
      </c>
      <c r="L19"/>
    </row>
    <row r="20" spans="1:12" s="115" customFormat="1" ht="30" customHeight="1" thickBot="1">
      <c r="A20" s="562">
        <v>2002</v>
      </c>
      <c r="B20" s="766">
        <v>370.90300000000002</v>
      </c>
      <c r="C20" s="750">
        <v>248.779527</v>
      </c>
      <c r="D20" s="767">
        <v>619.68252700000005</v>
      </c>
      <c r="E20" s="750">
        <v>1945.9522629999999</v>
      </c>
      <c r="F20" s="767">
        <v>2565.6347900000001</v>
      </c>
      <c r="G20" s="768">
        <v>329.149</v>
      </c>
      <c r="H20" s="453">
        <v>227.06825000000001</v>
      </c>
      <c r="I20" s="769">
        <v>556.21725000000004</v>
      </c>
      <c r="J20" s="453">
        <v>1700.9860189999999</v>
      </c>
      <c r="K20" s="770">
        <v>2257.2032690000001</v>
      </c>
      <c r="L20" s="771"/>
    </row>
    <row r="21" spans="1:12" ht="20" customHeight="1">
      <c r="A21" s="752" t="s">
        <v>565</v>
      </c>
      <c r="B21" s="753"/>
      <c r="C21" s="753"/>
      <c r="D21" s="753"/>
      <c r="E21" s="753"/>
      <c r="F21" s="753"/>
      <c r="G21" s="753"/>
      <c r="H21" s="753"/>
      <c r="I21" s="753"/>
      <c r="J21" s="753"/>
      <c r="K21" s="753"/>
    </row>
    <row r="22" spans="1:12" ht="13.5" customHeight="1">
      <c r="A22" s="754"/>
      <c r="B22" s="755"/>
      <c r="C22" s="755"/>
      <c r="D22" s="755"/>
      <c r="E22" s="755"/>
      <c r="F22" s="755"/>
      <c r="G22" s="755"/>
      <c r="H22" s="755"/>
      <c r="I22" s="755"/>
      <c r="J22" s="755"/>
      <c r="K22" s="755"/>
    </row>
    <row r="23" spans="1:12">
      <c r="A23" s="247" t="s">
        <v>580</v>
      </c>
      <c r="B23" s="650"/>
      <c r="C23" s="650"/>
      <c r="D23" s="650"/>
      <c r="E23" s="650"/>
      <c r="F23" s="650"/>
      <c r="G23" s="650"/>
      <c r="H23" s="650"/>
      <c r="I23" s="650"/>
      <c r="J23" s="650"/>
      <c r="K23" s="650"/>
    </row>
    <row r="24" spans="1:12">
      <c r="A24" s="247" t="s">
        <v>581</v>
      </c>
      <c r="B24" s="650"/>
      <c r="C24" s="650"/>
      <c r="D24" s="650"/>
      <c r="E24" s="650"/>
      <c r="F24" s="650"/>
      <c r="G24" s="650"/>
      <c r="H24" s="650"/>
      <c r="I24" s="650"/>
      <c r="J24" s="650"/>
      <c r="K24" s="650"/>
    </row>
    <row r="25" spans="1:12">
      <c r="A25" s="247" t="s">
        <v>582</v>
      </c>
      <c r="B25" s="650"/>
      <c r="C25" s="650"/>
      <c r="D25" s="650"/>
      <c r="E25" s="650"/>
      <c r="F25" s="650"/>
      <c r="G25" s="650"/>
      <c r="H25" s="650"/>
      <c r="I25" s="650"/>
      <c r="J25" s="650"/>
      <c r="K25" s="650"/>
    </row>
    <row r="26" spans="1:12">
      <c r="A26" s="3" t="s">
        <v>583</v>
      </c>
    </row>
    <row r="27" spans="1:12">
      <c r="A27" s="247" t="s">
        <v>584</v>
      </c>
      <c r="B27" s="650"/>
      <c r="C27" s="650"/>
      <c r="D27" s="650"/>
      <c r="E27" s="650"/>
      <c r="F27" s="650"/>
      <c r="G27" s="650"/>
      <c r="H27" s="650"/>
      <c r="I27" s="650"/>
      <c r="J27" s="650"/>
      <c r="K27" s="650"/>
    </row>
    <row r="28" spans="1:12">
      <c r="A28" s="754" t="s">
        <v>1622</v>
      </c>
      <c r="B28" s="650"/>
      <c r="C28" s="650"/>
      <c r="D28" s="650"/>
      <c r="E28" s="650"/>
      <c r="F28" s="650"/>
      <c r="G28" s="650"/>
      <c r="H28" s="650"/>
      <c r="I28" s="650"/>
      <c r="J28" s="650"/>
      <c r="K28" s="650"/>
    </row>
  </sheetData>
  <phoneticPr fontId="0" type="noConversion"/>
  <pageMargins left="0.24" right="0.19" top="0.95" bottom="0.49" header="0.45" footer="0.4921259845"/>
  <pageSetup paperSize="9" scale="70" orientation="portrait" horizontalDpi="4294967292" verticalDpi="4294967292"/>
  <headerFooter alignWithMargins="0">
    <oddHeader>&amp;L&amp;"Arial,Bold"&amp;14Zusatzinformationen zum Gesundheitswesen</oddHeader>
    <oddFooter>&amp;L&amp;"Arial,Regular"Statistik der Krankenversicherung, Bundesamt für Sozialversicherung</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6C45-E6A7-CC4F-9107-7A75A50C6BDF}">
  <dimension ref="A1:L28"/>
  <sheetViews>
    <sheetView zoomScale="75" workbookViewId="0">
      <selection activeCell="G9" sqref="G9:I13"/>
    </sheetView>
  </sheetViews>
  <sheetFormatPr baseColWidth="10" defaultColWidth="11.3984375" defaultRowHeight="13"/>
  <cols>
    <col min="1" max="1" width="10" style="3" customWidth="1"/>
    <col min="2" max="2" width="13.19921875" style="22" customWidth="1"/>
    <col min="3" max="3" width="13.3984375" style="22" customWidth="1"/>
    <col min="4" max="4" width="15" style="22" customWidth="1"/>
    <col min="5" max="5" width="11.796875" style="22" customWidth="1"/>
    <col min="6" max="7" width="13.59765625" style="22" customWidth="1"/>
    <col min="8" max="8" width="14.796875" style="22" customWidth="1"/>
    <col min="9" max="9" width="13.59765625" style="22" customWidth="1"/>
    <col min="10" max="16384" width="11.3984375" style="3"/>
  </cols>
  <sheetData>
    <row r="1" spans="1:12" s="1" customFormat="1" ht="14" customHeight="1">
      <c r="A1" s="62"/>
      <c r="B1" s="634"/>
      <c r="C1" s="634"/>
      <c r="D1" s="634"/>
      <c r="E1" s="634"/>
      <c r="F1" s="634"/>
      <c r="G1" s="634"/>
      <c r="H1" s="634"/>
      <c r="I1" s="634"/>
    </row>
    <row r="2" spans="1:12" s="1" customFormat="1" ht="27" customHeight="1">
      <c r="A2" s="730" t="s">
        <v>572</v>
      </c>
      <c r="B2" s="731"/>
      <c r="C2" s="731"/>
      <c r="D2" s="731"/>
      <c r="E2" s="731"/>
      <c r="F2" s="731"/>
      <c r="G2" s="731"/>
      <c r="H2" s="731"/>
      <c r="I2" s="731"/>
    </row>
    <row r="3" spans="1:12" ht="20" customHeight="1">
      <c r="A3" s="82" t="s">
        <v>335</v>
      </c>
      <c r="B3" s="732" t="s">
        <v>46</v>
      </c>
      <c r="C3" s="18"/>
      <c r="D3" s="75"/>
      <c r="E3" s="733" t="s">
        <v>607</v>
      </c>
      <c r="F3" s="734" t="s">
        <v>1316</v>
      </c>
      <c r="G3" s="82"/>
      <c r="H3" s="158"/>
      <c r="I3" s="733" t="s">
        <v>607</v>
      </c>
    </row>
    <row r="4" spans="1:12" ht="33" customHeight="1">
      <c r="A4" s="82"/>
      <c r="B4" s="732" t="s">
        <v>560</v>
      </c>
      <c r="C4" s="575"/>
      <c r="D4" s="735" t="s">
        <v>573</v>
      </c>
      <c r="E4" s="736"/>
      <c r="F4" s="734" t="s">
        <v>560</v>
      </c>
      <c r="G4" s="733"/>
      <c r="H4" s="735" t="s">
        <v>573</v>
      </c>
      <c r="I4" s="736"/>
    </row>
    <row r="5" spans="1:12" ht="15" customHeight="1">
      <c r="A5" s="82"/>
      <c r="B5" s="737" t="s">
        <v>561</v>
      </c>
      <c r="C5" s="635" t="s">
        <v>562</v>
      </c>
      <c r="D5" s="559" t="s">
        <v>563</v>
      </c>
      <c r="E5" s="18"/>
      <c r="F5" s="738" t="s">
        <v>561</v>
      </c>
      <c r="G5" s="635" t="s">
        <v>562</v>
      </c>
      <c r="H5" s="559" t="s">
        <v>563</v>
      </c>
      <c r="I5" s="18"/>
    </row>
    <row r="6" spans="1:12" ht="17.25" customHeight="1">
      <c r="A6" s="82"/>
      <c r="B6" s="737" t="s">
        <v>564</v>
      </c>
      <c r="C6" s="635" t="s">
        <v>574</v>
      </c>
      <c r="D6" s="559" t="s">
        <v>1409</v>
      </c>
      <c r="E6" s="18"/>
      <c r="F6" s="738" t="s">
        <v>575</v>
      </c>
      <c r="G6" s="635" t="s">
        <v>574</v>
      </c>
      <c r="H6" s="559" t="s">
        <v>1409</v>
      </c>
      <c r="I6" s="18"/>
    </row>
    <row r="7" spans="1:12" ht="16.5" customHeight="1">
      <c r="A7" s="283"/>
      <c r="B7" s="78"/>
      <c r="C7" s="19"/>
      <c r="D7" s="78"/>
      <c r="E7" s="19"/>
      <c r="F7" s="739"/>
      <c r="G7" s="19"/>
      <c r="H7" s="78"/>
      <c r="I7" s="19"/>
    </row>
    <row r="8" spans="1:12" ht="20" customHeight="1" thickBot="1">
      <c r="A8" s="740">
        <v>1991</v>
      </c>
      <c r="B8" s="741">
        <v>7381.6</v>
      </c>
      <c r="C8" s="742">
        <v>2030</v>
      </c>
      <c r="D8" s="741">
        <v>763.6</v>
      </c>
      <c r="E8" s="743">
        <v>10175.200000000001</v>
      </c>
      <c r="F8" s="744">
        <v>8411.9</v>
      </c>
      <c r="G8" s="742">
        <v>1717.6</v>
      </c>
      <c r="H8" s="741">
        <v>608.6</v>
      </c>
      <c r="I8" s="743">
        <v>10738.1</v>
      </c>
    </row>
    <row r="9" spans="1:12" ht="20" customHeight="1" thickBot="1">
      <c r="A9" s="561">
        <v>1992</v>
      </c>
      <c r="B9" s="168">
        <v>8071.6</v>
      </c>
      <c r="C9" s="745">
        <v>2234.5</v>
      </c>
      <c r="D9" s="746">
        <v>751.05194456734102</v>
      </c>
      <c r="E9" s="747">
        <v>11057.151944567342</v>
      </c>
      <c r="F9" s="748">
        <v>9374.4</v>
      </c>
      <c r="G9" s="745">
        <v>1832.3</v>
      </c>
      <c r="H9" s="746">
        <v>631.14866850607859</v>
      </c>
      <c r="I9" s="747">
        <v>11837.848668506078</v>
      </c>
    </row>
    <row r="10" spans="1:12" ht="20" customHeight="1" thickBot="1">
      <c r="A10" s="561">
        <v>1993</v>
      </c>
      <c r="B10" s="168">
        <v>8959</v>
      </c>
      <c r="C10" s="745">
        <v>3326.3</v>
      </c>
      <c r="D10" s="746">
        <v>734.92479192401356</v>
      </c>
      <c r="E10" s="747">
        <v>13020.224791924013</v>
      </c>
      <c r="F10" s="748">
        <v>9747.2000000000007</v>
      </c>
      <c r="G10" s="745">
        <v>2431.9</v>
      </c>
      <c r="H10" s="746">
        <v>626.00138979065252</v>
      </c>
      <c r="I10" s="747">
        <v>12805.101389790652</v>
      </c>
    </row>
    <row r="11" spans="1:12" ht="20" customHeight="1" thickBot="1">
      <c r="A11" s="561">
        <v>1994</v>
      </c>
      <c r="B11" s="168">
        <v>8986.1</v>
      </c>
      <c r="C11" s="745">
        <v>4076.6</v>
      </c>
      <c r="D11" s="746">
        <v>690.03021854426788</v>
      </c>
      <c r="E11" s="747">
        <v>13752.730218544268</v>
      </c>
      <c r="F11" s="748">
        <v>9548.9</v>
      </c>
      <c r="G11" s="745">
        <v>3331.5</v>
      </c>
      <c r="H11" s="746">
        <v>613.0603501903413</v>
      </c>
      <c r="I11" s="747">
        <v>13493.46035019034</v>
      </c>
    </row>
    <row r="12" spans="1:12" ht="20" customHeight="1" thickBot="1">
      <c r="A12" s="561">
        <v>1995</v>
      </c>
      <c r="B12" s="168">
        <v>9125.7999999999993</v>
      </c>
      <c r="C12" s="745">
        <v>4249.7</v>
      </c>
      <c r="D12" s="746">
        <v>651.42256806953048</v>
      </c>
      <c r="E12" s="747">
        <v>14026.922568069531</v>
      </c>
      <c r="F12" s="748">
        <v>10017.200000000001</v>
      </c>
      <c r="G12" s="745">
        <v>3664.1</v>
      </c>
      <c r="H12" s="746">
        <v>587.27080996548773</v>
      </c>
      <c r="I12" s="747">
        <v>14268.570809965489</v>
      </c>
    </row>
    <row r="13" spans="1:12" ht="20" customHeight="1" thickBot="1">
      <c r="A13" s="561">
        <v>1996</v>
      </c>
      <c r="B13" s="168">
        <v>11035.2</v>
      </c>
      <c r="C13" s="745">
        <v>4337.5</v>
      </c>
      <c r="D13" s="746">
        <v>640.36315374410731</v>
      </c>
      <c r="E13" s="747">
        <v>16013.063153744108</v>
      </c>
      <c r="F13" s="748">
        <v>10780.5</v>
      </c>
      <c r="G13" s="745">
        <v>3809.6285714248806</v>
      </c>
      <c r="H13" s="746">
        <v>512.67578326995283</v>
      </c>
      <c r="I13" s="747">
        <v>15102.804354694834</v>
      </c>
      <c r="K13"/>
      <c r="L13"/>
    </row>
    <row r="14" spans="1:12" ht="20" customHeight="1" thickBot="1">
      <c r="A14" s="561">
        <v>1997</v>
      </c>
      <c r="B14" s="449">
        <v>11924.8</v>
      </c>
      <c r="C14" s="93">
        <v>4410.6000000000004</v>
      </c>
      <c r="D14" s="449">
        <v>601.9</v>
      </c>
      <c r="E14" s="743">
        <v>16937.3</v>
      </c>
      <c r="F14" s="749">
        <v>11360.5</v>
      </c>
      <c r="G14" s="93">
        <v>3288.3</v>
      </c>
      <c r="H14" s="449">
        <v>475.9</v>
      </c>
      <c r="I14" s="743">
        <v>15124.7</v>
      </c>
      <c r="K14"/>
      <c r="L14"/>
    </row>
    <row r="15" spans="1:12" ht="20" customHeight="1" thickBot="1">
      <c r="A15" s="561">
        <v>1998</v>
      </c>
      <c r="B15" s="449">
        <v>12604.2</v>
      </c>
      <c r="C15" s="93">
        <v>4453.3</v>
      </c>
      <c r="D15" s="449">
        <v>637.79999999999995</v>
      </c>
      <c r="E15" s="743">
        <v>17695.3</v>
      </c>
      <c r="F15" s="749">
        <v>11926.9</v>
      </c>
      <c r="G15" s="93">
        <v>3299.5</v>
      </c>
      <c r="H15" s="449">
        <v>460.1</v>
      </c>
      <c r="I15" s="743">
        <v>15686.5</v>
      </c>
      <c r="K15"/>
      <c r="L15"/>
    </row>
    <row r="16" spans="1:12" ht="20" customHeight="1" thickBot="1">
      <c r="A16" s="561">
        <v>1999</v>
      </c>
      <c r="B16" s="449">
        <v>12949.5</v>
      </c>
      <c r="C16" s="93">
        <v>3766.7</v>
      </c>
      <c r="D16" s="449">
        <v>1098.2</v>
      </c>
      <c r="E16" s="743">
        <v>17814.400000000001</v>
      </c>
      <c r="F16" s="749">
        <v>12430.6</v>
      </c>
      <c r="G16" s="93">
        <v>2787.1</v>
      </c>
      <c r="H16" s="449">
        <v>763.9</v>
      </c>
      <c r="I16" s="743">
        <v>15981.6</v>
      </c>
      <c r="K16"/>
      <c r="L16"/>
    </row>
    <row r="17" spans="1:12" ht="20" customHeight="1" thickBot="1">
      <c r="A17" s="561">
        <v>2000</v>
      </c>
      <c r="B17" s="449">
        <v>13346.7</v>
      </c>
      <c r="C17" s="93">
        <v>2917.4</v>
      </c>
      <c r="D17" s="449">
        <v>2242.9</v>
      </c>
      <c r="E17" s="743">
        <v>18507</v>
      </c>
      <c r="F17" s="749">
        <v>13190.3</v>
      </c>
      <c r="G17" s="93">
        <v>2199.1</v>
      </c>
      <c r="H17" s="449">
        <v>1583.8</v>
      </c>
      <c r="I17" s="743">
        <v>16973.2</v>
      </c>
      <c r="K17"/>
      <c r="L17"/>
    </row>
    <row r="18" spans="1:12" ht="20" customHeight="1" thickBot="1">
      <c r="A18" s="561">
        <v>2001</v>
      </c>
      <c r="B18" s="449">
        <v>13954.7</v>
      </c>
      <c r="C18" s="93">
        <v>1986.99</v>
      </c>
      <c r="D18" s="449">
        <v>3190.46</v>
      </c>
      <c r="E18" s="743">
        <v>19132.150000000001</v>
      </c>
      <c r="F18" s="749">
        <v>13986.27</v>
      </c>
      <c r="G18" s="93">
        <v>1576.7</v>
      </c>
      <c r="H18" s="449">
        <v>2353.3000000000002</v>
      </c>
      <c r="I18" s="743">
        <v>17916.27</v>
      </c>
      <c r="K18"/>
      <c r="L18"/>
    </row>
    <row r="19" spans="1:12" ht="30" customHeight="1" thickBot="1">
      <c r="A19" s="562">
        <v>2002</v>
      </c>
      <c r="B19" s="453">
        <v>15296.16</v>
      </c>
      <c r="C19" s="750">
        <v>1958.4404729999999</v>
      </c>
      <c r="D19" s="453">
        <v>3432.3745709999994</v>
      </c>
      <c r="E19" s="750">
        <v>20686.975043999999</v>
      </c>
      <c r="F19" s="751">
        <v>14592.75</v>
      </c>
      <c r="G19" s="750">
        <v>1422.34175</v>
      </c>
      <c r="H19" s="453">
        <v>2395.4617459999999</v>
      </c>
      <c r="I19" s="750">
        <v>18410.553496</v>
      </c>
      <c r="K19"/>
      <c r="L19"/>
    </row>
    <row r="20" spans="1:12" ht="20" customHeight="1">
      <c r="A20" s="752" t="s">
        <v>565</v>
      </c>
      <c r="B20" s="753"/>
      <c r="C20" s="753"/>
      <c r="D20" s="753"/>
      <c r="E20" s="753"/>
      <c r="F20" s="753"/>
      <c r="G20" s="753"/>
      <c r="H20" s="753"/>
      <c r="I20" s="753"/>
    </row>
    <row r="21" spans="1:12" ht="13.5" customHeight="1">
      <c r="A21" s="754"/>
      <c r="B21" s="755"/>
      <c r="C21" s="755"/>
      <c r="D21" s="755"/>
      <c r="E21" s="755"/>
      <c r="F21" s="755"/>
      <c r="G21" s="755"/>
      <c r="H21" s="755"/>
      <c r="I21" s="755"/>
    </row>
    <row r="22" spans="1:12">
      <c r="A22" s="247" t="s">
        <v>566</v>
      </c>
      <c r="B22" s="650"/>
      <c r="C22" s="650"/>
      <c r="D22" s="650"/>
      <c r="E22" s="650"/>
      <c r="F22" s="650"/>
      <c r="G22" s="650"/>
      <c r="H22" s="650"/>
      <c r="I22" s="650"/>
    </row>
    <row r="23" spans="1:12">
      <c r="A23" s="247" t="s">
        <v>576</v>
      </c>
      <c r="B23" s="650"/>
      <c r="C23" s="650"/>
      <c r="D23" s="650"/>
      <c r="E23" s="650"/>
      <c r="F23" s="650"/>
      <c r="G23" s="650"/>
      <c r="H23" s="650"/>
      <c r="I23" s="650"/>
    </row>
    <row r="24" spans="1:12">
      <c r="A24" s="247" t="s">
        <v>567</v>
      </c>
      <c r="B24" s="650"/>
      <c r="C24" s="650"/>
      <c r="D24" s="650"/>
      <c r="E24" s="650"/>
      <c r="F24" s="650"/>
      <c r="G24" s="650"/>
      <c r="H24" s="650"/>
      <c r="I24" s="650"/>
    </row>
    <row r="25" spans="1:12">
      <c r="A25" s="247" t="s">
        <v>568</v>
      </c>
      <c r="B25" s="650"/>
      <c r="C25" s="650"/>
      <c r="D25" s="650"/>
      <c r="E25" s="650"/>
      <c r="F25" s="650"/>
      <c r="G25" s="650"/>
      <c r="H25" s="650"/>
      <c r="I25" s="650"/>
    </row>
    <row r="26" spans="1:12">
      <c r="A26" s="247" t="s">
        <v>569</v>
      </c>
    </row>
    <row r="27" spans="1:12">
      <c r="A27" s="247" t="s">
        <v>570</v>
      </c>
    </row>
    <row r="28" spans="1:12">
      <c r="A28" s="247" t="s">
        <v>571</v>
      </c>
    </row>
  </sheetData>
  <phoneticPr fontId="0" type="noConversion"/>
  <pageMargins left="0.45" right="0.35" top="0.95" bottom="0.49" header="0.45" footer="0.4921259845"/>
  <pageSetup paperSize="9" scale="80" orientation="portrait" horizontalDpi="1200" verticalDpi="1200"/>
  <headerFooter alignWithMargins="0">
    <oddHeader>&amp;L&amp;"Arial,Bold"&amp;14Informations complémentaires en rapport avec la santé</oddHeader>
    <oddFooter>&amp;L&amp;"Arial,Regular"Statistique de l'assurance-maladie, Office fédéral des assurances sociales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135</vt:i4>
      </vt:variant>
      <vt:variant>
        <vt:lpstr>Benannte Bereiche</vt:lpstr>
      </vt:variant>
      <vt:variant>
        <vt:i4>124</vt:i4>
      </vt:variant>
    </vt:vector>
  </HeadingPairs>
  <TitlesOfParts>
    <vt:vector size="259" baseType="lpstr">
      <vt:lpstr>Info</vt:lpstr>
      <vt:lpstr>T1</vt:lpstr>
      <vt:lpstr>101</vt:lpstr>
      <vt:lpstr>102</vt:lpstr>
      <vt:lpstr>103</vt:lpstr>
      <vt:lpstr>104</vt:lpstr>
      <vt:lpstr>105</vt:lpstr>
      <vt:lpstr>106</vt:lpstr>
      <vt:lpstr>107</vt:lpstr>
      <vt:lpstr>108</vt:lpstr>
      <vt:lpstr>109</vt:lpstr>
      <vt:lpstr>110</vt:lpstr>
      <vt:lpstr>111</vt:lpstr>
      <vt:lpstr>112</vt:lpstr>
      <vt:lpstr>113</vt:lpstr>
      <vt:lpstr>114</vt:lpstr>
      <vt:lpstr>115</vt:lpstr>
      <vt:lpstr>116</vt:lpstr>
      <vt:lpstr>117</vt:lpstr>
      <vt:lpstr>118</vt:lpstr>
      <vt:lpstr>119</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144</vt:lpstr>
      <vt:lpstr>T2</vt:lpstr>
      <vt:lpstr>201</vt:lpstr>
      <vt:lpstr>202</vt:lpstr>
      <vt:lpstr>203</vt:lpstr>
      <vt:lpstr>204</vt:lpstr>
      <vt:lpstr>205</vt:lpstr>
      <vt:lpstr>206</vt:lpstr>
      <vt:lpstr>207</vt:lpstr>
      <vt:lpstr>208</vt:lpstr>
      <vt:lpstr>209</vt:lpstr>
      <vt:lpstr>210</vt:lpstr>
      <vt:lpstr>211</vt:lpstr>
      <vt:lpstr>212</vt:lpstr>
      <vt:lpstr>T3</vt:lpstr>
      <vt:lpstr>301</vt:lpstr>
      <vt:lpstr>302</vt:lpstr>
      <vt:lpstr>303</vt:lpstr>
      <vt:lpstr>304</vt:lpstr>
      <vt:lpstr>305</vt:lpstr>
      <vt:lpstr>306</vt:lpstr>
      <vt:lpstr>307</vt:lpstr>
      <vt:lpstr>308</vt:lpstr>
      <vt:lpstr>309</vt:lpstr>
      <vt:lpstr>310</vt:lpstr>
      <vt:lpstr>311</vt:lpstr>
      <vt:lpstr>312</vt:lpstr>
      <vt:lpstr>313</vt:lpstr>
      <vt:lpstr>T4</vt:lpstr>
      <vt:lpstr>401</vt:lpstr>
      <vt:lpstr>402</vt:lpstr>
      <vt:lpstr>403</vt:lpstr>
      <vt:lpstr>404</vt:lpstr>
      <vt:lpstr>405</vt:lpstr>
      <vt:lpstr>406</vt:lpstr>
      <vt:lpstr>407</vt:lpstr>
      <vt:lpstr>408</vt:lpstr>
      <vt:lpstr>409</vt:lpstr>
      <vt:lpstr>410</vt:lpstr>
      <vt:lpstr>411</vt:lpstr>
      <vt:lpstr>412</vt:lpstr>
      <vt:lpstr>413</vt:lpstr>
      <vt:lpstr>T5</vt:lpstr>
      <vt:lpstr>501</vt:lpstr>
      <vt:lpstr>502</vt:lpstr>
      <vt:lpstr>503</vt:lpstr>
      <vt:lpstr>T6</vt:lpstr>
      <vt:lpstr>601</vt:lpstr>
      <vt:lpstr>602</vt:lpstr>
      <vt:lpstr>603</vt:lpstr>
      <vt:lpstr>604</vt:lpstr>
      <vt:lpstr>605</vt:lpstr>
      <vt:lpstr>606</vt:lpstr>
      <vt:lpstr>T7</vt:lpstr>
      <vt:lpstr>701</vt:lpstr>
      <vt:lpstr>702</vt:lpstr>
      <vt:lpstr>703</vt:lpstr>
      <vt:lpstr>704</vt:lpstr>
      <vt:lpstr>705</vt:lpstr>
      <vt:lpstr>706</vt:lpstr>
      <vt:lpstr>T8</vt:lpstr>
      <vt:lpstr>801</vt:lpstr>
      <vt:lpstr>802</vt:lpstr>
      <vt:lpstr>803</vt:lpstr>
      <vt:lpstr>804</vt:lpstr>
      <vt:lpstr>805</vt:lpstr>
      <vt:lpstr>806</vt:lpstr>
      <vt:lpstr>807</vt:lpstr>
      <vt:lpstr>808</vt:lpstr>
      <vt:lpstr>809</vt:lpstr>
      <vt:lpstr>810</vt:lpstr>
      <vt:lpstr>T9</vt:lpstr>
      <vt:lpstr>901</vt:lpstr>
      <vt:lpstr>902</vt:lpstr>
      <vt:lpstr>903</vt:lpstr>
      <vt:lpstr>904</vt:lpstr>
      <vt:lpstr>905</vt:lpstr>
      <vt:lpstr>906</vt:lpstr>
      <vt:lpstr>907</vt:lpstr>
      <vt:lpstr>908</vt:lpstr>
      <vt:lpstr>909</vt:lpstr>
      <vt:lpstr>910</vt:lpstr>
      <vt:lpstr>911</vt:lpstr>
      <vt:lpstr>912</vt:lpstr>
      <vt:lpstr>913</vt:lpstr>
      <vt:lpstr>914</vt:lpstr>
      <vt:lpstr>915</vt:lpstr>
      <vt:lpstr>916</vt:lpstr>
      <vt:lpstr>917</vt:lpstr>
      <vt:lpstr>918</vt:lpstr>
      <vt:lpstr>'101'!Druckbereich</vt:lpstr>
      <vt:lpstr>'102'!Druckbereich</vt:lpstr>
      <vt:lpstr>'103'!Druckbereich</vt:lpstr>
      <vt:lpstr>'104'!Druckbereich</vt:lpstr>
      <vt:lpstr>'105'!Druckbereich</vt:lpstr>
      <vt:lpstr>'106'!Druckbereich</vt:lpstr>
      <vt:lpstr>'107'!Druckbereich</vt:lpstr>
      <vt:lpstr>'108'!Druckbereich</vt:lpstr>
      <vt:lpstr>'109'!Druckbereich</vt:lpstr>
      <vt:lpstr>'110'!Druckbereich</vt:lpstr>
      <vt:lpstr>'111'!Druckbereich</vt:lpstr>
      <vt:lpstr>'112'!Druckbereich</vt:lpstr>
      <vt:lpstr>'113'!Druckbereich</vt:lpstr>
      <vt:lpstr>'114'!Druckbereich</vt:lpstr>
      <vt:lpstr>'115'!Druckbereich</vt:lpstr>
      <vt:lpstr>'116'!Druckbereich</vt:lpstr>
      <vt:lpstr>'117'!Druckbereich</vt:lpstr>
      <vt:lpstr>'118'!Druckbereich</vt:lpstr>
      <vt:lpstr>'119'!Druckbereich</vt:lpstr>
      <vt:lpstr>'120'!Druckbereich</vt:lpstr>
      <vt:lpstr>'121'!Druckbereich</vt:lpstr>
      <vt:lpstr>'122'!Druckbereich</vt:lpstr>
      <vt:lpstr>'123'!Druckbereich</vt:lpstr>
      <vt:lpstr>'124'!Druckbereich</vt:lpstr>
      <vt:lpstr>'125'!Druckbereich</vt:lpstr>
      <vt:lpstr>'126'!Druckbereich</vt:lpstr>
      <vt:lpstr>'127'!Druckbereich</vt:lpstr>
      <vt:lpstr>'128'!Druckbereich</vt:lpstr>
      <vt:lpstr>'129'!Druckbereich</vt:lpstr>
      <vt:lpstr>'130'!Druckbereich</vt:lpstr>
      <vt:lpstr>'131'!Druckbereich</vt:lpstr>
      <vt:lpstr>'132'!Druckbereich</vt:lpstr>
      <vt:lpstr>'133'!Druckbereich</vt:lpstr>
      <vt:lpstr>'134'!Druckbereich</vt:lpstr>
      <vt:lpstr>'135'!Druckbereich</vt:lpstr>
      <vt:lpstr>'139'!Druckbereich</vt:lpstr>
      <vt:lpstr>'140'!Druckbereich</vt:lpstr>
      <vt:lpstr>'141'!Druckbereich</vt:lpstr>
      <vt:lpstr>'142'!Druckbereich</vt:lpstr>
      <vt:lpstr>'143'!Druckbereich</vt:lpstr>
      <vt:lpstr>'144'!Druckbereich</vt:lpstr>
      <vt:lpstr>'201'!Druckbereich</vt:lpstr>
      <vt:lpstr>'202'!Druckbereich</vt:lpstr>
      <vt:lpstr>'203'!Druckbereich</vt:lpstr>
      <vt:lpstr>'204'!Druckbereich</vt:lpstr>
      <vt:lpstr>'205'!Druckbereich</vt:lpstr>
      <vt:lpstr>'206'!Druckbereich</vt:lpstr>
      <vt:lpstr>'207'!Druckbereich</vt:lpstr>
      <vt:lpstr>'208'!Druckbereich</vt:lpstr>
      <vt:lpstr>'209'!Druckbereich</vt:lpstr>
      <vt:lpstr>'210'!Druckbereich</vt:lpstr>
      <vt:lpstr>'211'!Druckbereich</vt:lpstr>
      <vt:lpstr>'212'!Druckbereich</vt:lpstr>
      <vt:lpstr>'301'!Druckbereich</vt:lpstr>
      <vt:lpstr>'302'!Druckbereich</vt:lpstr>
      <vt:lpstr>'304'!Druckbereich</vt:lpstr>
      <vt:lpstr>'306'!Druckbereich</vt:lpstr>
      <vt:lpstr>'307'!Druckbereich</vt:lpstr>
      <vt:lpstr>'308'!Druckbereich</vt:lpstr>
      <vt:lpstr>'309'!Druckbereich</vt:lpstr>
      <vt:lpstr>'310'!Druckbereich</vt:lpstr>
      <vt:lpstr>'311'!Druckbereich</vt:lpstr>
      <vt:lpstr>'312'!Druckbereich</vt:lpstr>
      <vt:lpstr>'313'!Druckbereich</vt:lpstr>
      <vt:lpstr>'401'!Druckbereich</vt:lpstr>
      <vt:lpstr>'402'!Druckbereich</vt:lpstr>
      <vt:lpstr>'403'!Druckbereich</vt:lpstr>
      <vt:lpstr>'404'!Druckbereich</vt:lpstr>
      <vt:lpstr>'405'!Druckbereich</vt:lpstr>
      <vt:lpstr>'407'!Druckbereich</vt:lpstr>
      <vt:lpstr>'408'!Druckbereich</vt:lpstr>
      <vt:lpstr>'409'!Druckbereich</vt:lpstr>
      <vt:lpstr>'410'!Druckbereich</vt:lpstr>
      <vt:lpstr>'411'!Druckbereich</vt:lpstr>
      <vt:lpstr>'412'!Druckbereich</vt:lpstr>
      <vt:lpstr>'413'!Druckbereich</vt:lpstr>
      <vt:lpstr>'501'!Druckbereich</vt:lpstr>
      <vt:lpstr>'502'!Druckbereich</vt:lpstr>
      <vt:lpstr>'503'!Druckbereich</vt:lpstr>
      <vt:lpstr>'601'!Druckbereich</vt:lpstr>
      <vt:lpstr>'602'!Druckbereich</vt:lpstr>
      <vt:lpstr>'603'!Druckbereich</vt:lpstr>
      <vt:lpstr>'604'!Druckbereich</vt:lpstr>
      <vt:lpstr>'605'!Druckbereich</vt:lpstr>
      <vt:lpstr>'606'!Druckbereich</vt:lpstr>
      <vt:lpstr>'701'!Druckbereich</vt:lpstr>
      <vt:lpstr>'702'!Druckbereich</vt:lpstr>
      <vt:lpstr>'703'!Druckbereich</vt:lpstr>
      <vt:lpstr>'704'!Druckbereich</vt:lpstr>
      <vt:lpstr>'705'!Druckbereich</vt:lpstr>
      <vt:lpstr>'706'!Druckbereich</vt:lpstr>
      <vt:lpstr>'801'!Druckbereich</vt:lpstr>
      <vt:lpstr>'802'!Druckbereich</vt:lpstr>
      <vt:lpstr>'803'!Druckbereich</vt:lpstr>
      <vt:lpstr>'804'!Druckbereich</vt:lpstr>
      <vt:lpstr>'805'!Druckbereich</vt:lpstr>
      <vt:lpstr>'806'!Druckbereich</vt:lpstr>
      <vt:lpstr>'807'!Druckbereich</vt:lpstr>
      <vt:lpstr>'808'!Druckbereich</vt:lpstr>
      <vt:lpstr>'809'!Druckbereich</vt:lpstr>
      <vt:lpstr>'810'!Druckbereich</vt:lpstr>
      <vt:lpstr>'901'!Druckbereich</vt:lpstr>
      <vt:lpstr>'902'!Druckbereich</vt:lpstr>
      <vt:lpstr>'903'!Druckbereich</vt:lpstr>
      <vt:lpstr>'904'!Druckbereich</vt:lpstr>
      <vt:lpstr>'905'!Druckbereich</vt:lpstr>
      <vt:lpstr>'906'!Druckbereich</vt:lpstr>
      <vt:lpstr>'907'!Druckbereich</vt:lpstr>
      <vt:lpstr>'908'!Druckbereich</vt:lpstr>
      <vt:lpstr>'909'!Druckbereich</vt:lpstr>
      <vt:lpstr>'910'!Druckbereich</vt:lpstr>
      <vt:lpstr>'911'!Druckbereich</vt:lpstr>
      <vt:lpstr>'912'!Druckbereich</vt:lpstr>
      <vt:lpstr>'913'!Druckbereich</vt:lpstr>
      <vt:lpstr>'914'!Druckbereich</vt:lpstr>
      <vt:lpstr>'915'!Druckbereich</vt:lpstr>
      <vt:lpstr>'916'!Druckbereich</vt:lpstr>
      <vt:lpstr>'917'!Druckbereich</vt:lpstr>
      <vt:lpstr>'918'!Druckbereich</vt:lpstr>
      <vt:lpstr>Info!Druckbereich</vt:lpstr>
      <vt:lpstr>'501'!Drucktitel</vt:lpstr>
      <vt:lpstr>'503'!Drucktitel</vt:lpstr>
      <vt:lpstr>'906'!Drucktitel</vt:lpstr>
      <vt:lpstr>'908'!Drucktitel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2004-07-30T10:04:22Z</cp:lastPrinted>
  <dcterms:created xsi:type="dcterms:W3CDTF">1999-10-15T08:29:27Z</dcterms:created>
  <dcterms:modified xsi:type="dcterms:W3CDTF">2026-05-02T10:05:52Z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-581459911</vt:i4>
  </property>
  <property fmtid="{D5CDD505-2E9C-101B-9397-08002B2CF9AE}" pid="3" name="_EmailSubject">
    <vt:lpwstr>enlever Liaisons</vt:lpwstr>
  </property>
  <property fmtid="{D5CDD505-2E9C-101B-9397-08002B2CF9AE}" pid="4" name="_AuthorEmail">
    <vt:lpwstr>Yves-Alain.Gerber@bfs.admin.ch</vt:lpwstr>
  </property>
  <property fmtid="{D5CDD505-2E9C-101B-9397-08002B2CF9AE}" pid="5" name="_AuthorEmailDisplayName">
    <vt:lpwstr>Gerber Yves-Alain BFS</vt:lpwstr>
  </property>
  <property fmtid="{D5CDD505-2E9C-101B-9397-08002B2CF9AE}" pid="6" name="_PreviousAdHocReviewCycleID">
    <vt:i4>859118886</vt:i4>
  </property>
  <property fmtid="{D5CDD505-2E9C-101B-9397-08002B2CF9AE}" pid="7" name="_ReviewingToolsShownOnce">
    <vt:lpwstr/>
  </property>
</Properties>
</file>